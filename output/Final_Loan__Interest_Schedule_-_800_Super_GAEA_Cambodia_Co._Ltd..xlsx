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Summary" sheetId="1" state="visible" r:id="rId3"/>
    <sheet name="Year_End_Totals" sheetId="2" state="visible" r:id="rId4"/>
    <sheet name="Inputs" sheetId="3" state="visible" r:id="rId5"/>
    <sheet name="Cash_Events" sheetId="4" state="visible" r:id="rId6"/>
    <sheet name="Daily" sheetId="5" state="visible" r:id="rId7"/>
    <sheet name="rAGMF_Monthly" sheetId="6" state="visible" r:id="rId8"/>
    <sheet name="FHL_Monthly" sheetId="7" state="visible" r:id="rId9"/>
    <sheet name="800SWM" sheetId="8" state="visible" r:id="rId10"/>
    <sheet name="QuickBooks - Delete &amp; Edit" sheetId="9" state="visible" r:id="rId11"/>
    <sheet name="Correcting Entries" sheetId="10" state="visible" r:id="rId12"/>
    <sheet name="BS_View" sheetId="11" state="visible" r:id="rId13"/>
    <sheet name="Reconciliation" sheetId="12" state="visible" r:id="rId14"/>
    <sheet name="Not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1" authorId="0">
      <text>
        <r>
          <rPr>
            <sz val="10"/>
            <rFont val="Arial"/>
            <family val="2"/>
          </rPr>
          <t xml:space="preserve">2024 Loan Reconciliation, Interest Schedule tab, cell H114</t>
        </r>
      </text>
    </comment>
    <comment ref="I42" authorId="0">
      <text>
        <r>
          <rPr>
            <sz val="10"/>
            <rFont val="Arial"/>
            <family val="2"/>
          </rPr>
          <t xml:space="preserve">2024 Loan Reconciliation, Interest Schedule tab, cell I114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1" authorId="0">
      <text>
        <r>
          <rPr>
            <sz val="10"/>
            <rFont val="Arial"/>
            <family val="2"/>
          </rPr>
          <t xml:space="preserve">Accrual days before 09/08/2025 - date at which the lender-basis position equals the JV book figures to the cent (likely the lender statement used for booking).</t>
        </r>
      </text>
    </comment>
  </commentList>
</comments>
</file>

<file path=xl/sharedStrings.xml><?xml version="1.0" encoding="utf-8"?>
<sst xmlns="http://schemas.openxmlformats.org/spreadsheetml/2006/main" count="1037" uniqueCount="628">
  <si>
    <t xml:space="preserve">rAGMF &amp; FHL Loans - Interest Paid vs Payable</t>
  </si>
  <si>
    <t xml:space="preserve">800 Super GAEA (Cambodia) Co., Ltd. | Lender basis, reconciled to lender exposure calc 30/06/2026 and Amendment cl. 3.8 | USD</t>
  </si>
  <si>
    <t xml:space="preserve">Reporting date:</t>
  </si>
  <si>
    <t xml:space="preserve">Default interest after 30/06/2026:</t>
  </si>
  <si>
    <t xml:space="preserve">1. Position at reporting date (accrual to day before reporting date)</t>
  </si>
  <si>
    <t xml:space="preserve">USD</t>
  </si>
  <si>
    <t xml:space="preserve">rAGMF</t>
  </si>
  <si>
    <t xml:space="preserve">FHL</t>
  </si>
  <si>
    <t xml:space="preserve">Total</t>
  </si>
  <si>
    <t xml:space="preserve">Note</t>
  </si>
  <si>
    <t xml:space="preserve">Principal outstanding</t>
  </si>
  <si>
    <t xml:space="preserve">Regular interest payable</t>
  </si>
  <si>
    <t xml:space="preserve">Default interest payable</t>
  </si>
  <si>
    <t xml:space="preserve">Total interest payable</t>
  </si>
  <si>
    <t xml:space="preserve">Overdue interest incl. default</t>
  </si>
  <si>
    <t xml:space="preserve">Total due to lender</t>
  </si>
  <si>
    <t xml:space="preserve">2. Lifetime interest bridge - drawdown 09/09/2022 to reporting date</t>
  </si>
  <si>
    <t xml:space="preserve">Regular interest charged</t>
  </si>
  <si>
    <t xml:space="preserve">6M Term SOFR + 6.75%, ACT/ACT</t>
  </si>
  <si>
    <t xml:space="preserve">Default interest charged</t>
  </si>
  <si>
    <t xml:space="preserve">2% on outstanding principal from first missed coupon</t>
  </si>
  <si>
    <t xml:space="preserve">Paid by JV (coupon 1, 07/03/2023)</t>
  </si>
  <si>
    <t xml:space="preserve">Payment vouchers PV10 / PV12</t>
  </si>
  <si>
    <t xml:space="preserve">Paid by 800S on JV's behalf (June 2024)</t>
  </si>
  <si>
    <t xml:space="preserve">Incl. USD 1,163.29 cross-allocation in principal remittances</t>
  </si>
  <si>
    <t xml:space="preserve">Total interest charged</t>
  </si>
  <si>
    <t xml:space="preserve">Total interest paid</t>
  </si>
  <si>
    <t xml:space="preserve">Interest payable (= section 1)</t>
  </si>
  <si>
    <t xml:space="preserve">Check vs section 1</t>
  </si>
  <si>
    <t xml:space="preserve">3. Tie-out to lender and books</t>
  </si>
  <si>
    <t xml:space="preserve">Model at 30/06/2026</t>
  </si>
  <si>
    <t xml:space="preserve">Lender Overdue Interest (Amendment cl. 3.8)</t>
  </si>
  <si>
    <t xml:space="preserve">Variance</t>
  </si>
  <si>
    <t xml:space="preserve">Accrued since lender cut-off (30/06/2026 to reporting date)</t>
  </si>
  <si>
    <t xml:space="preserve">Interest + default payable in JV books (13/03/2026 summary)</t>
  </si>
  <si>
    <t xml:space="preserve">Equals lender position at 09/08/2025 (not updated since)</t>
  </si>
  <si>
    <t xml:space="preserve">Catch-up accrual required in JV books to 30/09/2026</t>
  </si>
  <si>
    <t xml:space="preserve">Due to 800 Super WM Pte (subrogated principal + interest)</t>
  </si>
  <si>
    <t xml:space="preserve">Ties to JV books shareholder loan</t>
  </si>
  <si>
    <t xml:space="preserve">4. Lender exposure projection - 31/03/2029 (no payments)</t>
  </si>
  <si>
    <t xml:space="preserve">Interest payable - this model</t>
  </si>
  <si>
    <t xml:space="preserve">Interest payable - lender guarantee calc</t>
  </si>
  <si>
    <t xml:space="preserve">Lender applies /365 to leap year 2028</t>
  </si>
  <si>
    <t xml:space="preserve">Total exposure incl. principal - this model</t>
  </si>
  <si>
    <t xml:space="preserve">Year-End Totals FY2022-FY2026 - Roll-forward for Audit</t>
  </si>
  <si>
    <t xml:space="preserve">800 Super GAEA (Cambodia) Co., Ltd. | USD | Lender basis, reconciled to lender exposure calc 30/06/2026 | FY = calendar year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</si>
  <si>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</si>
  <si>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</si>
  <si>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</si>
  <si>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</si>
  <si>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</si>
  <si>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Period start</t>
  </si>
  <si>
    <t xml:space="preserve">Balance date</t>
  </si>
  <si>
    <t xml:space="preserve">Basis</t>
  </si>
  <si>
    <t xml:space="preserve">Principal</t>
  </si>
  <si>
    <t xml:space="preserve">  Opening principal</t>
  </si>
  <si>
    <t xml:space="preserve">  Drawdown</t>
  </si>
  <si>
    <t xml:space="preserve">  Repaid (800S guarantor payment)</t>
  </si>
  <si>
    <t xml:space="preserve">  Closing principal</t>
  </si>
  <si>
    <t xml:space="preserve">  Opening regular interest payable</t>
  </si>
  <si>
    <t xml:space="preserve">  Interest charged (6M SOFR + 6.75%)</t>
  </si>
  <si>
    <t xml:space="preserve">  Paid by JV</t>
  </si>
  <si>
    <t xml:space="preserve">  Paid by 800S on JV's behalf</t>
  </si>
  <si>
    <t xml:space="preserve">  Closing regular interest payable</t>
  </si>
  <si>
    <t xml:space="preserve">  Opening default interest payable</t>
  </si>
  <si>
    <t xml:space="preserve">  Default interest charged (2% on principal)</t>
  </si>
  <si>
    <t xml:space="preserve">  Paid by JV </t>
  </si>
  <si>
    <t xml:space="preserve">  Paid by 800S on JV's behalf </t>
  </si>
  <si>
    <t xml:space="preserve">  Closing default interest payable</t>
  </si>
  <si>
    <t xml:space="preserve">Year-end summary</t>
  </si>
  <si>
    <t xml:space="preserve">  Total interest payable to lender</t>
  </si>
  <si>
    <t xml:space="preserve">  Total due to lender (principal + interest)</t>
  </si>
  <si>
    <t xml:space="preserve">  Interest expense for the year (P&amp;L)</t>
  </si>
  <si>
    <t xml:space="preserve">  Interest paid in the year (all payers)</t>
  </si>
  <si>
    <t xml:space="preserve">  Check: closing vs monthly schedule (=0)</t>
  </si>
  <si>
    <t xml:space="preserve">Combined (rAGMF + FHL)</t>
  </si>
  <si>
    <t xml:space="preserve">Due to 800 Super Waste Management Pte (subrogated guarantor payments)</t>
  </si>
  <si>
    <t xml:space="preserve">  Opening balance</t>
  </si>
  <si>
    <t xml:space="preserve">  Principal funded</t>
  </si>
  <si>
    <t xml:space="preserve">  Interest funded (regular + default)</t>
  </si>
  <si>
    <t xml:space="preserve">  Closing balance</t>
  </si>
  <si>
    <t xml:space="preserve">Total lender-related liabilities at year-end</t>
  </si>
  <si>
    <t xml:space="preserve">  Due to lenders</t>
  </si>
  <si>
    <t xml:space="preserve">  Due to 800S</t>
  </si>
  <si>
    <t xml:space="preserve">  Total</t>
  </si>
  <si>
    <t xml:space="preserve">Balances follow the lender's day-count convention: interest at 31 December covers accrual days up to 30 December inclusive.</t>
  </si>
  <si>
    <t xml:space="preserve">800S payments (June 2024) are interest and principal of the JV settled by the guarantor; the JV owes them to 800 Super (shareholder loan USD 1,745,676.83).</t>
  </si>
  <si>
    <t xml:space="preserve">FY2026 closing is actual to the last month-end before the reporting date, then projected with no further payments and default interest continuing (Inputs B20).</t>
  </si>
  <si>
    <t xml:space="preserve">Excludes the USD 15,000 approval fee withheld on rAGMF drawdown (financing fee).</t>
  </si>
  <si>
    <t xml:space="preserve">Inputs &amp; Assumptions</t>
  </si>
  <si>
    <t xml:space="preserve">800 Super GAEA (Cambodia) Co., Ltd. - rAGMF and FHL loans (USD 1.5M each). Blue = hard input, black = formula, green = link, yellow = editable lever.</t>
  </si>
  <si>
    <t xml:space="preserve">A. Loan terms</t>
  </si>
  <si>
    <t xml:space="preserve">Parameter</t>
  </si>
  <si>
    <t xml:space="preserve">Source / note</t>
  </si>
  <si>
    <t xml:space="preserve">Lender</t>
  </si>
  <si>
    <t xml:space="preserve">responsAbility Global Micro &amp; SME Finance Fund (M&amp;G Luxembourg S.A.)</t>
  </si>
  <si>
    <t xml:space="preserve">Financing for Healthier Lives DAC</t>
  </si>
  <si>
    <t xml:space="preserve">Amendment Agreements (drafts 22/07/2026 rAGMF, 31/07/2026 FHL)</t>
  </si>
  <si>
    <t xml:space="preserve">Loan agreement date</t>
  </si>
  <si>
    <t xml:space="preserve">Amendment Agreements, Recital A</t>
  </si>
  <si>
    <t xml:space="preserve">Disbursement / interest start date</t>
  </si>
  <si>
    <t xml:space="preserve">Payment vouchers PV10/PV12 (07/03/2023): coupon 1 runs from 09-Sep-22</t>
  </si>
  <si>
    <t xml:space="preserve">Original principal</t>
  </si>
  <si>
    <t xml:space="preserve">Loan agreements; lender exposure calc Jun-26</t>
  </si>
  <si>
    <t xml:space="preserve">Margin over 6M Term SOFR</t>
  </si>
  <si>
    <t xml:space="preserve">Lender exposure calc Jun-26 (Spread)</t>
  </si>
  <si>
    <t xml:space="preserve">Default interest (on outstanding principal)</t>
  </si>
  <si>
    <t xml:space="preserve">Lender exposure calc Jun-26 (Penalty rate, applied to principal only, no compounding)</t>
  </si>
  <si>
    <t xml:space="preserve">Day count</t>
  </si>
  <si>
    <t xml:space="preserve">ACT/ACT</t>
  </si>
  <si>
    <t xml:space="preserve">Lender exposure calc: /365, /366 in 2024</t>
  </si>
  <si>
    <t xml:space="preserve">Default interest start date (first missed coupon)</t>
  </si>
  <si>
    <t xml:space="preserve">Lender exposure calc Jun-26, sections 5) Penalty</t>
  </si>
  <si>
    <t xml:space="preserve">Net cash received at disbursement (JV books)</t>
  </si>
  <si>
    <t xml:space="preserve">JV GL 12/09/2022 (rA net of USD 15,000 approval fee; FHL net of USD 30 bank charge). Memo only</t>
  </si>
  <si>
    <t xml:space="preserve">B. Reporting date and scenario levers</t>
  </si>
  <si>
    <t xml:space="preserve">Value</t>
  </si>
  <si>
    <t xml:space="preserve">Reporting date (position computed for accrual days before this date)</t>
  </si>
  <si>
    <t xml:space="preserve">Today</t>
  </si>
  <si>
    <t xml:space="preserve">Lender cut-off date (Overdue Interest crystallised)</t>
  </si>
  <si>
    <t xml:space="preserve">Amendment Agreements cl. 3.8 / lender exposure calc 30/06/2026</t>
  </si>
  <si>
    <t xml:space="preserve">Default interest continues after cut-off date (1 = Yes, 0 = No)</t>
  </si>
  <si>
    <t xml:space="preserve">1 = no amendment effective / no cure (lender's own 2029 projection basis). Set 0 if amendment effective and default interest waived from 01/07/2026</t>
  </si>
  <si>
    <t xml:space="preserve">Projection end date</t>
  </si>
  <si>
    <t xml:space="preserve">Lender exposure calc - guarantee purpose (31/03/2029)</t>
  </si>
  <si>
    <t xml:space="preserve">C. Lender reference figures (used for reconciliation only, not in calculations)</t>
  </si>
  <si>
    <t xml:space="preserve">Item (USD)</t>
  </si>
  <si>
    <t xml:space="preserve">Overdue interest incl. default at 30/06/2026</t>
  </si>
  <si>
    <t xml:space="preserve">Amendment Agreements cl. 3.8 (rAGMF draft 22/07/2026; FHL draft 31/07/2026)</t>
  </si>
  <si>
    <t xml:space="preserve">  of which accrued interest at 30/06/2026</t>
  </si>
  <si>
    <t xml:space="preserve">Lender exposure calc Jun-26, Summary row 6</t>
  </si>
  <si>
    <t xml:space="preserve">  of which default interest at 30/06/2026</t>
  </si>
  <si>
    <t xml:space="preserve">Lender exposure calc Jun-26, Summary row 7</t>
  </si>
  <si>
    <t xml:space="preserve">Projected overdue interest incl. default at 31/03/2029</t>
  </si>
  <si>
    <t xml:space="preserve">Lender exposure calc - guarantee purpose, Summary row 10</t>
  </si>
  <si>
    <t xml:space="preserve">Lender's coupon 2 amount (settled by 800 Super)</t>
  </si>
  <si>
    <t xml:space="preserve">Lender exposure calc, section 1) 'Repaid by 800 Super'</t>
  </si>
  <si>
    <t xml:space="preserve">Lender credit applied to accrued interest (June 2024 remittances)</t>
  </si>
  <si>
    <t xml:space="preserve">Lender exposure calc, Summary row 6 deduction</t>
  </si>
  <si>
    <t xml:space="preserve">Lender credit applied to default interest (June 2024 remittances)</t>
  </si>
  <si>
    <t xml:space="preserve">Lender exposure calc, Summary row 7 deduction</t>
  </si>
  <si>
    <t xml:space="preserve">Prior model v5 checkpoint 31/03/2026 - accrued interest</t>
  </si>
  <si>
    <t xml:space="preserve">GAEA_Dual_Loan_2030_v5, Inputs C26:D26</t>
  </si>
  <si>
    <t xml:space="preserve">Prior model v5 checkpoint 31/03/2026 - default interest</t>
  </si>
  <si>
    <t xml:space="preserve">GAEA_Dual_Loan_2030_v5, Inputs C27:D27</t>
  </si>
  <si>
    <t xml:space="preserve">JV books - interest payable, both loans combined</t>
  </si>
  <si>
    <t xml:space="preserve">800SUPERGAEA_BS_LOAN SUMMARY_CF_SG_FD_13032026, cell M12</t>
  </si>
  <si>
    <t xml:space="preserve">JV books - penalty payable, both loans combined</t>
  </si>
  <si>
    <t xml:space="preserve">800SUPERGAEA_BS_LOAN SUMMARY_CF_SG_FD_13032026, cell M14</t>
  </si>
  <si>
    <t xml:space="preserve">JV books - shareholder loan 800 Super WM Pte</t>
  </si>
  <si>
    <t xml:space="preserve">BS summary D24 / JV GL entry 31/10/2024 'New Shareholder Loan'</t>
  </si>
  <si>
    <t xml:space="preserve">D. 6M Term SOFR fixings by interest period (sorted; VLOOKUP returns the fixing in force on each accrual day)</t>
  </si>
  <si>
    <t xml:space="preserve">rAGMF period start</t>
  </si>
  <si>
    <t xml:space="preserve">6M SOFR</t>
  </si>
  <si>
    <t xml:space="preserve">All-in rate</t>
  </si>
  <si>
    <t xml:space="preserve">Fixing / source</t>
  </si>
  <si>
    <t xml:space="preserve">FHL period start</t>
  </si>
  <si>
    <t xml:space="preserve">Implied from coupon 1 voucher (USD 75,648.08, 181 days)</t>
  </si>
  <si>
    <t xml:space="preserve">Implied from coupon 1 voucher (USD 78,155.75, 187 days)</t>
  </si>
  <si>
    <t xml:space="preserve">T-2 07/03/2023 - lender calc</t>
  </si>
  <si>
    <t xml:space="preserve">T-2 13/03/2023 - lender calc</t>
  </si>
  <si>
    <t xml:space="preserve">T-2 07/09/2023 - lender calc</t>
  </si>
  <si>
    <t xml:space="preserve">T-2 13/09/2023 - lender calc</t>
  </si>
  <si>
    <t xml:space="preserve">T-2 07/03/2024 - lender calc</t>
  </si>
  <si>
    <t xml:space="preserve">T-2 13/03/2024 - lender calc</t>
  </si>
  <si>
    <t xml:space="preserve">T-2 05/09/2024 - lender calc</t>
  </si>
  <si>
    <t xml:space="preserve">T-2 12/09/2024 - lender calc</t>
  </si>
  <si>
    <t xml:space="preserve">Lender calc</t>
  </si>
  <si>
    <t xml:space="preserve">Not yet notified - held flat (lender's own projection basis). Update with rate-fixing notice</t>
  </si>
  <si>
    <t xml:space="preserve">Cash Events &amp; Lender Allocation</t>
  </si>
  <si>
    <t xml:space="preserve">All cash paid to the lenders since drawdown. Allocation per lender exposure calc Jun-26. Add any new payment in the yellow rows (allocation: enter principal and default portions; regular interest = balance).</t>
  </si>
  <si>
    <t xml:space="preserve">Entry format: Loan = rAGMF or FHL; Payer = JV or 800S. Example: 15/09/2026 | rAGMF | JV | Amendment instalment | 16,000.00 | 0.00 | (auto) | 0.00</t>
  </si>
  <si>
    <t xml:space="preserve">#</t>
  </si>
  <si>
    <t xml:space="preserve">Value date</t>
  </si>
  <si>
    <t xml:space="preserve">Loan</t>
  </si>
  <si>
    <t xml:space="preserve">Payer</t>
  </si>
  <si>
    <t xml:space="preserve">Description</t>
  </si>
  <si>
    <t xml:space="preserve">Cash amount (USD)</t>
  </si>
  <si>
    <t xml:space="preserve">Regular interest</t>
  </si>
  <si>
    <t xml:space="preserve">Default interest</t>
  </si>
  <si>
    <t xml:space="preserve">Check</t>
  </si>
  <si>
    <t xml:space="preserve">Bank ref / source</t>
  </si>
  <si>
    <t xml:space="preserve">Accrual cover end</t>
  </si>
  <si>
    <t xml:space="preserve">Month bucket</t>
  </si>
  <si>
    <t xml:space="preserve">JV</t>
  </si>
  <si>
    <t xml:space="preserve">Coupon 1 (09/09/2022-09/03/2023)</t>
  </si>
  <si>
    <t xml:space="preserve">PV #10, 07-Mar-23, bank transfer USD</t>
  </si>
  <si>
    <t xml:space="preserve">Coupon 1 (09/09/2022-15/03/2023)</t>
  </si>
  <si>
    <t xml:space="preserve">PV #12, 07-Mar-23, bank transfer USD</t>
  </si>
  <si>
    <t xml:space="preserve">800S</t>
  </si>
  <si>
    <t xml:space="preserve">Accrued and defaulted interest payment (800 Super WM Pte, OCBC SGD a/c)</t>
  </si>
  <si>
    <t xml:space="preserve">OCBC TT created 12/06/2024, value 13/06/2024</t>
  </si>
  <si>
    <t xml:space="preserve">Principal repayment 51% (guarantor payment); USD 1,163.29 above USD 765,000 applied to interest</t>
  </si>
  <si>
    <t xml:space="preserve">UOB FT24060327092395, value 28/06/2024</t>
  </si>
  <si>
    <t xml:space="preserve">Principal repayment 51% (guarantor payment); USD 1,163.29 shortfall vs USD 765,000 met from interest remittance</t>
  </si>
  <si>
    <t xml:space="preserve">UOB FT24060327079586, value 28/06/2024</t>
  </si>
  <si>
    <t xml:space="preserve">Summary by payer</t>
  </si>
  <si>
    <t xml:space="preserve">Cash</t>
  </si>
  <si>
    <t xml:space="preserve">Interest total</t>
  </si>
  <si>
    <t xml:space="preserve">Daily Accrual Engine</t>
  </si>
  <si>
    <t xml:space="preserve">One row per accrual day (interest for day d accrues from d to d+1). Month bucket = month-end boundary convention used by the lender (e.g. 'to 30/06/2026' excludes 30 June).</t>
  </si>
  <si>
    <t xml:space="preserve">Accrual day</t>
  </si>
  <si>
    <t xml:space="preserve">Year basis</t>
  </si>
  <si>
    <t xml:space="preserve">rAGMF principal</t>
  </si>
  <si>
    <t xml:space="preserve">rAGMF 6M SOFR</t>
  </si>
  <si>
    <t xml:space="preserve">rAGMF all-in</t>
  </si>
  <si>
    <t xml:space="preserve">rAGMF regular interest</t>
  </si>
  <si>
    <t xml:space="preserve">rAGMF default interest</t>
  </si>
  <si>
    <t xml:space="preserve">FHL principal</t>
  </si>
  <si>
    <t xml:space="preserve">FHL 6M SOFR</t>
  </si>
  <si>
    <t xml:space="preserve">FHL all-in</t>
  </si>
  <si>
    <t xml:space="preserve">FHL regular interest</t>
  </si>
  <si>
    <t xml:space="preserve">FHL default interest</t>
  </si>
  <si>
    <t xml:space="preserve">rAGMF - Monthly Loan Life (drawdown 09/09/2022 to 31/03/2029)</t>
  </si>
  <si>
    <t xml:space="preserve">Actual = reconstructed to last month-end before reporting date; Projection = no further payments, lender method. Interest payable = lender's view of overdue amounts.</t>
  </si>
  <si>
    <t xml:space="preserve">Lender:</t>
  </si>
  <si>
    <t xml:space="preserve">Shaded rows = projection. Blue band = lender cut-off 30/06/2026.</t>
  </si>
  <si>
    <t xml:space="preserve">Month end</t>
  </si>
  <si>
    <t xml:space="preserve">Accrual from</t>
  </si>
  <si>
    <t xml:space="preserve">Days</t>
  </si>
  <si>
    <t xml:space="preserve">Status</t>
  </si>
  <si>
    <t xml:space="preserve">Opening principal</t>
  </si>
  <si>
    <t xml:space="preserve">Principal repaid</t>
  </si>
  <si>
    <t xml:space="preserve">Closing principal</t>
  </si>
  <si>
    <t xml:space="preserve">6M SOFR (period end)</t>
  </si>
  <si>
    <t xml:space="preserve">Regular interest accrued</t>
  </si>
  <si>
    <t xml:space="preserve">Default interest accrued</t>
  </si>
  <si>
    <t xml:space="preserve">Total interest charge</t>
  </si>
  <si>
    <t xml:space="preserve">Opening regular interest payable</t>
  </si>
  <si>
    <t xml:space="preserve">Regular paid by JV</t>
  </si>
  <si>
    <t xml:space="preserve">Regular paid by 800S</t>
  </si>
  <si>
    <t xml:space="preserve">Closing regular interest payable</t>
  </si>
  <si>
    <t xml:space="preserve">Opening default payable</t>
  </si>
  <si>
    <t xml:space="preserve">Default paid</t>
  </si>
  <si>
    <t xml:space="preserve">Closing default payable</t>
  </si>
  <si>
    <t xml:space="preserve">TOTAL INTEREST PAYABLE</t>
  </si>
  <si>
    <t xml:space="preserve">TOTAL EXPOSURE (principal + interest)</t>
  </si>
  <si>
    <t xml:space="preserve">Cumulative interest charged</t>
  </si>
  <si>
    <t xml:space="preserve">Cumulative interest paid</t>
  </si>
  <si>
    <t xml:space="preserve">Check (=0)</t>
  </si>
  <si>
    <t xml:space="preserve">Events</t>
  </si>
  <si>
    <t xml:space="preserve">Drawdown 09/09/2022</t>
  </si>
  <si>
    <t xml:space="preserve">Coupon 1 paid by JV 07/03/2023; reset 09/03</t>
  </si>
  <si>
    <t xml:space="preserve">Coupon 2 missed 11/09/2023 - default interest starts</t>
  </si>
  <si>
    <t xml:space="preserve">Coupon 3 missed 11/03/2024</t>
  </si>
  <si>
    <t xml:space="preserve">800S: interest 13/06 + principal 28/06/2024 (51%)</t>
  </si>
  <si>
    <t xml:space="preserve">Coupon missed 09/09/2024</t>
  </si>
  <si>
    <t xml:space="preserve">Coupon missed 10/03/2025</t>
  </si>
  <si>
    <t xml:space="preserve">Coupon missed 09/09/2025</t>
  </si>
  <si>
    <t xml:space="preserve">Coupon missed 09/03/2026</t>
  </si>
  <si>
    <t xml:space="preserve">LENDER CUT-OFF - ties to amendment cl. 3.8</t>
  </si>
  <si>
    <t xml:space="preserve">Coupon missed 09/09/2026 (amendment: due 15/09/2026)</t>
  </si>
  <si>
    <t xml:space="preserve">Lender guarantee projection date</t>
  </si>
  <si>
    <t xml:space="preserve">Total over life (to 31/03/2029)</t>
  </si>
  <si>
    <t xml:space="preserve">FHL - Monthly Loan Life (drawdown 09/09/2022 to 31/03/2029)</t>
  </si>
  <si>
    <t xml:space="preserve">Coupon 1 paid by JV 07/03/2023; reset 15/03</t>
  </si>
  <si>
    <t xml:space="preserve">Coupon 2 missed 15/09/2023 - default interest starts</t>
  </si>
  <si>
    <t xml:space="preserve">Coupon 3 missed 15/03/2024</t>
  </si>
  <si>
    <t xml:space="preserve">Coupon missed 16/09/2024</t>
  </si>
  <si>
    <t xml:space="preserve">Coupon missed 17/03/2025</t>
  </si>
  <si>
    <t xml:space="preserve">Coupon missed 15/09/2025</t>
  </si>
  <si>
    <t xml:space="preserve">Coupon missed 16/03/2026</t>
  </si>
  <si>
    <t xml:space="preserve">Coupon missed 15/09/2026</t>
  </si>
  <si>
    <t xml:space="preserve">800SWM - Shareholder Loan Interest Schedule (28/06/2024 to 31/12/2025)</t>
  </si>
  <si>
    <t xml:space="preserve">Loan from 800 Super Waste Management Pte. Ltd. that replaced 51% of the rAGMF and FHL loans (paid by 800SWM in June 2024). Source: 2024 Loan Reconciliation (Loan Details F, Interest Schedule rows 86-107).</t>
  </si>
  <si>
    <t xml:space="preserve">800SWM</t>
  </si>
  <si>
    <t xml:space="preserve">800 Super Waste Management Pte. Ltd. (Singapore) - loan agreement dated 28/06/2024 (Word file)</t>
  </si>
  <si>
    <t xml:space="preserve">Interest part (paid 13/06/2024)</t>
  </si>
  <si>
    <t xml:space="preserve">OCBC TT 13/06/2024; agreement clause 2.2 (51% of lenders' interest)</t>
  </si>
  <si>
    <t xml:space="preserve">Principal part (paid 28/06/2024)</t>
  </si>
  <si>
    <t xml:space="preserve">UOB 28/06/2024; agreement clause 2.2 (51% of lenders' principal)</t>
  </si>
  <si>
    <t xml:space="preserve">Total loan</t>
  </si>
  <si>
    <t xml:space="preserve">Agreement clause 2.1: USD 1,745,676.83</t>
  </si>
  <si>
    <t xml:space="preserve">Interest rate (fixed, per year)</t>
  </si>
  <si>
    <t xml:space="preserve">Agreement clause 4</t>
  </si>
  <si>
    <t xml:space="preserve">Day count basis (days)</t>
  </si>
  <si>
    <t xml:space="preserve">Agreement clause 13.3</t>
  </si>
  <si>
    <t xml:space="preserve">Interest start date</t>
  </si>
  <si>
    <t xml:space="preserve">ASSUMPTION (as in our recon): agreement does not state it. Interest starts on the agreement date on the full loan, although the interest part was paid on 13/06/2024.</t>
  </si>
  <si>
    <t xml:space="preserve">Interest due</t>
  </si>
  <si>
    <t xml:space="preserve">Month-end</t>
  </si>
  <si>
    <t xml:space="preserve">Clause 4: last day of each month. No interest paid to 800SWM up to 31/12/2025 (per GL).</t>
  </si>
  <si>
    <t xml:space="preserve">Repayment</t>
  </si>
  <si>
    <t xml:space="preserve">On demand</t>
  </si>
  <si>
    <t xml:space="preserve">Clause 3.1: on written demand by 800SWM. Early repayment allowed (3.2); may convert to shares (3.4).</t>
  </si>
  <si>
    <t xml:space="preserve">B. Monthly interest</t>
  </si>
  <si>
    <t xml:space="preserve">Opening balance</t>
  </si>
  <si>
    <t xml:space="preserve">Loan added</t>
  </si>
  <si>
    <t xml:space="preserve">Closing balance</t>
  </si>
  <si>
    <t xml:space="preserve">Rate</t>
  </si>
  <si>
    <t xml:space="preserve">Interest accrued</t>
  </si>
  <si>
    <t xml:space="preserve">Opening interest payable</t>
  </si>
  <si>
    <t xml:space="preserve">Interest paid</t>
  </si>
  <si>
    <t xml:space="preserve">Closing interest payable</t>
  </si>
  <si>
    <t xml:space="preserve">Loan starts 28/06/2024 (interest 13/06 + principal 28/06). 2 days in June.</t>
  </si>
  <si>
    <t xml:space="preserve">C. Totals by year and tie-out</t>
  </si>
  <si>
    <t xml:space="preserve">Year</t>
  </si>
  <si>
    <t xml:space="preserve">Our 2024 recon</t>
  </si>
  <si>
    <t xml:space="preserve">Difference</t>
  </si>
  <si>
    <t xml:space="preserve">Correcting Entries (20262)</t>
  </si>
  <si>
    <t xml:space="preserve">2024</t>
  </si>
  <si>
    <t xml:space="preserve">Booked in QuickBooks as LOANINT-2406 to 2412</t>
  </si>
  <si>
    <t xml:space="preserve">2025</t>
  </si>
  <si>
    <t xml:space="preserve">To book as LOANINT-2501 to 2512 (Correcting Entries tab)</t>
  </si>
  <si>
    <t xml:space="preserve">Notes:</t>
  </si>
  <si>
    <t xml:space="preserve">1. Interest = closing balance x 6% x actual days / 360, rounded to the cent each month (same as our 2024 recon). Month = from the previous month-end to this month-end.</t>
  </si>
  <si>
    <t xml:space="preserve">2. The interest-start date (28/06/2024) is an assumption - the agreement does not say. If 800SWM agrees interest on the 215,676.83 runs from 13/06/2024, June 2024 would add 15 days (about 539.19).</t>
  </si>
  <si>
    <t xml:space="preserve">3. The Loan &amp; Interest Schedule from the lenders does not include this loan; this tab is the source for the 800SWM column (20262) in the Correcting Entries tab.</t>
  </si>
  <si>
    <t xml:space="preserve">4. If 800SWM is paid or the loan is converted to shares, enter the amount in column K (interest) or a negative in column E (principal) on that month.</t>
  </si>
  <si>
    <t xml:space="preserve">Entries in QuickBooks to DELETE or EDIT</t>
  </si>
  <si>
    <t xml:space="preserve">These are the entries to delete &amp; edit to match &amp; align with the final Loan &amp; Interest Schedule</t>
  </si>
  <si>
    <t xml:space="preserve">Action</t>
  </si>
  <si>
    <t xml:space="preserve">Date</t>
  </si>
  <si>
    <t xml:space="preserve">QB No.</t>
  </si>
  <si>
    <t xml:space="preserve">Type</t>
  </si>
  <si>
    <t xml:space="preserve">Account now  -&gt;  should be</t>
  </si>
  <si>
    <t xml:space="preserve">Amount</t>
  </si>
  <si>
    <t xml:space="preserve">Remarks</t>
  </si>
  <si>
    <t xml:space="preserve">DELETE</t>
  </si>
  <si>
    <t xml:space="preserve">ADJ2304-008</t>
  </si>
  <si>
    <t xml:space="preserve">Journal Entry</t>
  </si>
  <si>
    <t xml:space="preserve">Dr 66045 Interest Expense / Cr 20010 Operating Account Payable</t>
  </si>
  <si>
    <t xml:space="preserve">2023 interest guessed monthly and put in trade payables. Replaced by the correct monthly interest in "Correcting Entries" tab</t>
  </si>
  <si>
    <t xml:space="preserve">ADJ2307-002</t>
  </si>
  <si>
    <t xml:space="preserve">ADJ2308-003</t>
  </si>
  <si>
    <t xml:space="preserve">ADJ2309-003</t>
  </si>
  <si>
    <t xml:space="preserve">ADJ2310-003</t>
  </si>
  <si>
    <t xml:space="preserve">ADJ2311-003</t>
  </si>
  <si>
    <t xml:space="preserve">ADJ2312-004</t>
  </si>
  <si>
    <t xml:space="preserve">INT24-001</t>
  </si>
  <si>
    <t xml:space="preserve">Dr 66045 / Cr 20260, 20261 (and 20262 from Jun)</t>
  </si>
  <si>
    <t xml:space="preserve">2024 interest posted with our estimated rates (too high for the lenders). Replaced by "Correcting Entries" tab (800S part is re-posted at the same amount).</t>
  </si>
  <si>
    <t xml:space="preserve">INT24-002</t>
  </si>
  <si>
    <t xml:space="preserve">INT24-003</t>
  </si>
  <si>
    <t xml:space="preserve">INT24-004</t>
  </si>
  <si>
    <t xml:space="preserve">INT24-005</t>
  </si>
  <si>
    <t xml:space="preserve">INT24-006</t>
  </si>
  <si>
    <t xml:space="preserve">INT24-007</t>
  </si>
  <si>
    <t xml:space="preserve">INT24-008</t>
  </si>
  <si>
    <t xml:space="preserve">INT24-009</t>
  </si>
  <si>
    <t xml:space="preserve">INT24-010</t>
  </si>
  <si>
    <t xml:space="preserve">INT24-011</t>
  </si>
  <si>
    <t xml:space="preserve">INT24-012</t>
  </si>
  <si>
    <t xml:space="preserve">LOAN24-001</t>
  </si>
  <si>
    <t xml:space="preserve">Dr 20010 / Cr 20259 Shareholder loan - 800SWM</t>
  </si>
  <si>
    <t xml:space="preserve">Right amount, but wrong date (should be 13-Jun-2024) and wrong debit account (should be the interest payable accounts).</t>
  </si>
  <si>
    <t xml:space="preserve">LOAN24-002</t>
  </si>
  <si>
    <t xml:space="preserve">Dr 20520 / Cr 20259 Shareholder loan - 800SWM</t>
  </si>
  <si>
    <t xml:space="preserve">Right amount, but wrong date (should be 28-Jun-2024) and wrong debit account (should be the new loan payable accounts).</t>
  </si>
  <si>
    <t xml:space="preserve">EDIT</t>
  </si>
  <si>
    <t xml:space="preserve">(Deposit)</t>
  </si>
  <si>
    <t xml:space="preserve">Bank Deposit - ABA USD</t>
  </si>
  <si>
    <t xml:space="preserve">20520 Related Party PNP-Holding  -&gt;  Loan payable - responsAbility (NEW)</t>
  </si>
  <si>
    <t xml:space="preserve">The rA loan was recorded as if it came from a group company.</t>
  </si>
  <si>
    <t xml:space="preserve">20520 Related Party PNP-Holding  -&gt;  Loan payable - Healthier (NEW)</t>
  </si>
  <si>
    <t xml:space="preserve">The Healthier loan was recorded as if it came from a group company.</t>
  </si>
  <si>
    <t xml:space="preserve">(Expense)</t>
  </si>
  <si>
    <t xml:space="preserve">Bank payment - RHB USD</t>
  </si>
  <si>
    <t xml:space="preserve">66045 Interest Expense  -&gt;  20261 Interest payable - responsAbility</t>
  </si>
  <si>
    <t xml:space="preserve">This payment settled interest already accrued for Sep-22 to Mar-23 (part of it belongs to 2022).</t>
  </si>
  <si>
    <t xml:space="preserve">66045 Interest Expense  -&gt;  20260 Interest payable - Healthier</t>
  </si>
  <si>
    <t xml:space="preserve">Same as above, for Healthier.</t>
  </si>
  <si>
    <t xml:space="preserve">ADJ2305-002</t>
  </si>
  <si>
    <t xml:space="preserve">Interest lines: delete.  WHT line: 20010  -&gt;  63025 WTH 14% Non Deductible</t>
  </si>
  <si>
    <t xml:space="preserve">This entry mixes a wrong interest guess (29,158.96) with a real 14% WHT of 4,082.26 that was paid to the tax office.</t>
  </si>
  <si>
    <t xml:space="preserve">ADJ2306-001</t>
  </si>
  <si>
    <t xml:space="preserve">ADJ2307-001.</t>
  </si>
  <si>
    <t xml:space="preserve">20010 Operating Account Payable  -&gt;  63025 WTH 14% Non Deductible</t>
  </si>
  <si>
    <t xml:space="preserve">14% WHT on the lender interest, already paid to the tax office. Lenders were NOT paid less (gross-up clause), so it is the company's own tax cost.</t>
  </si>
  <si>
    <t xml:space="preserve">ADJ2308-001.</t>
  </si>
  <si>
    <t xml:space="preserve">ADJ2309-001</t>
  </si>
  <si>
    <t xml:space="preserve">ADJ2310-001</t>
  </si>
  <si>
    <t xml:space="preserve">ADJ2311-001</t>
  </si>
  <si>
    <t xml:space="preserve">ADJ2312-001.</t>
  </si>
  <si>
    <t xml:space="preserve">JAN24-002</t>
  </si>
  <si>
    <t xml:space="preserve">FEB24-002</t>
  </si>
  <si>
    <t xml:space="preserve">MAR24-031</t>
  </si>
  <si>
    <t xml:space="preserve">APR24-030</t>
  </si>
  <si>
    <t xml:space="preserve">MAY24-031</t>
  </si>
  <si>
    <t xml:space="preserve">JUN24-030</t>
  </si>
  <si>
    <t xml:space="preserve">JUL24-031</t>
  </si>
  <si>
    <t xml:space="preserve">ADJ2502-INT</t>
  </si>
  <si>
    <t xml:space="preserve">Bill</t>
  </si>
  <si>
    <t xml:space="preserve">800S interest for Jan-2025 booked as a bill in trade payables (20010) with the old amount. Not paid. Replaced by LOANINT-2501 in "Correcting Entries" tab (Jan-2025 800S interest = 9,019.33 in 20262).</t>
  </si>
  <si>
    <t xml:space="preserve">New Journal Entries to align with Loan &amp; Interest Schedule</t>
  </si>
  <si>
    <t xml:space="preserve">These entries are applied after we delete &amp; edit out the necessary entries mentioned in the "QuickBooks - Delete &amp; Edit" Tab</t>
  </si>
  <si>
    <t xml:space="preserve">To Establish the new loan from 800 SWM</t>
  </si>
  <si>
    <t xml:space="preserve">Journal Reference</t>
  </si>
  <si>
    <t xml:space="preserve">Account</t>
  </si>
  <si>
    <t xml:space="preserve">Debit</t>
  </si>
  <si>
    <t xml:space="preserve">Credit</t>
  </si>
  <si>
    <t xml:space="preserve">Memo</t>
  </si>
  <si>
    <t xml:space="preserve">800SWM-001</t>
  </si>
  <si>
    <t xml:space="preserve">20261 Interest payable - responsAbility</t>
  </si>
  <si>
    <t xml:space="preserve">800S paid 51% of the lenders' unpaid interest on our behalf (OCBC 13-Jun-2024). We now owe it to 800S.</t>
  </si>
  <si>
    <t xml:space="preserve">20260 Interest payable - Healthier</t>
  </si>
  <si>
    <t xml:space="preserve">20259 Shareholder loan - 800SWM</t>
  </si>
  <si>
    <t xml:space="preserve">800SWM-002</t>
  </si>
  <si>
    <t xml:space="preserve">20263 Loan payable - responsAbility</t>
  </si>
  <si>
    <t xml:space="preserve">800S paid 51% of each loan on our behalf (UOB 28-Jun-2024). We now owe it to 800S.</t>
  </si>
  <si>
    <t xml:space="preserve">20264 Loan payable - Healthier</t>
  </si>
  <si>
    <t xml:space="preserve">To establish the correct interest accruals</t>
  </si>
  <si>
    <t xml:space="preserve">Entry</t>
  </si>
  <si>
    <t xml:space="preserve">Where the amount comes from</t>
  </si>
  <si>
    <t xml:space="preserve">LOANINT-2209</t>
  </si>
  <si>
    <t xml:space="preserve">Interest for Sep 2022 (lenders)</t>
  </si>
  <si>
    <t xml:space="preserve">From the Loan &amp; Interest Schedule (Tab name: rAGMF_Monthly | FHL_Monthly | 800SWM)</t>
  </si>
  <si>
    <t xml:space="preserve">LOANINT-2210</t>
  </si>
  <si>
    <t xml:space="preserve">Interest for Oct 2022 (lenders)</t>
  </si>
  <si>
    <t xml:space="preserve">LOANINT-2211</t>
  </si>
  <si>
    <t xml:space="preserve">Interest for Nov 2022 (lenders)</t>
  </si>
  <si>
    <t xml:space="preserve">LOANINT-2212</t>
  </si>
  <si>
    <t xml:space="preserve">Interest for Dec 2022 (lenders)</t>
  </si>
  <si>
    <t xml:space="preserve">LOANINT-2301</t>
  </si>
  <si>
    <t xml:space="preserve">Interest for Jan 2023 (lenders)</t>
  </si>
  <si>
    <t xml:space="preserve">LOANINT-2302</t>
  </si>
  <si>
    <t xml:space="preserve">Interest for Feb 2023 (lenders)</t>
  </si>
  <si>
    <t xml:space="preserve">LOANINT-2303</t>
  </si>
  <si>
    <t xml:space="preserve">Interest for Mar 2023 (lenders)</t>
  </si>
  <si>
    <t xml:space="preserve">LOANINT-2304</t>
  </si>
  <si>
    <t xml:space="preserve">Interest for Apr 2023 (lenders)</t>
  </si>
  <si>
    <t xml:space="preserve">LOANINT-2305</t>
  </si>
  <si>
    <t xml:space="preserve">Interest for May 2023 (lenders)</t>
  </si>
  <si>
    <t xml:space="preserve">LOANINT-2306</t>
  </si>
  <si>
    <t xml:space="preserve">Interest for Jun 2023 (lenders)</t>
  </si>
  <si>
    <t xml:space="preserve">LOANINT-2307</t>
  </si>
  <si>
    <t xml:space="preserve">Interest for Jul 2023 (lenders)</t>
  </si>
  <si>
    <t xml:space="preserve">LOANINT-2308</t>
  </si>
  <si>
    <t xml:space="preserve">Interest for Aug 2023 (lenders)</t>
  </si>
  <si>
    <t xml:space="preserve">LOANINT-2309</t>
  </si>
  <si>
    <t xml:space="preserve">Interest for Sep 2023 (lenders, incl. 2% late interest)</t>
  </si>
  <si>
    <t xml:space="preserve">LOANINT-2310</t>
  </si>
  <si>
    <t xml:space="preserve">Interest for Oct 2023 (lenders, incl. 2% late interest)</t>
  </si>
  <si>
    <t xml:space="preserve">LOANINT-2311</t>
  </si>
  <si>
    <t xml:space="preserve">Interest for Nov 2023 (lenders, incl. 2% late interest)</t>
  </si>
  <si>
    <t xml:space="preserve">LOANINT-2312</t>
  </si>
  <si>
    <t xml:space="preserve">Interest for Dec 2023 (lenders, incl. 2% late interest)</t>
  </si>
  <si>
    <t xml:space="preserve">LOANINT-2401</t>
  </si>
  <si>
    <t xml:space="preserve">Interest for Jan 2024 (lenders, incl. 2% late interest)</t>
  </si>
  <si>
    <t xml:space="preserve">LOANINT-2402</t>
  </si>
  <si>
    <t xml:space="preserve">Interest for Feb 2024 (lenders, incl. 2% late interest)</t>
  </si>
  <si>
    <t xml:space="preserve">LOANINT-2403</t>
  </si>
  <si>
    <t xml:space="preserve">Interest for Mar 2024 (lenders, incl. 2% late interest)</t>
  </si>
  <si>
    <t xml:space="preserve">LOANINT-2404</t>
  </si>
  <si>
    <t xml:space="preserve">Interest for Apr 2024 (lenders, incl. 2% late interest)</t>
  </si>
  <si>
    <t xml:space="preserve">LOANINT-2405</t>
  </si>
  <si>
    <t xml:space="preserve">Interest for May 2024 (lenders, incl. 2% late interest)</t>
  </si>
  <si>
    <t xml:space="preserve">LOANINT-2406</t>
  </si>
  <si>
    <t xml:space="preserve">Interest for Jun 2024 (lenders + 800S)</t>
  </si>
  <si>
    <t xml:space="preserve">LOANINT-2407</t>
  </si>
  <si>
    <t xml:space="preserve">Interest for Jul 2024 (lenders + 800S)</t>
  </si>
  <si>
    <t xml:space="preserve">LOANINT-2408</t>
  </si>
  <si>
    <t xml:space="preserve">Interest for Aug 2024 (lenders + 800S)</t>
  </si>
  <si>
    <t xml:space="preserve">LOANINT-2409</t>
  </si>
  <si>
    <t xml:space="preserve">Interest for Sep 2024 (lenders + 800S)</t>
  </si>
  <si>
    <t xml:space="preserve">LOANINT-2410</t>
  </si>
  <si>
    <t xml:space="preserve">Interest for Oct 2024 (lenders + 800S)</t>
  </si>
  <si>
    <t xml:space="preserve">LOANINT-2411</t>
  </si>
  <si>
    <t xml:space="preserve">Interest for Nov 2024 (lenders + 800S)</t>
  </si>
  <si>
    <t xml:space="preserve">LOANINT-2412</t>
  </si>
  <si>
    <t xml:space="preserve">Interest for Dec 2024 (lenders + 800S)</t>
  </si>
  <si>
    <t xml:space="preserve">LOANINT-2501</t>
  </si>
  <si>
    <t xml:space="preserve">Interest for Jan 2025 (lenders + 800S)</t>
  </si>
  <si>
    <t xml:space="preserve">LOANINT-2502</t>
  </si>
  <si>
    <t xml:space="preserve">Interest for Feb 2025 (lenders + 800S)</t>
  </si>
  <si>
    <t xml:space="preserve">LOANINT-2503</t>
  </si>
  <si>
    <t xml:space="preserve">Interest for Mar 2025 (lenders + 800S)</t>
  </si>
  <si>
    <t xml:space="preserve">LOANINT-2504</t>
  </si>
  <si>
    <t xml:space="preserve">Interest for Apr 2025 (lenders + 800S)</t>
  </si>
  <si>
    <t xml:space="preserve">LOANINT-2505</t>
  </si>
  <si>
    <t xml:space="preserve">Interest for May 2025 (lenders + 800S)</t>
  </si>
  <si>
    <t xml:space="preserve">LOANINT-2506</t>
  </si>
  <si>
    <t xml:space="preserve">Interest for Jun 2025 (lenders + 800S)</t>
  </si>
  <si>
    <t xml:space="preserve">LOANINT-2507</t>
  </si>
  <si>
    <t xml:space="preserve">Interest for Jul 2025 (lenders + 800S)</t>
  </si>
  <si>
    <t xml:space="preserve">LOANINT-2508</t>
  </si>
  <si>
    <t xml:space="preserve">Interest for Aug 2025 (lenders + 800S)</t>
  </si>
  <si>
    <t xml:space="preserve">LOANINT-2509</t>
  </si>
  <si>
    <t xml:space="preserve">Interest for Sep 2025 (lenders + 800S)</t>
  </si>
  <si>
    <t xml:space="preserve">LOANINT-2510</t>
  </si>
  <si>
    <t xml:space="preserve">Interest for Oct 2025 (lenders + 800S)</t>
  </si>
  <si>
    <t xml:space="preserve">LOANINT-2511</t>
  </si>
  <si>
    <t xml:space="preserve">Interest for Nov 2025 (lenders + 800S)</t>
  </si>
  <si>
    <t xml:space="preserve">LOANINT-2512</t>
  </si>
  <si>
    <t xml:space="preserve">Interest for Dec 2025 (lenders + 800S)</t>
  </si>
  <si>
    <t xml:space="preserve">Totals by year</t>
  </si>
  <si>
    <t xml:space="preserve">Year 2022</t>
  </si>
  <si>
    <t xml:space="preserve">Year 2023</t>
  </si>
  <si>
    <t xml:space="preserve">Year 2024</t>
  </si>
  <si>
    <t xml:space="preserve">Year 2025</t>
  </si>
  <si>
    <t xml:space="preserve">Withholding Taxes</t>
  </si>
  <si>
    <t xml:space="preserve">Item</t>
  </si>
  <si>
    <t xml:space="preserve">Interest for the year</t>
  </si>
  <si>
    <t xml:space="preserve">WHT should be (÷0.86 × 14%)</t>
  </si>
  <si>
    <t xml:space="preserve">WHT already paid &amp; booked</t>
  </si>
  <si>
    <t xml:space="preserve">WHT still to book</t>
  </si>
  <si>
    <t xml:space="preserve">Entry: Dr 63025 WTH 14% Non Deductible / Cr 20220 WHT Payable 14%</t>
  </si>
  <si>
    <t xml:space="preserve">LOANWHT-22001</t>
  </si>
  <si>
    <t xml:space="preserve">14% WHT on 2022 interest</t>
  </si>
  <si>
    <t xml:space="preserve">Nothing was booked for 2022.</t>
  </si>
  <si>
    <t xml:space="preserve">LOANWHT-23001</t>
  </si>
  <si>
    <t xml:space="preserve">14% WHT on 2023 interest</t>
  </si>
  <si>
    <t xml:space="preserve">LOANWHT-24001</t>
  </si>
  <si>
    <t xml:space="preserve">14% WHT on 2024 interest</t>
  </si>
  <si>
    <t xml:space="preserve">LOANWHT-25001</t>
  </si>
  <si>
    <t xml:space="preserve">14% WHT on 2025 interest</t>
  </si>
  <si>
    <t xml:space="preserve">Not yet booked</t>
  </si>
  <si>
    <t xml:space="preserve">The amounts the company already paid (USD 74,668.47) were 14% of rough monthly guesses, not of the correct interest, and were not grossed up.</t>
  </si>
  <si>
    <t xml:space="preserve">Balance Sheet &amp; P&amp;L View - interest charged, paid and payable</t>
  </si>
  <si>
    <t xml:space="preserve">Fiscal year = calendar year. P&amp;L = lender-basis interest cost incl. default interest. 800S payments are JV interest cost funded by the 800 Super WM Pte shareholder loan (subrogation).</t>
  </si>
  <si>
    <t xml:space="preserve">H1 2026</t>
  </si>
  <si>
    <t xml:space="preserve">Q3 2026</t>
  </si>
  <si>
    <t xml:space="preserve">Life to 30/09/2026</t>
  </si>
  <si>
    <t xml:space="preserve">Period end (balance date)</t>
  </si>
  <si>
    <t xml:space="preserve">P&amp;L - interest cost</t>
  </si>
  <si>
    <t xml:space="preserve">  Regular interest</t>
  </si>
  <si>
    <t xml:space="preserve">  Default interest</t>
  </si>
  <si>
    <t xml:space="preserve">  Total interest cost</t>
  </si>
  <si>
    <t xml:space="preserve">Cash settled in period</t>
  </si>
  <si>
    <t xml:space="preserve">  Paid by JV (own cash)</t>
  </si>
  <si>
    <t xml:space="preserve">  Paid by 800S on JV's behalf - regular</t>
  </si>
  <si>
    <t xml:space="preserve">  Paid by 800S on JV's behalf - default</t>
  </si>
  <si>
    <t xml:space="preserve">  Total settled</t>
  </si>
  <si>
    <t xml:space="preserve">Closing balance - due to lender</t>
  </si>
  <si>
    <t xml:space="preserve">  Principal</t>
  </si>
  <si>
    <t xml:space="preserve">  Regular interest payable</t>
  </si>
  <si>
    <t xml:space="preserve">  Default interest payable</t>
  </si>
  <si>
    <t xml:space="preserve">  Total interest payable</t>
  </si>
  <si>
    <t xml:space="preserve">  Total due to lender</t>
  </si>
  <si>
    <t xml:space="preserve">Due to 800 Super Waste Management Pte (subrogated - guarantor payments, June 2024)</t>
  </si>
  <si>
    <t xml:space="preserve">  Total due to 800S</t>
  </si>
  <si>
    <t xml:space="preserve">  Check vs JV books shareholder loan (Inputs B36)</t>
  </si>
  <si>
    <t xml:space="preserve">Total lender-related liabilities on JV balance sheet</t>
  </si>
  <si>
    <t xml:space="preserve">  Due to lenders (principal + interest + default)</t>
  </si>
  <si>
    <t xml:space="preserve">  Due to 800S (subrogated)</t>
  </si>
  <si>
    <t xml:space="preserve">Reconciliation to Lender, Transfer Slips and JV Books</t>
  </si>
  <si>
    <t xml:space="preserve">Variance columns should read zero unless explained.</t>
  </si>
  <si>
    <t xml:space="preserve">1. Lender position at 30/06/2026 (exposure calc Jun-26 and Amendment cl. 3.8)</t>
  </si>
  <si>
    <t xml:space="preserve">rAGMF - model</t>
  </si>
  <si>
    <t xml:space="preserve">rAGMF - lender</t>
  </si>
  <si>
    <t xml:space="preserve">FHL - model</t>
  </si>
  <si>
    <t xml:space="preserve">FHL - lender</t>
  </si>
  <si>
    <t xml:space="preserve">Accrued regular interest</t>
  </si>
  <si>
    <t xml:space="preserve">Overdue interest incl. default (amendment)</t>
  </si>
  <si>
    <t xml:space="preserve">2. Lender projection at 31/03/2029 (exposure calc - guarantee purpose)</t>
  </si>
  <si>
    <t xml:space="preserve">Overdue interest at 30/06/2026 (lender)</t>
  </si>
  <si>
    <t xml:space="preserve">Days 30/06/2026 to 31/03/2029</t>
  </si>
  <si>
    <t xml:space="preserve">Lender method: regular interest at last fixing, all days /365</t>
  </si>
  <si>
    <t xml:space="preserve">Lender method: default 2% on principal, all days /365</t>
  </si>
  <si>
    <t xml:space="preserve">Lender method replicated at 31/03/2029</t>
  </si>
  <si>
    <t xml:space="preserve">Lender figure (guarantee-purpose calc)</t>
  </si>
  <si>
    <t xml:space="preserve">Variance - replication</t>
  </si>
  <si>
    <t xml:space="preserve">This model at 31/03/2029 (ACT/ACT, 2028 = 366 days; current levers)</t>
  </si>
  <si>
    <t xml:space="preserve">Variance model vs lender (lender applies /365 to leap year 2028)</t>
  </si>
  <si>
    <t xml:space="preserve">3. 800 Super WM Pte remittances (transfer slips) vs lender allocation</t>
  </si>
  <si>
    <t xml:space="preserve">Interest remittance 13/06/2024 (OCBC)</t>
  </si>
  <si>
    <t xml:space="preserve">Principal remittance 28/06/2024 (UOB)</t>
  </si>
  <si>
    <t xml:space="preserve">Total cash received by lender</t>
  </si>
  <si>
    <t xml:space="preserve">Less: principal credited</t>
  </si>
  <si>
    <t xml:space="preserve">Less: coupon 2 settled (lender calc)</t>
  </si>
  <si>
    <t xml:space="preserve">Less: credit to accrued interest (lender calc)</t>
  </si>
  <si>
    <t xml:space="preserve">Less: credit to default interest (lender calc)</t>
  </si>
  <si>
    <t xml:space="preserve">Unallocated (should be zero)</t>
  </si>
  <si>
    <t xml:space="preserve">Coupon 2 per this model (accrual 09-11/03/23 to 11-15/09/23)</t>
  </si>
  <si>
    <t xml:space="preserve">Variance vs lender coupon 2</t>
  </si>
  <si>
    <t xml:space="preserve">800S total cash (both loans) vs JV books shareholder loan USD 1,745,676.83</t>
  </si>
  <si>
    <t xml:space="preserve">Share of interest remitted by 800S vs overdue at 13/06/2024 (lender method)</t>
  </si>
  <si>
    <t xml:space="preserve">4. JV books (BS loan summary 13/03/2026) vs this model</t>
  </si>
  <si>
    <t xml:space="preserve">Interest</t>
  </si>
  <si>
    <t xml:space="preserve">Default / penalty</t>
  </si>
  <si>
    <t xml:space="preserve">JV books - both loans combined</t>
  </si>
  <si>
    <t xml:space="preserve">Lender-basis date matching JV books</t>
  </si>
  <si>
    <t xml:space="preserve">This model at that date (accrual days before it)</t>
  </si>
  <si>
    <t xml:space="preserve">This model at 30/09/2026 (latest month-end)</t>
  </si>
  <si>
    <t xml:space="preserve">5. Other checks</t>
  </si>
  <si>
    <t xml:space="preserve">Prior model v5 checkpoint 31/03/2026 - accrued interest: variance</t>
  </si>
  <si>
    <t xml:space="preserve">Prior model v5 checkpoint 31/03/2026 - default interest: variance</t>
  </si>
  <si>
    <t xml:space="preserve">Coupon 1 implied all-in rate (from vouchers) - both loans fixed on same 6M SOFR</t>
  </si>
  <si>
    <t xml:space="preserve">Monthly schedule integrity: sum of check column (=0)</t>
  </si>
  <si>
    <t xml:space="preserve">Daily engine vs monthly schedule: total regular interest (=0)</t>
  </si>
  <si>
    <t xml:space="preserve">Basis of Preparation, Sources and Open Points</t>
  </si>
  <si>
    <t xml:space="preserve">1</t>
  </si>
  <si>
    <t xml:space="preserve">Loan life rebuilt day by day from drawdown (09/09/2022) to 31/03/2029, aggregated by month. Month-end boundaries follow the lender convention: a balance 'at 30/06/2026' covers accrual days up to 29/06/2026 inclusive.</t>
  </si>
  <si>
    <t xml:space="preserve">2</t>
  </si>
  <si>
    <t xml:space="preserve">Lender method replicated: regular interest = principal x (6M Term SOFR fixing + 6.75%), ACT/ACT by calendar year; default interest = 2% p.a. on outstanding principal only, from first missed coupon (rAGMF 11/09/2023, FHL 15/09/2023), no compounding on overdue interest.</t>
  </si>
  <si>
    <t xml:space="preserve">3</t>
  </si>
  <si>
    <t xml:space="preserve">Payments: coupon 1 paid by the JV on 07/03/2023 (vouchers PV10 / PV12). 800 Super WM Pte paid interest on 13/06/2024 (USD 108,002.40 rAGMF, USD 107,674.43 FHL) and principal on 28/06/2024 (USD 766,163.29 / 763,836.71). No payment since.</t>
  </si>
  <si>
    <t xml:space="preserve">4</t>
  </si>
  <si>
    <t xml:space="preserve">Lender allocation of the June 2024 remittances: USD 765,000 principal each; coupon 2 settled in full; balance credited to accrued interest (9,019.22 / 7,504.76) and default interest (8,687.90 / 8,476.64). The principal remittances were USD 1,163.29 above (rAGMF) and below (FHL) USD 765,000; the lender offset this through interest.</t>
  </si>
  <si>
    <t xml:space="preserve">5</t>
  </si>
  <si>
    <t xml:space="preserve">From the JV's standpoint, amounts paid by 800 Super are JV interest and principal funded by 800 Super and are owed back to it (subrogation, Guarantee cl. 16; Amendment cl. 5). JV books record them as the 800S shareholder loan of USD 1,745,676.83 (booked 31/10/2024).</t>
  </si>
  <si>
    <t xml:space="preserve">Sources</t>
  </si>
  <si>
    <t xml:space="preserve">S1</t>
  </si>
  <si>
    <t xml:space="preserve">800_Super_GAEA_Exposure_Calculation_Jun-26.xlsx (lender, position at 30/06/2026) - SOFR fixings, periods, allocation credits.</t>
  </si>
  <si>
    <t xml:space="preserve">S2</t>
  </si>
  <si>
    <t xml:space="preserve">800_Super_GAEA_Exposure_Calculation_Jun-26 - Guarantee purpose.xlsx (lender, projection to 31/03/2029).</t>
  </si>
  <si>
    <t xml:space="preserve">S3</t>
  </si>
  <si>
    <t xml:space="preserve">Amendment Agreement drafts: rAGMF 22/07/2026, FHL 31/07/2026 - Overdue Interest at 30/06/2026, cl. 3.8.</t>
  </si>
  <si>
    <t xml:space="preserve">S4</t>
  </si>
  <si>
    <t xml:space="preserve">Payment vouchers PV10, PV12 dated 07/03/2023 (coupon 1).</t>
  </si>
  <si>
    <t xml:space="preserve">S5</t>
  </si>
  <si>
    <t xml:space="preserve">OCBC telegraphic transfers, value 13/06/2024 (interest); UOB FT24060327092395 and FT24060327079586, value 28/06/2024 (principal).</t>
  </si>
  <si>
    <t xml:space="preserve">S6</t>
  </si>
  <si>
    <t xml:space="preserve">800SUPERGAEA_BS_LOAN SUMMARY_CF_SG_FD_13032026.xlsx (JV book balances).</t>
  </si>
  <si>
    <t xml:space="preserve">S7</t>
  </si>
  <si>
    <t xml:space="preserve">GAEA_Dual_Loan_2030_v5.xlsx (prior model) - superseded.</t>
  </si>
  <si>
    <t xml:space="preserve">Corrections vs v5</t>
  </si>
  <si>
    <t xml:space="preserve">C1</t>
  </si>
  <si>
    <t xml:space="preserve">v5 started 01/01/2026 from back-calculated balances; v6 covers the full life from drawdown and ties to lender figures to the cent.</t>
  </si>
  <si>
    <t xml:space="preserve">C2</t>
  </si>
  <si>
    <t xml:space="preserve">v5 dated the 51% repayment 31/10/2024 (JV booking date); value date per UOB slips and lender is 28/06/2024. Interest remittance 13/06/2024 now included.</t>
  </si>
  <si>
    <t xml:space="preserve">C3</t>
  </si>
  <si>
    <t xml:space="preserve">v5 used approximate SOFR and rAGMF coupon dates of 26 Feb / 26 Aug; v6 uses the lender's actual fixings and dates (rAGMF ~9 Mar / 9 Sep, FHL 15 Mar / 15 Sep, business-day adjusted).</t>
  </si>
  <si>
    <t xml:space="preserve">C4</t>
  </si>
  <si>
    <t xml:space="preserve">v5's 31/03/2026 checkpoint is reproduced by v6 (see Reconciliation 5).</t>
  </si>
  <si>
    <t xml:space="preserve">Open points</t>
  </si>
  <si>
    <t xml:space="preserve">O1</t>
  </si>
  <si>
    <t xml:space="preserve">SOFR resets of 09/09/2026 (rAGMF) and 15/09/2026 (FHL) not yet notified; held at the March 2026 fixings (lender projection basis). Market 6M Term SOFR was ~4.27% end-September 2026 (global-rates.com); at that level the 30/09/2026 balance would be roughly USD 250-300 higher per loan. Update Inputs D section on receipt of the rate notice.</t>
  </si>
  <si>
    <t xml:space="preserve">O2</t>
  </si>
  <si>
    <t xml:space="preserve">Amendment status: effective date long-stop 11/09/2026. If effective, the USD 16,000 instalment and the 01/07-15/09/2026 coupon fell due on 15/09/2026; neither is recorded as paid. Enter any payment in Cash_Events; set Inputs B20 = 0 if default interest stops from 01/07/2026.</t>
  </si>
  <si>
    <t xml:space="preserve">O3</t>
  </si>
  <si>
    <t xml:space="preserve">Gap of one day: the lender's Overdue Interest runs to 30/06/2026 (exclusive) while the amended coupon starts 01/07/2026, so 30/06/2026 accrues in neither (~USD 250 per loan in the borrower's favour).</t>
  </si>
  <si>
    <t xml:space="preserve">O4</t>
  </si>
  <si>
    <t xml:space="preserve">The 13/06/2024 interest remittances covered ~43% of overdue interest and default at that date under the lender's current method, not 51% (Reconciliation 3).</t>
  </si>
  <si>
    <t xml:space="preserve">O5</t>
  </si>
  <si>
    <t xml:space="preserve">The JV book figures (interest USD 456,652.95, penalty USD 63,003.77) equal the lender position at 09/08/2025 exactly. The penalty is recorded with the remark 'RA agreed to waive penalties', yet the lender's 30/06/2026 figure still includes default interest (USD 89,181.86 combined). Any waiver should be documented.</t>
  </si>
  <si>
    <t xml:space="preserve">O6</t>
  </si>
  <si>
    <t xml:space="preserve">Upfront deduction of USD 15,000 on rAGMF drawdown (JV received USD 1,485,000) is a financing fee, outside this interest schedule.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</si>
</sst>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yy"/>
    <numFmt numFmtId="166" formatCode="#,##0.00;\(#,##0.00\);\-"/>
    <numFmt numFmtId="167" formatCode="0.0%&quot; of interest charged paid&quot;"/>
    <numFmt numFmtId="168" formatCode="0.00%"/>
    <numFmt numFmtId="169" formatCode="0"/>
    <numFmt numFmtId="170" formatCode="0.00000%"/>
    <numFmt numFmtId="171" formatCode="General"/>
    <numFmt numFmtId="172" formatCode="yyyy\-mm\-dd;@"/>
    <numFmt numFmtId="173" formatCode="dd\-mmm\-yyyy"/>
    <numFmt numFmtId="174" formatCode="#,##0;\(#,##0\);\-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4F2F"/>
      <name val="Arial"/>
      <family val="2"/>
      <charset val="1"/>
    </font>
    <font>
      <i val="true"/>
      <sz val="10"/>
      <color rgb="FF595959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8000"/>
      <name val="Arial"/>
      <family val="2"/>
      <charset val="1"/>
    </font>
    <font>
      <b val="true"/>
      <sz val="11"/>
      <color rgb="FF004F2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800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4"/>
      <color rgb="FF000000"/>
      <name val="Georgia"/>
      <family val="0"/>
      <charset val="1"/>
    </font>
    <font>
      <sz val="9"/>
      <color rgb="FFFF0000"/>
      <name val="Georgia"/>
      <family val="0"/>
      <charset val="1"/>
    </font>
    <font>
      <b val="true"/>
      <sz val="11"/>
      <color rgb="FF1F3864"/>
      <name val="Georgia"/>
      <family val="0"/>
      <charset val="1"/>
    </font>
    <font>
      <b val="true"/>
      <sz val="10"/>
      <color rgb="FF0432FF"/>
      <name val="Georgia"/>
      <family val="0"/>
      <charset val="1"/>
    </font>
    <font>
      <sz val="10"/>
      <color rgb="FF000000"/>
      <name val="Georgia"/>
      <family val="0"/>
      <charset val="1"/>
    </font>
    <font>
      <sz val="10"/>
      <color rgb="FF595959"/>
      <name val="Georgia"/>
      <family val="0"/>
      <charset val="1"/>
    </font>
    <font>
      <b val="true"/>
      <sz val="10"/>
      <color rgb="FF000000"/>
      <name val="Georgia"/>
      <family val="0"/>
      <charset val="1"/>
    </font>
    <font>
      <b val="true"/>
      <sz val="10"/>
      <color rgb="FF595959"/>
      <name val="Georgia"/>
      <family val="0"/>
      <charset val="1"/>
    </font>
    <font>
      <sz val="10"/>
      <name val="Arial"/>
      <family val="2"/>
    </font>
    <font>
      <b val="true"/>
      <sz val="14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10"/>
      <color rgb="FF0432FF"/>
      <name val="Arial"/>
      <family val="2"/>
      <charset val="1"/>
    </font>
    <font>
      <sz val="10"/>
      <name val="Arial"/>
      <family val="2"/>
      <charset val="1"/>
    </font>
    <font>
      <sz val="11"/>
      <color theme="1"/>
      <name val="Georgia"/>
      <family val="1"/>
      <charset val="1"/>
    </font>
    <font>
      <b val="true"/>
      <sz val="14"/>
      <name val="Georgia"/>
      <family val="1"/>
      <charset val="1"/>
    </font>
    <font>
      <sz val="9"/>
      <color rgb="FFFF0000"/>
      <name val="Georgia"/>
      <family val="1"/>
      <charset val="1"/>
    </font>
    <font>
      <b val="true"/>
      <sz val="11"/>
      <color rgb="FF1F3864"/>
      <name val="Georgia"/>
      <family val="1"/>
      <charset val="1"/>
    </font>
    <font>
      <b val="true"/>
      <sz val="10"/>
      <color rgb="FF0432FF"/>
      <name val="Georgia"/>
      <family val="1"/>
      <charset val="1"/>
    </font>
    <font>
      <b val="true"/>
      <sz val="10"/>
      <name val="Georgia"/>
      <family val="1"/>
      <charset val="1"/>
    </font>
    <font>
      <sz val="10"/>
      <name val="Georgia"/>
      <family val="1"/>
      <charset val="1"/>
    </font>
    <font>
      <sz val="9"/>
      <color theme="1"/>
      <name val="Georgia"/>
      <family val="1"/>
      <charset val="1"/>
    </font>
    <font>
      <i val="true"/>
      <sz val="9"/>
      <color rgb="FF555555"/>
      <name val="Georgia"/>
      <family val="1"/>
      <charset val="1"/>
    </font>
    <font>
      <b val="true"/>
      <sz val="9"/>
      <color rgb="FFFF0000"/>
      <name val="Georgia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E2EFDA"/>
        <bgColor rgb="FFDDEBF7"/>
      </patternFill>
    </fill>
    <fill>
      <patternFill patternType="solid">
        <fgColor rgb="FF004F2F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D9D9D9"/>
        <bgColor rgb="FFDDEBF7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8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8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9" fillId="8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9" fillId="8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6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2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3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8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1" fillId="8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432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4F2F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7"/>
    <col collapsed="false" customWidth="true" hidden="false" outlineLevel="0" max="5" min="5" style="0" width="52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f aca="false">Inputs!B18</f>
        <v>46300</v>
      </c>
      <c r="C3" s="3" t="s">
        <v>3</v>
      </c>
      <c r="E3" s="5" t="str">
        <f aca="false">IF(Inputs!B20=1,"Continues","Stopped")</f>
        <v>Continues</v>
      </c>
    </row>
    <row r="5" customFormat="false" ht="15" hidden="false" customHeight="false" outlineLevel="0" collapsed="false">
      <c r="A5" s="6" t="s">
        <v>4</v>
      </c>
      <c r="B5" s="7"/>
      <c r="C5" s="7"/>
      <c r="D5" s="7"/>
      <c r="E5" s="7"/>
    </row>
    <row r="6" customFormat="false" ht="30" hidden="false" customHeight="true" outlineLevel="0" collapsed="false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</row>
    <row r="7" customFormat="false" ht="15" hidden="false" customHeight="false" outlineLevel="0" collapsed="false">
      <c r="A7" s="9" t="s">
        <v>10</v>
      </c>
      <c r="B7" s="10" t="n">
        <f aca="false">Inputs!B9-SUMIFS(Cash_Events!$G$6:$G$20,Cash_Events!$C$6:$C$20,"rAGMF",Cash_Events!$B$6:$B$20,"&lt;"&amp;Inputs!$B$18)</f>
        <v>735000</v>
      </c>
      <c r="C7" s="10" t="n">
        <f aca="false">Inputs!C9-SUMIFS(Cash_Events!$G$6:$G$20,Cash_Events!$C$6:$C$20,"FHL",Cash_Events!$B$6:$B$20,"&lt;"&amp;Inputs!$B$18)</f>
        <v>735000</v>
      </c>
      <c r="D7" s="11" t="n">
        <f aca="false">B7+C7</f>
        <v>1470000</v>
      </c>
      <c r="E7" s="2"/>
    </row>
    <row r="8" customFormat="false" ht="15" hidden="false" customHeight="false" outlineLevel="0" collapsed="false">
      <c r="A8" s="9" t="s">
        <v>11</v>
      </c>
      <c r="B8" s="10" t="n">
        <f aca="false">SUMIFS(Daily!$G$6:$G$2400,Daily!$A$6:$A$2400,"&lt;"&amp;Inputs!$B$18)-SUMIFS(Cash_Events!$H$6:$H$20,Cash_Events!$C$6:$C$20,"rAGMF",Cash_Events!$B$6:$B$20,"&lt;"&amp;Inputs!$B$18)</f>
        <v>318304.072862172</v>
      </c>
      <c r="C8" s="10" t="n">
        <f aca="false">SUMIFS(Daily!$L$6:$L$2400,Daily!$A$6:$A$2400,"&lt;"&amp;Inputs!$B$18)-SUMIFS(Cash_Events!$H$6:$H$20,Cash_Events!$C$6:$C$20,"FHL",Cash_Events!$B$6:$B$20,"&lt;"&amp;Inputs!$B$18)</f>
        <v>317678.410879362</v>
      </c>
      <c r="D8" s="11" t="n">
        <f aca="false">B8+C8</f>
        <v>635982.483741534</v>
      </c>
      <c r="E8" s="2"/>
    </row>
    <row r="9" customFormat="false" ht="15" hidden="false" customHeight="false" outlineLevel="0" collapsed="false">
      <c r="A9" s="9" t="s">
        <v>12</v>
      </c>
      <c r="B9" s="10" t="n">
        <f aca="false">SUMIFS(Daily!$H$6:$H$2400,Daily!$A$6:$A$2400,"&lt;"&amp;Inputs!$B$18)-SUMIFS(Cash_Events!$I$6:$I$20,Cash_Events!$C$6:$C$20,"rAGMF",Cash_Events!$B$6:$B$20,"&lt;"&amp;Inputs!$B$18)</f>
        <v>48556.2567482596</v>
      </c>
      <c r="C9" s="10" t="n">
        <f aca="false">SUMIFS(Daily!$M$6:$M$2400,Daily!$A$6:$A$2400,"&lt;"&amp;Inputs!$B$18)-SUMIFS(Cash_Events!$I$6:$I$20,Cash_Events!$C$6:$C$20,"FHL",Cash_Events!$B$6:$B$20,"&lt;"&amp;Inputs!$B$18)</f>
        <v>48438.7496249719</v>
      </c>
      <c r="D9" s="11" t="n">
        <f aca="false">B9+C9</f>
        <v>96995.0063732315</v>
      </c>
      <c r="E9" s="2"/>
    </row>
    <row r="10" customFormat="false" ht="15" hidden="false" customHeight="false" outlineLevel="0" collapsed="false">
      <c r="A10" s="3" t="s">
        <v>13</v>
      </c>
      <c r="B10" s="12" t="n">
        <f aca="false">B8+B9</f>
        <v>366860.329610431</v>
      </c>
      <c r="C10" s="12" t="n">
        <f aca="false">C8+C9</f>
        <v>366117.160504334</v>
      </c>
      <c r="D10" s="13" t="n">
        <f aca="false">B10+C10</f>
        <v>732977.490114766</v>
      </c>
      <c r="E10" s="2" t="s">
        <v>14</v>
      </c>
    </row>
    <row r="11" customFormat="false" ht="15" hidden="false" customHeight="false" outlineLevel="0" collapsed="false">
      <c r="A11" s="3" t="s">
        <v>15</v>
      </c>
      <c r="B11" s="14" t="n">
        <f aca="false">B7+B10</f>
        <v>1101860.32961043</v>
      </c>
      <c r="C11" s="14" t="n">
        <f aca="false">C7+C10</f>
        <v>1101117.16050433</v>
      </c>
      <c r="D11" s="14" t="n">
        <f aca="false">B11+C11</f>
        <v>2202977.49011477</v>
      </c>
      <c r="E11" s="2"/>
    </row>
    <row r="13" customFormat="false" ht="15" hidden="false" customHeight="false" outlineLevel="0" collapsed="false">
      <c r="A13" s="6" t="s">
        <v>16</v>
      </c>
      <c r="B13" s="7"/>
      <c r="C13" s="7"/>
      <c r="D13" s="7"/>
      <c r="E13" s="7"/>
    </row>
    <row r="14" customFormat="false" ht="30" hidden="false" customHeight="true" outlineLevel="0" collapsed="false">
      <c r="A14" s="8" t="s">
        <v>5</v>
      </c>
      <c r="B14" s="8" t="s">
        <v>6</v>
      </c>
      <c r="C14" s="8" t="s">
        <v>7</v>
      </c>
      <c r="D14" s="8" t="s">
        <v>8</v>
      </c>
      <c r="E14" s="8" t="s">
        <v>9</v>
      </c>
    </row>
    <row r="15" customFormat="false" ht="15" hidden="false" customHeight="false" outlineLevel="0" collapsed="false">
      <c r="A15" s="9" t="s">
        <v>17</v>
      </c>
      <c r="B15" s="10" t="n">
        <f aca="false">SUMIFS(Daily!$G$6:$G$2400,Daily!$A$6:$A$2400,"&lt;"&amp;Inputs!$B$18)</f>
        <v>494429.942862172</v>
      </c>
      <c r="C15" s="10" t="n">
        <f aca="false">SUMIFS(Daily!$L$6:$L$2400,Daily!$A$6:$A$2400,"&lt;"&amp;Inputs!$B$18)</f>
        <v>493868.660879362</v>
      </c>
      <c r="D15" s="11" t="n">
        <f aca="false">B15+C15</f>
        <v>988298.603741534</v>
      </c>
      <c r="E15" s="2" t="s">
        <v>18</v>
      </c>
    </row>
    <row r="16" customFormat="false" ht="15" hidden="false" customHeight="false" outlineLevel="0" collapsed="false">
      <c r="A16" s="9" t="s">
        <v>19</v>
      </c>
      <c r="B16" s="10" t="n">
        <f aca="false">SUMIFS(Daily!$H$6:$H$2400,Daily!$A$6:$A$2400,"&lt;"&amp;Inputs!$B$18)</f>
        <v>57244.1567482596</v>
      </c>
      <c r="C16" s="10" t="n">
        <f aca="false">SUMIFS(Daily!$M$6:$M$2400,Daily!$A$6:$A$2400,"&lt;"&amp;Inputs!$B$18)</f>
        <v>56915.3896249719</v>
      </c>
      <c r="D16" s="11" t="n">
        <f aca="false">B16+C16</f>
        <v>114159.546373232</v>
      </c>
      <c r="E16" s="2" t="s">
        <v>20</v>
      </c>
    </row>
    <row r="17" customFormat="false" ht="15" hidden="false" customHeight="false" outlineLevel="0" collapsed="false">
      <c r="A17" s="9" t="s">
        <v>21</v>
      </c>
      <c r="B17" s="10" t="n">
        <f aca="false">SUMIFS(Cash_Events!$H$6:$H$20,Cash_Events!$C$6:$C$20,"rAGMF",Cash_Events!$D$6:$D$20,"JV",Cash_Events!$B$6:$B$20,"&lt;"&amp;Inputs!$B$18)+SUMIFS(Cash_Events!$I$6:$I$20,Cash_Events!$C$6:$C$20,"rAGMF",Cash_Events!$D$6:$D$20,"JV",Cash_Events!$B$6:$B$20,"&lt;"&amp;Inputs!$B$18)</f>
        <v>75648.08</v>
      </c>
      <c r="C17" s="10" t="n">
        <f aca="false">SUMIFS(Cash_Events!$H$6:$H$20,Cash_Events!$C$6:$C$20,"FHL",Cash_Events!$D$6:$D$20,"JV",Cash_Events!$B$6:$B$20,"&lt;"&amp;Inputs!$B$18)+SUMIFS(Cash_Events!$I$6:$I$20,Cash_Events!$C$6:$C$20,"FHL",Cash_Events!$D$6:$D$20,"JV",Cash_Events!$B$6:$B$20,"&lt;"&amp;Inputs!$B$18)</f>
        <v>78155.75</v>
      </c>
      <c r="D17" s="11" t="n">
        <f aca="false">B17+C17</f>
        <v>153803.83</v>
      </c>
      <c r="E17" s="2" t="s">
        <v>22</v>
      </c>
    </row>
    <row r="18" customFormat="false" ht="15" hidden="false" customHeight="false" outlineLevel="0" collapsed="false">
      <c r="A18" s="9" t="s">
        <v>23</v>
      </c>
      <c r="B18" s="10" t="n">
        <f aca="false">SUMIFS(Cash_Events!$H$6:$H$20,Cash_Events!$C$6:$C$20,"rAGMF",Cash_Events!$D$6:$D$20,"800S",Cash_Events!$B$6:$B$20,"&lt;"&amp;Inputs!$B$18)+SUMIFS(Cash_Events!$I$6:$I$20,Cash_Events!$C$6:$C$20,"rAGMF",Cash_Events!$D$6:$D$20,"800S",Cash_Events!$B$6:$B$20,"&lt;"&amp;Inputs!$B$18)</f>
        <v>109165.69</v>
      </c>
      <c r="C18" s="10" t="n">
        <f aca="false">SUMIFS(Cash_Events!$H$6:$H$20,Cash_Events!$C$6:$C$20,"FHL",Cash_Events!$D$6:$D$20,"800S",Cash_Events!$B$6:$B$20,"&lt;"&amp;Inputs!$B$18)+SUMIFS(Cash_Events!$I$6:$I$20,Cash_Events!$C$6:$C$20,"FHL",Cash_Events!$D$6:$D$20,"800S",Cash_Events!$B$6:$B$20,"&lt;"&amp;Inputs!$B$18)</f>
        <v>106511.14</v>
      </c>
      <c r="D18" s="11" t="n">
        <f aca="false">B18+C18</f>
        <v>215676.83</v>
      </c>
      <c r="E18" s="2" t="s">
        <v>24</v>
      </c>
    </row>
    <row r="19" customFormat="false" ht="15" hidden="false" customHeight="false" outlineLevel="0" collapsed="false">
      <c r="A19" s="3" t="s">
        <v>25</v>
      </c>
      <c r="B19" s="12" t="n">
        <f aca="false">B15+B16</f>
        <v>551674.099610431</v>
      </c>
      <c r="C19" s="12" t="n">
        <f aca="false">C15+C16</f>
        <v>550784.050504334</v>
      </c>
      <c r="D19" s="12" t="n">
        <f aca="false">D15+D16</f>
        <v>1102458.15011477</v>
      </c>
    </row>
    <row r="20" customFormat="false" ht="15" hidden="false" customHeight="false" outlineLevel="0" collapsed="false">
      <c r="A20" s="3" t="s">
        <v>26</v>
      </c>
      <c r="B20" s="13" t="n">
        <f aca="false">B17+B18</f>
        <v>184813.77</v>
      </c>
      <c r="C20" s="13" t="n">
        <f aca="false">C17+C18</f>
        <v>184666.89</v>
      </c>
      <c r="D20" s="13" t="n">
        <f aca="false">D17+D18</f>
        <v>369480.66</v>
      </c>
      <c r="E20" s="15" t="n">
        <f aca="false">IF(D19=0,0,D20/D19)</f>
        <v>0.335142572043698</v>
      </c>
    </row>
    <row r="21" customFormat="false" ht="15" hidden="false" customHeight="false" outlineLevel="0" collapsed="false">
      <c r="A21" s="3" t="s">
        <v>27</v>
      </c>
      <c r="B21" s="14" t="n">
        <f aca="false">B19-B20</f>
        <v>366860.329610431</v>
      </c>
      <c r="C21" s="14" t="n">
        <f aca="false">C19-C20</f>
        <v>366117.160504334</v>
      </c>
      <c r="D21" s="14" t="n">
        <f aca="false">D19-D20</f>
        <v>732977.490114765</v>
      </c>
    </row>
    <row r="22" customFormat="false" ht="15" hidden="false" customHeight="false" outlineLevel="0" collapsed="false">
      <c r="A22" s="2" t="s">
        <v>28</v>
      </c>
      <c r="B22" s="16" t="n">
        <f aca="false">ROUND(B21-B10,2)</f>
        <v>0</v>
      </c>
      <c r="C22" s="16" t="n">
        <f aca="false">ROUND(C21-C10,2)</f>
        <v>0</v>
      </c>
      <c r="D22" s="16" t="n">
        <f aca="false">ROUND(D21-D10,2)</f>
        <v>0</v>
      </c>
    </row>
    <row r="24" customFormat="false" ht="15" hidden="false" customHeight="false" outlineLevel="0" collapsed="false">
      <c r="A24" s="6" t="s">
        <v>29</v>
      </c>
      <c r="B24" s="7"/>
      <c r="C24" s="7"/>
      <c r="D24" s="7"/>
      <c r="E24" s="7"/>
    </row>
    <row r="25" customFormat="false" ht="30" hidden="false" customHeight="true" outlineLevel="0" collapsed="false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</row>
    <row r="26" customFormat="false" ht="15" hidden="false" customHeight="false" outlineLevel="0" collapsed="false">
      <c r="A26" s="9" t="s">
        <v>30</v>
      </c>
      <c r="B26" s="10" t="n">
        <f aca="false">Reconciliation!B9</f>
        <v>342674.233343308</v>
      </c>
      <c r="C26" s="10" t="n">
        <f aca="false">Reconciliation!E9</f>
        <v>341914.871482416</v>
      </c>
      <c r="D26" s="11" t="n">
        <f aca="false">B26+C26</f>
        <v>684589.104825724</v>
      </c>
    </row>
    <row r="27" customFormat="false" ht="15" hidden="false" customHeight="false" outlineLevel="0" collapsed="false">
      <c r="A27" s="9" t="s">
        <v>31</v>
      </c>
      <c r="B27" s="10" t="n">
        <f aca="false">Inputs!B25</f>
        <v>342674.23</v>
      </c>
      <c r="C27" s="10" t="n">
        <f aca="false">Inputs!C25</f>
        <v>341914.87</v>
      </c>
      <c r="D27" s="11" t="n">
        <f aca="false">B27+C27</f>
        <v>684589.1</v>
      </c>
    </row>
    <row r="28" customFormat="false" ht="15" hidden="false" customHeight="false" outlineLevel="0" collapsed="false">
      <c r="A28" s="3" t="s">
        <v>32</v>
      </c>
      <c r="B28" s="17" t="n">
        <f aca="false">ROUND(B26-B27,2)</f>
        <v>0</v>
      </c>
      <c r="C28" s="17" t="n">
        <f aca="false">ROUND(C26-C27,2)</f>
        <v>0</v>
      </c>
      <c r="D28" s="17" t="n">
        <f aca="false">ROUND(D26-D27,2)</f>
        <v>0</v>
      </c>
    </row>
    <row r="29" customFormat="false" ht="15" hidden="false" customHeight="false" outlineLevel="0" collapsed="false">
      <c r="A29" s="9" t="s">
        <v>33</v>
      </c>
      <c r="B29" s="11" t="n">
        <f aca="false">B10-B26</f>
        <v>24186.0962671234</v>
      </c>
      <c r="C29" s="11" t="n">
        <f aca="false">C10-C26</f>
        <v>24202.2890219179</v>
      </c>
      <c r="D29" s="11" t="n">
        <f aca="false">B29+C29</f>
        <v>48388.3852890413</v>
      </c>
    </row>
    <row r="30" customFormat="false" ht="15" hidden="false" customHeight="false" outlineLevel="0" collapsed="false">
      <c r="A30" s="9" t="s">
        <v>34</v>
      </c>
      <c r="D30" s="10" t="n">
        <f aca="false">Reconciliation!D40</f>
        <v>519656.72</v>
      </c>
      <c r="E30" s="2" t="s">
        <v>35</v>
      </c>
    </row>
    <row r="31" customFormat="false" ht="15" hidden="false" customHeight="false" outlineLevel="0" collapsed="false">
      <c r="A31" s="3" t="s">
        <v>36</v>
      </c>
      <c r="D31" s="18" t="n">
        <f aca="false">Reconciliation!D45</f>
        <v>210826.523450382</v>
      </c>
    </row>
    <row r="32" customFormat="false" ht="15" hidden="false" customHeight="false" outlineLevel="0" collapsed="false">
      <c r="A32" s="9" t="s">
        <v>37</v>
      </c>
      <c r="D32" s="10" t="n">
        <f aca="false">BS_View!H62</f>
        <v>1745676.83</v>
      </c>
      <c r="E32" s="2" t="s">
        <v>38</v>
      </c>
    </row>
    <row r="34" customFormat="false" ht="15" hidden="false" customHeight="false" outlineLevel="0" collapsed="false">
      <c r="A34" s="6" t="s">
        <v>39</v>
      </c>
      <c r="B34" s="7"/>
      <c r="C34" s="7"/>
      <c r="D34" s="7"/>
      <c r="E34" s="7"/>
    </row>
    <row r="35" customFormat="false" ht="30" hidden="false" customHeight="true" outlineLevel="0" collapsed="false">
      <c r="A35" s="8" t="s">
        <v>5</v>
      </c>
      <c r="B35" s="8" t="s">
        <v>6</v>
      </c>
      <c r="C35" s="8" t="s">
        <v>7</v>
      </c>
      <c r="D35" s="8" t="s">
        <v>8</v>
      </c>
      <c r="E35" s="8" t="s">
        <v>9</v>
      </c>
    </row>
    <row r="36" customFormat="false" ht="15" hidden="false" customHeight="false" outlineLevel="0" collapsed="false">
      <c r="A36" s="9" t="s">
        <v>40</v>
      </c>
      <c r="B36" s="10" t="n">
        <f aca="false">Reconciliation!B20</f>
        <v>593012.796767965</v>
      </c>
      <c r="C36" s="10" t="n">
        <f aca="false">Reconciliation!E20</f>
        <v>592421.038265978</v>
      </c>
      <c r="D36" s="11" t="n">
        <f aca="false">B36+C36</f>
        <v>1185433.83503394</v>
      </c>
    </row>
    <row r="37" customFormat="false" ht="15" hidden="false" customHeight="false" outlineLevel="0" collapsed="false">
      <c r="A37" s="9" t="s">
        <v>41</v>
      </c>
      <c r="B37" s="10" t="n">
        <f aca="false">Inputs!B28</f>
        <v>593262.138377555</v>
      </c>
      <c r="C37" s="10" t="n">
        <f aca="false">Inputs!C28</f>
        <v>592670.547222142</v>
      </c>
      <c r="D37" s="11" t="n">
        <f aca="false">B37+C37</f>
        <v>1185932.6855997</v>
      </c>
    </row>
    <row r="38" customFormat="false" ht="15" hidden="false" customHeight="false" outlineLevel="0" collapsed="false">
      <c r="A38" s="9" t="s">
        <v>32</v>
      </c>
      <c r="B38" s="16" t="n">
        <f aca="false">B36-B37</f>
        <v>-249.341609589756</v>
      </c>
      <c r="C38" s="16" t="n">
        <f aca="false">C36-C37</f>
        <v>-249.508956164354</v>
      </c>
      <c r="D38" s="16" t="n">
        <f aca="false">D36-D37</f>
        <v>-498.850565753877</v>
      </c>
      <c r="E38" s="2" t="s">
        <v>42</v>
      </c>
    </row>
    <row r="39" customFormat="false" ht="15" hidden="false" customHeight="false" outlineLevel="0" collapsed="false">
      <c r="A39" s="3" t="s">
        <v>43</v>
      </c>
      <c r="B39" s="19" t="n">
        <f aca="false">INDEX(rAGMF_Monthly!$U$7:$U$85,MATCH(Inputs!$B$21,rAGMF_Monthly!$A$7:$A$85,0))</f>
        <v>1328012.79676797</v>
      </c>
      <c r="C39" s="19" t="n">
        <f aca="false">INDEX(FHL_Monthly!$U$7:$U$85,MATCH(Inputs!$B$21,FHL_Monthly!$A$7:$A$85,0))</f>
        <v>1327421.03826598</v>
      </c>
      <c r="D39" s="13" t="n">
        <f aca="false">B39+C39</f>
        <v>2655433.83503394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7"/>
  </cols>
  <sheetData>
    <row r="1" customFormat="false" ht="18" hidden="false" customHeight="tru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24" hidden="false" customHeight="true" outlineLevel="0" collapsed="false">
      <c r="A4" s="8" t="s">
        <v>5</v>
      </c>
      <c r="B4" s="8" t="s">
        <v>46</v>
      </c>
      <c r="C4" s="8" t="s">
        <v>47</v>
      </c>
      <c r="D4" s="8" t="s">
        <v>48</v>
      </c>
      <c r="E4" s="8" t="s">
        <v>49</v>
      </c>
      <c r="F4" s="8" t="s">
        <v>50</v>
      </c>
    </row>
    <row r="5" customFormat="false" ht="15" hidden="false" customHeight="false" outlineLevel="0" collapsed="false">
      <c r="A5" s="2" t="s">
        <v>51</v>
      </c>
      <c r="B5" s="20" t="n">
        <v>44813</v>
      </c>
      <c r="C5" s="20" t="n">
        <v>44927</v>
      </c>
      <c r="D5" s="20" t="n">
        <v>45292</v>
      </c>
      <c r="E5" s="20" t="n">
        <v>45658</v>
      </c>
      <c r="F5" s="20" t="n">
        <v>46023</v>
      </c>
    </row>
    <row r="6" customFormat="false" ht="15" hidden="false" customHeight="false" outlineLevel="0" collapsed="false">
      <c r="A6" s="2" t="s">
        <v>52</v>
      </c>
      <c r="B6" s="20" t="n">
        <v>44926</v>
      </c>
      <c r="C6" s="20" t="n">
        <v>45291</v>
      </c>
      <c r="D6" s="20" t="n">
        <v>45657</v>
      </c>
      <c r="E6" s="20" t="n">
        <v>46022</v>
      </c>
      <c r="F6" s="20" t="n">
        <v>46387</v>
      </c>
    </row>
    <row r="7" customFormat="false" ht="30" hidden="false" customHeight="true" outlineLevel="0" collapsed="false">
      <c r="A7" s="2" t="s">
        <v>53</v>
      </c>
      <c r="B7" s="21" t="str">
        <f aca="false">IF(B6&lt;=EOMONTH(Inputs!$B$18,-1),"Actual","Actual to "&amp;TEXT(EOMONTH(Inputs!$B$18,-1),"dd/mm/yyyy")&amp;" + projection")</f>
        <v>Actual</v>
      </c>
      <c r="C7" s="21" t="str">
        <f aca="false">IF(C6&lt;=EOMONTH(Inputs!$B$18,-1),"Actual","Actual to "&amp;TEXT(EOMONTH(Inputs!$B$18,-1),"dd/mm/yyyy")&amp;" + projection")</f>
        <v>Actual</v>
      </c>
      <c r="D7" s="21" t="str">
        <f aca="false">IF(D6&lt;=EOMONTH(Inputs!$B$18,-1),"Actual","Actual to "&amp;TEXT(EOMONTH(Inputs!$B$18,-1),"dd/mm/yyyy")&amp;" + projection")</f>
        <v>Actual</v>
      </c>
      <c r="E7" s="21" t="str">
        <f aca="false">IF(E6&lt;=EOMONTH(Inputs!$B$18,-1),"Actual","Actual to "&amp;TEXT(EOMONTH(Inputs!$B$18,-1),"dd/mm/yyyy")&amp;" + projection")</f>
        <v>Actual</v>
      </c>
      <c r="F7" s="21" t="str">
        <f aca="false">IF(F6&lt;=EOMONTH(Inputs!$B$18,-1),"Actual","Actual to "&amp;TEXT(EOMONTH(Inputs!$B$18,-1),"dd/mm/yyyy")&amp;" + projection")</f>
        <v>Actual to 30/09/2026 + projection</v>
      </c>
    </row>
    <row r="9" customFormat="false" ht="15" hidden="false" customHeight="false" outlineLevel="0" collapsed="false">
      <c r="A9" s="6" t="s">
        <v>6</v>
      </c>
      <c r="B9" s="7"/>
      <c r="C9" s="7"/>
      <c r="D9" s="7"/>
      <c r="E9" s="7"/>
      <c r="F9" s="7"/>
    </row>
    <row r="10" customFormat="false" ht="15" hidden="false" customHeight="false" outlineLevel="0" collapsed="false">
      <c r="A10" s="3" t="s">
        <v>54</v>
      </c>
    </row>
    <row r="11" customFormat="false" ht="15" hidden="false" customHeight="false" outlineLevel="0" collapsed="false">
      <c r="A11" s="9" t="s">
        <v>55</v>
      </c>
      <c r="B11" s="11" t="n">
        <v>0</v>
      </c>
      <c r="C11" s="11" t="n">
        <f aca="false">B14</f>
        <v>1500000</v>
      </c>
      <c r="D11" s="11" t="n">
        <f aca="false">C14</f>
        <v>1500000</v>
      </c>
      <c r="E11" s="11" t="n">
        <f aca="false">D14</f>
        <v>735000</v>
      </c>
      <c r="F11" s="11" t="n">
        <f aca="false">E14</f>
        <v>735000</v>
      </c>
    </row>
    <row r="12" customFormat="false" ht="15" hidden="false" customHeight="false" outlineLevel="0" collapsed="false">
      <c r="A12" s="9" t="s">
        <v>56</v>
      </c>
      <c r="B12" s="10" t="n">
        <f aca="false">IF(AND(Inputs!B8&gt;=B$5,Inputs!B8&lt;=B$6),Inputs!B9,0)</f>
        <v>1500000</v>
      </c>
      <c r="C12" s="10" t="n">
        <f aca="false">IF(AND(Inputs!B8&gt;=C$5,Inputs!B8&lt;=C$6),Inputs!B9,0)</f>
        <v>0</v>
      </c>
      <c r="D12" s="10" t="n">
        <f aca="false">IF(AND(Inputs!B8&gt;=D$5,Inputs!B8&lt;=D$6),Inputs!B9,0)</f>
        <v>0</v>
      </c>
      <c r="E12" s="10" t="n">
        <f aca="false">IF(AND(Inputs!B8&gt;=E$5,Inputs!B8&lt;=E$6),Inputs!B9,0)</f>
        <v>0</v>
      </c>
      <c r="F12" s="10" t="n">
        <f aca="false">IF(AND(Inputs!B8&gt;=F$5,Inputs!B8&lt;=F$6),Inputs!B9,0)</f>
        <v>0</v>
      </c>
    </row>
    <row r="13" customFormat="false" ht="15" hidden="false" customHeight="false" outlineLevel="0" collapsed="false">
      <c r="A13" s="9" t="s">
        <v>57</v>
      </c>
      <c r="B13" s="10" t="n">
        <f aca="false">-SUMIFS(Cash_Events!$G$6:$G$20,Cash_Events!$C$6:$C$20,"rAGMF",Cash_Events!$B$6:$B$20,"&gt;="&amp;B$5,Cash_Events!$B$6:$B$20,"&lt;="&amp;B$6)</f>
        <v>-0</v>
      </c>
      <c r="C13" s="10" t="n">
        <f aca="false">-SUMIFS(Cash_Events!$G$6:$G$20,Cash_Events!$C$6:$C$20,"rAGMF",Cash_Events!$B$6:$B$20,"&gt;="&amp;C$5,Cash_Events!$B$6:$B$20,"&lt;="&amp;C$6)</f>
        <v>-0</v>
      </c>
      <c r="D13" s="10" t="n">
        <f aca="false">-SUMIFS(Cash_Events!$G$6:$G$20,Cash_Events!$C$6:$C$20,"rAGMF",Cash_Events!$B$6:$B$20,"&gt;="&amp;D$5,Cash_Events!$B$6:$B$20,"&lt;="&amp;D$6)</f>
        <v>-765000</v>
      </c>
      <c r="E13" s="10" t="n">
        <f aca="false">-SUMIFS(Cash_Events!$G$6:$G$20,Cash_Events!$C$6:$C$20,"rAGMF",Cash_Events!$B$6:$B$20,"&gt;="&amp;E$5,Cash_Events!$B$6:$B$20,"&lt;="&amp;E$6)</f>
        <v>-0</v>
      </c>
      <c r="F13" s="10" t="n">
        <f aca="false">-SUMIFS(Cash_Events!$G$6:$G$20,Cash_Events!$C$6:$C$20,"rAGMF",Cash_Events!$B$6:$B$20,"&gt;="&amp;F$5,Cash_Events!$B$6:$B$20,"&lt;="&amp;F$6)</f>
        <v>-0</v>
      </c>
    </row>
    <row r="14" customFormat="false" ht="15" hidden="false" customHeight="false" outlineLevel="0" collapsed="false">
      <c r="A14" s="3" t="s">
        <v>58</v>
      </c>
      <c r="B14" s="12" t="n">
        <f aca="false">B11+B12+B13</f>
        <v>1500000</v>
      </c>
      <c r="C14" s="12" t="n">
        <f aca="false">C11+C12+C13</f>
        <v>1500000</v>
      </c>
      <c r="D14" s="12" t="n">
        <f aca="false">D11+D12+D13</f>
        <v>735000</v>
      </c>
      <c r="E14" s="12" t="n">
        <f aca="false">E11+E12+E13</f>
        <v>735000</v>
      </c>
      <c r="F14" s="12" t="n">
        <f aca="false">F11+F12+F13</f>
        <v>735000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9" t="s">
        <v>59</v>
      </c>
      <c r="B16" s="11" t="n">
        <v>0</v>
      </c>
      <c r="C16" s="11" t="n">
        <f aca="false">B20</f>
        <v>47227.8068508287</v>
      </c>
      <c r="D16" s="11" t="n">
        <f aca="false">C20</f>
        <v>147229.272739726</v>
      </c>
      <c r="E16" s="11" t="n">
        <f aca="false">D20</f>
        <v>179232.856023243</v>
      </c>
      <c r="F16" s="11" t="n">
        <f aca="false">E20</f>
        <v>259725.334442994</v>
      </c>
    </row>
    <row r="17" customFormat="false" ht="15" hidden="false" customHeight="false" outlineLevel="0" collapsed="false">
      <c r="A17" s="9" t="s">
        <v>60</v>
      </c>
      <c r="B17" s="10" t="n">
        <f aca="false">SUMIFS(rAGMF_Monthly!$J$7:$J$85,rAGMF_Monthly!$A$7:$A$85,"&gt;="&amp;B$5,rAGMF_Monthly!$A$7:$A$85,"&lt;="&amp;B$6)</f>
        <v>47227.8068508287</v>
      </c>
      <c r="C17" s="10" t="n">
        <f aca="false">SUMIFS(rAGMF_Monthly!$J$7:$J$85,rAGMF_Monthly!$A$7:$A$85,"&gt;="&amp;C$5,rAGMF_Monthly!$A$7:$A$85,"&lt;="&amp;C$6)</f>
        <v>175649.545888897</v>
      </c>
      <c r="D17" s="10" t="n">
        <f aca="false">SUMIFS(rAGMF_Monthly!$J$7:$J$85,rAGMF_Monthly!$A$7:$A$85,"&gt;="&amp;D$5,rAGMF_Monthly!$A$7:$A$85,"&lt;="&amp;D$6)</f>
        <v>132481.373283517</v>
      </c>
      <c r="E17" s="10" t="n">
        <f aca="false">SUMIFS(rAGMF_Monthly!$J$7:$J$85,rAGMF_Monthly!$A$7:$A$85,"&gt;="&amp;E$5,rAGMF_Monthly!$A$7:$A$85,"&lt;="&amp;E$6)</f>
        <v>80492.4784197507</v>
      </c>
      <c r="F17" s="10" t="n">
        <f aca="false">SUMIFS(rAGMF_Monthly!$J$7:$J$85,rAGMF_Monthly!$A$7:$A$85,"&gt;="&amp;F$5,rAGMF_Monthly!$A$7:$A$85,"&lt;="&amp;F$6)</f>
        <v>76767.5870835617</v>
      </c>
    </row>
    <row r="18" customFormat="false" ht="15" hidden="false" customHeight="false" outlineLevel="0" collapsed="false">
      <c r="A18" s="9" t="s">
        <v>61</v>
      </c>
      <c r="B18" s="10" t="n">
        <f aca="false">-SUMIFS(Cash_Events!$H$6:$H$20,Cash_Events!$C$6:$C$20,"rAGMF",Cash_Events!$D$6:$D$20,"JV",Cash_Events!$B$6:$B$20,"&gt;="&amp;B$5,Cash_Events!$B$6:$B$20,"&lt;="&amp;B$6)</f>
        <v>-0</v>
      </c>
      <c r="C18" s="10" t="n">
        <f aca="false">-SUMIFS(Cash_Events!$H$6:$H$20,Cash_Events!$C$6:$C$20,"rAGMF",Cash_Events!$D$6:$D$20,"JV",Cash_Events!$B$6:$B$20,"&gt;="&amp;C$5,Cash_Events!$B$6:$B$20,"&lt;="&amp;C$6)</f>
        <v>-75648.08</v>
      </c>
      <c r="D18" s="10" t="n">
        <f aca="false">-SUMIFS(Cash_Events!$H$6:$H$20,Cash_Events!$C$6:$C$20,"rAGMF",Cash_Events!$D$6:$D$20,"JV",Cash_Events!$B$6:$B$20,"&gt;="&amp;D$5,Cash_Events!$B$6:$B$20,"&lt;="&amp;D$6)</f>
        <v>-0</v>
      </c>
      <c r="E18" s="10" t="n">
        <f aca="false">-SUMIFS(Cash_Events!$H$6:$H$20,Cash_Events!$C$6:$C$20,"rAGMF",Cash_Events!$D$6:$D$20,"JV",Cash_Events!$B$6:$B$20,"&gt;="&amp;E$5,Cash_Events!$B$6:$B$20,"&lt;="&amp;E$6)</f>
        <v>-0</v>
      </c>
      <c r="F18" s="10" t="n">
        <f aca="false">-SUMIFS(Cash_Events!$H$6:$H$20,Cash_Events!$C$6:$C$20,"rAGMF",Cash_Events!$D$6:$D$20,"JV",Cash_Events!$B$6:$B$20,"&gt;="&amp;F$5,Cash_Events!$B$6:$B$20,"&lt;="&amp;F$6)</f>
        <v>-0</v>
      </c>
    </row>
    <row r="19" customFormat="false" ht="15" hidden="false" customHeight="false" outlineLevel="0" collapsed="false">
      <c r="A19" s="9" t="s">
        <v>62</v>
      </c>
      <c r="B19" s="10" t="n">
        <f aca="false">-SUMIFS(Cash_Events!$H$6:$H$20,Cash_Events!$C$6:$C$20,"rAGMF",Cash_Events!$D$6:$D$20,"800S",Cash_Events!$B$6:$B$20,"&gt;="&amp;B$5,Cash_Events!$B$6:$B$20,"&lt;="&amp;B$6)</f>
        <v>-0</v>
      </c>
      <c r="C19" s="10" t="n">
        <f aca="false">-SUMIFS(Cash_Events!$H$6:$H$20,Cash_Events!$C$6:$C$20,"rAGMF",Cash_Events!$D$6:$D$20,"800S",Cash_Events!$B$6:$B$20,"&gt;="&amp;C$5,Cash_Events!$B$6:$B$20,"&lt;="&amp;C$6)</f>
        <v>-0</v>
      </c>
      <c r="D19" s="10" t="n">
        <f aca="false">-SUMIFS(Cash_Events!$H$6:$H$20,Cash_Events!$C$6:$C$20,"rAGMF",Cash_Events!$D$6:$D$20,"800S",Cash_Events!$B$6:$B$20,"&gt;="&amp;D$5,Cash_Events!$B$6:$B$20,"&lt;="&amp;D$6)</f>
        <v>-100477.79</v>
      </c>
      <c r="E19" s="10" t="n">
        <f aca="false">-SUMIFS(Cash_Events!$H$6:$H$20,Cash_Events!$C$6:$C$20,"rAGMF",Cash_Events!$D$6:$D$20,"800S",Cash_Events!$B$6:$B$20,"&gt;="&amp;E$5,Cash_Events!$B$6:$B$20,"&lt;="&amp;E$6)</f>
        <v>-0</v>
      </c>
      <c r="F19" s="10" t="n">
        <f aca="false">-SUMIFS(Cash_Events!$H$6:$H$20,Cash_Events!$C$6:$C$20,"rAGMF",Cash_Events!$D$6:$D$20,"800S",Cash_Events!$B$6:$B$20,"&gt;="&amp;F$5,Cash_Events!$B$6:$B$20,"&lt;="&amp;F$6)</f>
        <v>-0</v>
      </c>
    </row>
    <row r="20" customFormat="false" ht="15" hidden="false" customHeight="false" outlineLevel="0" collapsed="false">
      <c r="A20" s="3" t="s">
        <v>63</v>
      </c>
      <c r="B20" s="12" t="n">
        <f aca="false">B16+B17+B18+B19</f>
        <v>47227.8068508287</v>
      </c>
      <c r="C20" s="12" t="n">
        <f aca="false">C16+C17+C18+C19</f>
        <v>147229.272739726</v>
      </c>
      <c r="D20" s="12" t="n">
        <f aca="false">D16+D17+D18+D19</f>
        <v>179232.856023243</v>
      </c>
      <c r="E20" s="12" t="n">
        <f aca="false">E16+E17+E18+E19</f>
        <v>259725.334442994</v>
      </c>
      <c r="F20" s="12" t="n">
        <f aca="false">F16+F17+F18+F19</f>
        <v>336492.921526555</v>
      </c>
    </row>
    <row r="21" customFormat="false" ht="15" hidden="false" customHeight="false" outlineLevel="0" collapsed="false">
      <c r="A21" s="3" t="s">
        <v>12</v>
      </c>
    </row>
    <row r="22" customFormat="false" ht="15" hidden="false" customHeight="false" outlineLevel="0" collapsed="false">
      <c r="A22" s="9" t="s">
        <v>64</v>
      </c>
      <c r="B22" s="11" t="n">
        <v>0</v>
      </c>
      <c r="C22" s="11" t="n">
        <f aca="false">B26</f>
        <v>0</v>
      </c>
      <c r="D22" s="11" t="n">
        <f aca="false">C26</f>
        <v>9123.28767123288</v>
      </c>
      <c r="E22" s="11" t="n">
        <f aca="false">D26</f>
        <v>22660.2024028745</v>
      </c>
      <c r="F22" s="11" t="n">
        <f aca="false">E26</f>
        <v>37360.092364698</v>
      </c>
    </row>
    <row r="23" customFormat="false" ht="15" hidden="false" customHeight="false" outlineLevel="0" collapsed="false">
      <c r="A23" s="9" t="s">
        <v>65</v>
      </c>
      <c r="B23" s="10" t="n">
        <f aca="false">SUMIFS(rAGMF_Monthly!$K$7:$K$85,rAGMF_Monthly!$A$7:$A$85,"&gt;="&amp;B$5,rAGMF_Monthly!$A$7:$A$85,"&lt;="&amp;B$6)</f>
        <v>0</v>
      </c>
      <c r="C23" s="10" t="n">
        <f aca="false">SUMIFS(rAGMF_Monthly!$K$7:$K$85,rAGMF_Monthly!$A$7:$A$85,"&gt;="&amp;C$5,rAGMF_Monthly!$A$7:$A$85,"&lt;="&amp;C$6)</f>
        <v>9123.28767123288</v>
      </c>
      <c r="D23" s="10" t="n">
        <f aca="false">SUMIFS(rAGMF_Monthly!$K$7:$K$85,rAGMF_Monthly!$A$7:$A$85,"&gt;="&amp;D$5,rAGMF_Monthly!$A$7:$A$85,"&lt;="&amp;D$6)</f>
        <v>22224.8147316416</v>
      </c>
      <c r="E23" s="10" t="n">
        <f aca="false">SUMIFS(rAGMF_Monthly!$K$7:$K$85,rAGMF_Monthly!$A$7:$A$85,"&gt;="&amp;E$5,rAGMF_Monthly!$A$7:$A$85,"&lt;="&amp;E$6)</f>
        <v>14699.8899618235</v>
      </c>
      <c r="F23" s="10" t="n">
        <f aca="false">SUMIFS(rAGMF_Monthly!$K$7:$K$85,rAGMF_Monthly!$A$7:$A$85,"&gt;="&amp;F$5,rAGMF_Monthly!$A$7:$A$85,"&lt;="&amp;F$6)</f>
        <v>14700</v>
      </c>
    </row>
    <row r="24" customFormat="false" ht="15" hidden="false" customHeight="false" outlineLevel="0" collapsed="false">
      <c r="A24" s="9" t="s">
        <v>66</v>
      </c>
      <c r="B24" s="10" t="n">
        <f aca="false">-SUMIFS(Cash_Events!$I$6:$I$20,Cash_Events!$C$6:$C$20,"rAGMF",Cash_Events!$D$6:$D$20,"JV",Cash_Events!$B$6:$B$20,"&gt;="&amp;B$5,Cash_Events!$B$6:$B$20,"&lt;="&amp;B$6)</f>
        <v>-0</v>
      </c>
      <c r="C24" s="10" t="n">
        <f aca="false">-SUMIFS(Cash_Events!$I$6:$I$20,Cash_Events!$C$6:$C$20,"rAGMF",Cash_Events!$D$6:$D$20,"JV",Cash_Events!$B$6:$B$20,"&gt;="&amp;C$5,Cash_Events!$B$6:$B$20,"&lt;="&amp;C$6)</f>
        <v>-0</v>
      </c>
      <c r="D24" s="10" t="n">
        <f aca="false">-SUMIFS(Cash_Events!$I$6:$I$20,Cash_Events!$C$6:$C$20,"rAGMF",Cash_Events!$D$6:$D$20,"JV",Cash_Events!$B$6:$B$20,"&gt;="&amp;D$5,Cash_Events!$B$6:$B$20,"&lt;="&amp;D$6)</f>
        <v>-0</v>
      </c>
      <c r="E24" s="10" t="n">
        <f aca="false">-SUMIFS(Cash_Events!$I$6:$I$20,Cash_Events!$C$6:$C$20,"rAGMF",Cash_Events!$D$6:$D$20,"JV",Cash_Events!$B$6:$B$20,"&gt;="&amp;E$5,Cash_Events!$B$6:$B$20,"&lt;="&amp;E$6)</f>
        <v>-0</v>
      </c>
      <c r="F24" s="10" t="n">
        <f aca="false">-SUMIFS(Cash_Events!$I$6:$I$20,Cash_Events!$C$6:$C$20,"rAGMF",Cash_Events!$D$6:$D$20,"JV",Cash_Events!$B$6:$B$20,"&gt;="&amp;F$5,Cash_Events!$B$6:$B$20,"&lt;="&amp;F$6)</f>
        <v>-0</v>
      </c>
    </row>
    <row r="25" customFormat="false" ht="15" hidden="false" customHeight="false" outlineLevel="0" collapsed="false">
      <c r="A25" s="9" t="s">
        <v>67</v>
      </c>
      <c r="B25" s="10" t="n">
        <f aca="false">-SUMIFS(Cash_Events!$I$6:$I$20,Cash_Events!$C$6:$C$20,"rAGMF",Cash_Events!$D$6:$D$20,"800S",Cash_Events!$B$6:$B$20,"&gt;="&amp;B$5,Cash_Events!$B$6:$B$20,"&lt;="&amp;B$6)</f>
        <v>-0</v>
      </c>
      <c r="C25" s="10" t="n">
        <f aca="false">-SUMIFS(Cash_Events!$I$6:$I$20,Cash_Events!$C$6:$C$20,"rAGMF",Cash_Events!$D$6:$D$20,"800S",Cash_Events!$B$6:$B$20,"&gt;="&amp;C$5,Cash_Events!$B$6:$B$20,"&lt;="&amp;C$6)</f>
        <v>-0</v>
      </c>
      <c r="D25" s="10" t="n">
        <f aca="false">-SUMIFS(Cash_Events!$I$6:$I$20,Cash_Events!$C$6:$C$20,"rAGMF",Cash_Events!$D$6:$D$20,"800S",Cash_Events!$B$6:$B$20,"&gt;="&amp;D$5,Cash_Events!$B$6:$B$20,"&lt;="&amp;D$6)</f>
        <v>-8687.9</v>
      </c>
      <c r="E25" s="10" t="n">
        <f aca="false">-SUMIFS(Cash_Events!$I$6:$I$20,Cash_Events!$C$6:$C$20,"rAGMF",Cash_Events!$D$6:$D$20,"800S",Cash_Events!$B$6:$B$20,"&gt;="&amp;E$5,Cash_Events!$B$6:$B$20,"&lt;="&amp;E$6)</f>
        <v>-0</v>
      </c>
      <c r="F25" s="10" t="n">
        <f aca="false">-SUMIFS(Cash_Events!$I$6:$I$20,Cash_Events!$C$6:$C$20,"rAGMF",Cash_Events!$D$6:$D$20,"800S",Cash_Events!$B$6:$B$20,"&gt;="&amp;F$5,Cash_Events!$B$6:$B$20,"&lt;="&amp;F$6)</f>
        <v>-0</v>
      </c>
    </row>
    <row r="26" customFormat="false" ht="15" hidden="false" customHeight="false" outlineLevel="0" collapsed="false">
      <c r="A26" s="3" t="s">
        <v>68</v>
      </c>
      <c r="B26" s="12" t="n">
        <f aca="false">B22+B23+B24+B25</f>
        <v>0</v>
      </c>
      <c r="C26" s="12" t="n">
        <f aca="false">C22+C23+C24+C25</f>
        <v>9123.28767123288</v>
      </c>
      <c r="D26" s="12" t="n">
        <f aca="false">D22+D23+D24+D25</f>
        <v>22660.2024028745</v>
      </c>
      <c r="E26" s="12" t="n">
        <f aca="false">E22+E23+E24+E25</f>
        <v>37360.092364698</v>
      </c>
      <c r="F26" s="12" t="n">
        <f aca="false">F22+F23+F24+F25</f>
        <v>52060.092364698</v>
      </c>
    </row>
    <row r="27" customFormat="false" ht="15" hidden="false" customHeight="false" outlineLevel="0" collapsed="false">
      <c r="A27" s="3" t="s">
        <v>69</v>
      </c>
    </row>
    <row r="28" customFormat="false" ht="15" hidden="false" customHeight="false" outlineLevel="0" collapsed="false">
      <c r="A28" s="3" t="s">
        <v>70</v>
      </c>
      <c r="B28" s="12" t="n">
        <f aca="false">B20+B26</f>
        <v>47227.8068508287</v>
      </c>
      <c r="C28" s="12" t="n">
        <f aca="false">C20+C26</f>
        <v>156352.560410959</v>
      </c>
      <c r="D28" s="12" t="n">
        <f aca="false">D20+D26</f>
        <v>201893.058426117</v>
      </c>
      <c r="E28" s="12" t="n">
        <f aca="false">E20+E26</f>
        <v>297085.426807691</v>
      </c>
      <c r="F28" s="12" t="n">
        <f aca="false">F20+F26</f>
        <v>388553.013891253</v>
      </c>
    </row>
    <row r="29" customFormat="false" ht="15" hidden="false" customHeight="false" outlineLevel="0" collapsed="false">
      <c r="A29" s="3" t="s">
        <v>71</v>
      </c>
      <c r="B29" s="22" t="n">
        <f aca="false">B14+B28</f>
        <v>1547227.80685083</v>
      </c>
      <c r="C29" s="22" t="n">
        <f aca="false">C14+C28</f>
        <v>1656352.56041096</v>
      </c>
      <c r="D29" s="22" t="n">
        <f aca="false">D14+D28</f>
        <v>936893.058426117</v>
      </c>
      <c r="E29" s="22" t="n">
        <f aca="false">E14+E28</f>
        <v>1032085.42680769</v>
      </c>
      <c r="F29" s="22" t="n">
        <f aca="false">F14+F28</f>
        <v>1123553.01389125</v>
      </c>
    </row>
    <row r="30" customFormat="false" ht="15" hidden="false" customHeight="false" outlineLevel="0" collapsed="false">
      <c r="A30" s="3" t="s">
        <v>72</v>
      </c>
      <c r="B30" s="12" t="n">
        <f aca="false">B17+B23</f>
        <v>47227.8068508287</v>
      </c>
      <c r="C30" s="12" t="n">
        <f aca="false">C17+C23</f>
        <v>184772.83356013</v>
      </c>
      <c r="D30" s="12" t="n">
        <f aca="false">D17+D23</f>
        <v>154706.188015158</v>
      </c>
      <c r="E30" s="12" t="n">
        <f aca="false">E17+E23</f>
        <v>95192.3683815742</v>
      </c>
      <c r="F30" s="12" t="n">
        <f aca="false">F17+F23</f>
        <v>91467.5870835617</v>
      </c>
    </row>
    <row r="31" customFormat="false" ht="15" hidden="false" customHeight="false" outlineLevel="0" collapsed="false">
      <c r="A31" s="9" t="s">
        <v>73</v>
      </c>
      <c r="B31" s="11" t="n">
        <f aca="false">-(B18+B19+B24+B25)</f>
        <v>0</v>
      </c>
      <c r="C31" s="11" t="n">
        <f aca="false">-(C18+C19+C24+C25)</f>
        <v>75648.08</v>
      </c>
      <c r="D31" s="11" t="n">
        <f aca="false">-(D18+D19+D24+D25)</f>
        <v>109165.69</v>
      </c>
      <c r="E31" s="11" t="n">
        <f aca="false">-(E18+E19+E24+E25)</f>
        <v>0</v>
      </c>
      <c r="F31" s="11" t="n">
        <f aca="false">-(F18+F19+F24+F25)</f>
        <v>0</v>
      </c>
    </row>
    <row r="32" customFormat="false" ht="15" hidden="false" customHeight="false" outlineLevel="0" collapsed="false">
      <c r="A32" s="9" t="s">
        <v>74</v>
      </c>
      <c r="B32" s="16" t="n">
        <f aca="false">ROUND(B14-INDEX(rAGMF_Monthly!$G$7:$G$85,MATCH(B$6,rAGMF_Monthly!$A$7:$A$85,0)),2)+ROUND(B20-INDEX(rAGMF_Monthly!$P$7:$P$85,MATCH(B$6,rAGMF_Monthly!$A$7:$A$85,0)),2)+ROUND(B26-INDEX(rAGMF_Monthly!$S$7:$S$85,MATCH(B$6,rAGMF_Monthly!$A$7:$A$85,0)),2)</f>
        <v>0</v>
      </c>
      <c r="C32" s="16" t="n">
        <f aca="false">ROUND(C14-INDEX(rAGMF_Monthly!$G$7:$G$85,MATCH(C$6,rAGMF_Monthly!$A$7:$A$85,0)),2)+ROUND(C20-INDEX(rAGMF_Monthly!$P$7:$P$85,MATCH(C$6,rAGMF_Monthly!$A$7:$A$85,0)),2)+ROUND(C26-INDEX(rAGMF_Monthly!$S$7:$S$85,MATCH(C$6,rAGMF_Monthly!$A$7:$A$85,0)),2)</f>
        <v>0</v>
      </c>
      <c r="D32" s="16" t="n">
        <f aca="false">ROUND(D14-INDEX(rAGMF_Monthly!$G$7:$G$85,MATCH(D$6,rAGMF_Monthly!$A$7:$A$85,0)),2)+ROUND(D20-INDEX(rAGMF_Monthly!$P$7:$P$85,MATCH(D$6,rAGMF_Monthly!$A$7:$A$85,0)),2)+ROUND(D26-INDEX(rAGMF_Monthly!$S$7:$S$85,MATCH(D$6,rAGMF_Monthly!$A$7:$A$85,0)),2)</f>
        <v>0</v>
      </c>
      <c r="E32" s="16" t="n">
        <f aca="false">ROUND(E14-INDEX(rAGMF_Monthly!$G$7:$G$85,MATCH(E$6,rAGMF_Monthly!$A$7:$A$85,0)),2)+ROUND(E20-INDEX(rAGMF_Monthly!$P$7:$P$85,MATCH(E$6,rAGMF_Monthly!$A$7:$A$85,0)),2)+ROUND(E26-INDEX(rAGMF_Monthly!$S$7:$S$85,MATCH(E$6,rAGMF_Monthly!$A$7:$A$85,0)),2)</f>
        <v>0</v>
      </c>
      <c r="F32" s="16" t="n">
        <f aca="false">ROUND(F14-INDEX(rAGMF_Monthly!$G$7:$G$85,MATCH(F$6,rAGMF_Monthly!$A$7:$A$85,0)),2)+ROUND(F20-INDEX(rAGMF_Monthly!$P$7:$P$85,MATCH(F$6,rAGMF_Monthly!$A$7:$A$85,0)),2)+ROUND(F26-INDEX(rAGMF_Monthly!$S$7:$S$85,MATCH(F$6,rAGMF_Monthly!$A$7:$A$85,0)),2)</f>
        <v>0</v>
      </c>
    </row>
    <row r="34" customFormat="false" ht="15" hidden="false" customHeight="false" outlineLevel="0" collapsed="false">
      <c r="A34" s="6" t="s">
        <v>7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3" t="s">
        <v>54</v>
      </c>
    </row>
    <row r="36" customFormat="false" ht="15" hidden="false" customHeight="false" outlineLevel="0" collapsed="false">
      <c r="A36" s="9" t="s">
        <v>55</v>
      </c>
      <c r="B36" s="11" t="n">
        <v>0</v>
      </c>
      <c r="C36" s="11" t="n">
        <f aca="false">B39</f>
        <v>1500000</v>
      </c>
      <c r="D36" s="11" t="n">
        <f aca="false">C39</f>
        <v>1500000</v>
      </c>
      <c r="E36" s="11" t="n">
        <f aca="false">D39</f>
        <v>735000</v>
      </c>
      <c r="F36" s="11" t="n">
        <f aca="false">E39</f>
        <v>735000</v>
      </c>
    </row>
    <row r="37" customFormat="false" ht="15" hidden="false" customHeight="false" outlineLevel="0" collapsed="false">
      <c r="A37" s="9" t="s">
        <v>56</v>
      </c>
      <c r="B37" s="10" t="n">
        <f aca="false">IF(AND(Inputs!C8&gt;=B$5,Inputs!C8&lt;=B$6),Inputs!C9,0)</f>
        <v>1500000</v>
      </c>
      <c r="C37" s="10" t="n">
        <f aca="false">IF(AND(Inputs!C8&gt;=C$5,Inputs!C8&lt;=C$6),Inputs!C9,0)</f>
        <v>0</v>
      </c>
      <c r="D37" s="10" t="n">
        <f aca="false">IF(AND(Inputs!C8&gt;=D$5,Inputs!C8&lt;=D$6),Inputs!C9,0)</f>
        <v>0</v>
      </c>
      <c r="E37" s="10" t="n">
        <f aca="false">IF(AND(Inputs!C8&gt;=E$5,Inputs!C8&lt;=E$6),Inputs!C9,0)</f>
        <v>0</v>
      </c>
      <c r="F37" s="10" t="n">
        <f aca="false">IF(AND(Inputs!C8&gt;=F$5,Inputs!C8&lt;=F$6),Inputs!C9,0)</f>
        <v>0</v>
      </c>
    </row>
    <row r="38" customFormat="false" ht="15" hidden="false" customHeight="false" outlineLevel="0" collapsed="false">
      <c r="A38" s="9" t="s">
        <v>57</v>
      </c>
      <c r="B38" s="10" t="n">
        <f aca="false">-SUMIFS(Cash_Events!$G$6:$G$20,Cash_Events!$C$6:$C$20,"FHL",Cash_Events!$B$6:$B$20,"&gt;="&amp;B$5,Cash_Events!$B$6:$B$20,"&lt;="&amp;B$6)</f>
        <v>-0</v>
      </c>
      <c r="C38" s="10" t="n">
        <f aca="false">-SUMIFS(Cash_Events!$G$6:$G$20,Cash_Events!$C$6:$C$20,"FHL",Cash_Events!$B$6:$B$20,"&gt;="&amp;C$5,Cash_Events!$B$6:$B$20,"&lt;="&amp;C$6)</f>
        <v>-0</v>
      </c>
      <c r="D38" s="10" t="n">
        <f aca="false">-SUMIFS(Cash_Events!$G$6:$G$20,Cash_Events!$C$6:$C$20,"FHL",Cash_Events!$B$6:$B$20,"&gt;="&amp;D$5,Cash_Events!$B$6:$B$20,"&lt;="&amp;D$6)</f>
        <v>-765000</v>
      </c>
      <c r="E38" s="10" t="n">
        <f aca="false">-SUMIFS(Cash_Events!$G$6:$G$20,Cash_Events!$C$6:$C$20,"FHL",Cash_Events!$B$6:$B$20,"&gt;="&amp;E$5,Cash_Events!$B$6:$B$20,"&lt;="&amp;E$6)</f>
        <v>-0</v>
      </c>
      <c r="F38" s="10" t="n">
        <f aca="false">-SUMIFS(Cash_Events!$G$6:$G$20,Cash_Events!$C$6:$C$20,"FHL",Cash_Events!$B$6:$B$20,"&gt;="&amp;F$5,Cash_Events!$B$6:$B$20,"&lt;="&amp;F$6)</f>
        <v>-0</v>
      </c>
    </row>
    <row r="39" customFormat="false" ht="15" hidden="false" customHeight="false" outlineLevel="0" collapsed="false">
      <c r="A39" s="3" t="s">
        <v>58</v>
      </c>
      <c r="B39" s="12" t="n">
        <f aca="false">B36+B37+B38</f>
        <v>1500000</v>
      </c>
      <c r="C39" s="12" t="n">
        <f aca="false">C36+C37+C38</f>
        <v>1500000</v>
      </c>
      <c r="D39" s="12" t="n">
        <f aca="false">D36+D37+D38</f>
        <v>735000</v>
      </c>
      <c r="E39" s="12" t="n">
        <f aca="false">E36+E37+E38</f>
        <v>735000</v>
      </c>
      <c r="F39" s="12" t="n">
        <f aca="false">F36+F37+F38</f>
        <v>735000</v>
      </c>
    </row>
    <row r="40" customFormat="false" ht="15" hidden="false" customHeight="false" outlineLevel="0" collapsed="false">
      <c r="A40" s="3" t="s">
        <v>11</v>
      </c>
    </row>
    <row r="41" customFormat="false" ht="15" hidden="false" customHeight="false" outlineLevel="0" collapsed="false">
      <c r="A41" s="9" t="s">
        <v>59</v>
      </c>
      <c r="B41" s="11" t="n">
        <v>0</v>
      </c>
      <c r="C41" s="11" t="n">
        <f aca="false">B45</f>
        <v>47227.8061497326</v>
      </c>
      <c r="D41" s="11" t="n">
        <f aca="false">C45</f>
        <v>144279.650136986</v>
      </c>
      <c r="E41" s="11" t="n">
        <f aca="false">D45</f>
        <v>178838.997278015</v>
      </c>
      <c r="F41" s="11" t="n">
        <f aca="false">E45</f>
        <v>259173.329730047</v>
      </c>
    </row>
    <row r="42" customFormat="false" ht="15" hidden="false" customHeight="false" outlineLevel="0" collapsed="false">
      <c r="A42" s="9" t="s">
        <v>60</v>
      </c>
      <c r="B42" s="10" t="n">
        <f aca="false">SUMIFS(FHL_Monthly!$J$7:$J$85,FHL_Monthly!$A$7:$A$85,"&gt;="&amp;B$5,FHL_Monthly!$A$7:$A$85,"&lt;="&amp;B$6)</f>
        <v>47227.8061497326</v>
      </c>
      <c r="C42" s="10" t="n">
        <f aca="false">SUMIFS(FHL_Monthly!$J$7:$J$85,FHL_Monthly!$A$7:$A$85,"&gt;="&amp;C$5,FHL_Monthly!$A$7:$A$85,"&lt;="&amp;C$6)</f>
        <v>175207.593987254</v>
      </c>
      <c r="D42" s="10" t="n">
        <f aca="false">SUMIFS(FHL_Monthly!$J$7:$J$85,FHL_Monthly!$A$7:$A$85,"&gt;="&amp;D$5,FHL_Monthly!$A$7:$A$85,"&lt;="&amp;D$6)</f>
        <v>132593.847141029</v>
      </c>
      <c r="E42" s="10" t="n">
        <f aca="false">SUMIFS(FHL_Monthly!$J$7:$J$85,FHL_Monthly!$A$7:$A$85,"&gt;="&amp;E$5,FHL_Monthly!$A$7:$A$85,"&lt;="&amp;E$6)</f>
        <v>80334.3324520323</v>
      </c>
      <c r="F42" s="10" t="n">
        <f aca="false">SUMIFS(FHL_Monthly!$J$7:$J$85,FHL_Monthly!$A$7:$A$85,"&gt;="&amp;F$5,FHL_Monthly!$A$7:$A$85,"&lt;="&amp;F$6)</f>
        <v>76708.4532123288</v>
      </c>
    </row>
    <row r="43" customFormat="false" ht="15" hidden="false" customHeight="false" outlineLevel="0" collapsed="false">
      <c r="A43" s="9" t="s">
        <v>61</v>
      </c>
      <c r="B43" s="10" t="n">
        <f aca="false">-SUMIFS(Cash_Events!$H$6:$H$20,Cash_Events!$C$6:$C$20,"FHL",Cash_Events!$D$6:$D$20,"JV",Cash_Events!$B$6:$B$20,"&gt;="&amp;B$5,Cash_Events!$B$6:$B$20,"&lt;="&amp;B$6)</f>
        <v>-0</v>
      </c>
      <c r="C43" s="10" t="n">
        <f aca="false">-SUMIFS(Cash_Events!$H$6:$H$20,Cash_Events!$C$6:$C$20,"FHL",Cash_Events!$D$6:$D$20,"JV",Cash_Events!$B$6:$B$20,"&gt;="&amp;C$5,Cash_Events!$B$6:$B$20,"&lt;="&amp;C$6)</f>
        <v>-78155.75</v>
      </c>
      <c r="D43" s="10" t="n">
        <f aca="false">-SUMIFS(Cash_Events!$H$6:$H$20,Cash_Events!$C$6:$C$20,"FHL",Cash_Events!$D$6:$D$20,"JV",Cash_Events!$B$6:$B$20,"&gt;="&amp;D$5,Cash_Events!$B$6:$B$20,"&lt;="&amp;D$6)</f>
        <v>-0</v>
      </c>
      <c r="E43" s="10" t="n">
        <f aca="false">-SUMIFS(Cash_Events!$H$6:$H$20,Cash_Events!$C$6:$C$20,"FHL",Cash_Events!$D$6:$D$20,"JV",Cash_Events!$B$6:$B$20,"&gt;="&amp;E$5,Cash_Events!$B$6:$B$20,"&lt;="&amp;E$6)</f>
        <v>-0</v>
      </c>
      <c r="F43" s="10" t="n">
        <f aca="false">-SUMIFS(Cash_Events!$H$6:$H$20,Cash_Events!$C$6:$C$20,"FHL",Cash_Events!$D$6:$D$20,"JV",Cash_Events!$B$6:$B$20,"&gt;="&amp;F$5,Cash_Events!$B$6:$B$20,"&lt;="&amp;F$6)</f>
        <v>-0</v>
      </c>
    </row>
    <row r="44" customFormat="false" ht="15" hidden="false" customHeight="false" outlineLevel="0" collapsed="false">
      <c r="A44" s="9" t="s">
        <v>62</v>
      </c>
      <c r="B44" s="10" t="n">
        <f aca="false">-SUMIFS(Cash_Events!$H$6:$H$20,Cash_Events!$C$6:$C$20,"FHL",Cash_Events!$D$6:$D$20,"800S",Cash_Events!$B$6:$B$20,"&gt;="&amp;B$5,Cash_Events!$B$6:$B$20,"&lt;="&amp;B$6)</f>
        <v>-0</v>
      </c>
      <c r="C44" s="10" t="n">
        <f aca="false">-SUMIFS(Cash_Events!$H$6:$H$20,Cash_Events!$C$6:$C$20,"FHL",Cash_Events!$D$6:$D$20,"800S",Cash_Events!$B$6:$B$20,"&gt;="&amp;C$5,Cash_Events!$B$6:$B$20,"&lt;="&amp;C$6)</f>
        <v>-0</v>
      </c>
      <c r="D44" s="10" t="n">
        <f aca="false">-SUMIFS(Cash_Events!$H$6:$H$20,Cash_Events!$C$6:$C$20,"FHL",Cash_Events!$D$6:$D$20,"800S",Cash_Events!$B$6:$B$20,"&gt;="&amp;D$5,Cash_Events!$B$6:$B$20,"&lt;="&amp;D$6)</f>
        <v>-98034.5</v>
      </c>
      <c r="E44" s="10" t="n">
        <f aca="false">-SUMIFS(Cash_Events!$H$6:$H$20,Cash_Events!$C$6:$C$20,"FHL",Cash_Events!$D$6:$D$20,"800S",Cash_Events!$B$6:$B$20,"&gt;="&amp;E$5,Cash_Events!$B$6:$B$20,"&lt;="&amp;E$6)</f>
        <v>-0</v>
      </c>
      <c r="F44" s="10" t="n">
        <f aca="false">-SUMIFS(Cash_Events!$H$6:$H$20,Cash_Events!$C$6:$C$20,"FHL",Cash_Events!$D$6:$D$20,"800S",Cash_Events!$B$6:$B$20,"&gt;="&amp;F$5,Cash_Events!$B$6:$B$20,"&lt;="&amp;F$6)</f>
        <v>-0</v>
      </c>
    </row>
    <row r="45" customFormat="false" ht="15" hidden="false" customHeight="false" outlineLevel="0" collapsed="false">
      <c r="A45" s="3" t="s">
        <v>63</v>
      </c>
      <c r="B45" s="12" t="n">
        <f aca="false">B41+B42+B43+B44</f>
        <v>47227.8061497326</v>
      </c>
      <c r="C45" s="12" t="n">
        <f aca="false">C41+C42+C43+C44</f>
        <v>144279.650136986</v>
      </c>
      <c r="D45" s="12" t="n">
        <f aca="false">D41+D42+D43+D44</f>
        <v>178838.997278015</v>
      </c>
      <c r="E45" s="12" t="n">
        <f aca="false">E41+E42+E43+E44</f>
        <v>259173.329730047</v>
      </c>
      <c r="F45" s="12" t="n">
        <f aca="false">F41+F42+F43+F44</f>
        <v>335881.782942376</v>
      </c>
    </row>
    <row r="46" customFormat="false" ht="15" hidden="false" customHeight="false" outlineLevel="0" collapsed="false">
      <c r="A46" s="3" t="s">
        <v>12</v>
      </c>
    </row>
    <row r="47" customFormat="false" ht="15" hidden="false" customHeight="false" outlineLevel="0" collapsed="false">
      <c r="A47" s="9" t="s">
        <v>64</v>
      </c>
      <c r="B47" s="11" t="n">
        <v>0</v>
      </c>
      <c r="C47" s="11" t="n">
        <f aca="false">B51</f>
        <v>0</v>
      </c>
      <c r="D47" s="11" t="n">
        <f aca="false">C51</f>
        <v>8794.52054794521</v>
      </c>
      <c r="E47" s="11" t="n">
        <f aca="false">D51</f>
        <v>22542.6952795868</v>
      </c>
      <c r="F47" s="11" t="n">
        <f aca="false">E51</f>
        <v>37242.5852414103</v>
      </c>
    </row>
    <row r="48" customFormat="false" ht="15" hidden="false" customHeight="false" outlineLevel="0" collapsed="false">
      <c r="A48" s="9" t="s">
        <v>65</v>
      </c>
      <c r="B48" s="10" t="n">
        <f aca="false">SUMIFS(FHL_Monthly!$K$7:$K$85,FHL_Monthly!$A$7:$A$85,"&gt;="&amp;B$5,FHL_Monthly!$A$7:$A$85,"&lt;="&amp;B$6)</f>
        <v>0</v>
      </c>
      <c r="C48" s="10" t="n">
        <f aca="false">SUMIFS(FHL_Monthly!$K$7:$K$85,FHL_Monthly!$A$7:$A$85,"&gt;="&amp;C$5,FHL_Monthly!$A$7:$A$85,"&lt;="&amp;C$6)</f>
        <v>8794.52054794521</v>
      </c>
      <c r="D48" s="10" t="n">
        <f aca="false">SUMIFS(FHL_Monthly!$K$7:$K$85,FHL_Monthly!$A$7:$A$85,"&gt;="&amp;D$5,FHL_Monthly!$A$7:$A$85,"&lt;="&amp;D$6)</f>
        <v>22224.8147316416</v>
      </c>
      <c r="E48" s="10" t="n">
        <f aca="false">SUMIFS(FHL_Monthly!$K$7:$K$85,FHL_Monthly!$A$7:$A$85,"&gt;="&amp;E$5,FHL_Monthly!$A$7:$A$85,"&lt;="&amp;E$6)</f>
        <v>14699.8899618235</v>
      </c>
      <c r="F48" s="10" t="n">
        <f aca="false">SUMIFS(FHL_Monthly!$K$7:$K$85,FHL_Monthly!$A$7:$A$85,"&gt;="&amp;F$5,FHL_Monthly!$A$7:$A$85,"&lt;="&amp;F$6)</f>
        <v>14700</v>
      </c>
    </row>
    <row r="49" customFormat="false" ht="15" hidden="false" customHeight="false" outlineLevel="0" collapsed="false">
      <c r="A49" s="9" t="s">
        <v>66</v>
      </c>
      <c r="B49" s="10" t="n">
        <f aca="false">-SUMIFS(Cash_Events!$I$6:$I$20,Cash_Events!$C$6:$C$20,"FHL",Cash_Events!$D$6:$D$20,"JV",Cash_Events!$B$6:$B$20,"&gt;="&amp;B$5,Cash_Events!$B$6:$B$20,"&lt;="&amp;B$6)</f>
        <v>-0</v>
      </c>
      <c r="C49" s="10" t="n">
        <f aca="false">-SUMIFS(Cash_Events!$I$6:$I$20,Cash_Events!$C$6:$C$20,"FHL",Cash_Events!$D$6:$D$20,"JV",Cash_Events!$B$6:$B$20,"&gt;="&amp;C$5,Cash_Events!$B$6:$B$20,"&lt;="&amp;C$6)</f>
        <v>-0</v>
      </c>
      <c r="D49" s="10" t="n">
        <f aca="false">-SUMIFS(Cash_Events!$I$6:$I$20,Cash_Events!$C$6:$C$20,"FHL",Cash_Events!$D$6:$D$20,"JV",Cash_Events!$B$6:$B$20,"&gt;="&amp;D$5,Cash_Events!$B$6:$B$20,"&lt;="&amp;D$6)</f>
        <v>-0</v>
      </c>
      <c r="E49" s="10" t="n">
        <f aca="false">-SUMIFS(Cash_Events!$I$6:$I$20,Cash_Events!$C$6:$C$20,"FHL",Cash_Events!$D$6:$D$20,"JV",Cash_Events!$B$6:$B$20,"&gt;="&amp;E$5,Cash_Events!$B$6:$B$20,"&lt;="&amp;E$6)</f>
        <v>-0</v>
      </c>
      <c r="F49" s="10" t="n">
        <f aca="false">-SUMIFS(Cash_Events!$I$6:$I$20,Cash_Events!$C$6:$C$20,"FHL",Cash_Events!$D$6:$D$20,"JV",Cash_Events!$B$6:$B$20,"&gt;="&amp;F$5,Cash_Events!$B$6:$B$20,"&lt;="&amp;F$6)</f>
        <v>-0</v>
      </c>
    </row>
    <row r="50" customFormat="false" ht="15" hidden="false" customHeight="false" outlineLevel="0" collapsed="false">
      <c r="A50" s="9" t="s">
        <v>67</v>
      </c>
      <c r="B50" s="10" t="n">
        <f aca="false">-SUMIFS(Cash_Events!$I$6:$I$20,Cash_Events!$C$6:$C$20,"FHL",Cash_Events!$D$6:$D$20,"800S",Cash_Events!$B$6:$B$20,"&gt;="&amp;B$5,Cash_Events!$B$6:$B$20,"&lt;="&amp;B$6)</f>
        <v>-0</v>
      </c>
      <c r="C50" s="10" t="n">
        <f aca="false">-SUMIFS(Cash_Events!$I$6:$I$20,Cash_Events!$C$6:$C$20,"FHL",Cash_Events!$D$6:$D$20,"800S",Cash_Events!$B$6:$B$20,"&gt;="&amp;C$5,Cash_Events!$B$6:$B$20,"&lt;="&amp;C$6)</f>
        <v>-0</v>
      </c>
      <c r="D50" s="10" t="n">
        <f aca="false">-SUMIFS(Cash_Events!$I$6:$I$20,Cash_Events!$C$6:$C$20,"FHL",Cash_Events!$D$6:$D$20,"800S",Cash_Events!$B$6:$B$20,"&gt;="&amp;D$5,Cash_Events!$B$6:$B$20,"&lt;="&amp;D$6)</f>
        <v>-8476.64</v>
      </c>
      <c r="E50" s="10" t="n">
        <f aca="false">-SUMIFS(Cash_Events!$I$6:$I$20,Cash_Events!$C$6:$C$20,"FHL",Cash_Events!$D$6:$D$20,"800S",Cash_Events!$B$6:$B$20,"&gt;="&amp;E$5,Cash_Events!$B$6:$B$20,"&lt;="&amp;E$6)</f>
        <v>-0</v>
      </c>
      <c r="F50" s="10" t="n">
        <f aca="false">-SUMIFS(Cash_Events!$I$6:$I$20,Cash_Events!$C$6:$C$20,"FHL",Cash_Events!$D$6:$D$20,"800S",Cash_Events!$B$6:$B$20,"&gt;="&amp;F$5,Cash_Events!$B$6:$B$20,"&lt;="&amp;F$6)</f>
        <v>-0</v>
      </c>
    </row>
    <row r="51" customFormat="false" ht="15" hidden="false" customHeight="false" outlineLevel="0" collapsed="false">
      <c r="A51" s="3" t="s">
        <v>68</v>
      </c>
      <c r="B51" s="12" t="n">
        <f aca="false">B47+B48+B49+B50</f>
        <v>0</v>
      </c>
      <c r="C51" s="12" t="n">
        <f aca="false">C47+C48+C49+C50</f>
        <v>8794.52054794521</v>
      </c>
      <c r="D51" s="12" t="n">
        <f aca="false">D47+D48+D49+D50</f>
        <v>22542.6952795868</v>
      </c>
      <c r="E51" s="12" t="n">
        <f aca="false">E47+E48+E49+E50</f>
        <v>37242.5852414103</v>
      </c>
      <c r="F51" s="12" t="n">
        <f aca="false">F47+F48+F49+F50</f>
        <v>51942.5852414103</v>
      </c>
    </row>
    <row r="52" customFormat="false" ht="15" hidden="false" customHeight="false" outlineLevel="0" collapsed="false">
      <c r="A52" s="3" t="s">
        <v>69</v>
      </c>
    </row>
    <row r="53" customFormat="false" ht="15" hidden="false" customHeight="false" outlineLevel="0" collapsed="false">
      <c r="A53" s="3" t="s">
        <v>70</v>
      </c>
      <c r="B53" s="12" t="n">
        <f aca="false">B45+B51</f>
        <v>47227.8061497326</v>
      </c>
      <c r="C53" s="12" t="n">
        <f aca="false">C45+C51</f>
        <v>153074.170684932</v>
      </c>
      <c r="D53" s="12" t="n">
        <f aca="false">D45+D51</f>
        <v>201381.692557602</v>
      </c>
      <c r="E53" s="12" t="n">
        <f aca="false">E45+E51</f>
        <v>296415.914971458</v>
      </c>
      <c r="F53" s="12" t="n">
        <f aca="false">F45+F51</f>
        <v>387824.368183786</v>
      </c>
    </row>
    <row r="54" customFormat="false" ht="15" hidden="false" customHeight="false" outlineLevel="0" collapsed="false">
      <c r="A54" s="3" t="s">
        <v>71</v>
      </c>
      <c r="B54" s="22" t="n">
        <f aca="false">B39+B53</f>
        <v>1547227.80614973</v>
      </c>
      <c r="C54" s="22" t="n">
        <f aca="false">C39+C53</f>
        <v>1653074.17068493</v>
      </c>
      <c r="D54" s="22" t="n">
        <f aca="false">D39+D53</f>
        <v>936381.692557602</v>
      </c>
      <c r="E54" s="22" t="n">
        <f aca="false">E39+E53</f>
        <v>1031415.91497146</v>
      </c>
      <c r="F54" s="22" t="n">
        <f aca="false">F39+F53</f>
        <v>1122824.36818379</v>
      </c>
    </row>
    <row r="55" customFormat="false" ht="15" hidden="false" customHeight="false" outlineLevel="0" collapsed="false">
      <c r="A55" s="3" t="s">
        <v>72</v>
      </c>
      <c r="B55" s="12" t="n">
        <f aca="false">B42+B48</f>
        <v>47227.8061497326</v>
      </c>
      <c r="C55" s="12" t="n">
        <f aca="false">C42+C48</f>
        <v>184002.114535199</v>
      </c>
      <c r="D55" s="12" t="n">
        <f aca="false">D42+D48</f>
        <v>154818.66187267</v>
      </c>
      <c r="E55" s="12" t="n">
        <f aca="false">E42+E48</f>
        <v>95034.2224138558</v>
      </c>
      <c r="F55" s="12" t="n">
        <f aca="false">F42+F48</f>
        <v>91408.4532123288</v>
      </c>
    </row>
    <row r="56" customFormat="false" ht="15" hidden="false" customHeight="false" outlineLevel="0" collapsed="false">
      <c r="A56" s="9" t="s">
        <v>73</v>
      </c>
      <c r="B56" s="11" t="n">
        <f aca="false">-(B43+B44+B49+B50)</f>
        <v>0</v>
      </c>
      <c r="C56" s="11" t="n">
        <f aca="false">-(C43+C44+C49+C50)</f>
        <v>78155.75</v>
      </c>
      <c r="D56" s="11" t="n">
        <f aca="false">-(D43+D44+D49+D50)</f>
        <v>106511.14</v>
      </c>
      <c r="E56" s="11" t="n">
        <f aca="false">-(E43+E44+E49+E50)</f>
        <v>0</v>
      </c>
      <c r="F56" s="11" t="n">
        <f aca="false">-(F43+F44+F49+F50)</f>
        <v>0</v>
      </c>
    </row>
    <row r="57" customFormat="false" ht="15" hidden="false" customHeight="false" outlineLevel="0" collapsed="false">
      <c r="A57" s="9" t="s">
        <v>74</v>
      </c>
      <c r="B57" s="16" t="n">
        <f aca="false">ROUND(B39-INDEX(FHL_Monthly!$G$7:$G$85,MATCH(B$6,FHL_Monthly!$A$7:$A$85,0)),2)+ROUND(B45-INDEX(FHL_Monthly!$P$7:$P$85,MATCH(B$6,FHL_Monthly!$A$7:$A$85,0)),2)+ROUND(B51-INDEX(FHL_Monthly!$S$7:$S$85,MATCH(B$6,FHL_Monthly!$A$7:$A$85,0)),2)</f>
        <v>0</v>
      </c>
      <c r="C57" s="16" t="n">
        <f aca="false">ROUND(C39-INDEX(FHL_Monthly!$G$7:$G$85,MATCH(C$6,FHL_Monthly!$A$7:$A$85,0)),2)+ROUND(C45-INDEX(FHL_Monthly!$P$7:$P$85,MATCH(C$6,FHL_Monthly!$A$7:$A$85,0)),2)+ROUND(C51-INDEX(FHL_Monthly!$S$7:$S$85,MATCH(C$6,FHL_Monthly!$A$7:$A$85,0)),2)</f>
        <v>0</v>
      </c>
      <c r="D57" s="16" t="n">
        <f aca="false">ROUND(D39-INDEX(FHL_Monthly!$G$7:$G$85,MATCH(D$6,FHL_Monthly!$A$7:$A$85,0)),2)+ROUND(D45-INDEX(FHL_Monthly!$P$7:$P$85,MATCH(D$6,FHL_Monthly!$A$7:$A$85,0)),2)+ROUND(D51-INDEX(FHL_Monthly!$S$7:$S$85,MATCH(D$6,FHL_Monthly!$A$7:$A$85,0)),2)</f>
        <v>0</v>
      </c>
      <c r="E57" s="16" t="n">
        <f aca="false">ROUND(E39-INDEX(FHL_Monthly!$G$7:$G$85,MATCH(E$6,FHL_Monthly!$A$7:$A$85,0)),2)+ROUND(E45-INDEX(FHL_Monthly!$P$7:$P$85,MATCH(E$6,FHL_Monthly!$A$7:$A$85,0)),2)+ROUND(E51-INDEX(FHL_Monthly!$S$7:$S$85,MATCH(E$6,FHL_Monthly!$A$7:$A$85,0)),2)</f>
        <v>0</v>
      </c>
      <c r="F57" s="16" t="n">
        <f aca="false">ROUND(F39-INDEX(FHL_Monthly!$G$7:$G$85,MATCH(F$6,FHL_Monthly!$A$7:$A$85,0)),2)+ROUND(F45-INDEX(FHL_Monthly!$P$7:$P$85,MATCH(F$6,FHL_Monthly!$A$7:$A$85,0)),2)+ROUND(F51-INDEX(FHL_Monthly!$S$7:$S$85,MATCH(F$6,FHL_Monthly!$A$7:$A$85,0)),2)</f>
        <v>0</v>
      </c>
    </row>
    <row r="59" customFormat="false" ht="15" hidden="false" customHeight="false" outlineLevel="0" collapsed="false">
      <c r="A59" s="6" t="s">
        <v>75</v>
      </c>
      <c r="B59" s="7"/>
      <c r="C59" s="7"/>
      <c r="D59" s="7"/>
      <c r="E59" s="7"/>
      <c r="F59" s="7"/>
    </row>
    <row r="60" customFormat="false" ht="15" hidden="false" customHeight="false" outlineLevel="0" collapsed="false">
      <c r="A60" s="9" t="s">
        <v>58</v>
      </c>
      <c r="B60" s="11" t="n">
        <f aca="false">B14+B39</f>
        <v>3000000</v>
      </c>
      <c r="C60" s="11" t="n">
        <f aca="false">C14+C39</f>
        <v>3000000</v>
      </c>
      <c r="D60" s="11" t="n">
        <f aca="false">D14+D39</f>
        <v>1470000</v>
      </c>
      <c r="E60" s="11" t="n">
        <f aca="false">E14+E39</f>
        <v>1470000</v>
      </c>
      <c r="F60" s="11" t="n">
        <f aca="false">F14+F39</f>
        <v>1470000</v>
      </c>
    </row>
    <row r="61" customFormat="false" ht="15" hidden="false" customHeight="false" outlineLevel="0" collapsed="false">
      <c r="A61" s="9" t="s">
        <v>63</v>
      </c>
      <c r="B61" s="11" t="n">
        <f aca="false">B20+B45</f>
        <v>94455.6130005613</v>
      </c>
      <c r="C61" s="11" t="n">
        <f aca="false">C20+C45</f>
        <v>291508.922876712</v>
      </c>
      <c r="D61" s="11" t="n">
        <f aca="false">D20+D45</f>
        <v>358071.853301258</v>
      </c>
      <c r="E61" s="11" t="n">
        <f aca="false">E20+E45</f>
        <v>518898.664173041</v>
      </c>
      <c r="F61" s="11" t="n">
        <f aca="false">F20+F45</f>
        <v>672374.704468931</v>
      </c>
    </row>
    <row r="62" customFormat="false" ht="15" hidden="false" customHeight="false" outlineLevel="0" collapsed="false">
      <c r="A62" s="9" t="s">
        <v>68</v>
      </c>
      <c r="B62" s="11" t="n">
        <f aca="false">B26+B51</f>
        <v>0</v>
      </c>
      <c r="C62" s="11" t="n">
        <f aca="false">C26+C51</f>
        <v>17917.8082191781</v>
      </c>
      <c r="D62" s="11" t="n">
        <f aca="false">D26+D51</f>
        <v>45202.8976824613</v>
      </c>
      <c r="E62" s="11" t="n">
        <f aca="false">E26+E51</f>
        <v>74602.6776061083</v>
      </c>
      <c r="F62" s="11" t="n">
        <f aca="false">F26+F51</f>
        <v>104002.677606108</v>
      </c>
    </row>
    <row r="63" customFormat="false" ht="15" hidden="false" customHeight="false" outlineLevel="0" collapsed="false">
      <c r="A63" s="3" t="s">
        <v>70</v>
      </c>
      <c r="B63" s="13" t="n">
        <f aca="false">B28+B53</f>
        <v>94455.6130005613</v>
      </c>
      <c r="C63" s="13" t="n">
        <f aca="false">C28+C53</f>
        <v>309426.73109589</v>
      </c>
      <c r="D63" s="13" t="n">
        <f aca="false">D28+D53</f>
        <v>403274.750983719</v>
      </c>
      <c r="E63" s="13" t="n">
        <f aca="false">E28+E53</f>
        <v>593501.341779149</v>
      </c>
      <c r="F63" s="13" t="n">
        <f aca="false">F28+F53</f>
        <v>776377.382075039</v>
      </c>
    </row>
    <row r="64" customFormat="false" ht="15" hidden="false" customHeight="false" outlineLevel="0" collapsed="false">
      <c r="A64" s="3" t="s">
        <v>71</v>
      </c>
      <c r="B64" s="14" t="n">
        <f aca="false">B29+B54</f>
        <v>3094455.61300056</v>
      </c>
      <c r="C64" s="14" t="n">
        <f aca="false">C29+C54</f>
        <v>3309426.73109589</v>
      </c>
      <c r="D64" s="14" t="n">
        <f aca="false">D29+D54</f>
        <v>1873274.75098372</v>
      </c>
      <c r="E64" s="14" t="n">
        <f aca="false">E29+E54</f>
        <v>2063501.34177915</v>
      </c>
      <c r="F64" s="14" t="n">
        <f aca="false">F29+F54</f>
        <v>2246377.38207504</v>
      </c>
    </row>
    <row r="65" customFormat="false" ht="15" hidden="false" customHeight="false" outlineLevel="0" collapsed="false">
      <c r="A65" s="3" t="s">
        <v>72</v>
      </c>
      <c r="B65" s="11" t="n">
        <f aca="false">B30+B55</f>
        <v>94455.6130005613</v>
      </c>
      <c r="C65" s="11" t="n">
        <f aca="false">C30+C55</f>
        <v>368774.948095329</v>
      </c>
      <c r="D65" s="11" t="n">
        <f aca="false">D30+D55</f>
        <v>309524.849887828</v>
      </c>
      <c r="E65" s="11" t="n">
        <f aca="false">E30+E55</f>
        <v>190226.59079543</v>
      </c>
      <c r="F65" s="11" t="n">
        <f aca="false">F30+F55</f>
        <v>182876.04029589</v>
      </c>
    </row>
    <row r="66" customFormat="false" ht="15" hidden="false" customHeight="false" outlineLevel="0" collapsed="false">
      <c r="A66" s="9" t="s">
        <v>73</v>
      </c>
      <c r="B66" s="11" t="n">
        <f aca="false">B31+B56</f>
        <v>0</v>
      </c>
      <c r="C66" s="11" t="n">
        <f aca="false">C31+C56</f>
        <v>153803.83</v>
      </c>
      <c r="D66" s="11" t="n">
        <f aca="false">D31+D56</f>
        <v>215676.83</v>
      </c>
      <c r="E66" s="11" t="n">
        <f aca="false">E31+E56</f>
        <v>0</v>
      </c>
      <c r="F66" s="11" t="n">
        <f aca="false">F31+F56</f>
        <v>0</v>
      </c>
    </row>
    <row r="68" customFormat="false" ht="15" hidden="false" customHeight="false" outlineLevel="0" collapsed="false">
      <c r="A68" s="6" t="s">
        <v>76</v>
      </c>
      <c r="B68" s="7"/>
      <c r="C68" s="7"/>
      <c r="D68" s="7"/>
      <c r="E68" s="7"/>
      <c r="F68" s="7"/>
    </row>
    <row r="69" customFormat="false" ht="15" hidden="false" customHeight="false" outlineLevel="0" collapsed="false">
      <c r="A69" s="9" t="s">
        <v>77</v>
      </c>
      <c r="B69" s="11" t="n">
        <v>0</v>
      </c>
      <c r="C69" s="11" t="n">
        <f aca="false">B72</f>
        <v>0</v>
      </c>
      <c r="D69" s="11" t="n">
        <f aca="false">C72</f>
        <v>0</v>
      </c>
      <c r="E69" s="11" t="n">
        <f aca="false">D72</f>
        <v>1745676.83</v>
      </c>
      <c r="F69" s="11" t="n">
        <f aca="false">E72</f>
        <v>1745676.83</v>
      </c>
    </row>
    <row r="70" customFormat="false" ht="15" hidden="false" customHeight="false" outlineLevel="0" collapsed="false">
      <c r="A70" s="9" t="s">
        <v>78</v>
      </c>
      <c r="B70" s="10" t="n">
        <f aca="false">SUMIFS(Cash_Events!$G$6:$G$20,Cash_Events!$D$6:$D$20,"800S",Cash_Events!$B$6:$B$20,"&gt;="&amp;B$5,Cash_Events!$B$6:$B$20,"&lt;="&amp;B$6)</f>
        <v>0</v>
      </c>
      <c r="C70" s="10" t="n">
        <f aca="false">SUMIFS(Cash_Events!$G$6:$G$20,Cash_Events!$D$6:$D$20,"800S",Cash_Events!$B$6:$B$20,"&gt;="&amp;C$5,Cash_Events!$B$6:$B$20,"&lt;="&amp;C$6)</f>
        <v>0</v>
      </c>
      <c r="D70" s="10" t="n">
        <f aca="false">SUMIFS(Cash_Events!$G$6:$G$20,Cash_Events!$D$6:$D$20,"800S",Cash_Events!$B$6:$B$20,"&gt;="&amp;D$5,Cash_Events!$B$6:$B$20,"&lt;="&amp;D$6)</f>
        <v>1530000</v>
      </c>
      <c r="E70" s="10" t="n">
        <f aca="false">SUMIFS(Cash_Events!$G$6:$G$20,Cash_Events!$D$6:$D$20,"800S",Cash_Events!$B$6:$B$20,"&gt;="&amp;E$5,Cash_Events!$B$6:$B$20,"&lt;="&amp;E$6)</f>
        <v>0</v>
      </c>
      <c r="F70" s="10" t="n">
        <f aca="false">SUMIFS(Cash_Events!$G$6:$G$20,Cash_Events!$D$6:$D$20,"800S",Cash_Events!$B$6:$B$20,"&gt;="&amp;F$5,Cash_Events!$B$6:$B$20,"&lt;="&amp;F$6)</f>
        <v>0</v>
      </c>
    </row>
    <row r="71" customFormat="false" ht="15" hidden="false" customHeight="false" outlineLevel="0" collapsed="false">
      <c r="A71" s="9" t="s">
        <v>79</v>
      </c>
      <c r="B71" s="10" t="n">
        <f aca="false">SUMIFS(Cash_Events!$H$6:$H$20,Cash_Events!$D$6:$D$20,"800S",Cash_Events!$B$6:$B$20,"&gt;="&amp;B$5,Cash_Events!$B$6:$B$20,"&lt;="&amp;B$6)+SUMIFS(Cash_Events!$I$6:$I$20,Cash_Events!$D$6:$D$20,"800S",Cash_Events!$B$6:$B$20,"&gt;="&amp;B$5,Cash_Events!$B$6:$B$20,"&lt;="&amp;B$6)</f>
        <v>0</v>
      </c>
      <c r="C71" s="10" t="n">
        <f aca="false">SUMIFS(Cash_Events!$H$6:$H$20,Cash_Events!$D$6:$D$20,"800S",Cash_Events!$B$6:$B$20,"&gt;="&amp;C$5,Cash_Events!$B$6:$B$20,"&lt;="&amp;C$6)+SUMIFS(Cash_Events!$I$6:$I$20,Cash_Events!$D$6:$D$20,"800S",Cash_Events!$B$6:$B$20,"&gt;="&amp;C$5,Cash_Events!$B$6:$B$20,"&lt;="&amp;C$6)</f>
        <v>0</v>
      </c>
      <c r="D71" s="10" t="n">
        <f aca="false">SUMIFS(Cash_Events!$H$6:$H$20,Cash_Events!$D$6:$D$20,"800S",Cash_Events!$B$6:$B$20,"&gt;="&amp;D$5,Cash_Events!$B$6:$B$20,"&lt;="&amp;D$6)+SUMIFS(Cash_Events!$I$6:$I$20,Cash_Events!$D$6:$D$20,"800S",Cash_Events!$B$6:$B$20,"&gt;="&amp;D$5,Cash_Events!$B$6:$B$20,"&lt;="&amp;D$6)</f>
        <v>215676.83</v>
      </c>
      <c r="E71" s="10" t="n">
        <f aca="false">SUMIFS(Cash_Events!$H$6:$H$20,Cash_Events!$D$6:$D$20,"800S",Cash_Events!$B$6:$B$20,"&gt;="&amp;E$5,Cash_Events!$B$6:$B$20,"&lt;="&amp;E$6)+SUMIFS(Cash_Events!$I$6:$I$20,Cash_Events!$D$6:$D$20,"800S",Cash_Events!$B$6:$B$20,"&gt;="&amp;E$5,Cash_Events!$B$6:$B$20,"&lt;="&amp;E$6)</f>
        <v>0</v>
      </c>
      <c r="F71" s="10" t="n">
        <f aca="false">SUMIFS(Cash_Events!$H$6:$H$20,Cash_Events!$D$6:$D$20,"800S",Cash_Events!$B$6:$B$20,"&gt;="&amp;F$5,Cash_Events!$B$6:$B$20,"&lt;="&amp;F$6)+SUMIFS(Cash_Events!$I$6:$I$20,Cash_Events!$D$6:$D$20,"800S",Cash_Events!$B$6:$B$20,"&gt;="&amp;F$5,Cash_Events!$B$6:$B$20,"&lt;="&amp;F$6)</f>
        <v>0</v>
      </c>
    </row>
    <row r="72" customFormat="false" ht="15" hidden="false" customHeight="false" outlineLevel="0" collapsed="false">
      <c r="A72" s="3" t="s">
        <v>80</v>
      </c>
      <c r="B72" s="12" t="n">
        <f aca="false">SUM(B69:B71)</f>
        <v>0</v>
      </c>
      <c r="C72" s="12" t="n">
        <f aca="false">SUM(C69:C71)</f>
        <v>0</v>
      </c>
      <c r="D72" s="12" t="n">
        <f aca="false">SUM(D69:D71)</f>
        <v>1745676.83</v>
      </c>
      <c r="E72" s="12" t="n">
        <f aca="false">SUM(E69:E71)</f>
        <v>1745676.83</v>
      </c>
      <c r="F72" s="12" t="n">
        <f aca="false">SUM(F69:F71)</f>
        <v>1745676.83</v>
      </c>
    </row>
    <row r="74" customFormat="false" ht="15" hidden="false" customHeight="false" outlineLevel="0" collapsed="false">
      <c r="A74" s="6" t="s">
        <v>81</v>
      </c>
      <c r="B74" s="7"/>
      <c r="C74" s="7"/>
      <c r="D74" s="7"/>
      <c r="E74" s="7"/>
      <c r="F74" s="7"/>
    </row>
    <row r="75" customFormat="false" ht="15" hidden="false" customHeight="false" outlineLevel="0" collapsed="false">
      <c r="A75" s="9" t="s">
        <v>82</v>
      </c>
      <c r="B75" s="11" t="n">
        <f aca="false">B64</f>
        <v>3094455.61300056</v>
      </c>
      <c r="C75" s="11" t="n">
        <f aca="false">C64</f>
        <v>3309426.73109589</v>
      </c>
      <c r="D75" s="11" t="n">
        <f aca="false">D64</f>
        <v>1873274.75098372</v>
      </c>
      <c r="E75" s="11" t="n">
        <f aca="false">E64</f>
        <v>2063501.34177915</v>
      </c>
      <c r="F75" s="11" t="n">
        <f aca="false">F64</f>
        <v>2246377.38207504</v>
      </c>
    </row>
    <row r="76" customFormat="false" ht="15" hidden="false" customHeight="false" outlineLevel="0" collapsed="false">
      <c r="A76" s="9" t="s">
        <v>83</v>
      </c>
      <c r="B76" s="11" t="n">
        <f aca="false">B72</f>
        <v>0</v>
      </c>
      <c r="C76" s="11" t="n">
        <f aca="false">C72</f>
        <v>0</v>
      </c>
      <c r="D76" s="11" t="n">
        <f aca="false">D72</f>
        <v>1745676.83</v>
      </c>
      <c r="E76" s="11" t="n">
        <f aca="false">E72</f>
        <v>1745676.83</v>
      </c>
      <c r="F76" s="11" t="n">
        <f aca="false">F72</f>
        <v>1745676.83</v>
      </c>
    </row>
    <row r="77" customFormat="false" ht="15" hidden="false" customHeight="false" outlineLevel="0" collapsed="false">
      <c r="A77" s="3" t="s">
        <v>84</v>
      </c>
      <c r="B77" s="22" t="n">
        <f aca="false">B75+B76</f>
        <v>3094455.61300056</v>
      </c>
      <c r="C77" s="22" t="n">
        <f aca="false">C75+C76</f>
        <v>3309426.73109589</v>
      </c>
      <c r="D77" s="22" t="n">
        <f aca="false">D75+D76</f>
        <v>3618951.58098372</v>
      </c>
      <c r="E77" s="22" t="n">
        <f aca="false">E75+E76</f>
        <v>3809178.17177915</v>
      </c>
      <c r="F77" s="22" t="n">
        <f aca="false">F75+F76</f>
        <v>3992054.21207504</v>
      </c>
    </row>
    <row r="79" customFormat="false" ht="15" hidden="false" customHeight="false" outlineLevel="0" collapsed="false">
      <c r="A79" s="2" t="s">
        <v>85</v>
      </c>
    </row>
    <row r="80" customFormat="false" ht="15" hidden="false" customHeight="false" outlineLevel="0" collapsed="false">
      <c r="A80" s="2" t="s">
        <v>86</v>
      </c>
    </row>
    <row r="81" customFormat="false" ht="15" hidden="false" customHeight="false" outlineLevel="0" collapsed="false">
      <c r="A81" s="2" t="s">
        <v>87</v>
      </c>
    </row>
    <row r="82" customFormat="false" ht="15" hidden="false" customHeight="false" outlineLevel="0" collapsed="false">
      <c r="A82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75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60"/>
  </cols>
  <sheetData>
    <row r="1" customFormat="false" ht="18" hidden="false" customHeight="tru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6" t="s">
        <v>91</v>
      </c>
      <c r="B4" s="7"/>
      <c r="C4" s="7"/>
      <c r="D4" s="7"/>
    </row>
    <row r="5" customFormat="false" ht="30" hidden="false" customHeight="true" outlineLevel="0" collapsed="false">
      <c r="A5" s="8" t="s">
        <v>92</v>
      </c>
      <c r="B5" s="8" t="s">
        <v>6</v>
      </c>
      <c r="C5" s="8" t="s">
        <v>7</v>
      </c>
      <c r="D5" s="8" t="s">
        <v>93</v>
      </c>
    </row>
    <row r="6" customFormat="false" ht="15" hidden="false" customHeight="false" outlineLevel="0" collapsed="false">
      <c r="A6" s="9" t="s">
        <v>94</v>
      </c>
      <c r="B6" s="23" t="s">
        <v>95</v>
      </c>
      <c r="C6" s="23" t="s">
        <v>96</v>
      </c>
      <c r="D6" s="2" t="s">
        <v>97</v>
      </c>
    </row>
    <row r="7" customFormat="false" ht="15" hidden="false" customHeight="false" outlineLevel="0" collapsed="false">
      <c r="A7" s="9" t="s">
        <v>98</v>
      </c>
      <c r="B7" s="20" t="n">
        <v>44811</v>
      </c>
      <c r="C7" s="20" t="n">
        <v>44811</v>
      </c>
      <c r="D7" s="2" t="s">
        <v>99</v>
      </c>
    </row>
    <row r="8" customFormat="false" ht="15" hidden="false" customHeight="false" outlineLevel="0" collapsed="false">
      <c r="A8" s="9" t="s">
        <v>100</v>
      </c>
      <c r="B8" s="20" t="n">
        <v>44813</v>
      </c>
      <c r="C8" s="20" t="n">
        <v>44813</v>
      </c>
      <c r="D8" s="2" t="s">
        <v>101</v>
      </c>
    </row>
    <row r="9" customFormat="false" ht="15" hidden="false" customHeight="false" outlineLevel="0" collapsed="false">
      <c r="A9" s="9" t="s">
        <v>102</v>
      </c>
      <c r="B9" s="24" t="n">
        <v>1500000</v>
      </c>
      <c r="C9" s="24" t="n">
        <v>1500000</v>
      </c>
      <c r="D9" s="2" t="s">
        <v>103</v>
      </c>
    </row>
    <row r="10" customFormat="false" ht="15" hidden="false" customHeight="false" outlineLevel="0" collapsed="false">
      <c r="A10" s="9" t="s">
        <v>104</v>
      </c>
      <c r="B10" s="25" t="n">
        <v>0.0675</v>
      </c>
      <c r="C10" s="25" t="n">
        <v>0.0675</v>
      </c>
      <c r="D10" s="2" t="s">
        <v>105</v>
      </c>
    </row>
    <row r="11" customFormat="false" ht="15" hidden="false" customHeight="false" outlineLevel="0" collapsed="false">
      <c r="A11" s="9" t="s">
        <v>106</v>
      </c>
      <c r="B11" s="25" t="n">
        <v>0.02</v>
      </c>
      <c r="C11" s="25" t="n">
        <v>0.02</v>
      </c>
      <c r="D11" s="2" t="s">
        <v>107</v>
      </c>
    </row>
    <row r="12" customFormat="false" ht="15" hidden="false" customHeight="false" outlineLevel="0" collapsed="false">
      <c r="A12" s="9" t="s">
        <v>108</v>
      </c>
      <c r="B12" s="23" t="s">
        <v>109</v>
      </c>
      <c r="C12" s="23" t="s">
        <v>109</v>
      </c>
      <c r="D12" s="2" t="s">
        <v>110</v>
      </c>
    </row>
    <row r="13" customFormat="false" ht="15" hidden="false" customHeight="false" outlineLevel="0" collapsed="false">
      <c r="A13" s="9" t="s">
        <v>111</v>
      </c>
      <c r="B13" s="20" t="n">
        <v>45180</v>
      </c>
      <c r="C13" s="20" t="n">
        <v>45184</v>
      </c>
      <c r="D13" s="2" t="s">
        <v>112</v>
      </c>
    </row>
    <row r="14" customFormat="false" ht="15" hidden="false" customHeight="false" outlineLevel="0" collapsed="false">
      <c r="A14" s="9" t="s">
        <v>113</v>
      </c>
      <c r="B14" s="24" t="n">
        <v>1485000</v>
      </c>
      <c r="C14" s="24" t="n">
        <v>1499970</v>
      </c>
      <c r="D14" s="2" t="s">
        <v>114</v>
      </c>
    </row>
    <row r="16" customFormat="false" ht="15" hidden="false" customHeight="false" outlineLevel="0" collapsed="false">
      <c r="A16" s="6" t="s">
        <v>115</v>
      </c>
      <c r="B16" s="7"/>
      <c r="C16" s="7"/>
      <c r="D16" s="7"/>
    </row>
    <row r="17" customFormat="false" ht="30" hidden="false" customHeight="true" outlineLevel="0" collapsed="false">
      <c r="A17" s="8" t="s">
        <v>92</v>
      </c>
      <c r="B17" s="8" t="s">
        <v>116</v>
      </c>
      <c r="C17" s="8"/>
      <c r="D17" s="8" t="s">
        <v>93</v>
      </c>
    </row>
    <row r="18" customFormat="false" ht="15" hidden="false" customHeight="false" outlineLevel="0" collapsed="false">
      <c r="A18" s="9" t="s">
        <v>117</v>
      </c>
      <c r="B18" s="26" t="n">
        <v>46300</v>
      </c>
      <c r="D18" s="2" t="s">
        <v>118</v>
      </c>
    </row>
    <row r="19" customFormat="false" ht="15" hidden="false" customHeight="false" outlineLevel="0" collapsed="false">
      <c r="A19" s="9" t="s">
        <v>119</v>
      </c>
      <c r="B19" s="26" t="n">
        <v>46203</v>
      </c>
      <c r="D19" s="2" t="s">
        <v>120</v>
      </c>
    </row>
    <row r="20" customFormat="false" ht="15" hidden="false" customHeight="false" outlineLevel="0" collapsed="false">
      <c r="A20" s="9" t="s">
        <v>121</v>
      </c>
      <c r="B20" s="27" t="n">
        <v>1</v>
      </c>
      <c r="D20" s="2" t="s">
        <v>122</v>
      </c>
    </row>
    <row r="21" customFormat="false" ht="15" hidden="false" customHeight="false" outlineLevel="0" collapsed="false">
      <c r="A21" s="9" t="s">
        <v>123</v>
      </c>
      <c r="B21" s="26" t="n">
        <v>47208</v>
      </c>
      <c r="D21" s="2" t="s">
        <v>124</v>
      </c>
    </row>
    <row r="23" customFormat="false" ht="15" hidden="false" customHeight="false" outlineLevel="0" collapsed="false">
      <c r="A23" s="6" t="s">
        <v>125</v>
      </c>
      <c r="B23" s="7"/>
      <c r="C23" s="7"/>
      <c r="D23" s="7"/>
    </row>
    <row r="24" customFormat="false" ht="30" hidden="false" customHeight="true" outlineLevel="0" collapsed="false">
      <c r="A24" s="8" t="s">
        <v>126</v>
      </c>
      <c r="B24" s="8" t="s">
        <v>6</v>
      </c>
      <c r="C24" s="8" t="s">
        <v>7</v>
      </c>
      <c r="D24" s="8" t="s">
        <v>93</v>
      </c>
    </row>
    <row r="25" customFormat="false" ht="15" hidden="false" customHeight="false" outlineLevel="0" collapsed="false">
      <c r="A25" s="9" t="s">
        <v>127</v>
      </c>
      <c r="B25" s="24" t="n">
        <v>342674.23</v>
      </c>
      <c r="C25" s="24" t="n">
        <v>341914.87</v>
      </c>
      <c r="D25" s="2" t="s">
        <v>128</v>
      </c>
    </row>
    <row r="26" customFormat="false" ht="15" hidden="false" customHeight="false" outlineLevel="0" collapsed="false">
      <c r="A26" s="9" t="s">
        <v>129</v>
      </c>
      <c r="B26" s="24" t="n">
        <v>298024.552348473</v>
      </c>
      <c r="C26" s="24" t="n">
        <v>297382.698021828</v>
      </c>
      <c r="D26" s="2" t="s">
        <v>130</v>
      </c>
    </row>
    <row r="27" customFormat="false" ht="15" hidden="false" customHeight="false" outlineLevel="0" collapsed="false">
      <c r="A27" s="9" t="s">
        <v>131</v>
      </c>
      <c r="B27" s="24" t="n">
        <v>44649.6814057938</v>
      </c>
      <c r="C27" s="24" t="n">
        <v>44532.1742825062</v>
      </c>
      <c r="D27" s="2" t="s">
        <v>132</v>
      </c>
    </row>
    <row r="28" customFormat="false" ht="15" hidden="false" customHeight="false" outlineLevel="0" collapsed="false">
      <c r="A28" s="9" t="s">
        <v>133</v>
      </c>
      <c r="B28" s="24" t="n">
        <v>593262.138377555</v>
      </c>
      <c r="C28" s="24" t="n">
        <v>592670.547222142</v>
      </c>
      <c r="D28" s="2" t="s">
        <v>134</v>
      </c>
    </row>
    <row r="29" customFormat="false" ht="15" hidden="false" customHeight="false" outlineLevel="0" collapsed="false">
      <c r="A29" s="9" t="s">
        <v>135</v>
      </c>
      <c r="B29" s="24" t="n">
        <v>91458.5695890411</v>
      </c>
      <c r="C29" s="24" t="n">
        <v>90529.7391780822</v>
      </c>
      <c r="D29" s="2" t="s">
        <v>136</v>
      </c>
    </row>
    <row r="30" customFormat="false" ht="15" hidden="false" customHeight="false" outlineLevel="0" collapsed="false">
      <c r="A30" s="9" t="s">
        <v>137</v>
      </c>
      <c r="B30" s="24" t="n">
        <v>9019.22</v>
      </c>
      <c r="C30" s="24" t="n">
        <v>7504.76</v>
      </c>
      <c r="D30" s="2" t="s">
        <v>138</v>
      </c>
    </row>
    <row r="31" customFormat="false" ht="15" hidden="false" customHeight="false" outlineLevel="0" collapsed="false">
      <c r="A31" s="9" t="s">
        <v>139</v>
      </c>
      <c r="B31" s="24" t="n">
        <v>8687.9</v>
      </c>
      <c r="C31" s="24" t="n">
        <v>8476.64</v>
      </c>
      <c r="D31" s="2" t="s">
        <v>140</v>
      </c>
    </row>
    <row r="32" customFormat="false" ht="15" hidden="false" customHeight="false" outlineLevel="0" collapsed="false">
      <c r="A32" s="9" t="s">
        <v>141</v>
      </c>
      <c r="B32" s="24" t="n">
        <v>278999</v>
      </c>
      <c r="C32" s="24" t="n">
        <v>278342</v>
      </c>
      <c r="D32" s="2" t="s">
        <v>142</v>
      </c>
    </row>
    <row r="33" customFormat="false" ht="15" hidden="false" customHeight="false" outlineLevel="0" collapsed="false">
      <c r="A33" s="9" t="s">
        <v>143</v>
      </c>
      <c r="B33" s="24" t="n">
        <v>40985</v>
      </c>
      <c r="C33" s="24" t="n">
        <v>40867</v>
      </c>
      <c r="D33" s="2" t="s">
        <v>144</v>
      </c>
    </row>
    <row r="34" customFormat="false" ht="15" hidden="false" customHeight="false" outlineLevel="0" collapsed="false">
      <c r="A34" s="9" t="s">
        <v>145</v>
      </c>
      <c r="B34" s="24" t="n">
        <v>456652.95</v>
      </c>
      <c r="D34" s="2" t="s">
        <v>146</v>
      </c>
    </row>
    <row r="35" customFormat="false" ht="15" hidden="false" customHeight="false" outlineLevel="0" collapsed="false">
      <c r="A35" s="9" t="s">
        <v>147</v>
      </c>
      <c r="B35" s="24" t="n">
        <v>63003.77</v>
      </c>
      <c r="D35" s="2" t="s">
        <v>148</v>
      </c>
    </row>
    <row r="36" customFormat="false" ht="15" hidden="false" customHeight="false" outlineLevel="0" collapsed="false">
      <c r="A36" s="9" t="s">
        <v>149</v>
      </c>
      <c r="B36" s="24" t="n">
        <v>1745676.83</v>
      </c>
      <c r="D36" s="2" t="s">
        <v>150</v>
      </c>
    </row>
    <row r="38" customFormat="false" ht="15" hidden="false" customHeight="false" outlineLevel="0" collapsed="false">
      <c r="A38" s="6" t="s">
        <v>151</v>
      </c>
      <c r="B38" s="7"/>
      <c r="C38" s="7"/>
      <c r="D38" s="7"/>
      <c r="E38" s="7"/>
      <c r="F38" s="7"/>
      <c r="G38" s="7"/>
      <c r="H38" s="7"/>
      <c r="I38" s="7"/>
    </row>
    <row r="39" customFormat="false" ht="31.5" hidden="false" customHeight="true" outlineLevel="0" collapsed="false">
      <c r="A39" s="8" t="s">
        <v>152</v>
      </c>
      <c r="B39" s="8" t="s">
        <v>153</v>
      </c>
      <c r="C39" s="8" t="s">
        <v>154</v>
      </c>
      <c r="D39" s="8" t="s">
        <v>155</v>
      </c>
      <c r="E39" s="8"/>
      <c r="F39" s="8" t="s">
        <v>156</v>
      </c>
      <c r="G39" s="8" t="s">
        <v>153</v>
      </c>
      <c r="H39" s="8" t="s">
        <v>154</v>
      </c>
      <c r="I39" s="8" t="s">
        <v>155</v>
      </c>
    </row>
    <row r="40" customFormat="false" ht="15" hidden="false" customHeight="false" outlineLevel="0" collapsed="false">
      <c r="A40" s="20" t="n">
        <v>44813</v>
      </c>
      <c r="B40" s="28" t="n">
        <f aca="false">Cash_Events!F6*365/(B9*(Cash_Events!L6-B8))-B10</f>
        <v>0.034199997053407</v>
      </c>
      <c r="C40" s="29" t="n">
        <f aca="false">B40+$B$10</f>
        <v>0.101699997053407</v>
      </c>
      <c r="D40" s="2" t="s">
        <v>157</v>
      </c>
      <c r="F40" s="20" t="n">
        <v>44813</v>
      </c>
      <c r="G40" s="28" t="n">
        <f aca="false">Cash_Events!F7*365/(C9*(Cash_Events!L7-C8))-C10</f>
        <v>0.034199995543672</v>
      </c>
      <c r="H40" s="29" t="n">
        <f aca="false">G40+$C$10</f>
        <v>0.101699995543672</v>
      </c>
      <c r="I40" s="2" t="s">
        <v>158</v>
      </c>
    </row>
    <row r="41" customFormat="false" ht="15" hidden="false" customHeight="false" outlineLevel="0" collapsed="false">
      <c r="A41" s="20" t="n">
        <v>44994</v>
      </c>
      <c r="B41" s="30" t="n">
        <v>0.0521501</v>
      </c>
      <c r="C41" s="29" t="n">
        <f aca="false">B41+$B$10</f>
        <v>0.1196501</v>
      </c>
      <c r="D41" s="2" t="s">
        <v>159</v>
      </c>
      <c r="F41" s="20" t="n">
        <v>45000</v>
      </c>
      <c r="G41" s="30" t="n">
        <v>0.0522223</v>
      </c>
      <c r="H41" s="29" t="n">
        <f aca="false">G41+$C$10</f>
        <v>0.1197223</v>
      </c>
      <c r="I41" s="2" t="s">
        <v>160</v>
      </c>
    </row>
    <row r="42" customFormat="false" ht="15" hidden="false" customHeight="false" outlineLevel="0" collapsed="false">
      <c r="A42" s="20" t="n">
        <v>45180</v>
      </c>
      <c r="B42" s="30" t="n">
        <v>0.0547601</v>
      </c>
      <c r="C42" s="29" t="n">
        <f aca="false">B42+$B$10</f>
        <v>0.1222601</v>
      </c>
      <c r="D42" s="2" t="s">
        <v>161</v>
      </c>
      <c r="F42" s="20" t="n">
        <v>45184</v>
      </c>
      <c r="G42" s="30" t="n">
        <v>0.054735</v>
      </c>
      <c r="H42" s="29" t="n">
        <f aca="false">G42+$C$10</f>
        <v>0.122235</v>
      </c>
      <c r="I42" s="2" t="s">
        <v>162</v>
      </c>
    </row>
    <row r="43" customFormat="false" ht="15" hidden="false" customHeight="false" outlineLevel="0" collapsed="false">
      <c r="A43" s="20" t="n">
        <v>45362</v>
      </c>
      <c r="B43" s="30" t="n">
        <v>0.0523565</v>
      </c>
      <c r="C43" s="29" t="n">
        <f aca="false">B43+$B$10</f>
        <v>0.1198565</v>
      </c>
      <c r="D43" s="2" t="s">
        <v>163</v>
      </c>
      <c r="F43" s="20" t="n">
        <v>45366</v>
      </c>
      <c r="G43" s="30" t="n">
        <v>0.0525075</v>
      </c>
      <c r="H43" s="29" t="n">
        <f aca="false">G43+$C$10</f>
        <v>0.1200075</v>
      </c>
      <c r="I43" s="2" t="s">
        <v>164</v>
      </c>
    </row>
    <row r="44" customFormat="false" ht="15" hidden="false" customHeight="false" outlineLevel="0" collapsed="false">
      <c r="A44" s="20" t="n">
        <v>45544</v>
      </c>
      <c r="B44" s="30" t="n">
        <v>0.0461541</v>
      </c>
      <c r="C44" s="29" t="n">
        <f aca="false">B44+$B$10</f>
        <v>0.1136541</v>
      </c>
      <c r="D44" s="2" t="s">
        <v>165</v>
      </c>
      <c r="F44" s="20" t="n">
        <v>45551</v>
      </c>
      <c r="G44" s="30" t="n">
        <v>0.0457048</v>
      </c>
      <c r="H44" s="29" t="n">
        <f aca="false">G44+$C$10</f>
        <v>0.1132048</v>
      </c>
      <c r="I44" s="2" t="s">
        <v>166</v>
      </c>
    </row>
    <row r="45" customFormat="false" ht="15" hidden="false" customHeight="false" outlineLevel="0" collapsed="false">
      <c r="A45" s="20" t="n">
        <v>45726</v>
      </c>
      <c r="B45" s="30" t="n">
        <v>0.0419027</v>
      </c>
      <c r="C45" s="29" t="n">
        <f aca="false">B45+$B$10</f>
        <v>0.1094027</v>
      </c>
      <c r="D45" s="2" t="s">
        <v>167</v>
      </c>
      <c r="F45" s="20" t="n">
        <v>45733</v>
      </c>
      <c r="G45" s="30" t="n">
        <v>0.0420238</v>
      </c>
      <c r="H45" s="29" t="n">
        <f aca="false">G45+$C$10</f>
        <v>0.1095238</v>
      </c>
      <c r="I45" s="2" t="s">
        <v>167</v>
      </c>
    </row>
    <row r="46" customFormat="false" ht="15" hidden="false" customHeight="false" outlineLevel="0" collapsed="false">
      <c r="A46" s="20" t="n">
        <v>45909</v>
      </c>
      <c r="B46" s="30" t="n">
        <v>0.0396676</v>
      </c>
      <c r="C46" s="29" t="n">
        <f aca="false">B46+$B$10</f>
        <v>0.1071676</v>
      </c>
      <c r="D46" s="2" t="s">
        <v>167</v>
      </c>
      <c r="F46" s="20" t="n">
        <v>45915</v>
      </c>
      <c r="G46" s="30" t="n">
        <v>0.0386433</v>
      </c>
      <c r="H46" s="29" t="n">
        <f aca="false">G46+$C$10</f>
        <v>0.1061433</v>
      </c>
      <c r="I46" s="2" t="s">
        <v>167</v>
      </c>
    </row>
    <row r="47" customFormat="false" ht="15" hidden="false" customHeight="false" outlineLevel="0" collapsed="false">
      <c r="A47" s="20" t="n">
        <v>46090</v>
      </c>
      <c r="B47" s="30" t="n">
        <v>0.0363225</v>
      </c>
      <c r="C47" s="29" t="n">
        <f aca="false">B47+$B$10</f>
        <v>0.1038225</v>
      </c>
      <c r="D47" s="2" t="s">
        <v>167</v>
      </c>
      <c r="F47" s="20" t="n">
        <v>46097</v>
      </c>
      <c r="G47" s="30" t="n">
        <v>0.0364054</v>
      </c>
      <c r="H47" s="29" t="n">
        <f aca="false">G47+$C$10</f>
        <v>0.1039054</v>
      </c>
      <c r="I47" s="2" t="s">
        <v>167</v>
      </c>
    </row>
    <row r="48" customFormat="false" ht="15" hidden="false" customHeight="false" outlineLevel="0" collapsed="false">
      <c r="A48" s="20" t="n">
        <v>46274</v>
      </c>
      <c r="B48" s="31" t="n">
        <f aca="false">B47</f>
        <v>0.0363225</v>
      </c>
      <c r="C48" s="29" t="n">
        <f aca="false">B48+$B$10</f>
        <v>0.1038225</v>
      </c>
      <c r="D48" s="2" t="s">
        <v>168</v>
      </c>
      <c r="F48" s="20" t="n">
        <v>46280</v>
      </c>
      <c r="G48" s="31" t="n">
        <f aca="false">G47</f>
        <v>0.0364054</v>
      </c>
      <c r="H48" s="29" t="n">
        <f aca="false">G48+$C$10</f>
        <v>0.1039054</v>
      </c>
      <c r="I48" s="2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6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42"/>
    <col collapsed="false" customWidth="true" hidden="false" outlineLevel="0" max="12" min="12" style="0" width="13"/>
    <col collapsed="false" customWidth="true" hidden="false" outlineLevel="0" max="13" min="13" style="0" width="12"/>
  </cols>
  <sheetData>
    <row r="1" customFormat="false" ht="18" hidden="false" customHeight="tru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3" customFormat="false" ht="15" hidden="false" customHeight="false" outlineLevel="0" collapsed="false">
      <c r="A3" s="2" t="s">
        <v>171</v>
      </c>
    </row>
    <row r="5" customFormat="false" ht="33.75" hidden="false" customHeight="true" outlineLevel="0" collapsed="false">
      <c r="A5" s="8" t="s">
        <v>172</v>
      </c>
      <c r="B5" s="8" t="s">
        <v>173</v>
      </c>
      <c r="C5" s="8" t="s">
        <v>174</v>
      </c>
      <c r="D5" s="8" t="s">
        <v>175</v>
      </c>
      <c r="E5" s="8" t="s">
        <v>176</v>
      </c>
      <c r="F5" s="8" t="s">
        <v>177</v>
      </c>
      <c r="G5" s="8" t="s">
        <v>54</v>
      </c>
      <c r="H5" s="8" t="s">
        <v>178</v>
      </c>
      <c r="I5" s="8" t="s">
        <v>179</v>
      </c>
      <c r="J5" s="8" t="s">
        <v>180</v>
      </c>
      <c r="K5" s="8" t="s">
        <v>181</v>
      </c>
      <c r="L5" s="8" t="s">
        <v>182</v>
      </c>
      <c r="M5" s="8" t="s">
        <v>183</v>
      </c>
    </row>
    <row r="6" customFormat="false" ht="15" hidden="false" customHeight="false" outlineLevel="0" collapsed="false">
      <c r="A6" s="9" t="n">
        <v>1</v>
      </c>
      <c r="B6" s="20" t="n">
        <v>44992</v>
      </c>
      <c r="C6" s="23" t="s">
        <v>6</v>
      </c>
      <c r="D6" s="23" t="s">
        <v>184</v>
      </c>
      <c r="E6" s="23" t="s">
        <v>185</v>
      </c>
      <c r="F6" s="24" t="n">
        <v>75648.08</v>
      </c>
      <c r="G6" s="24" t="n">
        <v>0</v>
      </c>
      <c r="H6" s="11" t="n">
        <f aca="false">F6-G6-I6</f>
        <v>75648.08</v>
      </c>
      <c r="I6" s="24" t="n">
        <v>0</v>
      </c>
      <c r="J6" s="11" t="n">
        <f aca="false">ROUND(F6-G6-H6-I6,2)</f>
        <v>0</v>
      </c>
      <c r="K6" s="2" t="s">
        <v>186</v>
      </c>
      <c r="L6" s="20" t="n">
        <v>44994</v>
      </c>
      <c r="M6" s="32" t="n">
        <f aca="false">IF(B6="","",EOMONTH(B6,0))</f>
        <v>45016</v>
      </c>
    </row>
    <row r="7" customFormat="false" ht="15" hidden="false" customHeight="false" outlineLevel="0" collapsed="false">
      <c r="A7" s="9" t="n">
        <v>2</v>
      </c>
      <c r="B7" s="20" t="n">
        <v>44992</v>
      </c>
      <c r="C7" s="23" t="s">
        <v>7</v>
      </c>
      <c r="D7" s="23" t="s">
        <v>184</v>
      </c>
      <c r="E7" s="23" t="s">
        <v>187</v>
      </c>
      <c r="F7" s="24" t="n">
        <v>78155.75</v>
      </c>
      <c r="G7" s="24" t="n">
        <v>0</v>
      </c>
      <c r="H7" s="11" t="n">
        <f aca="false">F7-G7-I7</f>
        <v>78155.75</v>
      </c>
      <c r="I7" s="24" t="n">
        <v>0</v>
      </c>
      <c r="J7" s="11" t="n">
        <f aca="false">ROUND(F7-G7-H7-I7,2)</f>
        <v>0</v>
      </c>
      <c r="K7" s="2" t="s">
        <v>188</v>
      </c>
      <c r="L7" s="20" t="n">
        <v>45000</v>
      </c>
      <c r="M7" s="32" t="n">
        <f aca="false">IF(B7="","",EOMONTH(B7,0))</f>
        <v>45016</v>
      </c>
    </row>
    <row r="8" customFormat="false" ht="15" hidden="false" customHeight="false" outlineLevel="0" collapsed="false">
      <c r="A8" s="9" t="n">
        <v>3</v>
      </c>
      <c r="B8" s="20" t="n">
        <v>45456</v>
      </c>
      <c r="C8" s="23" t="s">
        <v>6</v>
      </c>
      <c r="D8" s="23" t="s">
        <v>189</v>
      </c>
      <c r="E8" s="23" t="s">
        <v>190</v>
      </c>
      <c r="F8" s="24" t="n">
        <v>108002.4</v>
      </c>
      <c r="G8" s="24" t="n">
        <v>0</v>
      </c>
      <c r="H8" s="11" t="n">
        <f aca="false">F8-G8-I8</f>
        <v>99314.5</v>
      </c>
      <c r="I8" s="10" t="n">
        <f aca="false">Inputs!B31</f>
        <v>8687.9</v>
      </c>
      <c r="J8" s="11" t="n">
        <f aca="false">ROUND(F8-G8-H8-I8,2)</f>
        <v>0</v>
      </c>
      <c r="K8" s="2" t="s">
        <v>191</v>
      </c>
      <c r="M8" s="32" t="n">
        <f aca="false">IF(B8="","",EOMONTH(B8,0))</f>
        <v>45473</v>
      </c>
    </row>
    <row r="9" customFormat="false" ht="15" hidden="false" customHeight="false" outlineLevel="0" collapsed="false">
      <c r="A9" s="9" t="n">
        <v>4</v>
      </c>
      <c r="B9" s="20" t="n">
        <v>45456</v>
      </c>
      <c r="C9" s="23" t="s">
        <v>7</v>
      </c>
      <c r="D9" s="23" t="s">
        <v>189</v>
      </c>
      <c r="E9" s="23" t="s">
        <v>190</v>
      </c>
      <c r="F9" s="24" t="n">
        <v>107674.43</v>
      </c>
      <c r="G9" s="24" t="n">
        <v>0</v>
      </c>
      <c r="H9" s="11" t="n">
        <f aca="false">F9-G9-I9</f>
        <v>99197.79</v>
      </c>
      <c r="I9" s="10" t="n">
        <f aca="false">Inputs!C31</f>
        <v>8476.64</v>
      </c>
      <c r="J9" s="11" t="n">
        <f aca="false">ROUND(F9-G9-H9-I9,2)</f>
        <v>0</v>
      </c>
      <c r="K9" s="2" t="s">
        <v>191</v>
      </c>
      <c r="M9" s="32" t="n">
        <f aca="false">IF(B9="","",EOMONTH(B9,0))</f>
        <v>45473</v>
      </c>
    </row>
    <row r="10" customFormat="false" ht="15" hidden="false" customHeight="false" outlineLevel="0" collapsed="false">
      <c r="A10" s="9" t="n">
        <v>5</v>
      </c>
      <c r="B10" s="20" t="n">
        <v>45471</v>
      </c>
      <c r="C10" s="23" t="s">
        <v>6</v>
      </c>
      <c r="D10" s="23" t="s">
        <v>189</v>
      </c>
      <c r="E10" s="23" t="s">
        <v>192</v>
      </c>
      <c r="F10" s="24" t="n">
        <v>766163.29</v>
      </c>
      <c r="G10" s="24" t="n">
        <v>765000</v>
      </c>
      <c r="H10" s="11" t="n">
        <f aca="false">F10-G10-I10</f>
        <v>1163.29000000004</v>
      </c>
      <c r="I10" s="24" t="n">
        <v>0</v>
      </c>
      <c r="J10" s="11" t="n">
        <f aca="false">ROUND(F10-G10-H10-I10,2)</f>
        <v>0</v>
      </c>
      <c r="K10" s="2" t="s">
        <v>193</v>
      </c>
      <c r="M10" s="32" t="n">
        <f aca="false">IF(B10="","",EOMONTH(B10,0))</f>
        <v>45473</v>
      </c>
    </row>
    <row r="11" customFormat="false" ht="15" hidden="false" customHeight="false" outlineLevel="0" collapsed="false">
      <c r="A11" s="9" t="n">
        <v>6</v>
      </c>
      <c r="B11" s="20" t="n">
        <v>45471</v>
      </c>
      <c r="C11" s="23" t="s">
        <v>7</v>
      </c>
      <c r="D11" s="23" t="s">
        <v>189</v>
      </c>
      <c r="E11" s="23" t="s">
        <v>194</v>
      </c>
      <c r="F11" s="24" t="n">
        <v>763836.71</v>
      </c>
      <c r="G11" s="24" t="n">
        <v>765000</v>
      </c>
      <c r="H11" s="11" t="n">
        <f aca="false">F11-G11-I11</f>
        <v>-1163.29000000004</v>
      </c>
      <c r="I11" s="24" t="n">
        <v>0</v>
      </c>
      <c r="J11" s="11" t="n">
        <f aca="false">ROUND(F11-G11-H11-I11,2)</f>
        <v>0</v>
      </c>
      <c r="K11" s="2" t="s">
        <v>195</v>
      </c>
      <c r="M11" s="32" t="n">
        <f aca="false">IF(B11="","",EOMONTH(B11,0))</f>
        <v>45473</v>
      </c>
    </row>
    <row r="12" customFormat="false" ht="15" hidden="false" customHeight="false" outlineLevel="0" collapsed="false">
      <c r="A12" s="9" t="n">
        <v>7</v>
      </c>
      <c r="B12" s="26"/>
      <c r="C12" s="33"/>
      <c r="D12" s="33"/>
      <c r="E12" s="33"/>
      <c r="F12" s="34"/>
      <c r="G12" s="34"/>
      <c r="H12" s="11" t="n">
        <f aca="false">IF(F12="",0,F12-G12-I12)</f>
        <v>0</v>
      </c>
      <c r="I12" s="34"/>
      <c r="J12" s="11" t="n">
        <f aca="false">IF(F12="",0,ROUND(F12-G12-H12-I12,2))</f>
        <v>0</v>
      </c>
      <c r="M12" s="32" t="str">
        <f aca="false">IF(B12="","",EOMONTH(B12,0))</f>
        <v/>
      </c>
    </row>
    <row r="13" customFormat="false" ht="15" hidden="false" customHeight="false" outlineLevel="0" collapsed="false">
      <c r="A13" s="9" t="n">
        <v>8</v>
      </c>
      <c r="B13" s="26"/>
      <c r="C13" s="33"/>
      <c r="D13" s="33"/>
      <c r="E13" s="33"/>
      <c r="F13" s="34"/>
      <c r="G13" s="34"/>
      <c r="H13" s="11" t="n">
        <f aca="false">IF(F13="",0,F13-G13-I13)</f>
        <v>0</v>
      </c>
      <c r="I13" s="34"/>
      <c r="J13" s="11" t="n">
        <f aca="false">IF(F13="",0,ROUND(F13-G13-H13-I13,2))</f>
        <v>0</v>
      </c>
      <c r="M13" s="32" t="str">
        <f aca="false">IF(B13="","",EOMONTH(B13,0))</f>
        <v/>
      </c>
    </row>
    <row r="14" customFormat="false" ht="15" hidden="false" customHeight="false" outlineLevel="0" collapsed="false">
      <c r="A14" s="9" t="n">
        <v>9</v>
      </c>
      <c r="B14" s="26"/>
      <c r="C14" s="33"/>
      <c r="D14" s="33"/>
      <c r="E14" s="33"/>
      <c r="F14" s="34"/>
      <c r="G14" s="34"/>
      <c r="H14" s="11" t="n">
        <f aca="false">IF(F14="",0,F14-G14-I14)</f>
        <v>0</v>
      </c>
      <c r="I14" s="34"/>
      <c r="J14" s="11" t="n">
        <f aca="false">IF(F14="",0,ROUND(F14-G14-H14-I14,2))</f>
        <v>0</v>
      </c>
      <c r="M14" s="32" t="str">
        <f aca="false">IF(B14="","",EOMONTH(B14,0))</f>
        <v/>
      </c>
    </row>
    <row r="15" customFormat="false" ht="15" hidden="false" customHeight="false" outlineLevel="0" collapsed="false">
      <c r="A15" s="9" t="n">
        <v>10</v>
      </c>
      <c r="B15" s="26"/>
      <c r="C15" s="33"/>
      <c r="D15" s="33"/>
      <c r="E15" s="33"/>
      <c r="F15" s="34"/>
      <c r="G15" s="34"/>
      <c r="H15" s="11" t="n">
        <f aca="false">IF(F15="",0,F15-G15-I15)</f>
        <v>0</v>
      </c>
      <c r="I15" s="34"/>
      <c r="J15" s="11" t="n">
        <f aca="false">IF(F15="",0,ROUND(F15-G15-H15-I15,2))</f>
        <v>0</v>
      </c>
      <c r="M15" s="32" t="str">
        <f aca="false">IF(B15="","",EOMONTH(B15,0))</f>
        <v/>
      </c>
    </row>
    <row r="16" customFormat="false" ht="15" hidden="false" customHeight="false" outlineLevel="0" collapsed="false">
      <c r="A16" s="9" t="n">
        <v>11</v>
      </c>
      <c r="B16" s="26"/>
      <c r="C16" s="33"/>
      <c r="D16" s="33"/>
      <c r="E16" s="33"/>
      <c r="F16" s="34"/>
      <c r="G16" s="34"/>
      <c r="H16" s="11" t="n">
        <f aca="false">IF(F16="",0,F16-G16-I16)</f>
        <v>0</v>
      </c>
      <c r="I16" s="34"/>
      <c r="J16" s="11" t="n">
        <f aca="false">IF(F16="",0,ROUND(F16-G16-H16-I16,2))</f>
        <v>0</v>
      </c>
      <c r="M16" s="32" t="str">
        <f aca="false">IF(B16="","",EOMONTH(B16,0))</f>
        <v/>
      </c>
    </row>
    <row r="17" customFormat="false" ht="15" hidden="false" customHeight="false" outlineLevel="0" collapsed="false">
      <c r="A17" s="9" t="n">
        <v>12</v>
      </c>
      <c r="B17" s="26"/>
      <c r="C17" s="33"/>
      <c r="D17" s="33"/>
      <c r="E17" s="33"/>
      <c r="F17" s="34"/>
      <c r="G17" s="34"/>
      <c r="H17" s="11" t="n">
        <f aca="false">IF(F17="",0,F17-G17-I17)</f>
        <v>0</v>
      </c>
      <c r="I17" s="34"/>
      <c r="J17" s="11" t="n">
        <f aca="false">IF(F17="",0,ROUND(F17-G17-H17-I17,2))</f>
        <v>0</v>
      </c>
      <c r="M17" s="32" t="str">
        <f aca="false">IF(B17="","",EOMONTH(B17,0))</f>
        <v/>
      </c>
    </row>
    <row r="18" customFormat="false" ht="15" hidden="false" customHeight="false" outlineLevel="0" collapsed="false">
      <c r="A18" s="9" t="n">
        <v>13</v>
      </c>
      <c r="B18" s="26"/>
      <c r="C18" s="33"/>
      <c r="D18" s="33"/>
      <c r="E18" s="33"/>
      <c r="F18" s="34"/>
      <c r="G18" s="34"/>
      <c r="H18" s="11" t="n">
        <f aca="false">IF(F18="",0,F18-G18-I18)</f>
        <v>0</v>
      </c>
      <c r="I18" s="34"/>
      <c r="J18" s="11" t="n">
        <f aca="false">IF(F18="",0,ROUND(F18-G18-H18-I18,2))</f>
        <v>0</v>
      </c>
      <c r="M18" s="32" t="str">
        <f aca="false">IF(B18="","",EOMONTH(B18,0))</f>
        <v/>
      </c>
    </row>
    <row r="19" customFormat="false" ht="15" hidden="false" customHeight="false" outlineLevel="0" collapsed="false">
      <c r="A19" s="9" t="n">
        <v>14</v>
      </c>
      <c r="B19" s="26"/>
      <c r="C19" s="33"/>
      <c r="D19" s="33"/>
      <c r="E19" s="33"/>
      <c r="F19" s="34"/>
      <c r="G19" s="34"/>
      <c r="H19" s="11" t="n">
        <f aca="false">IF(F19="",0,F19-G19-I19)</f>
        <v>0</v>
      </c>
      <c r="I19" s="34"/>
      <c r="J19" s="11" t="n">
        <f aca="false">IF(F19="",0,ROUND(F19-G19-H19-I19,2))</f>
        <v>0</v>
      </c>
      <c r="M19" s="32" t="str">
        <f aca="false">IF(B19="","",EOMONTH(B19,0))</f>
        <v/>
      </c>
    </row>
    <row r="20" customFormat="false" ht="15" hidden="false" customHeight="false" outlineLevel="0" collapsed="false">
      <c r="A20" s="9" t="n">
        <v>15</v>
      </c>
      <c r="B20" s="26"/>
      <c r="C20" s="33"/>
      <c r="D20" s="33"/>
      <c r="E20" s="33"/>
      <c r="F20" s="34"/>
      <c r="G20" s="34"/>
      <c r="H20" s="11" t="n">
        <f aca="false">IF(F20="",0,F20-G20-I20)</f>
        <v>0</v>
      </c>
      <c r="I20" s="34"/>
      <c r="J20" s="11" t="n">
        <f aca="false">IF(F20="",0,ROUND(F20-G20-H20-I20,2))</f>
        <v>0</v>
      </c>
      <c r="M20" s="32" t="str">
        <f aca="false">IF(B20="","",EOMONTH(B20,0))</f>
        <v/>
      </c>
    </row>
    <row r="22" customFormat="false" ht="15" hidden="false" customHeight="false" outlineLevel="0" collapsed="false">
      <c r="A22" s="3" t="s">
        <v>8</v>
      </c>
      <c r="F22" s="12" t="n">
        <f aca="false">SUM(F6:F20)</f>
        <v>1899480.66</v>
      </c>
      <c r="G22" s="12" t="n">
        <f aca="false">SUM(G6:G20)</f>
        <v>1530000</v>
      </c>
      <c r="H22" s="12" t="n">
        <f aca="false">SUM(H6:H20)</f>
        <v>352316.12</v>
      </c>
      <c r="I22" s="12" t="n">
        <f aca="false">SUM(I6:I20)</f>
        <v>17164.54</v>
      </c>
      <c r="J22" s="12" t="n">
        <f aca="false">SUM(J6:J20)</f>
        <v>0</v>
      </c>
    </row>
    <row r="24" customFormat="false" ht="15" hidden="false" customHeight="false" outlineLevel="0" collapsed="false">
      <c r="A24" s="6" t="s">
        <v>196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customFormat="false" ht="30" hidden="false" customHeight="true" outlineLevel="0" collapsed="false">
      <c r="A25" s="8"/>
      <c r="B25" s="8" t="s">
        <v>175</v>
      </c>
      <c r="C25" s="8" t="s">
        <v>174</v>
      </c>
      <c r="D25" s="8"/>
      <c r="E25" s="8"/>
      <c r="F25" s="8" t="s">
        <v>197</v>
      </c>
      <c r="G25" s="8" t="s">
        <v>54</v>
      </c>
      <c r="H25" s="8" t="s">
        <v>178</v>
      </c>
      <c r="I25" s="8" t="s">
        <v>179</v>
      </c>
      <c r="J25" s="8" t="s">
        <v>198</v>
      </c>
    </row>
    <row r="26" customFormat="false" ht="15" hidden="false" customHeight="false" outlineLevel="0" collapsed="false">
      <c r="B26" s="9" t="s">
        <v>184</v>
      </c>
      <c r="C26" s="9" t="s">
        <v>6</v>
      </c>
      <c r="F26" s="11" t="n">
        <f aca="false">SUMIFS(F$6:F$20,$D$6:$D$20,$B26,$C$6:$C$20,$C26)</f>
        <v>75648.08</v>
      </c>
      <c r="G26" s="11" t="n">
        <f aca="false">SUMIFS(G$6:G$20,$D$6:$D$20,$B26,$C$6:$C$20,$C26)</f>
        <v>0</v>
      </c>
      <c r="H26" s="11" t="n">
        <f aca="false">SUMIFS(H$6:H$20,$D$6:$D$20,$B26,$C$6:$C$20,$C26)</f>
        <v>75648.08</v>
      </c>
      <c r="I26" s="11" t="n">
        <f aca="false">SUMIFS(I$6:I$20,$D$6:$D$20,$B26,$C$6:$C$20,$C26)</f>
        <v>0</v>
      </c>
      <c r="J26" s="11" t="n">
        <f aca="false">H26+I26</f>
        <v>75648.08</v>
      </c>
    </row>
    <row r="27" customFormat="false" ht="15" hidden="false" customHeight="false" outlineLevel="0" collapsed="false">
      <c r="B27" s="9" t="s">
        <v>184</v>
      </c>
      <c r="C27" s="9" t="s">
        <v>7</v>
      </c>
      <c r="F27" s="11" t="n">
        <f aca="false">SUMIFS(F$6:F$20,$D$6:$D$20,$B27,$C$6:$C$20,$C27)</f>
        <v>78155.75</v>
      </c>
      <c r="G27" s="11" t="n">
        <f aca="false">SUMIFS(G$6:G$20,$D$6:$D$20,$B27,$C$6:$C$20,$C27)</f>
        <v>0</v>
      </c>
      <c r="H27" s="11" t="n">
        <f aca="false">SUMIFS(H$6:H$20,$D$6:$D$20,$B27,$C$6:$C$20,$C27)</f>
        <v>78155.75</v>
      </c>
      <c r="I27" s="11" t="n">
        <f aca="false">SUMIFS(I$6:I$20,$D$6:$D$20,$B27,$C$6:$C$20,$C27)</f>
        <v>0</v>
      </c>
      <c r="J27" s="11" t="n">
        <f aca="false">H27+I27</f>
        <v>78155.75</v>
      </c>
    </row>
    <row r="28" customFormat="false" ht="15" hidden="false" customHeight="false" outlineLevel="0" collapsed="false">
      <c r="B28" s="9" t="s">
        <v>189</v>
      </c>
      <c r="C28" s="9" t="s">
        <v>6</v>
      </c>
      <c r="F28" s="11" t="n">
        <f aca="false">SUMIFS(F$6:F$20,$D$6:$D$20,$B28,$C$6:$C$20,$C28)</f>
        <v>874165.69</v>
      </c>
      <c r="G28" s="11" t="n">
        <f aca="false">SUMIFS(G$6:G$20,$D$6:$D$20,$B28,$C$6:$C$20,$C28)</f>
        <v>765000</v>
      </c>
      <c r="H28" s="11" t="n">
        <f aca="false">SUMIFS(H$6:H$20,$D$6:$D$20,$B28,$C$6:$C$20,$C28)</f>
        <v>100477.79</v>
      </c>
      <c r="I28" s="11" t="n">
        <f aca="false">SUMIFS(I$6:I$20,$D$6:$D$20,$B28,$C$6:$C$20,$C28)</f>
        <v>8687.9</v>
      </c>
      <c r="J28" s="11" t="n">
        <f aca="false">H28+I28</f>
        <v>109165.69</v>
      </c>
    </row>
    <row r="29" customFormat="false" ht="15" hidden="false" customHeight="false" outlineLevel="0" collapsed="false">
      <c r="B29" s="9" t="s">
        <v>189</v>
      </c>
      <c r="C29" s="9" t="s">
        <v>7</v>
      </c>
      <c r="F29" s="11" t="n">
        <f aca="false">SUMIFS(F$6:F$20,$D$6:$D$20,$B29,$C$6:$C$20,$C29)</f>
        <v>871511.14</v>
      </c>
      <c r="G29" s="11" t="n">
        <f aca="false">SUMIFS(G$6:G$20,$D$6:$D$20,$B29,$C$6:$C$20,$C29)</f>
        <v>765000</v>
      </c>
      <c r="H29" s="11" t="n">
        <f aca="false">SUMIFS(H$6:H$20,$D$6:$D$20,$B29,$C$6:$C$20,$C29)</f>
        <v>98034.5</v>
      </c>
      <c r="I29" s="11" t="n">
        <f aca="false">SUMIFS(I$6:I$20,$D$6:$D$20,$B29,$C$6:$C$20,$C29)</f>
        <v>8476.64</v>
      </c>
      <c r="J29" s="11" t="n">
        <f aca="false">H29+I29</f>
        <v>106511.14</v>
      </c>
    </row>
    <row r="30" customFormat="false" ht="15" hidden="false" customHeight="false" outlineLevel="0" collapsed="false">
      <c r="B30" s="3" t="s">
        <v>8</v>
      </c>
      <c r="F30" s="12" t="n">
        <f aca="false">SUM(F26:F29)</f>
        <v>1899480.66</v>
      </c>
      <c r="G30" s="12" t="n">
        <f aca="false">SUM(G26:G29)</f>
        <v>1530000</v>
      </c>
      <c r="H30" s="12" t="n">
        <f aca="false">SUM(H26:H29)</f>
        <v>352316.12</v>
      </c>
      <c r="I30" s="12" t="n">
        <f aca="false">SUM(I26:I29)</f>
        <v>17164.54</v>
      </c>
      <c r="J30" s="12" t="n">
        <f aca="false">SUM(J26:J29)</f>
        <v>369480.66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3" min="1" style="0" width="14"/>
  </cols>
  <sheetData>
    <row r="1" customFormat="false" ht="18" hidden="false" customHeight="true" outlineLevel="0" collapsed="false">
      <c r="A1" s="1" t="s">
        <v>199</v>
      </c>
    </row>
    <row r="2" customFormat="false" ht="15" hidden="false" customHeight="false" outlineLevel="0" collapsed="false">
      <c r="A2" s="2" t="s">
        <v>200</v>
      </c>
    </row>
    <row r="5" customFormat="false" ht="33.75" hidden="false" customHeight="true" outlineLevel="0" collapsed="false">
      <c r="A5" s="8" t="s">
        <v>201</v>
      </c>
      <c r="B5" s="8" t="s">
        <v>183</v>
      </c>
      <c r="C5" s="8" t="s">
        <v>202</v>
      </c>
      <c r="D5" s="8" t="s">
        <v>203</v>
      </c>
      <c r="E5" s="8" t="s">
        <v>204</v>
      </c>
      <c r="F5" s="8" t="s">
        <v>205</v>
      </c>
      <c r="G5" s="8" t="s">
        <v>206</v>
      </c>
      <c r="H5" s="8" t="s">
        <v>207</v>
      </c>
      <c r="I5" s="8" t="s">
        <v>208</v>
      </c>
      <c r="J5" s="8" t="s">
        <v>209</v>
      </c>
      <c r="K5" s="8" t="s">
        <v>210</v>
      </c>
      <c r="L5" s="8" t="s">
        <v>211</v>
      </c>
      <c r="M5" s="8" t="s">
        <v>212</v>
      </c>
    </row>
    <row r="6" customFormat="false" ht="15" hidden="false" customHeight="false" outlineLevel="0" collapsed="false">
      <c r="A6" s="4" t="n">
        <f aca="false">Inputs!B8</f>
        <v>44813</v>
      </c>
      <c r="B6" s="35" t="n">
        <f aca="false">EOMONTH(A6+1,0)</f>
        <v>44834</v>
      </c>
      <c r="C6" s="36" t="n">
        <f aca="false">IF(MOD(YEAR(A6),4)=0,366,365)</f>
        <v>365</v>
      </c>
      <c r="D6" s="37" t="n">
        <f aca="false">Inputs!$B$9-SUMIFS(Cash_Events!$G$6:$G$20,Cash_Events!$C$6:$C$20,"rAGMF",Cash_Events!$B$6:$B$20,"&lt;="&amp;A6)</f>
        <v>1500000</v>
      </c>
      <c r="E6" s="38" t="n">
        <f aca="false">VLOOKUP(A6,Inputs!$A$40:$B$48,2,TRUE())</f>
        <v>0.034199997053407</v>
      </c>
      <c r="F6" s="38" t="n">
        <f aca="false">E6+Inputs!$B$10</f>
        <v>0.101699997053407</v>
      </c>
      <c r="G6" s="37" t="n">
        <f aca="false">D6*F6/C6</f>
        <v>417.945193370166</v>
      </c>
      <c r="H6" s="37" t="n">
        <f aca="false">IF(AND(A6&gt;=Inputs!$B$13,OR(A6&lt;Inputs!$B$19,Inputs!$B$20=1)),D6*Inputs!$B$11/C6,0)</f>
        <v>0</v>
      </c>
      <c r="I6" s="37" t="n">
        <f aca="false">Inputs!$C$9-SUMIFS(Cash_Events!$G$6:$G$20,Cash_Events!$C$6:$C$20,"FHL",Cash_Events!$B$6:$B$20,"&lt;="&amp;A6)</f>
        <v>1500000</v>
      </c>
      <c r="J6" s="38" t="n">
        <f aca="false">VLOOKUP(A6,Inputs!$F$40:$G$48,2,TRUE())</f>
        <v>0.034199995543672</v>
      </c>
      <c r="K6" s="38" t="n">
        <f aca="false">J6+Inputs!$C$10</f>
        <v>0.101699995543672</v>
      </c>
      <c r="L6" s="37" t="n">
        <f aca="false">I6*K6/C6</f>
        <v>417.945187165775</v>
      </c>
      <c r="M6" s="37" t="n">
        <f aca="false">IF(AND(A6&gt;=Inputs!$C$13,OR(A6&lt;Inputs!$B$19,Inputs!$B$20=1)),I6*Inputs!$C$11/C6,0)</f>
        <v>0</v>
      </c>
    </row>
    <row r="7" customFormat="false" ht="15" hidden="false" customHeight="false" outlineLevel="0" collapsed="false">
      <c r="A7" s="35" t="n">
        <f aca="false">A6+1</f>
        <v>44814</v>
      </c>
      <c r="B7" s="35" t="n">
        <f aca="false">EOMONTH(A7+1,0)</f>
        <v>44834</v>
      </c>
      <c r="C7" s="36" t="n">
        <f aca="false">IF(MOD(YEAR(A7),4)=0,366,365)</f>
        <v>365</v>
      </c>
      <c r="D7" s="37" t="n">
        <f aca="false">Inputs!$B$9-SUMIFS(Cash_Events!$G$6:$G$20,Cash_Events!$C$6:$C$20,"rAGMF",Cash_Events!$B$6:$B$20,"&lt;="&amp;A7)</f>
        <v>1500000</v>
      </c>
      <c r="E7" s="38" t="n">
        <f aca="false">VLOOKUP(A7,Inputs!$A$40:$B$48,2,TRUE())</f>
        <v>0.034199997053407</v>
      </c>
      <c r="F7" s="38" t="n">
        <f aca="false">E7+Inputs!$B$10</f>
        <v>0.101699997053407</v>
      </c>
      <c r="G7" s="37" t="n">
        <f aca="false">D7*F7/C7</f>
        <v>417.945193370166</v>
      </c>
      <c r="H7" s="37" t="n">
        <f aca="false">IF(AND(A7&gt;=Inputs!$B$13,OR(A7&lt;Inputs!$B$19,Inputs!$B$20=1)),D7*Inputs!$B$11/C7,0)</f>
        <v>0</v>
      </c>
      <c r="I7" s="37" t="n">
        <f aca="false">Inputs!$C$9-SUMIFS(Cash_Events!$G$6:$G$20,Cash_Events!$C$6:$C$20,"FHL",Cash_Events!$B$6:$B$20,"&lt;="&amp;A7)</f>
        <v>1500000</v>
      </c>
      <c r="J7" s="38" t="n">
        <f aca="false">VLOOKUP(A7,Inputs!$F$40:$G$48,2,TRUE())</f>
        <v>0.034199995543672</v>
      </c>
      <c r="K7" s="38" t="n">
        <f aca="false">J7+Inputs!$C$10</f>
        <v>0.101699995543672</v>
      </c>
      <c r="L7" s="37" t="n">
        <f aca="false">I7*K7/C7</f>
        <v>417.945187165775</v>
      </c>
      <c r="M7" s="37" t="n">
        <f aca="false">IF(AND(A7&gt;=Inputs!$C$13,OR(A7&lt;Inputs!$B$19,Inputs!$B$20=1)),I7*Inputs!$C$11/C7,0)</f>
        <v>0</v>
      </c>
    </row>
    <row r="8" customFormat="false" ht="15" hidden="false" customHeight="false" outlineLevel="0" collapsed="false">
      <c r="A8" s="35" t="n">
        <f aca="false">A7+1</f>
        <v>44815</v>
      </c>
      <c r="B8" s="35" t="n">
        <f aca="false">EOMONTH(A8+1,0)</f>
        <v>44834</v>
      </c>
      <c r="C8" s="36" t="n">
        <f aca="false">IF(MOD(YEAR(A8),4)=0,366,365)</f>
        <v>365</v>
      </c>
      <c r="D8" s="37" t="n">
        <f aca="false">Inputs!$B$9-SUMIFS(Cash_Events!$G$6:$G$20,Cash_Events!$C$6:$C$20,"rAGMF",Cash_Events!$B$6:$B$20,"&lt;="&amp;A8)</f>
        <v>1500000</v>
      </c>
      <c r="E8" s="38" t="n">
        <f aca="false">VLOOKUP(A8,Inputs!$A$40:$B$48,2,TRUE())</f>
        <v>0.034199997053407</v>
      </c>
      <c r="F8" s="38" t="n">
        <f aca="false">E8+Inputs!$B$10</f>
        <v>0.101699997053407</v>
      </c>
      <c r="G8" s="37" t="n">
        <f aca="false">D8*F8/C8</f>
        <v>417.945193370166</v>
      </c>
      <c r="H8" s="37" t="n">
        <f aca="false">IF(AND(A8&gt;=Inputs!$B$13,OR(A8&lt;Inputs!$B$19,Inputs!$B$20=1)),D8*Inputs!$B$11/C8,0)</f>
        <v>0</v>
      </c>
      <c r="I8" s="37" t="n">
        <f aca="false">Inputs!$C$9-SUMIFS(Cash_Events!$G$6:$G$20,Cash_Events!$C$6:$C$20,"FHL",Cash_Events!$B$6:$B$20,"&lt;="&amp;A8)</f>
        <v>1500000</v>
      </c>
      <c r="J8" s="38" t="n">
        <f aca="false">VLOOKUP(A8,Inputs!$F$40:$G$48,2,TRUE())</f>
        <v>0.034199995543672</v>
      </c>
      <c r="K8" s="38" t="n">
        <f aca="false">J8+Inputs!$C$10</f>
        <v>0.101699995543672</v>
      </c>
      <c r="L8" s="37" t="n">
        <f aca="false">I8*K8/C8</f>
        <v>417.945187165775</v>
      </c>
      <c r="M8" s="37" t="n">
        <f aca="false">IF(AND(A8&gt;=Inputs!$C$13,OR(A8&lt;Inputs!$B$19,Inputs!$B$20=1)),I8*Inputs!$C$11/C8,0)</f>
        <v>0</v>
      </c>
    </row>
    <row r="9" customFormat="false" ht="15" hidden="false" customHeight="false" outlineLevel="0" collapsed="false">
      <c r="A9" s="35" t="n">
        <f aca="false">A8+1</f>
        <v>44816</v>
      </c>
      <c r="B9" s="35" t="n">
        <f aca="false">EOMONTH(A9+1,0)</f>
        <v>44834</v>
      </c>
      <c r="C9" s="36" t="n">
        <f aca="false">IF(MOD(YEAR(A9),4)=0,366,365)</f>
        <v>365</v>
      </c>
      <c r="D9" s="37" t="n">
        <f aca="false">Inputs!$B$9-SUMIFS(Cash_Events!$G$6:$G$20,Cash_Events!$C$6:$C$20,"rAGMF",Cash_Events!$B$6:$B$20,"&lt;="&amp;A9)</f>
        <v>1500000</v>
      </c>
      <c r="E9" s="38" t="n">
        <f aca="false">VLOOKUP(A9,Inputs!$A$40:$B$48,2,TRUE())</f>
        <v>0.034199997053407</v>
      </c>
      <c r="F9" s="38" t="n">
        <f aca="false">E9+Inputs!$B$10</f>
        <v>0.101699997053407</v>
      </c>
      <c r="G9" s="37" t="n">
        <f aca="false">D9*F9/C9</f>
        <v>417.945193370166</v>
      </c>
      <c r="H9" s="37" t="n">
        <f aca="false">IF(AND(A9&gt;=Inputs!$B$13,OR(A9&lt;Inputs!$B$19,Inputs!$B$20=1)),D9*Inputs!$B$11/C9,0)</f>
        <v>0</v>
      </c>
      <c r="I9" s="37" t="n">
        <f aca="false">Inputs!$C$9-SUMIFS(Cash_Events!$G$6:$G$20,Cash_Events!$C$6:$C$20,"FHL",Cash_Events!$B$6:$B$20,"&lt;="&amp;A9)</f>
        <v>1500000</v>
      </c>
      <c r="J9" s="38" t="n">
        <f aca="false">VLOOKUP(A9,Inputs!$F$40:$G$48,2,TRUE())</f>
        <v>0.034199995543672</v>
      </c>
      <c r="K9" s="38" t="n">
        <f aca="false">J9+Inputs!$C$10</f>
        <v>0.101699995543672</v>
      </c>
      <c r="L9" s="37" t="n">
        <f aca="false">I9*K9/C9</f>
        <v>417.945187165775</v>
      </c>
      <c r="M9" s="37" t="n">
        <f aca="false">IF(AND(A9&gt;=Inputs!$C$13,OR(A9&lt;Inputs!$B$19,Inputs!$B$20=1)),I9*Inputs!$C$11/C9,0)</f>
        <v>0</v>
      </c>
    </row>
    <row r="10" customFormat="false" ht="15" hidden="false" customHeight="false" outlineLevel="0" collapsed="false">
      <c r="A10" s="35" t="n">
        <f aca="false">A9+1</f>
        <v>44817</v>
      </c>
      <c r="B10" s="35" t="n">
        <f aca="false">EOMONTH(A10+1,0)</f>
        <v>44834</v>
      </c>
      <c r="C10" s="36" t="n">
        <f aca="false">IF(MOD(YEAR(A10),4)=0,366,365)</f>
        <v>365</v>
      </c>
      <c r="D10" s="37" t="n">
        <f aca="false">Inputs!$B$9-SUMIFS(Cash_Events!$G$6:$G$20,Cash_Events!$C$6:$C$20,"rAGMF",Cash_Events!$B$6:$B$20,"&lt;="&amp;A10)</f>
        <v>1500000</v>
      </c>
      <c r="E10" s="38" t="n">
        <f aca="false">VLOOKUP(A10,Inputs!$A$40:$B$48,2,TRUE())</f>
        <v>0.034199997053407</v>
      </c>
      <c r="F10" s="38" t="n">
        <f aca="false">E10+Inputs!$B$10</f>
        <v>0.101699997053407</v>
      </c>
      <c r="G10" s="37" t="n">
        <f aca="false">D10*F10/C10</f>
        <v>417.945193370166</v>
      </c>
      <c r="H10" s="37" t="n">
        <f aca="false">IF(AND(A10&gt;=Inputs!$B$13,OR(A10&lt;Inputs!$B$19,Inputs!$B$20=1)),D10*Inputs!$B$11/C10,0)</f>
        <v>0</v>
      </c>
      <c r="I10" s="37" t="n">
        <f aca="false">Inputs!$C$9-SUMIFS(Cash_Events!$G$6:$G$20,Cash_Events!$C$6:$C$20,"FHL",Cash_Events!$B$6:$B$20,"&lt;="&amp;A10)</f>
        <v>1500000</v>
      </c>
      <c r="J10" s="38" t="n">
        <f aca="false">VLOOKUP(A10,Inputs!$F$40:$G$48,2,TRUE())</f>
        <v>0.034199995543672</v>
      </c>
      <c r="K10" s="38" t="n">
        <f aca="false">J10+Inputs!$C$10</f>
        <v>0.101699995543672</v>
      </c>
      <c r="L10" s="37" t="n">
        <f aca="false">I10*K10/C10</f>
        <v>417.945187165775</v>
      </c>
      <c r="M10" s="37" t="n">
        <f aca="false">IF(AND(A10&gt;=Inputs!$C$13,OR(A10&lt;Inputs!$B$19,Inputs!$B$20=1)),I10*Inputs!$C$11/C10,0)</f>
        <v>0</v>
      </c>
    </row>
    <row r="11" customFormat="false" ht="15" hidden="false" customHeight="false" outlineLevel="0" collapsed="false">
      <c r="A11" s="35" t="n">
        <f aca="false">A10+1</f>
        <v>44818</v>
      </c>
      <c r="B11" s="35" t="n">
        <f aca="false">EOMONTH(A11+1,0)</f>
        <v>44834</v>
      </c>
      <c r="C11" s="36" t="n">
        <f aca="false">IF(MOD(YEAR(A11),4)=0,366,365)</f>
        <v>365</v>
      </c>
      <c r="D11" s="37" t="n">
        <f aca="false">Inputs!$B$9-SUMIFS(Cash_Events!$G$6:$G$20,Cash_Events!$C$6:$C$20,"rAGMF",Cash_Events!$B$6:$B$20,"&lt;="&amp;A11)</f>
        <v>1500000</v>
      </c>
      <c r="E11" s="38" t="n">
        <f aca="false">VLOOKUP(A11,Inputs!$A$40:$B$48,2,TRUE())</f>
        <v>0.034199997053407</v>
      </c>
      <c r="F11" s="38" t="n">
        <f aca="false">E11+Inputs!$B$10</f>
        <v>0.101699997053407</v>
      </c>
      <c r="G11" s="37" t="n">
        <f aca="false">D11*F11/C11</f>
        <v>417.945193370166</v>
      </c>
      <c r="H11" s="37" t="n">
        <f aca="false">IF(AND(A11&gt;=Inputs!$B$13,OR(A11&lt;Inputs!$B$19,Inputs!$B$20=1)),D11*Inputs!$B$11/C11,0)</f>
        <v>0</v>
      </c>
      <c r="I11" s="37" t="n">
        <f aca="false">Inputs!$C$9-SUMIFS(Cash_Events!$G$6:$G$20,Cash_Events!$C$6:$C$20,"FHL",Cash_Events!$B$6:$B$20,"&lt;="&amp;A11)</f>
        <v>1500000</v>
      </c>
      <c r="J11" s="38" t="n">
        <f aca="false">VLOOKUP(A11,Inputs!$F$40:$G$48,2,TRUE())</f>
        <v>0.034199995543672</v>
      </c>
      <c r="K11" s="38" t="n">
        <f aca="false">J11+Inputs!$C$10</f>
        <v>0.101699995543672</v>
      </c>
      <c r="L11" s="37" t="n">
        <f aca="false">I11*K11/C11</f>
        <v>417.945187165775</v>
      </c>
      <c r="M11" s="37" t="n">
        <f aca="false">IF(AND(A11&gt;=Inputs!$C$13,OR(A11&lt;Inputs!$B$19,Inputs!$B$20=1)),I11*Inputs!$C$11/C11,0)</f>
        <v>0</v>
      </c>
    </row>
    <row r="12" customFormat="false" ht="15" hidden="false" customHeight="false" outlineLevel="0" collapsed="false">
      <c r="A12" s="35" t="n">
        <f aca="false">A11+1</f>
        <v>44819</v>
      </c>
      <c r="B12" s="35" t="n">
        <f aca="false">EOMONTH(A12+1,0)</f>
        <v>44834</v>
      </c>
      <c r="C12" s="36" t="n">
        <f aca="false">IF(MOD(YEAR(A12),4)=0,366,365)</f>
        <v>365</v>
      </c>
      <c r="D12" s="37" t="n">
        <f aca="false">Inputs!$B$9-SUMIFS(Cash_Events!$G$6:$G$20,Cash_Events!$C$6:$C$20,"rAGMF",Cash_Events!$B$6:$B$20,"&lt;="&amp;A12)</f>
        <v>1500000</v>
      </c>
      <c r="E12" s="38" t="n">
        <f aca="false">VLOOKUP(A12,Inputs!$A$40:$B$48,2,TRUE())</f>
        <v>0.034199997053407</v>
      </c>
      <c r="F12" s="38" t="n">
        <f aca="false">E12+Inputs!$B$10</f>
        <v>0.101699997053407</v>
      </c>
      <c r="G12" s="37" t="n">
        <f aca="false">D12*F12/C12</f>
        <v>417.945193370166</v>
      </c>
      <c r="H12" s="37" t="n">
        <f aca="false">IF(AND(A12&gt;=Inputs!$B$13,OR(A12&lt;Inputs!$B$19,Inputs!$B$20=1)),D12*Inputs!$B$11/C12,0)</f>
        <v>0</v>
      </c>
      <c r="I12" s="37" t="n">
        <f aca="false">Inputs!$C$9-SUMIFS(Cash_Events!$G$6:$G$20,Cash_Events!$C$6:$C$20,"FHL",Cash_Events!$B$6:$B$20,"&lt;="&amp;A12)</f>
        <v>1500000</v>
      </c>
      <c r="J12" s="38" t="n">
        <f aca="false">VLOOKUP(A12,Inputs!$F$40:$G$48,2,TRUE())</f>
        <v>0.034199995543672</v>
      </c>
      <c r="K12" s="38" t="n">
        <f aca="false">J12+Inputs!$C$10</f>
        <v>0.101699995543672</v>
      </c>
      <c r="L12" s="37" t="n">
        <f aca="false">I12*K12/C12</f>
        <v>417.945187165775</v>
      </c>
      <c r="M12" s="37" t="n">
        <f aca="false">IF(AND(A12&gt;=Inputs!$C$13,OR(A12&lt;Inputs!$B$19,Inputs!$B$20=1)),I12*Inputs!$C$11/C12,0)</f>
        <v>0</v>
      </c>
    </row>
    <row r="13" customFormat="false" ht="15" hidden="false" customHeight="false" outlineLevel="0" collapsed="false">
      <c r="A13" s="35" t="n">
        <f aca="false">A12+1</f>
        <v>44820</v>
      </c>
      <c r="B13" s="35" t="n">
        <f aca="false">EOMONTH(A13+1,0)</f>
        <v>44834</v>
      </c>
      <c r="C13" s="36" t="n">
        <f aca="false">IF(MOD(YEAR(A13),4)=0,366,365)</f>
        <v>365</v>
      </c>
      <c r="D13" s="37" t="n">
        <f aca="false">Inputs!$B$9-SUMIFS(Cash_Events!$G$6:$G$20,Cash_Events!$C$6:$C$20,"rAGMF",Cash_Events!$B$6:$B$20,"&lt;="&amp;A13)</f>
        <v>1500000</v>
      </c>
      <c r="E13" s="38" t="n">
        <f aca="false">VLOOKUP(A13,Inputs!$A$40:$B$48,2,TRUE())</f>
        <v>0.034199997053407</v>
      </c>
      <c r="F13" s="38" t="n">
        <f aca="false">E13+Inputs!$B$10</f>
        <v>0.101699997053407</v>
      </c>
      <c r="G13" s="37" t="n">
        <f aca="false">D13*F13/C13</f>
        <v>417.945193370166</v>
      </c>
      <c r="H13" s="37" t="n">
        <f aca="false">IF(AND(A13&gt;=Inputs!$B$13,OR(A13&lt;Inputs!$B$19,Inputs!$B$20=1)),D13*Inputs!$B$11/C13,0)</f>
        <v>0</v>
      </c>
      <c r="I13" s="37" t="n">
        <f aca="false">Inputs!$C$9-SUMIFS(Cash_Events!$G$6:$G$20,Cash_Events!$C$6:$C$20,"FHL",Cash_Events!$B$6:$B$20,"&lt;="&amp;A13)</f>
        <v>1500000</v>
      </c>
      <c r="J13" s="38" t="n">
        <f aca="false">VLOOKUP(A13,Inputs!$F$40:$G$48,2,TRUE())</f>
        <v>0.034199995543672</v>
      </c>
      <c r="K13" s="38" t="n">
        <f aca="false">J13+Inputs!$C$10</f>
        <v>0.101699995543672</v>
      </c>
      <c r="L13" s="37" t="n">
        <f aca="false">I13*K13/C13</f>
        <v>417.945187165775</v>
      </c>
      <c r="M13" s="37" t="n">
        <f aca="false">IF(AND(A13&gt;=Inputs!$C$13,OR(A13&lt;Inputs!$B$19,Inputs!$B$20=1)),I13*Inputs!$C$11/C13,0)</f>
        <v>0</v>
      </c>
    </row>
    <row r="14" customFormat="false" ht="15" hidden="false" customHeight="false" outlineLevel="0" collapsed="false">
      <c r="A14" s="35" t="n">
        <f aca="false">A13+1</f>
        <v>44821</v>
      </c>
      <c r="B14" s="35" t="n">
        <f aca="false">EOMONTH(A14+1,0)</f>
        <v>44834</v>
      </c>
      <c r="C14" s="36" t="n">
        <f aca="false">IF(MOD(YEAR(A14),4)=0,366,365)</f>
        <v>365</v>
      </c>
      <c r="D14" s="37" t="n">
        <f aca="false">Inputs!$B$9-SUMIFS(Cash_Events!$G$6:$G$20,Cash_Events!$C$6:$C$20,"rAGMF",Cash_Events!$B$6:$B$20,"&lt;="&amp;A14)</f>
        <v>1500000</v>
      </c>
      <c r="E14" s="38" t="n">
        <f aca="false">VLOOKUP(A14,Inputs!$A$40:$B$48,2,TRUE())</f>
        <v>0.034199997053407</v>
      </c>
      <c r="F14" s="38" t="n">
        <f aca="false">E14+Inputs!$B$10</f>
        <v>0.101699997053407</v>
      </c>
      <c r="G14" s="37" t="n">
        <f aca="false">D14*F14/C14</f>
        <v>417.945193370166</v>
      </c>
      <c r="H14" s="37" t="n">
        <f aca="false">IF(AND(A14&gt;=Inputs!$B$13,OR(A14&lt;Inputs!$B$19,Inputs!$B$20=1)),D14*Inputs!$B$11/C14,0)</f>
        <v>0</v>
      </c>
      <c r="I14" s="37" t="n">
        <f aca="false">Inputs!$C$9-SUMIFS(Cash_Events!$G$6:$G$20,Cash_Events!$C$6:$C$20,"FHL",Cash_Events!$B$6:$B$20,"&lt;="&amp;A14)</f>
        <v>1500000</v>
      </c>
      <c r="J14" s="38" t="n">
        <f aca="false">VLOOKUP(A14,Inputs!$F$40:$G$48,2,TRUE())</f>
        <v>0.034199995543672</v>
      </c>
      <c r="K14" s="38" t="n">
        <f aca="false">J14+Inputs!$C$10</f>
        <v>0.101699995543672</v>
      </c>
      <c r="L14" s="37" t="n">
        <f aca="false">I14*K14/C14</f>
        <v>417.945187165775</v>
      </c>
      <c r="M14" s="37" t="n">
        <f aca="false">IF(AND(A14&gt;=Inputs!$C$13,OR(A14&lt;Inputs!$B$19,Inputs!$B$20=1)),I14*Inputs!$C$11/C14,0)</f>
        <v>0</v>
      </c>
    </row>
    <row r="15" customFormat="false" ht="15" hidden="false" customHeight="false" outlineLevel="0" collapsed="false">
      <c r="A15" s="35" t="n">
        <f aca="false">A14+1</f>
        <v>44822</v>
      </c>
      <c r="B15" s="35" t="n">
        <f aca="false">EOMONTH(A15+1,0)</f>
        <v>44834</v>
      </c>
      <c r="C15" s="36" t="n">
        <f aca="false">IF(MOD(YEAR(A15),4)=0,366,365)</f>
        <v>365</v>
      </c>
      <c r="D15" s="37" t="n">
        <f aca="false">Inputs!$B$9-SUMIFS(Cash_Events!$G$6:$G$20,Cash_Events!$C$6:$C$20,"rAGMF",Cash_Events!$B$6:$B$20,"&lt;="&amp;A15)</f>
        <v>1500000</v>
      </c>
      <c r="E15" s="38" t="n">
        <f aca="false">VLOOKUP(A15,Inputs!$A$40:$B$48,2,TRUE())</f>
        <v>0.034199997053407</v>
      </c>
      <c r="F15" s="38" t="n">
        <f aca="false">E15+Inputs!$B$10</f>
        <v>0.101699997053407</v>
      </c>
      <c r="G15" s="37" t="n">
        <f aca="false">D15*F15/C15</f>
        <v>417.945193370166</v>
      </c>
      <c r="H15" s="37" t="n">
        <f aca="false">IF(AND(A15&gt;=Inputs!$B$13,OR(A15&lt;Inputs!$B$19,Inputs!$B$20=1)),D15*Inputs!$B$11/C15,0)</f>
        <v>0</v>
      </c>
      <c r="I15" s="37" t="n">
        <f aca="false">Inputs!$C$9-SUMIFS(Cash_Events!$G$6:$G$20,Cash_Events!$C$6:$C$20,"FHL",Cash_Events!$B$6:$B$20,"&lt;="&amp;A15)</f>
        <v>1500000</v>
      </c>
      <c r="J15" s="38" t="n">
        <f aca="false">VLOOKUP(A15,Inputs!$F$40:$G$48,2,TRUE())</f>
        <v>0.034199995543672</v>
      </c>
      <c r="K15" s="38" t="n">
        <f aca="false">J15+Inputs!$C$10</f>
        <v>0.101699995543672</v>
      </c>
      <c r="L15" s="37" t="n">
        <f aca="false">I15*K15/C15</f>
        <v>417.945187165775</v>
      </c>
      <c r="M15" s="37" t="n">
        <f aca="false">IF(AND(A15&gt;=Inputs!$C$13,OR(A15&lt;Inputs!$B$19,Inputs!$B$20=1)),I15*Inputs!$C$11/C15,0)</f>
        <v>0</v>
      </c>
    </row>
    <row r="16" customFormat="false" ht="15" hidden="false" customHeight="false" outlineLevel="0" collapsed="false">
      <c r="A16" s="35" t="n">
        <f aca="false">A15+1</f>
        <v>44823</v>
      </c>
      <c r="B16" s="35" t="n">
        <f aca="false">EOMONTH(A16+1,0)</f>
        <v>44834</v>
      </c>
      <c r="C16" s="36" t="n">
        <f aca="false">IF(MOD(YEAR(A16),4)=0,366,365)</f>
        <v>365</v>
      </c>
      <c r="D16" s="37" t="n">
        <f aca="false">Inputs!$B$9-SUMIFS(Cash_Events!$G$6:$G$20,Cash_Events!$C$6:$C$20,"rAGMF",Cash_Events!$B$6:$B$20,"&lt;="&amp;A16)</f>
        <v>1500000</v>
      </c>
      <c r="E16" s="38" t="n">
        <f aca="false">VLOOKUP(A16,Inputs!$A$40:$B$48,2,TRUE())</f>
        <v>0.034199997053407</v>
      </c>
      <c r="F16" s="38" t="n">
        <f aca="false">E16+Inputs!$B$10</f>
        <v>0.101699997053407</v>
      </c>
      <c r="G16" s="37" t="n">
        <f aca="false">D16*F16/C16</f>
        <v>417.945193370166</v>
      </c>
      <c r="H16" s="37" t="n">
        <f aca="false">IF(AND(A16&gt;=Inputs!$B$13,OR(A16&lt;Inputs!$B$19,Inputs!$B$20=1)),D16*Inputs!$B$11/C16,0)</f>
        <v>0</v>
      </c>
      <c r="I16" s="37" t="n">
        <f aca="false">Inputs!$C$9-SUMIFS(Cash_Events!$G$6:$G$20,Cash_Events!$C$6:$C$20,"FHL",Cash_Events!$B$6:$B$20,"&lt;="&amp;A16)</f>
        <v>1500000</v>
      </c>
      <c r="J16" s="38" t="n">
        <f aca="false">VLOOKUP(A16,Inputs!$F$40:$G$48,2,TRUE())</f>
        <v>0.034199995543672</v>
      </c>
      <c r="K16" s="38" t="n">
        <f aca="false">J16+Inputs!$C$10</f>
        <v>0.101699995543672</v>
      </c>
      <c r="L16" s="37" t="n">
        <f aca="false">I16*K16/C16</f>
        <v>417.945187165775</v>
      </c>
      <c r="M16" s="37" t="n">
        <f aca="false">IF(AND(A16&gt;=Inputs!$C$13,OR(A16&lt;Inputs!$B$19,Inputs!$B$20=1)),I16*Inputs!$C$11/C16,0)</f>
        <v>0</v>
      </c>
    </row>
    <row r="17" customFormat="false" ht="15" hidden="false" customHeight="false" outlineLevel="0" collapsed="false">
      <c r="A17" s="35" t="n">
        <f aca="false">A16+1</f>
        <v>44824</v>
      </c>
      <c r="B17" s="35" t="n">
        <f aca="false">EOMONTH(A17+1,0)</f>
        <v>44834</v>
      </c>
      <c r="C17" s="36" t="n">
        <f aca="false">IF(MOD(YEAR(A17),4)=0,366,365)</f>
        <v>365</v>
      </c>
      <c r="D17" s="37" t="n">
        <f aca="false">Inputs!$B$9-SUMIFS(Cash_Events!$G$6:$G$20,Cash_Events!$C$6:$C$20,"rAGMF",Cash_Events!$B$6:$B$20,"&lt;="&amp;A17)</f>
        <v>1500000</v>
      </c>
      <c r="E17" s="38" t="n">
        <f aca="false">VLOOKUP(A17,Inputs!$A$40:$B$48,2,TRUE())</f>
        <v>0.034199997053407</v>
      </c>
      <c r="F17" s="38" t="n">
        <f aca="false">E17+Inputs!$B$10</f>
        <v>0.101699997053407</v>
      </c>
      <c r="G17" s="37" t="n">
        <f aca="false">D17*F17/C17</f>
        <v>417.945193370166</v>
      </c>
      <c r="H17" s="37" t="n">
        <f aca="false">IF(AND(A17&gt;=Inputs!$B$13,OR(A17&lt;Inputs!$B$19,Inputs!$B$20=1)),D17*Inputs!$B$11/C17,0)</f>
        <v>0</v>
      </c>
      <c r="I17" s="37" t="n">
        <f aca="false">Inputs!$C$9-SUMIFS(Cash_Events!$G$6:$G$20,Cash_Events!$C$6:$C$20,"FHL",Cash_Events!$B$6:$B$20,"&lt;="&amp;A17)</f>
        <v>1500000</v>
      </c>
      <c r="J17" s="38" t="n">
        <f aca="false">VLOOKUP(A17,Inputs!$F$40:$G$48,2,TRUE())</f>
        <v>0.034199995543672</v>
      </c>
      <c r="K17" s="38" t="n">
        <f aca="false">J17+Inputs!$C$10</f>
        <v>0.101699995543672</v>
      </c>
      <c r="L17" s="37" t="n">
        <f aca="false">I17*K17/C17</f>
        <v>417.945187165775</v>
      </c>
      <c r="M17" s="37" t="n">
        <f aca="false">IF(AND(A17&gt;=Inputs!$C$13,OR(A17&lt;Inputs!$B$19,Inputs!$B$20=1)),I17*Inputs!$C$11/C17,0)</f>
        <v>0</v>
      </c>
    </row>
    <row r="18" customFormat="false" ht="15" hidden="false" customHeight="false" outlineLevel="0" collapsed="false">
      <c r="A18" s="35" t="n">
        <f aca="false">A17+1</f>
        <v>44825</v>
      </c>
      <c r="B18" s="35" t="n">
        <f aca="false">EOMONTH(A18+1,0)</f>
        <v>44834</v>
      </c>
      <c r="C18" s="36" t="n">
        <f aca="false">IF(MOD(YEAR(A18),4)=0,366,365)</f>
        <v>365</v>
      </c>
      <c r="D18" s="37" t="n">
        <f aca="false">Inputs!$B$9-SUMIFS(Cash_Events!$G$6:$G$20,Cash_Events!$C$6:$C$20,"rAGMF",Cash_Events!$B$6:$B$20,"&lt;="&amp;A18)</f>
        <v>1500000</v>
      </c>
      <c r="E18" s="38" t="n">
        <f aca="false">VLOOKUP(A18,Inputs!$A$40:$B$48,2,TRUE())</f>
        <v>0.034199997053407</v>
      </c>
      <c r="F18" s="38" t="n">
        <f aca="false">E18+Inputs!$B$10</f>
        <v>0.101699997053407</v>
      </c>
      <c r="G18" s="37" t="n">
        <f aca="false">D18*F18/C18</f>
        <v>417.945193370166</v>
      </c>
      <c r="H18" s="37" t="n">
        <f aca="false">IF(AND(A18&gt;=Inputs!$B$13,OR(A18&lt;Inputs!$B$19,Inputs!$B$20=1)),D18*Inputs!$B$11/C18,0)</f>
        <v>0</v>
      </c>
      <c r="I18" s="37" t="n">
        <f aca="false">Inputs!$C$9-SUMIFS(Cash_Events!$G$6:$G$20,Cash_Events!$C$6:$C$20,"FHL",Cash_Events!$B$6:$B$20,"&lt;="&amp;A18)</f>
        <v>1500000</v>
      </c>
      <c r="J18" s="38" t="n">
        <f aca="false">VLOOKUP(A18,Inputs!$F$40:$G$48,2,TRUE())</f>
        <v>0.034199995543672</v>
      </c>
      <c r="K18" s="38" t="n">
        <f aca="false">J18+Inputs!$C$10</f>
        <v>0.101699995543672</v>
      </c>
      <c r="L18" s="37" t="n">
        <f aca="false">I18*K18/C18</f>
        <v>417.945187165775</v>
      </c>
      <c r="M18" s="37" t="n">
        <f aca="false">IF(AND(A18&gt;=Inputs!$C$13,OR(A18&lt;Inputs!$B$19,Inputs!$B$20=1)),I18*Inputs!$C$11/C18,0)</f>
        <v>0</v>
      </c>
    </row>
    <row r="19" customFormat="false" ht="15" hidden="false" customHeight="false" outlineLevel="0" collapsed="false">
      <c r="A19" s="35" t="n">
        <f aca="false">A18+1</f>
        <v>44826</v>
      </c>
      <c r="B19" s="35" t="n">
        <f aca="false">EOMONTH(A19+1,0)</f>
        <v>44834</v>
      </c>
      <c r="C19" s="36" t="n">
        <f aca="false">IF(MOD(YEAR(A19),4)=0,366,365)</f>
        <v>365</v>
      </c>
      <c r="D19" s="37" t="n">
        <f aca="false">Inputs!$B$9-SUMIFS(Cash_Events!$G$6:$G$20,Cash_Events!$C$6:$C$20,"rAGMF",Cash_Events!$B$6:$B$20,"&lt;="&amp;A19)</f>
        <v>1500000</v>
      </c>
      <c r="E19" s="38" t="n">
        <f aca="false">VLOOKUP(A19,Inputs!$A$40:$B$48,2,TRUE())</f>
        <v>0.034199997053407</v>
      </c>
      <c r="F19" s="38" t="n">
        <f aca="false">E19+Inputs!$B$10</f>
        <v>0.101699997053407</v>
      </c>
      <c r="G19" s="37" t="n">
        <f aca="false">D19*F19/C19</f>
        <v>417.945193370166</v>
      </c>
      <c r="H19" s="37" t="n">
        <f aca="false">IF(AND(A19&gt;=Inputs!$B$13,OR(A19&lt;Inputs!$B$19,Inputs!$B$20=1)),D19*Inputs!$B$11/C19,0)</f>
        <v>0</v>
      </c>
      <c r="I19" s="37" t="n">
        <f aca="false">Inputs!$C$9-SUMIFS(Cash_Events!$G$6:$G$20,Cash_Events!$C$6:$C$20,"FHL",Cash_Events!$B$6:$B$20,"&lt;="&amp;A19)</f>
        <v>1500000</v>
      </c>
      <c r="J19" s="38" t="n">
        <f aca="false">VLOOKUP(A19,Inputs!$F$40:$G$48,2,TRUE())</f>
        <v>0.034199995543672</v>
      </c>
      <c r="K19" s="38" t="n">
        <f aca="false">J19+Inputs!$C$10</f>
        <v>0.101699995543672</v>
      </c>
      <c r="L19" s="37" t="n">
        <f aca="false">I19*K19/C19</f>
        <v>417.945187165775</v>
      </c>
      <c r="M19" s="37" t="n">
        <f aca="false">IF(AND(A19&gt;=Inputs!$C$13,OR(A19&lt;Inputs!$B$19,Inputs!$B$20=1)),I19*Inputs!$C$11/C19,0)</f>
        <v>0</v>
      </c>
    </row>
    <row r="20" customFormat="false" ht="15" hidden="false" customHeight="false" outlineLevel="0" collapsed="false">
      <c r="A20" s="35" t="n">
        <f aca="false">A19+1</f>
        <v>44827</v>
      </c>
      <c r="B20" s="35" t="n">
        <f aca="false">EOMONTH(A20+1,0)</f>
        <v>44834</v>
      </c>
      <c r="C20" s="36" t="n">
        <f aca="false">IF(MOD(YEAR(A20),4)=0,366,365)</f>
        <v>365</v>
      </c>
      <c r="D20" s="37" t="n">
        <f aca="false">Inputs!$B$9-SUMIFS(Cash_Events!$G$6:$G$20,Cash_Events!$C$6:$C$20,"rAGMF",Cash_Events!$B$6:$B$20,"&lt;="&amp;A20)</f>
        <v>1500000</v>
      </c>
      <c r="E20" s="38" t="n">
        <f aca="false">VLOOKUP(A20,Inputs!$A$40:$B$48,2,TRUE())</f>
        <v>0.034199997053407</v>
      </c>
      <c r="F20" s="38" t="n">
        <f aca="false">E20+Inputs!$B$10</f>
        <v>0.101699997053407</v>
      </c>
      <c r="G20" s="37" t="n">
        <f aca="false">D20*F20/C20</f>
        <v>417.945193370166</v>
      </c>
      <c r="H20" s="37" t="n">
        <f aca="false">IF(AND(A20&gt;=Inputs!$B$13,OR(A20&lt;Inputs!$B$19,Inputs!$B$20=1)),D20*Inputs!$B$11/C20,0)</f>
        <v>0</v>
      </c>
      <c r="I20" s="37" t="n">
        <f aca="false">Inputs!$C$9-SUMIFS(Cash_Events!$G$6:$G$20,Cash_Events!$C$6:$C$20,"FHL",Cash_Events!$B$6:$B$20,"&lt;="&amp;A20)</f>
        <v>1500000</v>
      </c>
      <c r="J20" s="38" t="n">
        <f aca="false">VLOOKUP(A20,Inputs!$F$40:$G$48,2,TRUE())</f>
        <v>0.034199995543672</v>
      </c>
      <c r="K20" s="38" t="n">
        <f aca="false">J20+Inputs!$C$10</f>
        <v>0.101699995543672</v>
      </c>
      <c r="L20" s="37" t="n">
        <f aca="false">I20*K20/C20</f>
        <v>417.945187165775</v>
      </c>
      <c r="M20" s="37" t="n">
        <f aca="false">IF(AND(A20&gt;=Inputs!$C$13,OR(A20&lt;Inputs!$B$19,Inputs!$B$20=1)),I20*Inputs!$C$11/C20,0)</f>
        <v>0</v>
      </c>
    </row>
    <row r="21" customFormat="false" ht="15" hidden="false" customHeight="false" outlineLevel="0" collapsed="false">
      <c r="A21" s="35" t="n">
        <f aca="false">A20+1</f>
        <v>44828</v>
      </c>
      <c r="B21" s="35" t="n">
        <f aca="false">EOMONTH(A21+1,0)</f>
        <v>44834</v>
      </c>
      <c r="C21" s="36" t="n">
        <f aca="false">IF(MOD(YEAR(A21),4)=0,366,365)</f>
        <v>365</v>
      </c>
      <c r="D21" s="37" t="n">
        <f aca="false">Inputs!$B$9-SUMIFS(Cash_Events!$G$6:$G$20,Cash_Events!$C$6:$C$20,"rAGMF",Cash_Events!$B$6:$B$20,"&lt;="&amp;A21)</f>
        <v>1500000</v>
      </c>
      <c r="E21" s="38" t="n">
        <f aca="false">VLOOKUP(A21,Inputs!$A$40:$B$48,2,TRUE())</f>
        <v>0.034199997053407</v>
      </c>
      <c r="F21" s="38" t="n">
        <f aca="false">E21+Inputs!$B$10</f>
        <v>0.101699997053407</v>
      </c>
      <c r="G21" s="37" t="n">
        <f aca="false">D21*F21/C21</f>
        <v>417.945193370166</v>
      </c>
      <c r="H21" s="37" t="n">
        <f aca="false">IF(AND(A21&gt;=Inputs!$B$13,OR(A21&lt;Inputs!$B$19,Inputs!$B$20=1)),D21*Inputs!$B$11/C21,0)</f>
        <v>0</v>
      </c>
      <c r="I21" s="37" t="n">
        <f aca="false">Inputs!$C$9-SUMIFS(Cash_Events!$G$6:$G$20,Cash_Events!$C$6:$C$20,"FHL",Cash_Events!$B$6:$B$20,"&lt;="&amp;A21)</f>
        <v>1500000</v>
      </c>
      <c r="J21" s="38" t="n">
        <f aca="false">VLOOKUP(A21,Inputs!$F$40:$G$48,2,TRUE())</f>
        <v>0.034199995543672</v>
      </c>
      <c r="K21" s="38" t="n">
        <f aca="false">J21+Inputs!$C$10</f>
        <v>0.101699995543672</v>
      </c>
      <c r="L21" s="37" t="n">
        <f aca="false">I21*K21/C21</f>
        <v>417.945187165775</v>
      </c>
      <c r="M21" s="37" t="n">
        <f aca="false">IF(AND(A21&gt;=Inputs!$C$13,OR(A21&lt;Inputs!$B$19,Inputs!$B$20=1)),I21*Inputs!$C$11/C21,0)</f>
        <v>0</v>
      </c>
    </row>
    <row r="22" customFormat="false" ht="15" hidden="false" customHeight="false" outlineLevel="0" collapsed="false">
      <c r="A22" s="35" t="n">
        <f aca="false">A21+1</f>
        <v>44829</v>
      </c>
      <c r="B22" s="35" t="n">
        <f aca="false">EOMONTH(A22+1,0)</f>
        <v>44834</v>
      </c>
      <c r="C22" s="36" t="n">
        <f aca="false">IF(MOD(YEAR(A22),4)=0,366,365)</f>
        <v>365</v>
      </c>
      <c r="D22" s="37" t="n">
        <f aca="false">Inputs!$B$9-SUMIFS(Cash_Events!$G$6:$G$20,Cash_Events!$C$6:$C$20,"rAGMF",Cash_Events!$B$6:$B$20,"&lt;="&amp;A22)</f>
        <v>1500000</v>
      </c>
      <c r="E22" s="38" t="n">
        <f aca="false">VLOOKUP(A22,Inputs!$A$40:$B$48,2,TRUE())</f>
        <v>0.034199997053407</v>
      </c>
      <c r="F22" s="38" t="n">
        <f aca="false">E22+Inputs!$B$10</f>
        <v>0.101699997053407</v>
      </c>
      <c r="G22" s="37" t="n">
        <f aca="false">D22*F22/C22</f>
        <v>417.945193370166</v>
      </c>
      <c r="H22" s="37" t="n">
        <f aca="false">IF(AND(A22&gt;=Inputs!$B$13,OR(A22&lt;Inputs!$B$19,Inputs!$B$20=1)),D22*Inputs!$B$11/C22,0)</f>
        <v>0</v>
      </c>
      <c r="I22" s="37" t="n">
        <f aca="false">Inputs!$C$9-SUMIFS(Cash_Events!$G$6:$G$20,Cash_Events!$C$6:$C$20,"FHL",Cash_Events!$B$6:$B$20,"&lt;="&amp;A22)</f>
        <v>1500000</v>
      </c>
      <c r="J22" s="38" t="n">
        <f aca="false">VLOOKUP(A22,Inputs!$F$40:$G$48,2,TRUE())</f>
        <v>0.034199995543672</v>
      </c>
      <c r="K22" s="38" t="n">
        <f aca="false">J22+Inputs!$C$10</f>
        <v>0.101699995543672</v>
      </c>
      <c r="L22" s="37" t="n">
        <f aca="false">I22*K22/C22</f>
        <v>417.945187165775</v>
      </c>
      <c r="M22" s="37" t="n">
        <f aca="false">IF(AND(A22&gt;=Inputs!$C$13,OR(A22&lt;Inputs!$B$19,Inputs!$B$20=1)),I22*Inputs!$C$11/C22,0)</f>
        <v>0</v>
      </c>
    </row>
    <row r="23" customFormat="false" ht="15" hidden="false" customHeight="false" outlineLevel="0" collapsed="false">
      <c r="A23" s="35" t="n">
        <f aca="false">A22+1</f>
        <v>44830</v>
      </c>
      <c r="B23" s="35" t="n">
        <f aca="false">EOMONTH(A23+1,0)</f>
        <v>44834</v>
      </c>
      <c r="C23" s="36" t="n">
        <f aca="false">IF(MOD(YEAR(A23),4)=0,366,365)</f>
        <v>365</v>
      </c>
      <c r="D23" s="37" t="n">
        <f aca="false">Inputs!$B$9-SUMIFS(Cash_Events!$G$6:$G$20,Cash_Events!$C$6:$C$20,"rAGMF",Cash_Events!$B$6:$B$20,"&lt;="&amp;A23)</f>
        <v>1500000</v>
      </c>
      <c r="E23" s="38" t="n">
        <f aca="false">VLOOKUP(A23,Inputs!$A$40:$B$48,2,TRUE())</f>
        <v>0.034199997053407</v>
      </c>
      <c r="F23" s="38" t="n">
        <f aca="false">E23+Inputs!$B$10</f>
        <v>0.101699997053407</v>
      </c>
      <c r="G23" s="37" t="n">
        <f aca="false">D23*F23/C23</f>
        <v>417.945193370166</v>
      </c>
      <c r="H23" s="37" t="n">
        <f aca="false">IF(AND(A23&gt;=Inputs!$B$13,OR(A23&lt;Inputs!$B$19,Inputs!$B$20=1)),D23*Inputs!$B$11/C23,0)</f>
        <v>0</v>
      </c>
      <c r="I23" s="37" t="n">
        <f aca="false">Inputs!$C$9-SUMIFS(Cash_Events!$G$6:$G$20,Cash_Events!$C$6:$C$20,"FHL",Cash_Events!$B$6:$B$20,"&lt;="&amp;A23)</f>
        <v>1500000</v>
      </c>
      <c r="J23" s="38" t="n">
        <f aca="false">VLOOKUP(A23,Inputs!$F$40:$G$48,2,TRUE())</f>
        <v>0.034199995543672</v>
      </c>
      <c r="K23" s="38" t="n">
        <f aca="false">J23+Inputs!$C$10</f>
        <v>0.101699995543672</v>
      </c>
      <c r="L23" s="37" t="n">
        <f aca="false">I23*K23/C23</f>
        <v>417.945187165775</v>
      </c>
      <c r="M23" s="37" t="n">
        <f aca="false">IF(AND(A23&gt;=Inputs!$C$13,OR(A23&lt;Inputs!$B$19,Inputs!$B$20=1)),I23*Inputs!$C$11/C23,0)</f>
        <v>0</v>
      </c>
    </row>
    <row r="24" customFormat="false" ht="15" hidden="false" customHeight="false" outlineLevel="0" collapsed="false">
      <c r="A24" s="35" t="n">
        <f aca="false">A23+1</f>
        <v>44831</v>
      </c>
      <c r="B24" s="35" t="n">
        <f aca="false">EOMONTH(A24+1,0)</f>
        <v>44834</v>
      </c>
      <c r="C24" s="36" t="n">
        <f aca="false">IF(MOD(YEAR(A24),4)=0,366,365)</f>
        <v>365</v>
      </c>
      <c r="D24" s="37" t="n">
        <f aca="false">Inputs!$B$9-SUMIFS(Cash_Events!$G$6:$G$20,Cash_Events!$C$6:$C$20,"rAGMF",Cash_Events!$B$6:$B$20,"&lt;="&amp;A24)</f>
        <v>1500000</v>
      </c>
      <c r="E24" s="38" t="n">
        <f aca="false">VLOOKUP(A24,Inputs!$A$40:$B$48,2,TRUE())</f>
        <v>0.034199997053407</v>
      </c>
      <c r="F24" s="38" t="n">
        <f aca="false">E24+Inputs!$B$10</f>
        <v>0.101699997053407</v>
      </c>
      <c r="G24" s="37" t="n">
        <f aca="false">D24*F24/C24</f>
        <v>417.945193370166</v>
      </c>
      <c r="H24" s="37" t="n">
        <f aca="false">IF(AND(A24&gt;=Inputs!$B$13,OR(A24&lt;Inputs!$B$19,Inputs!$B$20=1)),D24*Inputs!$B$11/C24,0)</f>
        <v>0</v>
      </c>
      <c r="I24" s="37" t="n">
        <f aca="false">Inputs!$C$9-SUMIFS(Cash_Events!$G$6:$G$20,Cash_Events!$C$6:$C$20,"FHL",Cash_Events!$B$6:$B$20,"&lt;="&amp;A24)</f>
        <v>1500000</v>
      </c>
      <c r="J24" s="38" t="n">
        <f aca="false">VLOOKUP(A24,Inputs!$F$40:$G$48,2,TRUE())</f>
        <v>0.034199995543672</v>
      </c>
      <c r="K24" s="38" t="n">
        <f aca="false">J24+Inputs!$C$10</f>
        <v>0.101699995543672</v>
      </c>
      <c r="L24" s="37" t="n">
        <f aca="false">I24*K24/C24</f>
        <v>417.945187165775</v>
      </c>
      <c r="M24" s="37" t="n">
        <f aca="false">IF(AND(A24&gt;=Inputs!$C$13,OR(A24&lt;Inputs!$B$19,Inputs!$B$20=1)),I24*Inputs!$C$11/C24,0)</f>
        <v>0</v>
      </c>
    </row>
    <row r="25" customFormat="false" ht="15" hidden="false" customHeight="false" outlineLevel="0" collapsed="false">
      <c r="A25" s="35" t="n">
        <f aca="false">A24+1</f>
        <v>44832</v>
      </c>
      <c r="B25" s="35" t="n">
        <f aca="false">EOMONTH(A25+1,0)</f>
        <v>44834</v>
      </c>
      <c r="C25" s="36" t="n">
        <f aca="false">IF(MOD(YEAR(A25),4)=0,366,365)</f>
        <v>365</v>
      </c>
      <c r="D25" s="37" t="n">
        <f aca="false">Inputs!$B$9-SUMIFS(Cash_Events!$G$6:$G$20,Cash_Events!$C$6:$C$20,"rAGMF",Cash_Events!$B$6:$B$20,"&lt;="&amp;A25)</f>
        <v>1500000</v>
      </c>
      <c r="E25" s="38" t="n">
        <f aca="false">VLOOKUP(A25,Inputs!$A$40:$B$48,2,TRUE())</f>
        <v>0.034199997053407</v>
      </c>
      <c r="F25" s="38" t="n">
        <f aca="false">E25+Inputs!$B$10</f>
        <v>0.101699997053407</v>
      </c>
      <c r="G25" s="37" t="n">
        <f aca="false">D25*F25/C25</f>
        <v>417.945193370166</v>
      </c>
      <c r="H25" s="37" t="n">
        <f aca="false">IF(AND(A25&gt;=Inputs!$B$13,OR(A25&lt;Inputs!$B$19,Inputs!$B$20=1)),D25*Inputs!$B$11/C25,0)</f>
        <v>0</v>
      </c>
      <c r="I25" s="37" t="n">
        <f aca="false">Inputs!$C$9-SUMIFS(Cash_Events!$G$6:$G$20,Cash_Events!$C$6:$C$20,"FHL",Cash_Events!$B$6:$B$20,"&lt;="&amp;A25)</f>
        <v>1500000</v>
      </c>
      <c r="J25" s="38" t="n">
        <f aca="false">VLOOKUP(A25,Inputs!$F$40:$G$48,2,TRUE())</f>
        <v>0.034199995543672</v>
      </c>
      <c r="K25" s="38" t="n">
        <f aca="false">J25+Inputs!$C$10</f>
        <v>0.101699995543672</v>
      </c>
      <c r="L25" s="37" t="n">
        <f aca="false">I25*K25/C25</f>
        <v>417.945187165775</v>
      </c>
      <c r="M25" s="37" t="n">
        <f aca="false">IF(AND(A25&gt;=Inputs!$C$13,OR(A25&lt;Inputs!$B$19,Inputs!$B$20=1)),I25*Inputs!$C$11/C25,0)</f>
        <v>0</v>
      </c>
    </row>
    <row r="26" customFormat="false" ht="15" hidden="false" customHeight="false" outlineLevel="0" collapsed="false">
      <c r="A26" s="35" t="n">
        <f aca="false">A25+1</f>
        <v>44833</v>
      </c>
      <c r="B26" s="35" t="n">
        <f aca="false">EOMONTH(A26+1,0)</f>
        <v>44834</v>
      </c>
      <c r="C26" s="36" t="n">
        <f aca="false">IF(MOD(YEAR(A26),4)=0,366,365)</f>
        <v>365</v>
      </c>
      <c r="D26" s="37" t="n">
        <f aca="false">Inputs!$B$9-SUMIFS(Cash_Events!$G$6:$G$20,Cash_Events!$C$6:$C$20,"rAGMF",Cash_Events!$B$6:$B$20,"&lt;="&amp;A26)</f>
        <v>1500000</v>
      </c>
      <c r="E26" s="38" t="n">
        <f aca="false">VLOOKUP(A26,Inputs!$A$40:$B$48,2,TRUE())</f>
        <v>0.034199997053407</v>
      </c>
      <c r="F26" s="38" t="n">
        <f aca="false">E26+Inputs!$B$10</f>
        <v>0.101699997053407</v>
      </c>
      <c r="G26" s="37" t="n">
        <f aca="false">D26*F26/C26</f>
        <v>417.945193370166</v>
      </c>
      <c r="H26" s="37" t="n">
        <f aca="false">IF(AND(A26&gt;=Inputs!$B$13,OR(A26&lt;Inputs!$B$19,Inputs!$B$20=1)),D26*Inputs!$B$11/C26,0)</f>
        <v>0</v>
      </c>
      <c r="I26" s="37" t="n">
        <f aca="false">Inputs!$C$9-SUMIFS(Cash_Events!$G$6:$G$20,Cash_Events!$C$6:$C$20,"FHL",Cash_Events!$B$6:$B$20,"&lt;="&amp;A26)</f>
        <v>1500000</v>
      </c>
      <c r="J26" s="38" t="n">
        <f aca="false">VLOOKUP(A26,Inputs!$F$40:$G$48,2,TRUE())</f>
        <v>0.034199995543672</v>
      </c>
      <c r="K26" s="38" t="n">
        <f aca="false">J26+Inputs!$C$10</f>
        <v>0.101699995543672</v>
      </c>
      <c r="L26" s="37" t="n">
        <f aca="false">I26*K26/C26</f>
        <v>417.945187165775</v>
      </c>
      <c r="M26" s="37" t="n">
        <f aca="false">IF(AND(A26&gt;=Inputs!$C$13,OR(A26&lt;Inputs!$B$19,Inputs!$B$20=1)),I26*Inputs!$C$11/C26,0)</f>
        <v>0</v>
      </c>
    </row>
    <row r="27" customFormat="false" ht="15" hidden="false" customHeight="false" outlineLevel="0" collapsed="false">
      <c r="A27" s="35" t="n">
        <f aca="false">A26+1</f>
        <v>44834</v>
      </c>
      <c r="B27" s="35" t="n">
        <f aca="false">EOMONTH(A27+1,0)</f>
        <v>44865</v>
      </c>
      <c r="C27" s="36" t="n">
        <f aca="false">IF(MOD(YEAR(A27),4)=0,366,365)</f>
        <v>365</v>
      </c>
      <c r="D27" s="37" t="n">
        <f aca="false">Inputs!$B$9-SUMIFS(Cash_Events!$G$6:$G$20,Cash_Events!$C$6:$C$20,"rAGMF",Cash_Events!$B$6:$B$20,"&lt;="&amp;A27)</f>
        <v>1500000</v>
      </c>
      <c r="E27" s="38" t="n">
        <f aca="false">VLOOKUP(A27,Inputs!$A$40:$B$48,2,TRUE())</f>
        <v>0.034199997053407</v>
      </c>
      <c r="F27" s="38" t="n">
        <f aca="false">E27+Inputs!$B$10</f>
        <v>0.101699997053407</v>
      </c>
      <c r="G27" s="37" t="n">
        <f aca="false">D27*F27/C27</f>
        <v>417.945193370166</v>
      </c>
      <c r="H27" s="37" t="n">
        <f aca="false">IF(AND(A27&gt;=Inputs!$B$13,OR(A27&lt;Inputs!$B$19,Inputs!$B$20=1)),D27*Inputs!$B$11/C27,0)</f>
        <v>0</v>
      </c>
      <c r="I27" s="37" t="n">
        <f aca="false">Inputs!$C$9-SUMIFS(Cash_Events!$G$6:$G$20,Cash_Events!$C$6:$C$20,"FHL",Cash_Events!$B$6:$B$20,"&lt;="&amp;A27)</f>
        <v>1500000</v>
      </c>
      <c r="J27" s="38" t="n">
        <f aca="false">VLOOKUP(A27,Inputs!$F$40:$G$48,2,TRUE())</f>
        <v>0.034199995543672</v>
      </c>
      <c r="K27" s="38" t="n">
        <f aca="false">J27+Inputs!$C$10</f>
        <v>0.101699995543672</v>
      </c>
      <c r="L27" s="37" t="n">
        <f aca="false">I27*K27/C27</f>
        <v>417.945187165775</v>
      </c>
      <c r="M27" s="37" t="n">
        <f aca="false">IF(AND(A27&gt;=Inputs!$C$13,OR(A27&lt;Inputs!$B$19,Inputs!$B$20=1)),I27*Inputs!$C$11/C27,0)</f>
        <v>0</v>
      </c>
    </row>
    <row r="28" customFormat="false" ht="15" hidden="false" customHeight="false" outlineLevel="0" collapsed="false">
      <c r="A28" s="35" t="n">
        <f aca="false">A27+1</f>
        <v>44835</v>
      </c>
      <c r="B28" s="35" t="n">
        <f aca="false">EOMONTH(A28+1,0)</f>
        <v>44865</v>
      </c>
      <c r="C28" s="36" t="n">
        <f aca="false">IF(MOD(YEAR(A28),4)=0,366,365)</f>
        <v>365</v>
      </c>
      <c r="D28" s="37" t="n">
        <f aca="false">Inputs!$B$9-SUMIFS(Cash_Events!$G$6:$G$20,Cash_Events!$C$6:$C$20,"rAGMF",Cash_Events!$B$6:$B$20,"&lt;="&amp;A28)</f>
        <v>1500000</v>
      </c>
      <c r="E28" s="38" t="n">
        <f aca="false">VLOOKUP(A28,Inputs!$A$40:$B$48,2,TRUE())</f>
        <v>0.034199997053407</v>
      </c>
      <c r="F28" s="38" t="n">
        <f aca="false">E28+Inputs!$B$10</f>
        <v>0.101699997053407</v>
      </c>
      <c r="G28" s="37" t="n">
        <f aca="false">D28*F28/C28</f>
        <v>417.945193370166</v>
      </c>
      <c r="H28" s="37" t="n">
        <f aca="false">IF(AND(A28&gt;=Inputs!$B$13,OR(A28&lt;Inputs!$B$19,Inputs!$B$20=1)),D28*Inputs!$B$11/C28,0)</f>
        <v>0</v>
      </c>
      <c r="I28" s="37" t="n">
        <f aca="false">Inputs!$C$9-SUMIFS(Cash_Events!$G$6:$G$20,Cash_Events!$C$6:$C$20,"FHL",Cash_Events!$B$6:$B$20,"&lt;="&amp;A28)</f>
        <v>1500000</v>
      </c>
      <c r="J28" s="38" t="n">
        <f aca="false">VLOOKUP(A28,Inputs!$F$40:$G$48,2,TRUE())</f>
        <v>0.034199995543672</v>
      </c>
      <c r="K28" s="38" t="n">
        <f aca="false">J28+Inputs!$C$10</f>
        <v>0.101699995543672</v>
      </c>
      <c r="L28" s="37" t="n">
        <f aca="false">I28*K28/C28</f>
        <v>417.945187165775</v>
      </c>
      <c r="M28" s="37" t="n">
        <f aca="false">IF(AND(A28&gt;=Inputs!$C$13,OR(A28&lt;Inputs!$B$19,Inputs!$B$20=1)),I28*Inputs!$C$11/C28,0)</f>
        <v>0</v>
      </c>
    </row>
    <row r="29" customFormat="false" ht="15" hidden="false" customHeight="false" outlineLevel="0" collapsed="false">
      <c r="A29" s="35" t="n">
        <f aca="false">A28+1</f>
        <v>44836</v>
      </c>
      <c r="B29" s="35" t="n">
        <f aca="false">EOMONTH(A29+1,0)</f>
        <v>44865</v>
      </c>
      <c r="C29" s="36" t="n">
        <f aca="false">IF(MOD(YEAR(A29),4)=0,366,365)</f>
        <v>365</v>
      </c>
      <c r="D29" s="37" t="n">
        <f aca="false">Inputs!$B$9-SUMIFS(Cash_Events!$G$6:$G$20,Cash_Events!$C$6:$C$20,"rAGMF",Cash_Events!$B$6:$B$20,"&lt;="&amp;A29)</f>
        <v>1500000</v>
      </c>
      <c r="E29" s="38" t="n">
        <f aca="false">VLOOKUP(A29,Inputs!$A$40:$B$48,2,TRUE())</f>
        <v>0.034199997053407</v>
      </c>
      <c r="F29" s="38" t="n">
        <f aca="false">E29+Inputs!$B$10</f>
        <v>0.101699997053407</v>
      </c>
      <c r="G29" s="37" t="n">
        <f aca="false">D29*F29/C29</f>
        <v>417.945193370166</v>
      </c>
      <c r="H29" s="37" t="n">
        <f aca="false">IF(AND(A29&gt;=Inputs!$B$13,OR(A29&lt;Inputs!$B$19,Inputs!$B$20=1)),D29*Inputs!$B$11/C29,0)</f>
        <v>0</v>
      </c>
      <c r="I29" s="37" t="n">
        <f aca="false">Inputs!$C$9-SUMIFS(Cash_Events!$G$6:$G$20,Cash_Events!$C$6:$C$20,"FHL",Cash_Events!$B$6:$B$20,"&lt;="&amp;A29)</f>
        <v>1500000</v>
      </c>
      <c r="J29" s="38" t="n">
        <f aca="false">VLOOKUP(A29,Inputs!$F$40:$G$48,2,TRUE())</f>
        <v>0.034199995543672</v>
      </c>
      <c r="K29" s="38" t="n">
        <f aca="false">J29+Inputs!$C$10</f>
        <v>0.101699995543672</v>
      </c>
      <c r="L29" s="37" t="n">
        <f aca="false">I29*K29/C29</f>
        <v>417.945187165775</v>
      </c>
      <c r="M29" s="37" t="n">
        <f aca="false">IF(AND(A29&gt;=Inputs!$C$13,OR(A29&lt;Inputs!$B$19,Inputs!$B$20=1)),I29*Inputs!$C$11/C29,0)</f>
        <v>0</v>
      </c>
    </row>
    <row r="30" customFormat="false" ht="15" hidden="false" customHeight="false" outlineLevel="0" collapsed="false">
      <c r="A30" s="35" t="n">
        <f aca="false">A29+1</f>
        <v>44837</v>
      </c>
      <c r="B30" s="35" t="n">
        <f aca="false">EOMONTH(A30+1,0)</f>
        <v>44865</v>
      </c>
      <c r="C30" s="36" t="n">
        <f aca="false">IF(MOD(YEAR(A30),4)=0,366,365)</f>
        <v>365</v>
      </c>
      <c r="D30" s="37" t="n">
        <f aca="false">Inputs!$B$9-SUMIFS(Cash_Events!$G$6:$G$20,Cash_Events!$C$6:$C$20,"rAGMF",Cash_Events!$B$6:$B$20,"&lt;="&amp;A30)</f>
        <v>1500000</v>
      </c>
      <c r="E30" s="38" t="n">
        <f aca="false">VLOOKUP(A30,Inputs!$A$40:$B$48,2,TRUE())</f>
        <v>0.034199997053407</v>
      </c>
      <c r="F30" s="38" t="n">
        <f aca="false">E30+Inputs!$B$10</f>
        <v>0.101699997053407</v>
      </c>
      <c r="G30" s="37" t="n">
        <f aca="false">D30*F30/C30</f>
        <v>417.945193370166</v>
      </c>
      <c r="H30" s="37" t="n">
        <f aca="false">IF(AND(A30&gt;=Inputs!$B$13,OR(A30&lt;Inputs!$B$19,Inputs!$B$20=1)),D30*Inputs!$B$11/C30,0)</f>
        <v>0</v>
      </c>
      <c r="I30" s="37" t="n">
        <f aca="false">Inputs!$C$9-SUMIFS(Cash_Events!$G$6:$G$20,Cash_Events!$C$6:$C$20,"FHL",Cash_Events!$B$6:$B$20,"&lt;="&amp;A30)</f>
        <v>1500000</v>
      </c>
      <c r="J30" s="38" t="n">
        <f aca="false">VLOOKUP(A30,Inputs!$F$40:$G$48,2,TRUE())</f>
        <v>0.034199995543672</v>
      </c>
      <c r="K30" s="38" t="n">
        <f aca="false">J30+Inputs!$C$10</f>
        <v>0.101699995543672</v>
      </c>
      <c r="L30" s="37" t="n">
        <f aca="false">I30*K30/C30</f>
        <v>417.945187165775</v>
      </c>
      <c r="M30" s="37" t="n">
        <f aca="false">IF(AND(A30&gt;=Inputs!$C$13,OR(A30&lt;Inputs!$B$19,Inputs!$B$20=1)),I30*Inputs!$C$11/C30,0)</f>
        <v>0</v>
      </c>
    </row>
    <row r="31" customFormat="false" ht="15" hidden="false" customHeight="false" outlineLevel="0" collapsed="false">
      <c r="A31" s="35" t="n">
        <f aca="false">A30+1</f>
        <v>44838</v>
      </c>
      <c r="B31" s="35" t="n">
        <f aca="false">EOMONTH(A31+1,0)</f>
        <v>44865</v>
      </c>
      <c r="C31" s="36" t="n">
        <f aca="false">IF(MOD(YEAR(A31),4)=0,366,365)</f>
        <v>365</v>
      </c>
      <c r="D31" s="37" t="n">
        <f aca="false">Inputs!$B$9-SUMIFS(Cash_Events!$G$6:$G$20,Cash_Events!$C$6:$C$20,"rAGMF",Cash_Events!$B$6:$B$20,"&lt;="&amp;A31)</f>
        <v>1500000</v>
      </c>
      <c r="E31" s="38" t="n">
        <f aca="false">VLOOKUP(A31,Inputs!$A$40:$B$48,2,TRUE())</f>
        <v>0.034199997053407</v>
      </c>
      <c r="F31" s="38" t="n">
        <f aca="false">E31+Inputs!$B$10</f>
        <v>0.101699997053407</v>
      </c>
      <c r="G31" s="37" t="n">
        <f aca="false">D31*F31/C31</f>
        <v>417.945193370166</v>
      </c>
      <c r="H31" s="37" t="n">
        <f aca="false">IF(AND(A31&gt;=Inputs!$B$13,OR(A31&lt;Inputs!$B$19,Inputs!$B$20=1)),D31*Inputs!$B$11/C31,0)</f>
        <v>0</v>
      </c>
      <c r="I31" s="37" t="n">
        <f aca="false">Inputs!$C$9-SUMIFS(Cash_Events!$G$6:$G$20,Cash_Events!$C$6:$C$20,"FHL",Cash_Events!$B$6:$B$20,"&lt;="&amp;A31)</f>
        <v>1500000</v>
      </c>
      <c r="J31" s="38" t="n">
        <f aca="false">VLOOKUP(A31,Inputs!$F$40:$G$48,2,TRUE())</f>
        <v>0.034199995543672</v>
      </c>
      <c r="K31" s="38" t="n">
        <f aca="false">J31+Inputs!$C$10</f>
        <v>0.101699995543672</v>
      </c>
      <c r="L31" s="37" t="n">
        <f aca="false">I31*K31/C31</f>
        <v>417.945187165775</v>
      </c>
      <c r="M31" s="37" t="n">
        <f aca="false">IF(AND(A31&gt;=Inputs!$C$13,OR(A31&lt;Inputs!$B$19,Inputs!$B$20=1)),I31*Inputs!$C$11/C31,0)</f>
        <v>0</v>
      </c>
    </row>
    <row r="32" customFormat="false" ht="15" hidden="false" customHeight="false" outlineLevel="0" collapsed="false">
      <c r="A32" s="35" t="n">
        <f aca="false">A31+1</f>
        <v>44839</v>
      </c>
      <c r="B32" s="35" t="n">
        <f aca="false">EOMONTH(A32+1,0)</f>
        <v>44865</v>
      </c>
      <c r="C32" s="36" t="n">
        <f aca="false">IF(MOD(YEAR(A32),4)=0,366,365)</f>
        <v>365</v>
      </c>
      <c r="D32" s="37" t="n">
        <f aca="false">Inputs!$B$9-SUMIFS(Cash_Events!$G$6:$G$20,Cash_Events!$C$6:$C$20,"rAGMF",Cash_Events!$B$6:$B$20,"&lt;="&amp;A32)</f>
        <v>1500000</v>
      </c>
      <c r="E32" s="38" t="n">
        <f aca="false">VLOOKUP(A32,Inputs!$A$40:$B$48,2,TRUE())</f>
        <v>0.034199997053407</v>
      </c>
      <c r="F32" s="38" t="n">
        <f aca="false">E32+Inputs!$B$10</f>
        <v>0.101699997053407</v>
      </c>
      <c r="G32" s="37" t="n">
        <f aca="false">D32*F32/C32</f>
        <v>417.945193370166</v>
      </c>
      <c r="H32" s="37" t="n">
        <f aca="false">IF(AND(A32&gt;=Inputs!$B$13,OR(A32&lt;Inputs!$B$19,Inputs!$B$20=1)),D32*Inputs!$B$11/C32,0)</f>
        <v>0</v>
      </c>
      <c r="I32" s="37" t="n">
        <f aca="false">Inputs!$C$9-SUMIFS(Cash_Events!$G$6:$G$20,Cash_Events!$C$6:$C$20,"FHL",Cash_Events!$B$6:$B$20,"&lt;="&amp;A32)</f>
        <v>1500000</v>
      </c>
      <c r="J32" s="38" t="n">
        <f aca="false">VLOOKUP(A32,Inputs!$F$40:$G$48,2,TRUE())</f>
        <v>0.034199995543672</v>
      </c>
      <c r="K32" s="38" t="n">
        <f aca="false">J32+Inputs!$C$10</f>
        <v>0.101699995543672</v>
      </c>
      <c r="L32" s="37" t="n">
        <f aca="false">I32*K32/C32</f>
        <v>417.945187165775</v>
      </c>
      <c r="M32" s="37" t="n">
        <f aca="false">IF(AND(A32&gt;=Inputs!$C$13,OR(A32&lt;Inputs!$B$19,Inputs!$B$20=1)),I32*Inputs!$C$11/C32,0)</f>
        <v>0</v>
      </c>
    </row>
    <row r="33" customFormat="false" ht="15" hidden="false" customHeight="false" outlineLevel="0" collapsed="false">
      <c r="A33" s="35" t="n">
        <f aca="false">A32+1</f>
        <v>44840</v>
      </c>
      <c r="B33" s="35" t="n">
        <f aca="false">EOMONTH(A33+1,0)</f>
        <v>44865</v>
      </c>
      <c r="C33" s="36" t="n">
        <f aca="false">IF(MOD(YEAR(A33),4)=0,366,365)</f>
        <v>365</v>
      </c>
      <c r="D33" s="37" t="n">
        <f aca="false">Inputs!$B$9-SUMIFS(Cash_Events!$G$6:$G$20,Cash_Events!$C$6:$C$20,"rAGMF",Cash_Events!$B$6:$B$20,"&lt;="&amp;A33)</f>
        <v>1500000</v>
      </c>
      <c r="E33" s="38" t="n">
        <f aca="false">VLOOKUP(A33,Inputs!$A$40:$B$48,2,TRUE())</f>
        <v>0.034199997053407</v>
      </c>
      <c r="F33" s="38" t="n">
        <f aca="false">E33+Inputs!$B$10</f>
        <v>0.101699997053407</v>
      </c>
      <c r="G33" s="37" t="n">
        <f aca="false">D33*F33/C33</f>
        <v>417.945193370166</v>
      </c>
      <c r="H33" s="37" t="n">
        <f aca="false">IF(AND(A33&gt;=Inputs!$B$13,OR(A33&lt;Inputs!$B$19,Inputs!$B$20=1)),D33*Inputs!$B$11/C33,0)</f>
        <v>0</v>
      </c>
      <c r="I33" s="37" t="n">
        <f aca="false">Inputs!$C$9-SUMIFS(Cash_Events!$G$6:$G$20,Cash_Events!$C$6:$C$20,"FHL",Cash_Events!$B$6:$B$20,"&lt;="&amp;A33)</f>
        <v>1500000</v>
      </c>
      <c r="J33" s="38" t="n">
        <f aca="false">VLOOKUP(A33,Inputs!$F$40:$G$48,2,TRUE())</f>
        <v>0.034199995543672</v>
      </c>
      <c r="K33" s="38" t="n">
        <f aca="false">J33+Inputs!$C$10</f>
        <v>0.101699995543672</v>
      </c>
      <c r="L33" s="37" t="n">
        <f aca="false">I33*K33/C33</f>
        <v>417.945187165775</v>
      </c>
      <c r="M33" s="37" t="n">
        <f aca="false">IF(AND(A33&gt;=Inputs!$C$13,OR(A33&lt;Inputs!$B$19,Inputs!$B$20=1)),I33*Inputs!$C$11/C33,0)</f>
        <v>0</v>
      </c>
    </row>
    <row r="34" customFormat="false" ht="15" hidden="false" customHeight="false" outlineLevel="0" collapsed="false">
      <c r="A34" s="35" t="n">
        <f aca="false">A33+1</f>
        <v>44841</v>
      </c>
      <c r="B34" s="35" t="n">
        <f aca="false">EOMONTH(A34+1,0)</f>
        <v>44865</v>
      </c>
      <c r="C34" s="36" t="n">
        <f aca="false">IF(MOD(YEAR(A34),4)=0,366,365)</f>
        <v>365</v>
      </c>
      <c r="D34" s="37" t="n">
        <f aca="false">Inputs!$B$9-SUMIFS(Cash_Events!$G$6:$G$20,Cash_Events!$C$6:$C$20,"rAGMF",Cash_Events!$B$6:$B$20,"&lt;="&amp;A34)</f>
        <v>1500000</v>
      </c>
      <c r="E34" s="38" t="n">
        <f aca="false">VLOOKUP(A34,Inputs!$A$40:$B$48,2,TRUE())</f>
        <v>0.034199997053407</v>
      </c>
      <c r="F34" s="38" t="n">
        <f aca="false">E34+Inputs!$B$10</f>
        <v>0.101699997053407</v>
      </c>
      <c r="G34" s="37" t="n">
        <f aca="false">D34*F34/C34</f>
        <v>417.945193370166</v>
      </c>
      <c r="H34" s="37" t="n">
        <f aca="false">IF(AND(A34&gt;=Inputs!$B$13,OR(A34&lt;Inputs!$B$19,Inputs!$B$20=1)),D34*Inputs!$B$11/C34,0)</f>
        <v>0</v>
      </c>
      <c r="I34" s="37" t="n">
        <f aca="false">Inputs!$C$9-SUMIFS(Cash_Events!$G$6:$G$20,Cash_Events!$C$6:$C$20,"FHL",Cash_Events!$B$6:$B$20,"&lt;="&amp;A34)</f>
        <v>1500000</v>
      </c>
      <c r="J34" s="38" t="n">
        <f aca="false">VLOOKUP(A34,Inputs!$F$40:$G$48,2,TRUE())</f>
        <v>0.034199995543672</v>
      </c>
      <c r="K34" s="38" t="n">
        <f aca="false">J34+Inputs!$C$10</f>
        <v>0.101699995543672</v>
      </c>
      <c r="L34" s="37" t="n">
        <f aca="false">I34*K34/C34</f>
        <v>417.945187165775</v>
      </c>
      <c r="M34" s="37" t="n">
        <f aca="false">IF(AND(A34&gt;=Inputs!$C$13,OR(A34&lt;Inputs!$B$19,Inputs!$B$20=1)),I34*Inputs!$C$11/C34,0)</f>
        <v>0</v>
      </c>
    </row>
    <row r="35" customFormat="false" ht="15" hidden="false" customHeight="false" outlineLevel="0" collapsed="false">
      <c r="A35" s="35" t="n">
        <f aca="false">A34+1</f>
        <v>44842</v>
      </c>
      <c r="B35" s="35" t="n">
        <f aca="false">EOMONTH(A35+1,0)</f>
        <v>44865</v>
      </c>
      <c r="C35" s="36" t="n">
        <f aca="false">IF(MOD(YEAR(A35),4)=0,366,365)</f>
        <v>365</v>
      </c>
      <c r="D35" s="37" t="n">
        <f aca="false">Inputs!$B$9-SUMIFS(Cash_Events!$G$6:$G$20,Cash_Events!$C$6:$C$20,"rAGMF",Cash_Events!$B$6:$B$20,"&lt;="&amp;A35)</f>
        <v>1500000</v>
      </c>
      <c r="E35" s="38" t="n">
        <f aca="false">VLOOKUP(A35,Inputs!$A$40:$B$48,2,TRUE())</f>
        <v>0.034199997053407</v>
      </c>
      <c r="F35" s="38" t="n">
        <f aca="false">E35+Inputs!$B$10</f>
        <v>0.101699997053407</v>
      </c>
      <c r="G35" s="37" t="n">
        <f aca="false">D35*F35/C35</f>
        <v>417.945193370166</v>
      </c>
      <c r="H35" s="37" t="n">
        <f aca="false">IF(AND(A35&gt;=Inputs!$B$13,OR(A35&lt;Inputs!$B$19,Inputs!$B$20=1)),D35*Inputs!$B$11/C35,0)</f>
        <v>0</v>
      </c>
      <c r="I35" s="37" t="n">
        <f aca="false">Inputs!$C$9-SUMIFS(Cash_Events!$G$6:$G$20,Cash_Events!$C$6:$C$20,"FHL",Cash_Events!$B$6:$B$20,"&lt;="&amp;A35)</f>
        <v>1500000</v>
      </c>
      <c r="J35" s="38" t="n">
        <f aca="false">VLOOKUP(A35,Inputs!$F$40:$G$48,2,TRUE())</f>
        <v>0.034199995543672</v>
      </c>
      <c r="K35" s="38" t="n">
        <f aca="false">J35+Inputs!$C$10</f>
        <v>0.101699995543672</v>
      </c>
      <c r="L35" s="37" t="n">
        <f aca="false">I35*K35/C35</f>
        <v>417.945187165775</v>
      </c>
      <c r="M35" s="37" t="n">
        <f aca="false">IF(AND(A35&gt;=Inputs!$C$13,OR(A35&lt;Inputs!$B$19,Inputs!$B$20=1)),I35*Inputs!$C$11/C35,0)</f>
        <v>0</v>
      </c>
    </row>
    <row r="36" customFormat="false" ht="15" hidden="false" customHeight="false" outlineLevel="0" collapsed="false">
      <c r="A36" s="35" t="n">
        <f aca="false">A35+1</f>
        <v>44843</v>
      </c>
      <c r="B36" s="35" t="n">
        <f aca="false">EOMONTH(A36+1,0)</f>
        <v>44865</v>
      </c>
      <c r="C36" s="36" t="n">
        <f aca="false">IF(MOD(YEAR(A36),4)=0,366,365)</f>
        <v>365</v>
      </c>
      <c r="D36" s="37" t="n">
        <f aca="false">Inputs!$B$9-SUMIFS(Cash_Events!$G$6:$G$20,Cash_Events!$C$6:$C$20,"rAGMF",Cash_Events!$B$6:$B$20,"&lt;="&amp;A36)</f>
        <v>1500000</v>
      </c>
      <c r="E36" s="38" t="n">
        <f aca="false">VLOOKUP(A36,Inputs!$A$40:$B$48,2,TRUE())</f>
        <v>0.034199997053407</v>
      </c>
      <c r="F36" s="38" t="n">
        <f aca="false">E36+Inputs!$B$10</f>
        <v>0.101699997053407</v>
      </c>
      <c r="G36" s="37" t="n">
        <f aca="false">D36*F36/C36</f>
        <v>417.945193370166</v>
      </c>
      <c r="H36" s="37" t="n">
        <f aca="false">IF(AND(A36&gt;=Inputs!$B$13,OR(A36&lt;Inputs!$B$19,Inputs!$B$20=1)),D36*Inputs!$B$11/C36,0)</f>
        <v>0</v>
      </c>
      <c r="I36" s="37" t="n">
        <f aca="false">Inputs!$C$9-SUMIFS(Cash_Events!$G$6:$G$20,Cash_Events!$C$6:$C$20,"FHL",Cash_Events!$B$6:$B$20,"&lt;="&amp;A36)</f>
        <v>1500000</v>
      </c>
      <c r="J36" s="38" t="n">
        <f aca="false">VLOOKUP(A36,Inputs!$F$40:$G$48,2,TRUE())</f>
        <v>0.034199995543672</v>
      </c>
      <c r="K36" s="38" t="n">
        <f aca="false">J36+Inputs!$C$10</f>
        <v>0.101699995543672</v>
      </c>
      <c r="L36" s="37" t="n">
        <f aca="false">I36*K36/C36</f>
        <v>417.945187165775</v>
      </c>
      <c r="M36" s="37" t="n">
        <f aca="false">IF(AND(A36&gt;=Inputs!$C$13,OR(A36&lt;Inputs!$B$19,Inputs!$B$20=1)),I36*Inputs!$C$11/C36,0)</f>
        <v>0</v>
      </c>
    </row>
    <row r="37" customFormat="false" ht="15" hidden="false" customHeight="false" outlineLevel="0" collapsed="false">
      <c r="A37" s="35" t="n">
        <f aca="false">A36+1</f>
        <v>44844</v>
      </c>
      <c r="B37" s="35" t="n">
        <f aca="false">EOMONTH(A37+1,0)</f>
        <v>44865</v>
      </c>
      <c r="C37" s="36" t="n">
        <f aca="false">IF(MOD(YEAR(A37),4)=0,366,365)</f>
        <v>365</v>
      </c>
      <c r="D37" s="37" t="n">
        <f aca="false">Inputs!$B$9-SUMIFS(Cash_Events!$G$6:$G$20,Cash_Events!$C$6:$C$20,"rAGMF",Cash_Events!$B$6:$B$20,"&lt;="&amp;A37)</f>
        <v>1500000</v>
      </c>
      <c r="E37" s="38" t="n">
        <f aca="false">VLOOKUP(A37,Inputs!$A$40:$B$48,2,TRUE())</f>
        <v>0.034199997053407</v>
      </c>
      <c r="F37" s="38" t="n">
        <f aca="false">E37+Inputs!$B$10</f>
        <v>0.101699997053407</v>
      </c>
      <c r="G37" s="37" t="n">
        <f aca="false">D37*F37/C37</f>
        <v>417.945193370166</v>
      </c>
      <c r="H37" s="37" t="n">
        <f aca="false">IF(AND(A37&gt;=Inputs!$B$13,OR(A37&lt;Inputs!$B$19,Inputs!$B$20=1)),D37*Inputs!$B$11/C37,0)</f>
        <v>0</v>
      </c>
      <c r="I37" s="37" t="n">
        <f aca="false">Inputs!$C$9-SUMIFS(Cash_Events!$G$6:$G$20,Cash_Events!$C$6:$C$20,"FHL",Cash_Events!$B$6:$B$20,"&lt;="&amp;A37)</f>
        <v>1500000</v>
      </c>
      <c r="J37" s="38" t="n">
        <f aca="false">VLOOKUP(A37,Inputs!$F$40:$G$48,2,TRUE())</f>
        <v>0.034199995543672</v>
      </c>
      <c r="K37" s="38" t="n">
        <f aca="false">J37+Inputs!$C$10</f>
        <v>0.101699995543672</v>
      </c>
      <c r="L37" s="37" t="n">
        <f aca="false">I37*K37/C37</f>
        <v>417.945187165775</v>
      </c>
      <c r="M37" s="37" t="n">
        <f aca="false">IF(AND(A37&gt;=Inputs!$C$13,OR(A37&lt;Inputs!$B$19,Inputs!$B$20=1)),I37*Inputs!$C$11/C37,0)</f>
        <v>0</v>
      </c>
    </row>
    <row r="38" customFormat="false" ht="15" hidden="false" customHeight="false" outlineLevel="0" collapsed="false">
      <c r="A38" s="35" t="n">
        <f aca="false">A37+1</f>
        <v>44845</v>
      </c>
      <c r="B38" s="35" t="n">
        <f aca="false">EOMONTH(A38+1,0)</f>
        <v>44865</v>
      </c>
      <c r="C38" s="36" t="n">
        <f aca="false">IF(MOD(YEAR(A38),4)=0,366,365)</f>
        <v>365</v>
      </c>
      <c r="D38" s="37" t="n">
        <f aca="false">Inputs!$B$9-SUMIFS(Cash_Events!$G$6:$G$20,Cash_Events!$C$6:$C$20,"rAGMF",Cash_Events!$B$6:$B$20,"&lt;="&amp;A38)</f>
        <v>1500000</v>
      </c>
      <c r="E38" s="38" t="n">
        <f aca="false">VLOOKUP(A38,Inputs!$A$40:$B$48,2,TRUE())</f>
        <v>0.034199997053407</v>
      </c>
      <c r="F38" s="38" t="n">
        <f aca="false">E38+Inputs!$B$10</f>
        <v>0.101699997053407</v>
      </c>
      <c r="G38" s="37" t="n">
        <f aca="false">D38*F38/C38</f>
        <v>417.945193370166</v>
      </c>
      <c r="H38" s="37" t="n">
        <f aca="false">IF(AND(A38&gt;=Inputs!$B$13,OR(A38&lt;Inputs!$B$19,Inputs!$B$20=1)),D38*Inputs!$B$11/C38,0)</f>
        <v>0</v>
      </c>
      <c r="I38" s="37" t="n">
        <f aca="false">Inputs!$C$9-SUMIFS(Cash_Events!$G$6:$G$20,Cash_Events!$C$6:$C$20,"FHL",Cash_Events!$B$6:$B$20,"&lt;="&amp;A38)</f>
        <v>1500000</v>
      </c>
      <c r="J38" s="38" t="n">
        <f aca="false">VLOOKUP(A38,Inputs!$F$40:$G$48,2,TRUE())</f>
        <v>0.034199995543672</v>
      </c>
      <c r="K38" s="38" t="n">
        <f aca="false">J38+Inputs!$C$10</f>
        <v>0.101699995543672</v>
      </c>
      <c r="L38" s="37" t="n">
        <f aca="false">I38*K38/C38</f>
        <v>417.945187165775</v>
      </c>
      <c r="M38" s="37" t="n">
        <f aca="false">IF(AND(A38&gt;=Inputs!$C$13,OR(A38&lt;Inputs!$B$19,Inputs!$B$20=1)),I38*Inputs!$C$11/C38,0)</f>
        <v>0</v>
      </c>
    </row>
    <row r="39" customFormat="false" ht="15" hidden="false" customHeight="false" outlineLevel="0" collapsed="false">
      <c r="A39" s="35" t="n">
        <f aca="false">A38+1</f>
        <v>44846</v>
      </c>
      <c r="B39" s="35" t="n">
        <f aca="false">EOMONTH(A39+1,0)</f>
        <v>44865</v>
      </c>
      <c r="C39" s="36" t="n">
        <f aca="false">IF(MOD(YEAR(A39),4)=0,366,365)</f>
        <v>365</v>
      </c>
      <c r="D39" s="37" t="n">
        <f aca="false">Inputs!$B$9-SUMIFS(Cash_Events!$G$6:$G$20,Cash_Events!$C$6:$C$20,"rAGMF",Cash_Events!$B$6:$B$20,"&lt;="&amp;A39)</f>
        <v>1500000</v>
      </c>
      <c r="E39" s="38" t="n">
        <f aca="false">VLOOKUP(A39,Inputs!$A$40:$B$48,2,TRUE())</f>
        <v>0.034199997053407</v>
      </c>
      <c r="F39" s="38" t="n">
        <f aca="false">E39+Inputs!$B$10</f>
        <v>0.101699997053407</v>
      </c>
      <c r="G39" s="37" t="n">
        <f aca="false">D39*F39/C39</f>
        <v>417.945193370166</v>
      </c>
      <c r="H39" s="37" t="n">
        <f aca="false">IF(AND(A39&gt;=Inputs!$B$13,OR(A39&lt;Inputs!$B$19,Inputs!$B$20=1)),D39*Inputs!$B$11/C39,0)</f>
        <v>0</v>
      </c>
      <c r="I39" s="37" t="n">
        <f aca="false">Inputs!$C$9-SUMIFS(Cash_Events!$G$6:$G$20,Cash_Events!$C$6:$C$20,"FHL",Cash_Events!$B$6:$B$20,"&lt;="&amp;A39)</f>
        <v>1500000</v>
      </c>
      <c r="J39" s="38" t="n">
        <f aca="false">VLOOKUP(A39,Inputs!$F$40:$G$48,2,TRUE())</f>
        <v>0.034199995543672</v>
      </c>
      <c r="K39" s="38" t="n">
        <f aca="false">J39+Inputs!$C$10</f>
        <v>0.101699995543672</v>
      </c>
      <c r="L39" s="37" t="n">
        <f aca="false">I39*K39/C39</f>
        <v>417.945187165775</v>
      </c>
      <c r="M39" s="37" t="n">
        <f aca="false">IF(AND(A39&gt;=Inputs!$C$13,OR(A39&lt;Inputs!$B$19,Inputs!$B$20=1)),I39*Inputs!$C$11/C39,0)</f>
        <v>0</v>
      </c>
    </row>
    <row r="40" customFormat="false" ht="15" hidden="false" customHeight="false" outlineLevel="0" collapsed="false">
      <c r="A40" s="35" t="n">
        <f aca="false">A39+1</f>
        <v>44847</v>
      </c>
      <c r="B40" s="35" t="n">
        <f aca="false">EOMONTH(A40+1,0)</f>
        <v>44865</v>
      </c>
      <c r="C40" s="36" t="n">
        <f aca="false">IF(MOD(YEAR(A40),4)=0,366,365)</f>
        <v>365</v>
      </c>
      <c r="D40" s="37" t="n">
        <f aca="false">Inputs!$B$9-SUMIFS(Cash_Events!$G$6:$G$20,Cash_Events!$C$6:$C$20,"rAGMF",Cash_Events!$B$6:$B$20,"&lt;="&amp;A40)</f>
        <v>1500000</v>
      </c>
      <c r="E40" s="38" t="n">
        <f aca="false">VLOOKUP(A40,Inputs!$A$40:$B$48,2,TRUE())</f>
        <v>0.034199997053407</v>
      </c>
      <c r="F40" s="38" t="n">
        <f aca="false">E40+Inputs!$B$10</f>
        <v>0.101699997053407</v>
      </c>
      <c r="G40" s="37" t="n">
        <f aca="false">D40*F40/C40</f>
        <v>417.945193370166</v>
      </c>
      <c r="H40" s="37" t="n">
        <f aca="false">IF(AND(A40&gt;=Inputs!$B$13,OR(A40&lt;Inputs!$B$19,Inputs!$B$20=1)),D40*Inputs!$B$11/C40,0)</f>
        <v>0</v>
      </c>
      <c r="I40" s="37" t="n">
        <f aca="false">Inputs!$C$9-SUMIFS(Cash_Events!$G$6:$G$20,Cash_Events!$C$6:$C$20,"FHL",Cash_Events!$B$6:$B$20,"&lt;="&amp;A40)</f>
        <v>1500000</v>
      </c>
      <c r="J40" s="38" t="n">
        <f aca="false">VLOOKUP(A40,Inputs!$F$40:$G$48,2,TRUE())</f>
        <v>0.034199995543672</v>
      </c>
      <c r="K40" s="38" t="n">
        <f aca="false">J40+Inputs!$C$10</f>
        <v>0.101699995543672</v>
      </c>
      <c r="L40" s="37" t="n">
        <f aca="false">I40*K40/C40</f>
        <v>417.945187165775</v>
      </c>
      <c r="M40" s="37" t="n">
        <f aca="false">IF(AND(A40&gt;=Inputs!$C$13,OR(A40&lt;Inputs!$B$19,Inputs!$B$20=1)),I40*Inputs!$C$11/C40,0)</f>
        <v>0</v>
      </c>
    </row>
    <row r="41" customFormat="false" ht="15" hidden="false" customHeight="false" outlineLevel="0" collapsed="false">
      <c r="A41" s="35" t="n">
        <f aca="false">A40+1</f>
        <v>44848</v>
      </c>
      <c r="B41" s="35" t="n">
        <f aca="false">EOMONTH(A41+1,0)</f>
        <v>44865</v>
      </c>
      <c r="C41" s="36" t="n">
        <f aca="false">IF(MOD(YEAR(A41),4)=0,366,365)</f>
        <v>365</v>
      </c>
      <c r="D41" s="37" t="n">
        <f aca="false">Inputs!$B$9-SUMIFS(Cash_Events!$G$6:$G$20,Cash_Events!$C$6:$C$20,"rAGMF",Cash_Events!$B$6:$B$20,"&lt;="&amp;A41)</f>
        <v>1500000</v>
      </c>
      <c r="E41" s="38" t="n">
        <f aca="false">VLOOKUP(A41,Inputs!$A$40:$B$48,2,TRUE())</f>
        <v>0.034199997053407</v>
      </c>
      <c r="F41" s="38" t="n">
        <f aca="false">E41+Inputs!$B$10</f>
        <v>0.101699997053407</v>
      </c>
      <c r="G41" s="37" t="n">
        <f aca="false">D41*F41/C41</f>
        <v>417.945193370166</v>
      </c>
      <c r="H41" s="37" t="n">
        <f aca="false">IF(AND(A41&gt;=Inputs!$B$13,OR(A41&lt;Inputs!$B$19,Inputs!$B$20=1)),D41*Inputs!$B$11/C41,0)</f>
        <v>0</v>
      </c>
      <c r="I41" s="37" t="n">
        <f aca="false">Inputs!$C$9-SUMIFS(Cash_Events!$G$6:$G$20,Cash_Events!$C$6:$C$20,"FHL",Cash_Events!$B$6:$B$20,"&lt;="&amp;A41)</f>
        <v>1500000</v>
      </c>
      <c r="J41" s="38" t="n">
        <f aca="false">VLOOKUP(A41,Inputs!$F$40:$G$48,2,TRUE())</f>
        <v>0.034199995543672</v>
      </c>
      <c r="K41" s="38" t="n">
        <f aca="false">J41+Inputs!$C$10</f>
        <v>0.101699995543672</v>
      </c>
      <c r="L41" s="37" t="n">
        <f aca="false">I41*K41/C41</f>
        <v>417.945187165775</v>
      </c>
      <c r="M41" s="37" t="n">
        <f aca="false">IF(AND(A41&gt;=Inputs!$C$13,OR(A41&lt;Inputs!$B$19,Inputs!$B$20=1)),I41*Inputs!$C$11/C41,0)</f>
        <v>0</v>
      </c>
    </row>
    <row r="42" customFormat="false" ht="15" hidden="false" customHeight="false" outlineLevel="0" collapsed="false">
      <c r="A42" s="35" t="n">
        <f aca="false">A41+1</f>
        <v>44849</v>
      </c>
      <c r="B42" s="35" t="n">
        <f aca="false">EOMONTH(A42+1,0)</f>
        <v>44865</v>
      </c>
      <c r="C42" s="36" t="n">
        <f aca="false">IF(MOD(YEAR(A42),4)=0,366,365)</f>
        <v>365</v>
      </c>
      <c r="D42" s="37" t="n">
        <f aca="false">Inputs!$B$9-SUMIFS(Cash_Events!$G$6:$G$20,Cash_Events!$C$6:$C$20,"rAGMF",Cash_Events!$B$6:$B$20,"&lt;="&amp;A42)</f>
        <v>1500000</v>
      </c>
      <c r="E42" s="38" t="n">
        <f aca="false">VLOOKUP(A42,Inputs!$A$40:$B$48,2,TRUE())</f>
        <v>0.034199997053407</v>
      </c>
      <c r="F42" s="38" t="n">
        <f aca="false">E42+Inputs!$B$10</f>
        <v>0.101699997053407</v>
      </c>
      <c r="G42" s="37" t="n">
        <f aca="false">D42*F42/C42</f>
        <v>417.945193370166</v>
      </c>
      <c r="H42" s="37" t="n">
        <f aca="false">IF(AND(A42&gt;=Inputs!$B$13,OR(A42&lt;Inputs!$B$19,Inputs!$B$20=1)),D42*Inputs!$B$11/C42,0)</f>
        <v>0</v>
      </c>
      <c r="I42" s="37" t="n">
        <f aca="false">Inputs!$C$9-SUMIFS(Cash_Events!$G$6:$G$20,Cash_Events!$C$6:$C$20,"FHL",Cash_Events!$B$6:$B$20,"&lt;="&amp;A42)</f>
        <v>1500000</v>
      </c>
      <c r="J42" s="38" t="n">
        <f aca="false">VLOOKUP(A42,Inputs!$F$40:$G$48,2,TRUE())</f>
        <v>0.034199995543672</v>
      </c>
      <c r="K42" s="38" t="n">
        <f aca="false">J42+Inputs!$C$10</f>
        <v>0.101699995543672</v>
      </c>
      <c r="L42" s="37" t="n">
        <f aca="false">I42*K42/C42</f>
        <v>417.945187165775</v>
      </c>
      <c r="M42" s="37" t="n">
        <f aca="false">IF(AND(A42&gt;=Inputs!$C$13,OR(A42&lt;Inputs!$B$19,Inputs!$B$20=1)),I42*Inputs!$C$11/C42,0)</f>
        <v>0</v>
      </c>
    </row>
    <row r="43" customFormat="false" ht="15" hidden="false" customHeight="false" outlineLevel="0" collapsed="false">
      <c r="A43" s="35" t="n">
        <f aca="false">A42+1</f>
        <v>44850</v>
      </c>
      <c r="B43" s="35" t="n">
        <f aca="false">EOMONTH(A43+1,0)</f>
        <v>44865</v>
      </c>
      <c r="C43" s="36" t="n">
        <f aca="false">IF(MOD(YEAR(A43),4)=0,366,365)</f>
        <v>365</v>
      </c>
      <c r="D43" s="37" t="n">
        <f aca="false">Inputs!$B$9-SUMIFS(Cash_Events!$G$6:$G$20,Cash_Events!$C$6:$C$20,"rAGMF",Cash_Events!$B$6:$B$20,"&lt;="&amp;A43)</f>
        <v>1500000</v>
      </c>
      <c r="E43" s="38" t="n">
        <f aca="false">VLOOKUP(A43,Inputs!$A$40:$B$48,2,TRUE())</f>
        <v>0.034199997053407</v>
      </c>
      <c r="F43" s="38" t="n">
        <f aca="false">E43+Inputs!$B$10</f>
        <v>0.101699997053407</v>
      </c>
      <c r="G43" s="37" t="n">
        <f aca="false">D43*F43/C43</f>
        <v>417.945193370166</v>
      </c>
      <c r="H43" s="37" t="n">
        <f aca="false">IF(AND(A43&gt;=Inputs!$B$13,OR(A43&lt;Inputs!$B$19,Inputs!$B$20=1)),D43*Inputs!$B$11/C43,0)</f>
        <v>0</v>
      </c>
      <c r="I43" s="37" t="n">
        <f aca="false">Inputs!$C$9-SUMIFS(Cash_Events!$G$6:$G$20,Cash_Events!$C$6:$C$20,"FHL",Cash_Events!$B$6:$B$20,"&lt;="&amp;A43)</f>
        <v>1500000</v>
      </c>
      <c r="J43" s="38" t="n">
        <f aca="false">VLOOKUP(A43,Inputs!$F$40:$G$48,2,TRUE())</f>
        <v>0.034199995543672</v>
      </c>
      <c r="K43" s="38" t="n">
        <f aca="false">J43+Inputs!$C$10</f>
        <v>0.101699995543672</v>
      </c>
      <c r="L43" s="37" t="n">
        <f aca="false">I43*K43/C43</f>
        <v>417.945187165775</v>
      </c>
      <c r="M43" s="37" t="n">
        <f aca="false">IF(AND(A43&gt;=Inputs!$C$13,OR(A43&lt;Inputs!$B$19,Inputs!$B$20=1)),I43*Inputs!$C$11/C43,0)</f>
        <v>0</v>
      </c>
    </row>
    <row r="44" customFormat="false" ht="15" hidden="false" customHeight="false" outlineLevel="0" collapsed="false">
      <c r="A44" s="35" t="n">
        <f aca="false">A43+1</f>
        <v>44851</v>
      </c>
      <c r="B44" s="35" t="n">
        <f aca="false">EOMONTH(A44+1,0)</f>
        <v>44865</v>
      </c>
      <c r="C44" s="36" t="n">
        <f aca="false">IF(MOD(YEAR(A44),4)=0,366,365)</f>
        <v>365</v>
      </c>
      <c r="D44" s="37" t="n">
        <f aca="false">Inputs!$B$9-SUMIFS(Cash_Events!$G$6:$G$20,Cash_Events!$C$6:$C$20,"rAGMF",Cash_Events!$B$6:$B$20,"&lt;="&amp;A44)</f>
        <v>1500000</v>
      </c>
      <c r="E44" s="38" t="n">
        <f aca="false">VLOOKUP(A44,Inputs!$A$40:$B$48,2,TRUE())</f>
        <v>0.034199997053407</v>
      </c>
      <c r="F44" s="38" t="n">
        <f aca="false">E44+Inputs!$B$10</f>
        <v>0.101699997053407</v>
      </c>
      <c r="G44" s="37" t="n">
        <f aca="false">D44*F44/C44</f>
        <v>417.945193370166</v>
      </c>
      <c r="H44" s="37" t="n">
        <f aca="false">IF(AND(A44&gt;=Inputs!$B$13,OR(A44&lt;Inputs!$B$19,Inputs!$B$20=1)),D44*Inputs!$B$11/C44,0)</f>
        <v>0</v>
      </c>
      <c r="I44" s="37" t="n">
        <f aca="false">Inputs!$C$9-SUMIFS(Cash_Events!$G$6:$G$20,Cash_Events!$C$6:$C$20,"FHL",Cash_Events!$B$6:$B$20,"&lt;="&amp;A44)</f>
        <v>1500000</v>
      </c>
      <c r="J44" s="38" t="n">
        <f aca="false">VLOOKUP(A44,Inputs!$F$40:$G$48,2,TRUE())</f>
        <v>0.034199995543672</v>
      </c>
      <c r="K44" s="38" t="n">
        <f aca="false">J44+Inputs!$C$10</f>
        <v>0.101699995543672</v>
      </c>
      <c r="L44" s="37" t="n">
        <f aca="false">I44*K44/C44</f>
        <v>417.945187165775</v>
      </c>
      <c r="M44" s="37" t="n">
        <f aca="false">IF(AND(A44&gt;=Inputs!$C$13,OR(A44&lt;Inputs!$B$19,Inputs!$B$20=1)),I44*Inputs!$C$11/C44,0)</f>
        <v>0</v>
      </c>
    </row>
    <row r="45" customFormat="false" ht="15" hidden="false" customHeight="false" outlineLevel="0" collapsed="false">
      <c r="A45" s="35" t="n">
        <f aca="false">A44+1</f>
        <v>44852</v>
      </c>
      <c r="B45" s="35" t="n">
        <f aca="false">EOMONTH(A45+1,0)</f>
        <v>44865</v>
      </c>
      <c r="C45" s="36" t="n">
        <f aca="false">IF(MOD(YEAR(A45),4)=0,366,365)</f>
        <v>365</v>
      </c>
      <c r="D45" s="37" t="n">
        <f aca="false">Inputs!$B$9-SUMIFS(Cash_Events!$G$6:$G$20,Cash_Events!$C$6:$C$20,"rAGMF",Cash_Events!$B$6:$B$20,"&lt;="&amp;A45)</f>
        <v>1500000</v>
      </c>
      <c r="E45" s="38" t="n">
        <f aca="false">VLOOKUP(A45,Inputs!$A$40:$B$48,2,TRUE())</f>
        <v>0.034199997053407</v>
      </c>
      <c r="F45" s="38" t="n">
        <f aca="false">E45+Inputs!$B$10</f>
        <v>0.101699997053407</v>
      </c>
      <c r="G45" s="37" t="n">
        <f aca="false">D45*F45/C45</f>
        <v>417.945193370166</v>
      </c>
      <c r="H45" s="37" t="n">
        <f aca="false">IF(AND(A45&gt;=Inputs!$B$13,OR(A45&lt;Inputs!$B$19,Inputs!$B$20=1)),D45*Inputs!$B$11/C45,0)</f>
        <v>0</v>
      </c>
      <c r="I45" s="37" t="n">
        <f aca="false">Inputs!$C$9-SUMIFS(Cash_Events!$G$6:$G$20,Cash_Events!$C$6:$C$20,"FHL",Cash_Events!$B$6:$B$20,"&lt;="&amp;A45)</f>
        <v>1500000</v>
      </c>
      <c r="J45" s="38" t="n">
        <f aca="false">VLOOKUP(A45,Inputs!$F$40:$G$48,2,TRUE())</f>
        <v>0.034199995543672</v>
      </c>
      <c r="K45" s="38" t="n">
        <f aca="false">J45+Inputs!$C$10</f>
        <v>0.101699995543672</v>
      </c>
      <c r="L45" s="37" t="n">
        <f aca="false">I45*K45/C45</f>
        <v>417.945187165775</v>
      </c>
      <c r="M45" s="37" t="n">
        <f aca="false">IF(AND(A45&gt;=Inputs!$C$13,OR(A45&lt;Inputs!$B$19,Inputs!$B$20=1)),I45*Inputs!$C$11/C45,0)</f>
        <v>0</v>
      </c>
    </row>
    <row r="46" customFormat="false" ht="15" hidden="false" customHeight="false" outlineLevel="0" collapsed="false">
      <c r="A46" s="35" t="n">
        <f aca="false">A45+1</f>
        <v>44853</v>
      </c>
      <c r="B46" s="35" t="n">
        <f aca="false">EOMONTH(A46+1,0)</f>
        <v>44865</v>
      </c>
      <c r="C46" s="36" t="n">
        <f aca="false">IF(MOD(YEAR(A46),4)=0,366,365)</f>
        <v>365</v>
      </c>
      <c r="D46" s="37" t="n">
        <f aca="false">Inputs!$B$9-SUMIFS(Cash_Events!$G$6:$G$20,Cash_Events!$C$6:$C$20,"rAGMF",Cash_Events!$B$6:$B$20,"&lt;="&amp;A46)</f>
        <v>1500000</v>
      </c>
      <c r="E46" s="38" t="n">
        <f aca="false">VLOOKUP(A46,Inputs!$A$40:$B$48,2,TRUE())</f>
        <v>0.034199997053407</v>
      </c>
      <c r="F46" s="38" t="n">
        <f aca="false">E46+Inputs!$B$10</f>
        <v>0.101699997053407</v>
      </c>
      <c r="G46" s="37" t="n">
        <f aca="false">D46*F46/C46</f>
        <v>417.945193370166</v>
      </c>
      <c r="H46" s="37" t="n">
        <f aca="false">IF(AND(A46&gt;=Inputs!$B$13,OR(A46&lt;Inputs!$B$19,Inputs!$B$20=1)),D46*Inputs!$B$11/C46,0)</f>
        <v>0</v>
      </c>
      <c r="I46" s="37" t="n">
        <f aca="false">Inputs!$C$9-SUMIFS(Cash_Events!$G$6:$G$20,Cash_Events!$C$6:$C$20,"FHL",Cash_Events!$B$6:$B$20,"&lt;="&amp;A46)</f>
        <v>1500000</v>
      </c>
      <c r="J46" s="38" t="n">
        <f aca="false">VLOOKUP(A46,Inputs!$F$40:$G$48,2,TRUE())</f>
        <v>0.034199995543672</v>
      </c>
      <c r="K46" s="38" t="n">
        <f aca="false">J46+Inputs!$C$10</f>
        <v>0.101699995543672</v>
      </c>
      <c r="L46" s="37" t="n">
        <f aca="false">I46*K46/C46</f>
        <v>417.945187165775</v>
      </c>
      <c r="M46" s="37" t="n">
        <f aca="false">IF(AND(A46&gt;=Inputs!$C$13,OR(A46&lt;Inputs!$B$19,Inputs!$B$20=1)),I46*Inputs!$C$11/C46,0)</f>
        <v>0</v>
      </c>
    </row>
    <row r="47" customFormat="false" ht="15" hidden="false" customHeight="false" outlineLevel="0" collapsed="false">
      <c r="A47" s="35" t="n">
        <f aca="false">A46+1</f>
        <v>44854</v>
      </c>
      <c r="B47" s="35" t="n">
        <f aca="false">EOMONTH(A47+1,0)</f>
        <v>44865</v>
      </c>
      <c r="C47" s="36" t="n">
        <f aca="false">IF(MOD(YEAR(A47),4)=0,366,365)</f>
        <v>365</v>
      </c>
      <c r="D47" s="37" t="n">
        <f aca="false">Inputs!$B$9-SUMIFS(Cash_Events!$G$6:$G$20,Cash_Events!$C$6:$C$20,"rAGMF",Cash_Events!$B$6:$B$20,"&lt;="&amp;A47)</f>
        <v>1500000</v>
      </c>
      <c r="E47" s="38" t="n">
        <f aca="false">VLOOKUP(A47,Inputs!$A$40:$B$48,2,TRUE())</f>
        <v>0.034199997053407</v>
      </c>
      <c r="F47" s="38" t="n">
        <f aca="false">E47+Inputs!$B$10</f>
        <v>0.101699997053407</v>
      </c>
      <c r="G47" s="37" t="n">
        <f aca="false">D47*F47/C47</f>
        <v>417.945193370166</v>
      </c>
      <c r="H47" s="37" t="n">
        <f aca="false">IF(AND(A47&gt;=Inputs!$B$13,OR(A47&lt;Inputs!$B$19,Inputs!$B$20=1)),D47*Inputs!$B$11/C47,0)</f>
        <v>0</v>
      </c>
      <c r="I47" s="37" t="n">
        <f aca="false">Inputs!$C$9-SUMIFS(Cash_Events!$G$6:$G$20,Cash_Events!$C$6:$C$20,"FHL",Cash_Events!$B$6:$B$20,"&lt;="&amp;A47)</f>
        <v>1500000</v>
      </c>
      <c r="J47" s="38" t="n">
        <f aca="false">VLOOKUP(A47,Inputs!$F$40:$G$48,2,TRUE())</f>
        <v>0.034199995543672</v>
      </c>
      <c r="K47" s="38" t="n">
        <f aca="false">J47+Inputs!$C$10</f>
        <v>0.101699995543672</v>
      </c>
      <c r="L47" s="37" t="n">
        <f aca="false">I47*K47/C47</f>
        <v>417.945187165775</v>
      </c>
      <c r="M47" s="37" t="n">
        <f aca="false">IF(AND(A47&gt;=Inputs!$C$13,OR(A47&lt;Inputs!$B$19,Inputs!$B$20=1)),I47*Inputs!$C$11/C47,0)</f>
        <v>0</v>
      </c>
    </row>
    <row r="48" customFormat="false" ht="15" hidden="false" customHeight="false" outlineLevel="0" collapsed="false">
      <c r="A48" s="35" t="n">
        <f aca="false">A47+1</f>
        <v>44855</v>
      </c>
      <c r="B48" s="35" t="n">
        <f aca="false">EOMONTH(A48+1,0)</f>
        <v>44865</v>
      </c>
      <c r="C48" s="36" t="n">
        <f aca="false">IF(MOD(YEAR(A48),4)=0,366,365)</f>
        <v>365</v>
      </c>
      <c r="D48" s="37" t="n">
        <f aca="false">Inputs!$B$9-SUMIFS(Cash_Events!$G$6:$G$20,Cash_Events!$C$6:$C$20,"rAGMF",Cash_Events!$B$6:$B$20,"&lt;="&amp;A48)</f>
        <v>1500000</v>
      </c>
      <c r="E48" s="38" t="n">
        <f aca="false">VLOOKUP(A48,Inputs!$A$40:$B$48,2,TRUE())</f>
        <v>0.034199997053407</v>
      </c>
      <c r="F48" s="38" t="n">
        <f aca="false">E48+Inputs!$B$10</f>
        <v>0.101699997053407</v>
      </c>
      <c r="G48" s="37" t="n">
        <f aca="false">D48*F48/C48</f>
        <v>417.945193370166</v>
      </c>
      <c r="H48" s="37" t="n">
        <f aca="false">IF(AND(A48&gt;=Inputs!$B$13,OR(A48&lt;Inputs!$B$19,Inputs!$B$20=1)),D48*Inputs!$B$11/C48,0)</f>
        <v>0</v>
      </c>
      <c r="I48" s="37" t="n">
        <f aca="false">Inputs!$C$9-SUMIFS(Cash_Events!$G$6:$G$20,Cash_Events!$C$6:$C$20,"FHL",Cash_Events!$B$6:$B$20,"&lt;="&amp;A48)</f>
        <v>1500000</v>
      </c>
      <c r="J48" s="38" t="n">
        <f aca="false">VLOOKUP(A48,Inputs!$F$40:$G$48,2,TRUE())</f>
        <v>0.034199995543672</v>
      </c>
      <c r="K48" s="38" t="n">
        <f aca="false">J48+Inputs!$C$10</f>
        <v>0.101699995543672</v>
      </c>
      <c r="L48" s="37" t="n">
        <f aca="false">I48*K48/C48</f>
        <v>417.945187165775</v>
      </c>
      <c r="M48" s="37" t="n">
        <f aca="false">IF(AND(A48&gt;=Inputs!$C$13,OR(A48&lt;Inputs!$B$19,Inputs!$B$20=1)),I48*Inputs!$C$11/C48,0)</f>
        <v>0</v>
      </c>
    </row>
    <row r="49" customFormat="false" ht="15" hidden="false" customHeight="false" outlineLevel="0" collapsed="false">
      <c r="A49" s="35" t="n">
        <f aca="false">A48+1</f>
        <v>44856</v>
      </c>
      <c r="B49" s="35" t="n">
        <f aca="false">EOMONTH(A49+1,0)</f>
        <v>44865</v>
      </c>
      <c r="C49" s="36" t="n">
        <f aca="false">IF(MOD(YEAR(A49),4)=0,366,365)</f>
        <v>365</v>
      </c>
      <c r="D49" s="37" t="n">
        <f aca="false">Inputs!$B$9-SUMIFS(Cash_Events!$G$6:$G$20,Cash_Events!$C$6:$C$20,"rAGMF",Cash_Events!$B$6:$B$20,"&lt;="&amp;A49)</f>
        <v>1500000</v>
      </c>
      <c r="E49" s="38" t="n">
        <f aca="false">VLOOKUP(A49,Inputs!$A$40:$B$48,2,TRUE())</f>
        <v>0.034199997053407</v>
      </c>
      <c r="F49" s="38" t="n">
        <f aca="false">E49+Inputs!$B$10</f>
        <v>0.101699997053407</v>
      </c>
      <c r="G49" s="37" t="n">
        <f aca="false">D49*F49/C49</f>
        <v>417.945193370166</v>
      </c>
      <c r="H49" s="37" t="n">
        <f aca="false">IF(AND(A49&gt;=Inputs!$B$13,OR(A49&lt;Inputs!$B$19,Inputs!$B$20=1)),D49*Inputs!$B$11/C49,0)</f>
        <v>0</v>
      </c>
      <c r="I49" s="37" t="n">
        <f aca="false">Inputs!$C$9-SUMIFS(Cash_Events!$G$6:$G$20,Cash_Events!$C$6:$C$20,"FHL",Cash_Events!$B$6:$B$20,"&lt;="&amp;A49)</f>
        <v>1500000</v>
      </c>
      <c r="J49" s="38" t="n">
        <f aca="false">VLOOKUP(A49,Inputs!$F$40:$G$48,2,TRUE())</f>
        <v>0.034199995543672</v>
      </c>
      <c r="K49" s="38" t="n">
        <f aca="false">J49+Inputs!$C$10</f>
        <v>0.101699995543672</v>
      </c>
      <c r="L49" s="37" t="n">
        <f aca="false">I49*K49/C49</f>
        <v>417.945187165775</v>
      </c>
      <c r="M49" s="37" t="n">
        <f aca="false">IF(AND(A49&gt;=Inputs!$C$13,OR(A49&lt;Inputs!$B$19,Inputs!$B$20=1)),I49*Inputs!$C$11/C49,0)</f>
        <v>0</v>
      </c>
    </row>
    <row r="50" customFormat="false" ht="15" hidden="false" customHeight="false" outlineLevel="0" collapsed="false">
      <c r="A50" s="35" t="n">
        <f aca="false">A49+1</f>
        <v>44857</v>
      </c>
      <c r="B50" s="35" t="n">
        <f aca="false">EOMONTH(A50+1,0)</f>
        <v>44865</v>
      </c>
      <c r="C50" s="36" t="n">
        <f aca="false">IF(MOD(YEAR(A50),4)=0,366,365)</f>
        <v>365</v>
      </c>
      <c r="D50" s="37" t="n">
        <f aca="false">Inputs!$B$9-SUMIFS(Cash_Events!$G$6:$G$20,Cash_Events!$C$6:$C$20,"rAGMF",Cash_Events!$B$6:$B$20,"&lt;="&amp;A50)</f>
        <v>1500000</v>
      </c>
      <c r="E50" s="38" t="n">
        <f aca="false">VLOOKUP(A50,Inputs!$A$40:$B$48,2,TRUE())</f>
        <v>0.034199997053407</v>
      </c>
      <c r="F50" s="38" t="n">
        <f aca="false">E50+Inputs!$B$10</f>
        <v>0.101699997053407</v>
      </c>
      <c r="G50" s="37" t="n">
        <f aca="false">D50*F50/C50</f>
        <v>417.945193370166</v>
      </c>
      <c r="H50" s="37" t="n">
        <f aca="false">IF(AND(A50&gt;=Inputs!$B$13,OR(A50&lt;Inputs!$B$19,Inputs!$B$20=1)),D50*Inputs!$B$11/C50,0)</f>
        <v>0</v>
      </c>
      <c r="I50" s="37" t="n">
        <f aca="false">Inputs!$C$9-SUMIFS(Cash_Events!$G$6:$G$20,Cash_Events!$C$6:$C$20,"FHL",Cash_Events!$B$6:$B$20,"&lt;="&amp;A50)</f>
        <v>1500000</v>
      </c>
      <c r="J50" s="38" t="n">
        <f aca="false">VLOOKUP(A50,Inputs!$F$40:$G$48,2,TRUE())</f>
        <v>0.034199995543672</v>
      </c>
      <c r="K50" s="38" t="n">
        <f aca="false">J50+Inputs!$C$10</f>
        <v>0.101699995543672</v>
      </c>
      <c r="L50" s="37" t="n">
        <f aca="false">I50*K50/C50</f>
        <v>417.945187165775</v>
      </c>
      <c r="M50" s="37" t="n">
        <f aca="false">IF(AND(A50&gt;=Inputs!$C$13,OR(A50&lt;Inputs!$B$19,Inputs!$B$20=1)),I50*Inputs!$C$11/C50,0)</f>
        <v>0</v>
      </c>
    </row>
    <row r="51" customFormat="false" ht="15" hidden="false" customHeight="false" outlineLevel="0" collapsed="false">
      <c r="A51" s="35" t="n">
        <f aca="false">A50+1</f>
        <v>44858</v>
      </c>
      <c r="B51" s="35" t="n">
        <f aca="false">EOMONTH(A51+1,0)</f>
        <v>44865</v>
      </c>
      <c r="C51" s="36" t="n">
        <f aca="false">IF(MOD(YEAR(A51),4)=0,366,365)</f>
        <v>365</v>
      </c>
      <c r="D51" s="37" t="n">
        <f aca="false">Inputs!$B$9-SUMIFS(Cash_Events!$G$6:$G$20,Cash_Events!$C$6:$C$20,"rAGMF",Cash_Events!$B$6:$B$20,"&lt;="&amp;A51)</f>
        <v>1500000</v>
      </c>
      <c r="E51" s="38" t="n">
        <f aca="false">VLOOKUP(A51,Inputs!$A$40:$B$48,2,TRUE())</f>
        <v>0.034199997053407</v>
      </c>
      <c r="F51" s="38" t="n">
        <f aca="false">E51+Inputs!$B$10</f>
        <v>0.101699997053407</v>
      </c>
      <c r="G51" s="37" t="n">
        <f aca="false">D51*F51/C51</f>
        <v>417.945193370166</v>
      </c>
      <c r="H51" s="37" t="n">
        <f aca="false">IF(AND(A51&gt;=Inputs!$B$13,OR(A51&lt;Inputs!$B$19,Inputs!$B$20=1)),D51*Inputs!$B$11/C51,0)</f>
        <v>0</v>
      </c>
      <c r="I51" s="37" t="n">
        <f aca="false">Inputs!$C$9-SUMIFS(Cash_Events!$G$6:$G$20,Cash_Events!$C$6:$C$20,"FHL",Cash_Events!$B$6:$B$20,"&lt;="&amp;A51)</f>
        <v>1500000</v>
      </c>
      <c r="J51" s="38" t="n">
        <f aca="false">VLOOKUP(A51,Inputs!$F$40:$G$48,2,TRUE())</f>
        <v>0.034199995543672</v>
      </c>
      <c r="K51" s="38" t="n">
        <f aca="false">J51+Inputs!$C$10</f>
        <v>0.101699995543672</v>
      </c>
      <c r="L51" s="37" t="n">
        <f aca="false">I51*K51/C51</f>
        <v>417.945187165775</v>
      </c>
      <c r="M51" s="37" t="n">
        <f aca="false">IF(AND(A51&gt;=Inputs!$C$13,OR(A51&lt;Inputs!$B$19,Inputs!$B$20=1)),I51*Inputs!$C$11/C51,0)</f>
        <v>0</v>
      </c>
    </row>
    <row r="52" customFormat="false" ht="15" hidden="false" customHeight="false" outlineLevel="0" collapsed="false">
      <c r="A52" s="35" t="n">
        <f aca="false">A51+1</f>
        <v>44859</v>
      </c>
      <c r="B52" s="35" t="n">
        <f aca="false">EOMONTH(A52+1,0)</f>
        <v>44865</v>
      </c>
      <c r="C52" s="36" t="n">
        <f aca="false">IF(MOD(YEAR(A52),4)=0,366,365)</f>
        <v>365</v>
      </c>
      <c r="D52" s="37" t="n">
        <f aca="false">Inputs!$B$9-SUMIFS(Cash_Events!$G$6:$G$20,Cash_Events!$C$6:$C$20,"rAGMF",Cash_Events!$B$6:$B$20,"&lt;="&amp;A52)</f>
        <v>1500000</v>
      </c>
      <c r="E52" s="38" t="n">
        <f aca="false">VLOOKUP(A52,Inputs!$A$40:$B$48,2,TRUE())</f>
        <v>0.034199997053407</v>
      </c>
      <c r="F52" s="38" t="n">
        <f aca="false">E52+Inputs!$B$10</f>
        <v>0.101699997053407</v>
      </c>
      <c r="G52" s="37" t="n">
        <f aca="false">D52*F52/C52</f>
        <v>417.945193370166</v>
      </c>
      <c r="H52" s="37" t="n">
        <f aca="false">IF(AND(A52&gt;=Inputs!$B$13,OR(A52&lt;Inputs!$B$19,Inputs!$B$20=1)),D52*Inputs!$B$11/C52,0)</f>
        <v>0</v>
      </c>
      <c r="I52" s="37" t="n">
        <f aca="false">Inputs!$C$9-SUMIFS(Cash_Events!$G$6:$G$20,Cash_Events!$C$6:$C$20,"FHL",Cash_Events!$B$6:$B$20,"&lt;="&amp;A52)</f>
        <v>1500000</v>
      </c>
      <c r="J52" s="38" t="n">
        <f aca="false">VLOOKUP(A52,Inputs!$F$40:$G$48,2,TRUE())</f>
        <v>0.034199995543672</v>
      </c>
      <c r="K52" s="38" t="n">
        <f aca="false">J52+Inputs!$C$10</f>
        <v>0.101699995543672</v>
      </c>
      <c r="L52" s="37" t="n">
        <f aca="false">I52*K52/C52</f>
        <v>417.945187165775</v>
      </c>
      <c r="M52" s="37" t="n">
        <f aca="false">IF(AND(A52&gt;=Inputs!$C$13,OR(A52&lt;Inputs!$B$19,Inputs!$B$20=1)),I52*Inputs!$C$11/C52,0)</f>
        <v>0</v>
      </c>
    </row>
    <row r="53" customFormat="false" ht="15" hidden="false" customHeight="false" outlineLevel="0" collapsed="false">
      <c r="A53" s="35" t="n">
        <f aca="false">A52+1</f>
        <v>44860</v>
      </c>
      <c r="B53" s="35" t="n">
        <f aca="false">EOMONTH(A53+1,0)</f>
        <v>44865</v>
      </c>
      <c r="C53" s="36" t="n">
        <f aca="false">IF(MOD(YEAR(A53),4)=0,366,365)</f>
        <v>365</v>
      </c>
      <c r="D53" s="37" t="n">
        <f aca="false">Inputs!$B$9-SUMIFS(Cash_Events!$G$6:$G$20,Cash_Events!$C$6:$C$20,"rAGMF",Cash_Events!$B$6:$B$20,"&lt;="&amp;A53)</f>
        <v>1500000</v>
      </c>
      <c r="E53" s="38" t="n">
        <f aca="false">VLOOKUP(A53,Inputs!$A$40:$B$48,2,TRUE())</f>
        <v>0.034199997053407</v>
      </c>
      <c r="F53" s="38" t="n">
        <f aca="false">E53+Inputs!$B$10</f>
        <v>0.101699997053407</v>
      </c>
      <c r="G53" s="37" t="n">
        <f aca="false">D53*F53/C53</f>
        <v>417.945193370166</v>
      </c>
      <c r="H53" s="37" t="n">
        <f aca="false">IF(AND(A53&gt;=Inputs!$B$13,OR(A53&lt;Inputs!$B$19,Inputs!$B$20=1)),D53*Inputs!$B$11/C53,0)</f>
        <v>0</v>
      </c>
      <c r="I53" s="37" t="n">
        <f aca="false">Inputs!$C$9-SUMIFS(Cash_Events!$G$6:$G$20,Cash_Events!$C$6:$C$20,"FHL",Cash_Events!$B$6:$B$20,"&lt;="&amp;A53)</f>
        <v>1500000</v>
      </c>
      <c r="J53" s="38" t="n">
        <f aca="false">VLOOKUP(A53,Inputs!$F$40:$G$48,2,TRUE())</f>
        <v>0.034199995543672</v>
      </c>
      <c r="K53" s="38" t="n">
        <f aca="false">J53+Inputs!$C$10</f>
        <v>0.101699995543672</v>
      </c>
      <c r="L53" s="37" t="n">
        <f aca="false">I53*K53/C53</f>
        <v>417.945187165775</v>
      </c>
      <c r="M53" s="37" t="n">
        <f aca="false">IF(AND(A53&gt;=Inputs!$C$13,OR(A53&lt;Inputs!$B$19,Inputs!$B$20=1)),I53*Inputs!$C$11/C53,0)</f>
        <v>0</v>
      </c>
    </row>
    <row r="54" customFormat="false" ht="15" hidden="false" customHeight="false" outlineLevel="0" collapsed="false">
      <c r="A54" s="35" t="n">
        <f aca="false">A53+1</f>
        <v>44861</v>
      </c>
      <c r="B54" s="35" t="n">
        <f aca="false">EOMONTH(A54+1,0)</f>
        <v>44865</v>
      </c>
      <c r="C54" s="36" t="n">
        <f aca="false">IF(MOD(YEAR(A54),4)=0,366,365)</f>
        <v>365</v>
      </c>
      <c r="D54" s="37" t="n">
        <f aca="false">Inputs!$B$9-SUMIFS(Cash_Events!$G$6:$G$20,Cash_Events!$C$6:$C$20,"rAGMF",Cash_Events!$B$6:$B$20,"&lt;="&amp;A54)</f>
        <v>1500000</v>
      </c>
      <c r="E54" s="38" t="n">
        <f aca="false">VLOOKUP(A54,Inputs!$A$40:$B$48,2,TRUE())</f>
        <v>0.034199997053407</v>
      </c>
      <c r="F54" s="38" t="n">
        <f aca="false">E54+Inputs!$B$10</f>
        <v>0.101699997053407</v>
      </c>
      <c r="G54" s="37" t="n">
        <f aca="false">D54*F54/C54</f>
        <v>417.945193370166</v>
      </c>
      <c r="H54" s="37" t="n">
        <f aca="false">IF(AND(A54&gt;=Inputs!$B$13,OR(A54&lt;Inputs!$B$19,Inputs!$B$20=1)),D54*Inputs!$B$11/C54,0)</f>
        <v>0</v>
      </c>
      <c r="I54" s="37" t="n">
        <f aca="false">Inputs!$C$9-SUMIFS(Cash_Events!$G$6:$G$20,Cash_Events!$C$6:$C$20,"FHL",Cash_Events!$B$6:$B$20,"&lt;="&amp;A54)</f>
        <v>1500000</v>
      </c>
      <c r="J54" s="38" t="n">
        <f aca="false">VLOOKUP(A54,Inputs!$F$40:$G$48,2,TRUE())</f>
        <v>0.034199995543672</v>
      </c>
      <c r="K54" s="38" t="n">
        <f aca="false">J54+Inputs!$C$10</f>
        <v>0.101699995543672</v>
      </c>
      <c r="L54" s="37" t="n">
        <f aca="false">I54*K54/C54</f>
        <v>417.945187165775</v>
      </c>
      <c r="M54" s="37" t="n">
        <f aca="false">IF(AND(A54&gt;=Inputs!$C$13,OR(A54&lt;Inputs!$B$19,Inputs!$B$20=1)),I54*Inputs!$C$11/C54,0)</f>
        <v>0</v>
      </c>
    </row>
    <row r="55" customFormat="false" ht="15" hidden="false" customHeight="false" outlineLevel="0" collapsed="false">
      <c r="A55" s="35" t="n">
        <f aca="false">A54+1</f>
        <v>44862</v>
      </c>
      <c r="B55" s="35" t="n">
        <f aca="false">EOMONTH(A55+1,0)</f>
        <v>44865</v>
      </c>
      <c r="C55" s="36" t="n">
        <f aca="false">IF(MOD(YEAR(A55),4)=0,366,365)</f>
        <v>365</v>
      </c>
      <c r="D55" s="37" t="n">
        <f aca="false">Inputs!$B$9-SUMIFS(Cash_Events!$G$6:$G$20,Cash_Events!$C$6:$C$20,"rAGMF",Cash_Events!$B$6:$B$20,"&lt;="&amp;A55)</f>
        <v>1500000</v>
      </c>
      <c r="E55" s="38" t="n">
        <f aca="false">VLOOKUP(A55,Inputs!$A$40:$B$48,2,TRUE())</f>
        <v>0.034199997053407</v>
      </c>
      <c r="F55" s="38" t="n">
        <f aca="false">E55+Inputs!$B$10</f>
        <v>0.101699997053407</v>
      </c>
      <c r="G55" s="37" t="n">
        <f aca="false">D55*F55/C55</f>
        <v>417.945193370166</v>
      </c>
      <c r="H55" s="37" t="n">
        <f aca="false">IF(AND(A55&gt;=Inputs!$B$13,OR(A55&lt;Inputs!$B$19,Inputs!$B$20=1)),D55*Inputs!$B$11/C55,0)</f>
        <v>0</v>
      </c>
      <c r="I55" s="37" t="n">
        <f aca="false">Inputs!$C$9-SUMIFS(Cash_Events!$G$6:$G$20,Cash_Events!$C$6:$C$20,"FHL",Cash_Events!$B$6:$B$20,"&lt;="&amp;A55)</f>
        <v>1500000</v>
      </c>
      <c r="J55" s="38" t="n">
        <f aca="false">VLOOKUP(A55,Inputs!$F$40:$G$48,2,TRUE())</f>
        <v>0.034199995543672</v>
      </c>
      <c r="K55" s="38" t="n">
        <f aca="false">J55+Inputs!$C$10</f>
        <v>0.101699995543672</v>
      </c>
      <c r="L55" s="37" t="n">
        <f aca="false">I55*K55/C55</f>
        <v>417.945187165775</v>
      </c>
      <c r="M55" s="37" t="n">
        <f aca="false">IF(AND(A55&gt;=Inputs!$C$13,OR(A55&lt;Inputs!$B$19,Inputs!$B$20=1)),I55*Inputs!$C$11/C55,0)</f>
        <v>0</v>
      </c>
    </row>
    <row r="56" customFormat="false" ht="15" hidden="false" customHeight="false" outlineLevel="0" collapsed="false">
      <c r="A56" s="35" t="n">
        <f aca="false">A55+1</f>
        <v>44863</v>
      </c>
      <c r="B56" s="35" t="n">
        <f aca="false">EOMONTH(A56+1,0)</f>
        <v>44865</v>
      </c>
      <c r="C56" s="36" t="n">
        <f aca="false">IF(MOD(YEAR(A56),4)=0,366,365)</f>
        <v>365</v>
      </c>
      <c r="D56" s="37" t="n">
        <f aca="false">Inputs!$B$9-SUMIFS(Cash_Events!$G$6:$G$20,Cash_Events!$C$6:$C$20,"rAGMF",Cash_Events!$B$6:$B$20,"&lt;="&amp;A56)</f>
        <v>1500000</v>
      </c>
      <c r="E56" s="38" t="n">
        <f aca="false">VLOOKUP(A56,Inputs!$A$40:$B$48,2,TRUE())</f>
        <v>0.034199997053407</v>
      </c>
      <c r="F56" s="38" t="n">
        <f aca="false">E56+Inputs!$B$10</f>
        <v>0.101699997053407</v>
      </c>
      <c r="G56" s="37" t="n">
        <f aca="false">D56*F56/C56</f>
        <v>417.945193370166</v>
      </c>
      <c r="H56" s="37" t="n">
        <f aca="false">IF(AND(A56&gt;=Inputs!$B$13,OR(A56&lt;Inputs!$B$19,Inputs!$B$20=1)),D56*Inputs!$B$11/C56,0)</f>
        <v>0</v>
      </c>
      <c r="I56" s="37" t="n">
        <f aca="false">Inputs!$C$9-SUMIFS(Cash_Events!$G$6:$G$20,Cash_Events!$C$6:$C$20,"FHL",Cash_Events!$B$6:$B$20,"&lt;="&amp;A56)</f>
        <v>1500000</v>
      </c>
      <c r="J56" s="38" t="n">
        <f aca="false">VLOOKUP(A56,Inputs!$F$40:$G$48,2,TRUE())</f>
        <v>0.034199995543672</v>
      </c>
      <c r="K56" s="38" t="n">
        <f aca="false">J56+Inputs!$C$10</f>
        <v>0.101699995543672</v>
      </c>
      <c r="L56" s="37" t="n">
        <f aca="false">I56*K56/C56</f>
        <v>417.945187165775</v>
      </c>
      <c r="M56" s="37" t="n">
        <f aca="false">IF(AND(A56&gt;=Inputs!$C$13,OR(A56&lt;Inputs!$B$19,Inputs!$B$20=1)),I56*Inputs!$C$11/C56,0)</f>
        <v>0</v>
      </c>
    </row>
    <row r="57" customFormat="false" ht="15" hidden="false" customHeight="false" outlineLevel="0" collapsed="false">
      <c r="A57" s="35" t="n">
        <f aca="false">A56+1</f>
        <v>44864</v>
      </c>
      <c r="B57" s="35" t="n">
        <f aca="false">EOMONTH(A57+1,0)</f>
        <v>44865</v>
      </c>
      <c r="C57" s="36" t="n">
        <f aca="false">IF(MOD(YEAR(A57),4)=0,366,365)</f>
        <v>365</v>
      </c>
      <c r="D57" s="37" t="n">
        <f aca="false">Inputs!$B$9-SUMIFS(Cash_Events!$G$6:$G$20,Cash_Events!$C$6:$C$20,"rAGMF",Cash_Events!$B$6:$B$20,"&lt;="&amp;A57)</f>
        <v>1500000</v>
      </c>
      <c r="E57" s="38" t="n">
        <f aca="false">VLOOKUP(A57,Inputs!$A$40:$B$48,2,TRUE())</f>
        <v>0.034199997053407</v>
      </c>
      <c r="F57" s="38" t="n">
        <f aca="false">E57+Inputs!$B$10</f>
        <v>0.101699997053407</v>
      </c>
      <c r="G57" s="37" t="n">
        <f aca="false">D57*F57/C57</f>
        <v>417.945193370166</v>
      </c>
      <c r="H57" s="37" t="n">
        <f aca="false">IF(AND(A57&gt;=Inputs!$B$13,OR(A57&lt;Inputs!$B$19,Inputs!$B$20=1)),D57*Inputs!$B$11/C57,0)</f>
        <v>0</v>
      </c>
      <c r="I57" s="37" t="n">
        <f aca="false">Inputs!$C$9-SUMIFS(Cash_Events!$G$6:$G$20,Cash_Events!$C$6:$C$20,"FHL",Cash_Events!$B$6:$B$20,"&lt;="&amp;A57)</f>
        <v>1500000</v>
      </c>
      <c r="J57" s="38" t="n">
        <f aca="false">VLOOKUP(A57,Inputs!$F$40:$G$48,2,TRUE())</f>
        <v>0.034199995543672</v>
      </c>
      <c r="K57" s="38" t="n">
        <f aca="false">J57+Inputs!$C$10</f>
        <v>0.101699995543672</v>
      </c>
      <c r="L57" s="37" t="n">
        <f aca="false">I57*K57/C57</f>
        <v>417.945187165775</v>
      </c>
      <c r="M57" s="37" t="n">
        <f aca="false">IF(AND(A57&gt;=Inputs!$C$13,OR(A57&lt;Inputs!$B$19,Inputs!$B$20=1)),I57*Inputs!$C$11/C57,0)</f>
        <v>0</v>
      </c>
    </row>
    <row r="58" customFormat="false" ht="15" hidden="false" customHeight="false" outlineLevel="0" collapsed="false">
      <c r="A58" s="35" t="n">
        <f aca="false">A57+1</f>
        <v>44865</v>
      </c>
      <c r="B58" s="35" t="n">
        <f aca="false">EOMONTH(A58+1,0)</f>
        <v>44895</v>
      </c>
      <c r="C58" s="36" t="n">
        <f aca="false">IF(MOD(YEAR(A58),4)=0,366,365)</f>
        <v>365</v>
      </c>
      <c r="D58" s="37" t="n">
        <f aca="false">Inputs!$B$9-SUMIFS(Cash_Events!$G$6:$G$20,Cash_Events!$C$6:$C$20,"rAGMF",Cash_Events!$B$6:$B$20,"&lt;="&amp;A58)</f>
        <v>1500000</v>
      </c>
      <c r="E58" s="38" t="n">
        <f aca="false">VLOOKUP(A58,Inputs!$A$40:$B$48,2,TRUE())</f>
        <v>0.034199997053407</v>
      </c>
      <c r="F58" s="38" t="n">
        <f aca="false">E58+Inputs!$B$10</f>
        <v>0.101699997053407</v>
      </c>
      <c r="G58" s="37" t="n">
        <f aca="false">D58*F58/C58</f>
        <v>417.945193370166</v>
      </c>
      <c r="H58" s="37" t="n">
        <f aca="false">IF(AND(A58&gt;=Inputs!$B$13,OR(A58&lt;Inputs!$B$19,Inputs!$B$20=1)),D58*Inputs!$B$11/C58,0)</f>
        <v>0</v>
      </c>
      <c r="I58" s="37" t="n">
        <f aca="false">Inputs!$C$9-SUMIFS(Cash_Events!$G$6:$G$20,Cash_Events!$C$6:$C$20,"FHL",Cash_Events!$B$6:$B$20,"&lt;="&amp;A58)</f>
        <v>1500000</v>
      </c>
      <c r="J58" s="38" t="n">
        <f aca="false">VLOOKUP(A58,Inputs!$F$40:$G$48,2,TRUE())</f>
        <v>0.034199995543672</v>
      </c>
      <c r="K58" s="38" t="n">
        <f aca="false">J58+Inputs!$C$10</f>
        <v>0.101699995543672</v>
      </c>
      <c r="L58" s="37" t="n">
        <f aca="false">I58*K58/C58</f>
        <v>417.945187165775</v>
      </c>
      <c r="M58" s="37" t="n">
        <f aca="false">IF(AND(A58&gt;=Inputs!$C$13,OR(A58&lt;Inputs!$B$19,Inputs!$B$20=1)),I58*Inputs!$C$11/C58,0)</f>
        <v>0</v>
      </c>
    </row>
    <row r="59" customFormat="false" ht="15" hidden="false" customHeight="false" outlineLevel="0" collapsed="false">
      <c r="A59" s="35" t="n">
        <f aca="false">A58+1</f>
        <v>44866</v>
      </c>
      <c r="B59" s="35" t="n">
        <f aca="false">EOMONTH(A59+1,0)</f>
        <v>44895</v>
      </c>
      <c r="C59" s="36" t="n">
        <f aca="false">IF(MOD(YEAR(A59),4)=0,366,365)</f>
        <v>365</v>
      </c>
      <c r="D59" s="37" t="n">
        <f aca="false">Inputs!$B$9-SUMIFS(Cash_Events!$G$6:$G$20,Cash_Events!$C$6:$C$20,"rAGMF",Cash_Events!$B$6:$B$20,"&lt;="&amp;A59)</f>
        <v>1500000</v>
      </c>
      <c r="E59" s="38" t="n">
        <f aca="false">VLOOKUP(A59,Inputs!$A$40:$B$48,2,TRUE())</f>
        <v>0.034199997053407</v>
      </c>
      <c r="F59" s="38" t="n">
        <f aca="false">E59+Inputs!$B$10</f>
        <v>0.101699997053407</v>
      </c>
      <c r="G59" s="37" t="n">
        <f aca="false">D59*F59/C59</f>
        <v>417.945193370166</v>
      </c>
      <c r="H59" s="37" t="n">
        <f aca="false">IF(AND(A59&gt;=Inputs!$B$13,OR(A59&lt;Inputs!$B$19,Inputs!$B$20=1)),D59*Inputs!$B$11/C59,0)</f>
        <v>0</v>
      </c>
      <c r="I59" s="37" t="n">
        <f aca="false">Inputs!$C$9-SUMIFS(Cash_Events!$G$6:$G$20,Cash_Events!$C$6:$C$20,"FHL",Cash_Events!$B$6:$B$20,"&lt;="&amp;A59)</f>
        <v>1500000</v>
      </c>
      <c r="J59" s="38" t="n">
        <f aca="false">VLOOKUP(A59,Inputs!$F$40:$G$48,2,TRUE())</f>
        <v>0.034199995543672</v>
      </c>
      <c r="K59" s="38" t="n">
        <f aca="false">J59+Inputs!$C$10</f>
        <v>0.101699995543672</v>
      </c>
      <c r="L59" s="37" t="n">
        <f aca="false">I59*K59/C59</f>
        <v>417.945187165775</v>
      </c>
      <c r="M59" s="37" t="n">
        <f aca="false">IF(AND(A59&gt;=Inputs!$C$13,OR(A59&lt;Inputs!$B$19,Inputs!$B$20=1)),I59*Inputs!$C$11/C59,0)</f>
        <v>0</v>
      </c>
    </row>
    <row r="60" customFormat="false" ht="15" hidden="false" customHeight="false" outlineLevel="0" collapsed="false">
      <c r="A60" s="35" t="n">
        <f aca="false">A59+1</f>
        <v>44867</v>
      </c>
      <c r="B60" s="35" t="n">
        <f aca="false">EOMONTH(A60+1,0)</f>
        <v>44895</v>
      </c>
      <c r="C60" s="36" t="n">
        <f aca="false">IF(MOD(YEAR(A60),4)=0,366,365)</f>
        <v>365</v>
      </c>
      <c r="D60" s="37" t="n">
        <f aca="false">Inputs!$B$9-SUMIFS(Cash_Events!$G$6:$G$20,Cash_Events!$C$6:$C$20,"rAGMF",Cash_Events!$B$6:$B$20,"&lt;="&amp;A60)</f>
        <v>1500000</v>
      </c>
      <c r="E60" s="38" t="n">
        <f aca="false">VLOOKUP(A60,Inputs!$A$40:$B$48,2,TRUE())</f>
        <v>0.034199997053407</v>
      </c>
      <c r="F60" s="38" t="n">
        <f aca="false">E60+Inputs!$B$10</f>
        <v>0.101699997053407</v>
      </c>
      <c r="G60" s="37" t="n">
        <f aca="false">D60*F60/C60</f>
        <v>417.945193370166</v>
      </c>
      <c r="H60" s="37" t="n">
        <f aca="false">IF(AND(A60&gt;=Inputs!$B$13,OR(A60&lt;Inputs!$B$19,Inputs!$B$20=1)),D60*Inputs!$B$11/C60,0)</f>
        <v>0</v>
      </c>
      <c r="I60" s="37" t="n">
        <f aca="false">Inputs!$C$9-SUMIFS(Cash_Events!$G$6:$G$20,Cash_Events!$C$6:$C$20,"FHL",Cash_Events!$B$6:$B$20,"&lt;="&amp;A60)</f>
        <v>1500000</v>
      </c>
      <c r="J60" s="38" t="n">
        <f aca="false">VLOOKUP(A60,Inputs!$F$40:$G$48,2,TRUE())</f>
        <v>0.034199995543672</v>
      </c>
      <c r="K60" s="38" t="n">
        <f aca="false">J60+Inputs!$C$10</f>
        <v>0.101699995543672</v>
      </c>
      <c r="L60" s="37" t="n">
        <f aca="false">I60*K60/C60</f>
        <v>417.945187165775</v>
      </c>
      <c r="M60" s="37" t="n">
        <f aca="false">IF(AND(A60&gt;=Inputs!$C$13,OR(A60&lt;Inputs!$B$19,Inputs!$B$20=1)),I60*Inputs!$C$11/C60,0)</f>
        <v>0</v>
      </c>
    </row>
    <row r="61" customFormat="false" ht="15" hidden="false" customHeight="false" outlineLevel="0" collapsed="false">
      <c r="A61" s="35" t="n">
        <f aca="false">A60+1</f>
        <v>44868</v>
      </c>
      <c r="B61" s="35" t="n">
        <f aca="false">EOMONTH(A61+1,0)</f>
        <v>44895</v>
      </c>
      <c r="C61" s="36" t="n">
        <f aca="false">IF(MOD(YEAR(A61),4)=0,366,365)</f>
        <v>365</v>
      </c>
      <c r="D61" s="37" t="n">
        <f aca="false">Inputs!$B$9-SUMIFS(Cash_Events!$G$6:$G$20,Cash_Events!$C$6:$C$20,"rAGMF",Cash_Events!$B$6:$B$20,"&lt;="&amp;A61)</f>
        <v>1500000</v>
      </c>
      <c r="E61" s="38" t="n">
        <f aca="false">VLOOKUP(A61,Inputs!$A$40:$B$48,2,TRUE())</f>
        <v>0.034199997053407</v>
      </c>
      <c r="F61" s="38" t="n">
        <f aca="false">E61+Inputs!$B$10</f>
        <v>0.101699997053407</v>
      </c>
      <c r="G61" s="37" t="n">
        <f aca="false">D61*F61/C61</f>
        <v>417.945193370166</v>
      </c>
      <c r="H61" s="37" t="n">
        <f aca="false">IF(AND(A61&gt;=Inputs!$B$13,OR(A61&lt;Inputs!$B$19,Inputs!$B$20=1)),D61*Inputs!$B$11/C61,0)</f>
        <v>0</v>
      </c>
      <c r="I61" s="37" t="n">
        <f aca="false">Inputs!$C$9-SUMIFS(Cash_Events!$G$6:$G$20,Cash_Events!$C$6:$C$20,"FHL",Cash_Events!$B$6:$B$20,"&lt;="&amp;A61)</f>
        <v>1500000</v>
      </c>
      <c r="J61" s="38" t="n">
        <f aca="false">VLOOKUP(A61,Inputs!$F$40:$G$48,2,TRUE())</f>
        <v>0.034199995543672</v>
      </c>
      <c r="K61" s="38" t="n">
        <f aca="false">J61+Inputs!$C$10</f>
        <v>0.101699995543672</v>
      </c>
      <c r="L61" s="37" t="n">
        <f aca="false">I61*K61/C61</f>
        <v>417.945187165775</v>
      </c>
      <c r="M61" s="37" t="n">
        <f aca="false">IF(AND(A61&gt;=Inputs!$C$13,OR(A61&lt;Inputs!$B$19,Inputs!$B$20=1)),I61*Inputs!$C$11/C61,0)</f>
        <v>0</v>
      </c>
    </row>
    <row r="62" customFormat="false" ht="15" hidden="false" customHeight="false" outlineLevel="0" collapsed="false">
      <c r="A62" s="35" t="n">
        <f aca="false">A61+1</f>
        <v>44869</v>
      </c>
      <c r="B62" s="35" t="n">
        <f aca="false">EOMONTH(A62+1,0)</f>
        <v>44895</v>
      </c>
      <c r="C62" s="36" t="n">
        <f aca="false">IF(MOD(YEAR(A62),4)=0,366,365)</f>
        <v>365</v>
      </c>
      <c r="D62" s="37" t="n">
        <f aca="false">Inputs!$B$9-SUMIFS(Cash_Events!$G$6:$G$20,Cash_Events!$C$6:$C$20,"rAGMF",Cash_Events!$B$6:$B$20,"&lt;="&amp;A62)</f>
        <v>1500000</v>
      </c>
      <c r="E62" s="38" t="n">
        <f aca="false">VLOOKUP(A62,Inputs!$A$40:$B$48,2,TRUE())</f>
        <v>0.034199997053407</v>
      </c>
      <c r="F62" s="38" t="n">
        <f aca="false">E62+Inputs!$B$10</f>
        <v>0.101699997053407</v>
      </c>
      <c r="G62" s="37" t="n">
        <f aca="false">D62*F62/C62</f>
        <v>417.945193370166</v>
      </c>
      <c r="H62" s="37" t="n">
        <f aca="false">IF(AND(A62&gt;=Inputs!$B$13,OR(A62&lt;Inputs!$B$19,Inputs!$B$20=1)),D62*Inputs!$B$11/C62,0)</f>
        <v>0</v>
      </c>
      <c r="I62" s="37" t="n">
        <f aca="false">Inputs!$C$9-SUMIFS(Cash_Events!$G$6:$G$20,Cash_Events!$C$6:$C$20,"FHL",Cash_Events!$B$6:$B$20,"&lt;="&amp;A62)</f>
        <v>1500000</v>
      </c>
      <c r="J62" s="38" t="n">
        <f aca="false">VLOOKUP(A62,Inputs!$F$40:$G$48,2,TRUE())</f>
        <v>0.034199995543672</v>
      </c>
      <c r="K62" s="38" t="n">
        <f aca="false">J62+Inputs!$C$10</f>
        <v>0.101699995543672</v>
      </c>
      <c r="L62" s="37" t="n">
        <f aca="false">I62*K62/C62</f>
        <v>417.945187165775</v>
      </c>
      <c r="M62" s="37" t="n">
        <f aca="false">IF(AND(A62&gt;=Inputs!$C$13,OR(A62&lt;Inputs!$B$19,Inputs!$B$20=1)),I62*Inputs!$C$11/C62,0)</f>
        <v>0</v>
      </c>
    </row>
    <row r="63" customFormat="false" ht="15" hidden="false" customHeight="false" outlineLevel="0" collapsed="false">
      <c r="A63" s="35" t="n">
        <f aca="false">A62+1</f>
        <v>44870</v>
      </c>
      <c r="B63" s="35" t="n">
        <f aca="false">EOMONTH(A63+1,0)</f>
        <v>44895</v>
      </c>
      <c r="C63" s="36" t="n">
        <f aca="false">IF(MOD(YEAR(A63),4)=0,366,365)</f>
        <v>365</v>
      </c>
      <c r="D63" s="37" t="n">
        <f aca="false">Inputs!$B$9-SUMIFS(Cash_Events!$G$6:$G$20,Cash_Events!$C$6:$C$20,"rAGMF",Cash_Events!$B$6:$B$20,"&lt;="&amp;A63)</f>
        <v>1500000</v>
      </c>
      <c r="E63" s="38" t="n">
        <f aca="false">VLOOKUP(A63,Inputs!$A$40:$B$48,2,TRUE())</f>
        <v>0.034199997053407</v>
      </c>
      <c r="F63" s="38" t="n">
        <f aca="false">E63+Inputs!$B$10</f>
        <v>0.101699997053407</v>
      </c>
      <c r="G63" s="37" t="n">
        <f aca="false">D63*F63/C63</f>
        <v>417.945193370166</v>
      </c>
      <c r="H63" s="37" t="n">
        <f aca="false">IF(AND(A63&gt;=Inputs!$B$13,OR(A63&lt;Inputs!$B$19,Inputs!$B$20=1)),D63*Inputs!$B$11/C63,0)</f>
        <v>0</v>
      </c>
      <c r="I63" s="37" t="n">
        <f aca="false">Inputs!$C$9-SUMIFS(Cash_Events!$G$6:$G$20,Cash_Events!$C$6:$C$20,"FHL",Cash_Events!$B$6:$B$20,"&lt;="&amp;A63)</f>
        <v>1500000</v>
      </c>
      <c r="J63" s="38" t="n">
        <f aca="false">VLOOKUP(A63,Inputs!$F$40:$G$48,2,TRUE())</f>
        <v>0.034199995543672</v>
      </c>
      <c r="K63" s="38" t="n">
        <f aca="false">J63+Inputs!$C$10</f>
        <v>0.101699995543672</v>
      </c>
      <c r="L63" s="37" t="n">
        <f aca="false">I63*K63/C63</f>
        <v>417.945187165775</v>
      </c>
      <c r="M63" s="37" t="n">
        <f aca="false">IF(AND(A63&gt;=Inputs!$C$13,OR(A63&lt;Inputs!$B$19,Inputs!$B$20=1)),I63*Inputs!$C$11/C63,0)</f>
        <v>0</v>
      </c>
    </row>
    <row r="64" customFormat="false" ht="15" hidden="false" customHeight="false" outlineLevel="0" collapsed="false">
      <c r="A64" s="35" t="n">
        <f aca="false">A63+1</f>
        <v>44871</v>
      </c>
      <c r="B64" s="35" t="n">
        <f aca="false">EOMONTH(A64+1,0)</f>
        <v>44895</v>
      </c>
      <c r="C64" s="36" t="n">
        <f aca="false">IF(MOD(YEAR(A64),4)=0,366,365)</f>
        <v>365</v>
      </c>
      <c r="D64" s="37" t="n">
        <f aca="false">Inputs!$B$9-SUMIFS(Cash_Events!$G$6:$G$20,Cash_Events!$C$6:$C$20,"rAGMF",Cash_Events!$B$6:$B$20,"&lt;="&amp;A64)</f>
        <v>1500000</v>
      </c>
      <c r="E64" s="38" t="n">
        <f aca="false">VLOOKUP(A64,Inputs!$A$40:$B$48,2,TRUE())</f>
        <v>0.034199997053407</v>
      </c>
      <c r="F64" s="38" t="n">
        <f aca="false">E64+Inputs!$B$10</f>
        <v>0.101699997053407</v>
      </c>
      <c r="G64" s="37" t="n">
        <f aca="false">D64*F64/C64</f>
        <v>417.945193370166</v>
      </c>
      <c r="H64" s="37" t="n">
        <f aca="false">IF(AND(A64&gt;=Inputs!$B$13,OR(A64&lt;Inputs!$B$19,Inputs!$B$20=1)),D64*Inputs!$B$11/C64,0)</f>
        <v>0</v>
      </c>
      <c r="I64" s="37" t="n">
        <f aca="false">Inputs!$C$9-SUMIFS(Cash_Events!$G$6:$G$20,Cash_Events!$C$6:$C$20,"FHL",Cash_Events!$B$6:$B$20,"&lt;="&amp;A64)</f>
        <v>1500000</v>
      </c>
      <c r="J64" s="38" t="n">
        <f aca="false">VLOOKUP(A64,Inputs!$F$40:$G$48,2,TRUE())</f>
        <v>0.034199995543672</v>
      </c>
      <c r="K64" s="38" t="n">
        <f aca="false">J64+Inputs!$C$10</f>
        <v>0.101699995543672</v>
      </c>
      <c r="L64" s="37" t="n">
        <f aca="false">I64*K64/C64</f>
        <v>417.945187165775</v>
      </c>
      <c r="M64" s="37" t="n">
        <f aca="false">IF(AND(A64&gt;=Inputs!$C$13,OR(A64&lt;Inputs!$B$19,Inputs!$B$20=1)),I64*Inputs!$C$11/C64,0)</f>
        <v>0</v>
      </c>
    </row>
    <row r="65" customFormat="false" ht="15" hidden="false" customHeight="false" outlineLevel="0" collapsed="false">
      <c r="A65" s="35" t="n">
        <f aca="false">A64+1</f>
        <v>44872</v>
      </c>
      <c r="B65" s="35" t="n">
        <f aca="false">EOMONTH(A65+1,0)</f>
        <v>44895</v>
      </c>
      <c r="C65" s="36" t="n">
        <f aca="false">IF(MOD(YEAR(A65),4)=0,366,365)</f>
        <v>365</v>
      </c>
      <c r="D65" s="37" t="n">
        <f aca="false">Inputs!$B$9-SUMIFS(Cash_Events!$G$6:$G$20,Cash_Events!$C$6:$C$20,"rAGMF",Cash_Events!$B$6:$B$20,"&lt;="&amp;A65)</f>
        <v>1500000</v>
      </c>
      <c r="E65" s="38" t="n">
        <f aca="false">VLOOKUP(A65,Inputs!$A$40:$B$48,2,TRUE())</f>
        <v>0.034199997053407</v>
      </c>
      <c r="F65" s="38" t="n">
        <f aca="false">E65+Inputs!$B$10</f>
        <v>0.101699997053407</v>
      </c>
      <c r="G65" s="37" t="n">
        <f aca="false">D65*F65/C65</f>
        <v>417.945193370166</v>
      </c>
      <c r="H65" s="37" t="n">
        <f aca="false">IF(AND(A65&gt;=Inputs!$B$13,OR(A65&lt;Inputs!$B$19,Inputs!$B$20=1)),D65*Inputs!$B$11/C65,0)</f>
        <v>0</v>
      </c>
      <c r="I65" s="37" t="n">
        <f aca="false">Inputs!$C$9-SUMIFS(Cash_Events!$G$6:$G$20,Cash_Events!$C$6:$C$20,"FHL",Cash_Events!$B$6:$B$20,"&lt;="&amp;A65)</f>
        <v>1500000</v>
      </c>
      <c r="J65" s="38" t="n">
        <f aca="false">VLOOKUP(A65,Inputs!$F$40:$G$48,2,TRUE())</f>
        <v>0.034199995543672</v>
      </c>
      <c r="K65" s="38" t="n">
        <f aca="false">J65+Inputs!$C$10</f>
        <v>0.101699995543672</v>
      </c>
      <c r="L65" s="37" t="n">
        <f aca="false">I65*K65/C65</f>
        <v>417.945187165775</v>
      </c>
      <c r="M65" s="37" t="n">
        <f aca="false">IF(AND(A65&gt;=Inputs!$C$13,OR(A65&lt;Inputs!$B$19,Inputs!$B$20=1)),I65*Inputs!$C$11/C65,0)</f>
        <v>0</v>
      </c>
    </row>
    <row r="66" customFormat="false" ht="15" hidden="false" customHeight="false" outlineLevel="0" collapsed="false">
      <c r="A66" s="35" t="n">
        <f aca="false">A65+1</f>
        <v>44873</v>
      </c>
      <c r="B66" s="35" t="n">
        <f aca="false">EOMONTH(A66+1,0)</f>
        <v>44895</v>
      </c>
      <c r="C66" s="36" t="n">
        <f aca="false">IF(MOD(YEAR(A66),4)=0,366,365)</f>
        <v>365</v>
      </c>
      <c r="D66" s="37" t="n">
        <f aca="false">Inputs!$B$9-SUMIFS(Cash_Events!$G$6:$G$20,Cash_Events!$C$6:$C$20,"rAGMF",Cash_Events!$B$6:$B$20,"&lt;="&amp;A66)</f>
        <v>1500000</v>
      </c>
      <c r="E66" s="38" t="n">
        <f aca="false">VLOOKUP(A66,Inputs!$A$40:$B$48,2,TRUE())</f>
        <v>0.034199997053407</v>
      </c>
      <c r="F66" s="38" t="n">
        <f aca="false">E66+Inputs!$B$10</f>
        <v>0.101699997053407</v>
      </c>
      <c r="G66" s="37" t="n">
        <f aca="false">D66*F66/C66</f>
        <v>417.945193370166</v>
      </c>
      <c r="H66" s="37" t="n">
        <f aca="false">IF(AND(A66&gt;=Inputs!$B$13,OR(A66&lt;Inputs!$B$19,Inputs!$B$20=1)),D66*Inputs!$B$11/C66,0)</f>
        <v>0</v>
      </c>
      <c r="I66" s="37" t="n">
        <f aca="false">Inputs!$C$9-SUMIFS(Cash_Events!$G$6:$G$20,Cash_Events!$C$6:$C$20,"FHL",Cash_Events!$B$6:$B$20,"&lt;="&amp;A66)</f>
        <v>1500000</v>
      </c>
      <c r="J66" s="38" t="n">
        <f aca="false">VLOOKUP(A66,Inputs!$F$40:$G$48,2,TRUE())</f>
        <v>0.034199995543672</v>
      </c>
      <c r="K66" s="38" t="n">
        <f aca="false">J66+Inputs!$C$10</f>
        <v>0.101699995543672</v>
      </c>
      <c r="L66" s="37" t="n">
        <f aca="false">I66*K66/C66</f>
        <v>417.945187165775</v>
      </c>
      <c r="M66" s="37" t="n">
        <f aca="false">IF(AND(A66&gt;=Inputs!$C$13,OR(A66&lt;Inputs!$B$19,Inputs!$B$20=1)),I66*Inputs!$C$11/C66,0)</f>
        <v>0</v>
      </c>
    </row>
    <row r="67" customFormat="false" ht="15" hidden="false" customHeight="false" outlineLevel="0" collapsed="false">
      <c r="A67" s="35" t="n">
        <f aca="false">A66+1</f>
        <v>44874</v>
      </c>
      <c r="B67" s="35" t="n">
        <f aca="false">EOMONTH(A67+1,0)</f>
        <v>44895</v>
      </c>
      <c r="C67" s="36" t="n">
        <f aca="false">IF(MOD(YEAR(A67),4)=0,366,365)</f>
        <v>365</v>
      </c>
      <c r="D67" s="37" t="n">
        <f aca="false">Inputs!$B$9-SUMIFS(Cash_Events!$G$6:$G$20,Cash_Events!$C$6:$C$20,"rAGMF",Cash_Events!$B$6:$B$20,"&lt;="&amp;A67)</f>
        <v>1500000</v>
      </c>
      <c r="E67" s="38" t="n">
        <f aca="false">VLOOKUP(A67,Inputs!$A$40:$B$48,2,TRUE())</f>
        <v>0.034199997053407</v>
      </c>
      <c r="F67" s="38" t="n">
        <f aca="false">E67+Inputs!$B$10</f>
        <v>0.101699997053407</v>
      </c>
      <c r="G67" s="37" t="n">
        <f aca="false">D67*F67/C67</f>
        <v>417.945193370166</v>
      </c>
      <c r="H67" s="37" t="n">
        <f aca="false">IF(AND(A67&gt;=Inputs!$B$13,OR(A67&lt;Inputs!$B$19,Inputs!$B$20=1)),D67*Inputs!$B$11/C67,0)</f>
        <v>0</v>
      </c>
      <c r="I67" s="37" t="n">
        <f aca="false">Inputs!$C$9-SUMIFS(Cash_Events!$G$6:$G$20,Cash_Events!$C$6:$C$20,"FHL",Cash_Events!$B$6:$B$20,"&lt;="&amp;A67)</f>
        <v>1500000</v>
      </c>
      <c r="J67" s="38" t="n">
        <f aca="false">VLOOKUP(A67,Inputs!$F$40:$G$48,2,TRUE())</f>
        <v>0.034199995543672</v>
      </c>
      <c r="K67" s="38" t="n">
        <f aca="false">J67+Inputs!$C$10</f>
        <v>0.101699995543672</v>
      </c>
      <c r="L67" s="37" t="n">
        <f aca="false">I67*K67/C67</f>
        <v>417.945187165775</v>
      </c>
      <c r="M67" s="37" t="n">
        <f aca="false">IF(AND(A67&gt;=Inputs!$C$13,OR(A67&lt;Inputs!$B$19,Inputs!$B$20=1)),I67*Inputs!$C$11/C67,0)</f>
        <v>0</v>
      </c>
    </row>
    <row r="68" customFormat="false" ht="15" hidden="false" customHeight="false" outlineLevel="0" collapsed="false">
      <c r="A68" s="35" t="n">
        <f aca="false">A67+1</f>
        <v>44875</v>
      </c>
      <c r="B68" s="35" t="n">
        <f aca="false">EOMONTH(A68+1,0)</f>
        <v>44895</v>
      </c>
      <c r="C68" s="36" t="n">
        <f aca="false">IF(MOD(YEAR(A68),4)=0,366,365)</f>
        <v>365</v>
      </c>
      <c r="D68" s="37" t="n">
        <f aca="false">Inputs!$B$9-SUMIFS(Cash_Events!$G$6:$G$20,Cash_Events!$C$6:$C$20,"rAGMF",Cash_Events!$B$6:$B$20,"&lt;="&amp;A68)</f>
        <v>1500000</v>
      </c>
      <c r="E68" s="38" t="n">
        <f aca="false">VLOOKUP(A68,Inputs!$A$40:$B$48,2,TRUE())</f>
        <v>0.034199997053407</v>
      </c>
      <c r="F68" s="38" t="n">
        <f aca="false">E68+Inputs!$B$10</f>
        <v>0.101699997053407</v>
      </c>
      <c r="G68" s="37" t="n">
        <f aca="false">D68*F68/C68</f>
        <v>417.945193370166</v>
      </c>
      <c r="H68" s="37" t="n">
        <f aca="false">IF(AND(A68&gt;=Inputs!$B$13,OR(A68&lt;Inputs!$B$19,Inputs!$B$20=1)),D68*Inputs!$B$11/C68,0)</f>
        <v>0</v>
      </c>
      <c r="I68" s="37" t="n">
        <f aca="false">Inputs!$C$9-SUMIFS(Cash_Events!$G$6:$G$20,Cash_Events!$C$6:$C$20,"FHL",Cash_Events!$B$6:$B$20,"&lt;="&amp;A68)</f>
        <v>1500000</v>
      </c>
      <c r="J68" s="38" t="n">
        <f aca="false">VLOOKUP(A68,Inputs!$F$40:$G$48,2,TRUE())</f>
        <v>0.034199995543672</v>
      </c>
      <c r="K68" s="38" t="n">
        <f aca="false">J68+Inputs!$C$10</f>
        <v>0.101699995543672</v>
      </c>
      <c r="L68" s="37" t="n">
        <f aca="false">I68*K68/C68</f>
        <v>417.945187165775</v>
      </c>
      <c r="M68" s="37" t="n">
        <f aca="false">IF(AND(A68&gt;=Inputs!$C$13,OR(A68&lt;Inputs!$B$19,Inputs!$B$20=1)),I68*Inputs!$C$11/C68,0)</f>
        <v>0</v>
      </c>
    </row>
    <row r="69" customFormat="false" ht="15" hidden="false" customHeight="false" outlineLevel="0" collapsed="false">
      <c r="A69" s="35" t="n">
        <f aca="false">A68+1</f>
        <v>44876</v>
      </c>
      <c r="B69" s="35" t="n">
        <f aca="false">EOMONTH(A69+1,0)</f>
        <v>44895</v>
      </c>
      <c r="C69" s="36" t="n">
        <f aca="false">IF(MOD(YEAR(A69),4)=0,366,365)</f>
        <v>365</v>
      </c>
      <c r="D69" s="37" t="n">
        <f aca="false">Inputs!$B$9-SUMIFS(Cash_Events!$G$6:$G$20,Cash_Events!$C$6:$C$20,"rAGMF",Cash_Events!$B$6:$B$20,"&lt;="&amp;A69)</f>
        <v>1500000</v>
      </c>
      <c r="E69" s="38" t="n">
        <f aca="false">VLOOKUP(A69,Inputs!$A$40:$B$48,2,TRUE())</f>
        <v>0.034199997053407</v>
      </c>
      <c r="F69" s="38" t="n">
        <f aca="false">E69+Inputs!$B$10</f>
        <v>0.101699997053407</v>
      </c>
      <c r="G69" s="37" t="n">
        <f aca="false">D69*F69/C69</f>
        <v>417.945193370166</v>
      </c>
      <c r="H69" s="37" t="n">
        <f aca="false">IF(AND(A69&gt;=Inputs!$B$13,OR(A69&lt;Inputs!$B$19,Inputs!$B$20=1)),D69*Inputs!$B$11/C69,0)</f>
        <v>0</v>
      </c>
      <c r="I69" s="37" t="n">
        <f aca="false">Inputs!$C$9-SUMIFS(Cash_Events!$G$6:$G$20,Cash_Events!$C$6:$C$20,"FHL",Cash_Events!$B$6:$B$20,"&lt;="&amp;A69)</f>
        <v>1500000</v>
      </c>
      <c r="J69" s="38" t="n">
        <f aca="false">VLOOKUP(A69,Inputs!$F$40:$G$48,2,TRUE())</f>
        <v>0.034199995543672</v>
      </c>
      <c r="K69" s="38" t="n">
        <f aca="false">J69+Inputs!$C$10</f>
        <v>0.101699995543672</v>
      </c>
      <c r="L69" s="37" t="n">
        <f aca="false">I69*K69/C69</f>
        <v>417.945187165775</v>
      </c>
      <c r="M69" s="37" t="n">
        <f aca="false">IF(AND(A69&gt;=Inputs!$C$13,OR(A69&lt;Inputs!$B$19,Inputs!$B$20=1)),I69*Inputs!$C$11/C69,0)</f>
        <v>0</v>
      </c>
    </row>
    <row r="70" customFormat="false" ht="15" hidden="false" customHeight="false" outlineLevel="0" collapsed="false">
      <c r="A70" s="35" t="n">
        <f aca="false">A69+1</f>
        <v>44877</v>
      </c>
      <c r="B70" s="35" t="n">
        <f aca="false">EOMONTH(A70+1,0)</f>
        <v>44895</v>
      </c>
      <c r="C70" s="36" t="n">
        <f aca="false">IF(MOD(YEAR(A70),4)=0,366,365)</f>
        <v>365</v>
      </c>
      <c r="D70" s="37" t="n">
        <f aca="false">Inputs!$B$9-SUMIFS(Cash_Events!$G$6:$G$20,Cash_Events!$C$6:$C$20,"rAGMF",Cash_Events!$B$6:$B$20,"&lt;="&amp;A70)</f>
        <v>1500000</v>
      </c>
      <c r="E70" s="38" t="n">
        <f aca="false">VLOOKUP(A70,Inputs!$A$40:$B$48,2,TRUE())</f>
        <v>0.034199997053407</v>
      </c>
      <c r="F70" s="38" t="n">
        <f aca="false">E70+Inputs!$B$10</f>
        <v>0.101699997053407</v>
      </c>
      <c r="G70" s="37" t="n">
        <f aca="false">D70*F70/C70</f>
        <v>417.945193370166</v>
      </c>
      <c r="H70" s="37" t="n">
        <f aca="false">IF(AND(A70&gt;=Inputs!$B$13,OR(A70&lt;Inputs!$B$19,Inputs!$B$20=1)),D70*Inputs!$B$11/C70,0)</f>
        <v>0</v>
      </c>
      <c r="I70" s="37" t="n">
        <f aca="false">Inputs!$C$9-SUMIFS(Cash_Events!$G$6:$G$20,Cash_Events!$C$6:$C$20,"FHL",Cash_Events!$B$6:$B$20,"&lt;="&amp;A70)</f>
        <v>1500000</v>
      </c>
      <c r="J70" s="38" t="n">
        <f aca="false">VLOOKUP(A70,Inputs!$F$40:$G$48,2,TRUE())</f>
        <v>0.034199995543672</v>
      </c>
      <c r="K70" s="38" t="n">
        <f aca="false">J70+Inputs!$C$10</f>
        <v>0.101699995543672</v>
      </c>
      <c r="L70" s="37" t="n">
        <f aca="false">I70*K70/C70</f>
        <v>417.945187165775</v>
      </c>
      <c r="M70" s="37" t="n">
        <f aca="false">IF(AND(A70&gt;=Inputs!$C$13,OR(A70&lt;Inputs!$B$19,Inputs!$B$20=1)),I70*Inputs!$C$11/C70,0)</f>
        <v>0</v>
      </c>
    </row>
    <row r="71" customFormat="false" ht="15" hidden="false" customHeight="false" outlineLevel="0" collapsed="false">
      <c r="A71" s="35" t="n">
        <f aca="false">A70+1</f>
        <v>44878</v>
      </c>
      <c r="B71" s="35" t="n">
        <f aca="false">EOMONTH(A71+1,0)</f>
        <v>44895</v>
      </c>
      <c r="C71" s="36" t="n">
        <f aca="false">IF(MOD(YEAR(A71),4)=0,366,365)</f>
        <v>365</v>
      </c>
      <c r="D71" s="37" t="n">
        <f aca="false">Inputs!$B$9-SUMIFS(Cash_Events!$G$6:$G$20,Cash_Events!$C$6:$C$20,"rAGMF",Cash_Events!$B$6:$B$20,"&lt;="&amp;A71)</f>
        <v>1500000</v>
      </c>
      <c r="E71" s="38" t="n">
        <f aca="false">VLOOKUP(A71,Inputs!$A$40:$B$48,2,TRUE())</f>
        <v>0.034199997053407</v>
      </c>
      <c r="F71" s="38" t="n">
        <f aca="false">E71+Inputs!$B$10</f>
        <v>0.101699997053407</v>
      </c>
      <c r="G71" s="37" t="n">
        <f aca="false">D71*F71/C71</f>
        <v>417.945193370166</v>
      </c>
      <c r="H71" s="37" t="n">
        <f aca="false">IF(AND(A71&gt;=Inputs!$B$13,OR(A71&lt;Inputs!$B$19,Inputs!$B$20=1)),D71*Inputs!$B$11/C71,0)</f>
        <v>0</v>
      </c>
      <c r="I71" s="37" t="n">
        <f aca="false">Inputs!$C$9-SUMIFS(Cash_Events!$G$6:$G$20,Cash_Events!$C$6:$C$20,"FHL",Cash_Events!$B$6:$B$20,"&lt;="&amp;A71)</f>
        <v>1500000</v>
      </c>
      <c r="J71" s="38" t="n">
        <f aca="false">VLOOKUP(A71,Inputs!$F$40:$G$48,2,TRUE())</f>
        <v>0.034199995543672</v>
      </c>
      <c r="K71" s="38" t="n">
        <f aca="false">J71+Inputs!$C$10</f>
        <v>0.101699995543672</v>
      </c>
      <c r="L71" s="37" t="n">
        <f aca="false">I71*K71/C71</f>
        <v>417.945187165775</v>
      </c>
      <c r="M71" s="37" t="n">
        <f aca="false">IF(AND(A71&gt;=Inputs!$C$13,OR(A71&lt;Inputs!$B$19,Inputs!$B$20=1)),I71*Inputs!$C$11/C71,0)</f>
        <v>0</v>
      </c>
    </row>
    <row r="72" customFormat="false" ht="15" hidden="false" customHeight="false" outlineLevel="0" collapsed="false">
      <c r="A72" s="35" t="n">
        <f aca="false">A71+1</f>
        <v>44879</v>
      </c>
      <c r="B72" s="35" t="n">
        <f aca="false">EOMONTH(A72+1,0)</f>
        <v>44895</v>
      </c>
      <c r="C72" s="36" t="n">
        <f aca="false">IF(MOD(YEAR(A72),4)=0,366,365)</f>
        <v>365</v>
      </c>
      <c r="D72" s="37" t="n">
        <f aca="false">Inputs!$B$9-SUMIFS(Cash_Events!$G$6:$G$20,Cash_Events!$C$6:$C$20,"rAGMF",Cash_Events!$B$6:$B$20,"&lt;="&amp;A72)</f>
        <v>1500000</v>
      </c>
      <c r="E72" s="38" t="n">
        <f aca="false">VLOOKUP(A72,Inputs!$A$40:$B$48,2,TRUE())</f>
        <v>0.034199997053407</v>
      </c>
      <c r="F72" s="38" t="n">
        <f aca="false">E72+Inputs!$B$10</f>
        <v>0.101699997053407</v>
      </c>
      <c r="G72" s="37" t="n">
        <f aca="false">D72*F72/C72</f>
        <v>417.945193370166</v>
      </c>
      <c r="H72" s="37" t="n">
        <f aca="false">IF(AND(A72&gt;=Inputs!$B$13,OR(A72&lt;Inputs!$B$19,Inputs!$B$20=1)),D72*Inputs!$B$11/C72,0)</f>
        <v>0</v>
      </c>
      <c r="I72" s="37" t="n">
        <f aca="false">Inputs!$C$9-SUMIFS(Cash_Events!$G$6:$G$20,Cash_Events!$C$6:$C$20,"FHL",Cash_Events!$B$6:$B$20,"&lt;="&amp;A72)</f>
        <v>1500000</v>
      </c>
      <c r="J72" s="38" t="n">
        <f aca="false">VLOOKUP(A72,Inputs!$F$40:$G$48,2,TRUE())</f>
        <v>0.034199995543672</v>
      </c>
      <c r="K72" s="38" t="n">
        <f aca="false">J72+Inputs!$C$10</f>
        <v>0.101699995543672</v>
      </c>
      <c r="L72" s="37" t="n">
        <f aca="false">I72*K72/C72</f>
        <v>417.945187165775</v>
      </c>
      <c r="M72" s="37" t="n">
        <f aca="false">IF(AND(A72&gt;=Inputs!$C$13,OR(A72&lt;Inputs!$B$19,Inputs!$B$20=1)),I72*Inputs!$C$11/C72,0)</f>
        <v>0</v>
      </c>
    </row>
    <row r="73" customFormat="false" ht="15" hidden="false" customHeight="false" outlineLevel="0" collapsed="false">
      <c r="A73" s="35" t="n">
        <f aca="false">A72+1</f>
        <v>44880</v>
      </c>
      <c r="B73" s="35" t="n">
        <f aca="false">EOMONTH(A73+1,0)</f>
        <v>44895</v>
      </c>
      <c r="C73" s="36" t="n">
        <f aca="false">IF(MOD(YEAR(A73),4)=0,366,365)</f>
        <v>365</v>
      </c>
      <c r="D73" s="37" t="n">
        <f aca="false">Inputs!$B$9-SUMIFS(Cash_Events!$G$6:$G$20,Cash_Events!$C$6:$C$20,"rAGMF",Cash_Events!$B$6:$B$20,"&lt;="&amp;A73)</f>
        <v>1500000</v>
      </c>
      <c r="E73" s="38" t="n">
        <f aca="false">VLOOKUP(A73,Inputs!$A$40:$B$48,2,TRUE())</f>
        <v>0.034199997053407</v>
      </c>
      <c r="F73" s="38" t="n">
        <f aca="false">E73+Inputs!$B$10</f>
        <v>0.101699997053407</v>
      </c>
      <c r="G73" s="37" t="n">
        <f aca="false">D73*F73/C73</f>
        <v>417.945193370166</v>
      </c>
      <c r="H73" s="37" t="n">
        <f aca="false">IF(AND(A73&gt;=Inputs!$B$13,OR(A73&lt;Inputs!$B$19,Inputs!$B$20=1)),D73*Inputs!$B$11/C73,0)</f>
        <v>0</v>
      </c>
      <c r="I73" s="37" t="n">
        <f aca="false">Inputs!$C$9-SUMIFS(Cash_Events!$G$6:$G$20,Cash_Events!$C$6:$C$20,"FHL",Cash_Events!$B$6:$B$20,"&lt;="&amp;A73)</f>
        <v>1500000</v>
      </c>
      <c r="J73" s="38" t="n">
        <f aca="false">VLOOKUP(A73,Inputs!$F$40:$G$48,2,TRUE())</f>
        <v>0.034199995543672</v>
      </c>
      <c r="K73" s="38" t="n">
        <f aca="false">J73+Inputs!$C$10</f>
        <v>0.101699995543672</v>
      </c>
      <c r="L73" s="37" t="n">
        <f aca="false">I73*K73/C73</f>
        <v>417.945187165775</v>
      </c>
      <c r="M73" s="37" t="n">
        <f aca="false">IF(AND(A73&gt;=Inputs!$C$13,OR(A73&lt;Inputs!$B$19,Inputs!$B$20=1)),I73*Inputs!$C$11/C73,0)</f>
        <v>0</v>
      </c>
    </row>
    <row r="74" customFormat="false" ht="15" hidden="false" customHeight="false" outlineLevel="0" collapsed="false">
      <c r="A74" s="35" t="n">
        <f aca="false">A73+1</f>
        <v>44881</v>
      </c>
      <c r="B74" s="35" t="n">
        <f aca="false">EOMONTH(A74+1,0)</f>
        <v>44895</v>
      </c>
      <c r="C74" s="36" t="n">
        <f aca="false">IF(MOD(YEAR(A74),4)=0,366,365)</f>
        <v>365</v>
      </c>
      <c r="D74" s="37" t="n">
        <f aca="false">Inputs!$B$9-SUMIFS(Cash_Events!$G$6:$G$20,Cash_Events!$C$6:$C$20,"rAGMF",Cash_Events!$B$6:$B$20,"&lt;="&amp;A74)</f>
        <v>1500000</v>
      </c>
      <c r="E74" s="38" t="n">
        <f aca="false">VLOOKUP(A74,Inputs!$A$40:$B$48,2,TRUE())</f>
        <v>0.034199997053407</v>
      </c>
      <c r="F74" s="38" t="n">
        <f aca="false">E74+Inputs!$B$10</f>
        <v>0.101699997053407</v>
      </c>
      <c r="G74" s="37" t="n">
        <f aca="false">D74*F74/C74</f>
        <v>417.945193370166</v>
      </c>
      <c r="H74" s="37" t="n">
        <f aca="false">IF(AND(A74&gt;=Inputs!$B$13,OR(A74&lt;Inputs!$B$19,Inputs!$B$20=1)),D74*Inputs!$B$11/C74,0)</f>
        <v>0</v>
      </c>
      <c r="I74" s="37" t="n">
        <f aca="false">Inputs!$C$9-SUMIFS(Cash_Events!$G$6:$G$20,Cash_Events!$C$6:$C$20,"FHL",Cash_Events!$B$6:$B$20,"&lt;="&amp;A74)</f>
        <v>1500000</v>
      </c>
      <c r="J74" s="38" t="n">
        <f aca="false">VLOOKUP(A74,Inputs!$F$40:$G$48,2,TRUE())</f>
        <v>0.034199995543672</v>
      </c>
      <c r="K74" s="38" t="n">
        <f aca="false">J74+Inputs!$C$10</f>
        <v>0.101699995543672</v>
      </c>
      <c r="L74" s="37" t="n">
        <f aca="false">I74*K74/C74</f>
        <v>417.945187165775</v>
      </c>
      <c r="M74" s="37" t="n">
        <f aca="false">IF(AND(A74&gt;=Inputs!$C$13,OR(A74&lt;Inputs!$B$19,Inputs!$B$20=1)),I74*Inputs!$C$11/C74,0)</f>
        <v>0</v>
      </c>
    </row>
    <row r="75" customFormat="false" ht="15" hidden="false" customHeight="false" outlineLevel="0" collapsed="false">
      <c r="A75" s="35" t="n">
        <f aca="false">A74+1</f>
        <v>44882</v>
      </c>
      <c r="B75" s="35" t="n">
        <f aca="false">EOMONTH(A75+1,0)</f>
        <v>44895</v>
      </c>
      <c r="C75" s="36" t="n">
        <f aca="false">IF(MOD(YEAR(A75),4)=0,366,365)</f>
        <v>365</v>
      </c>
      <c r="D75" s="37" t="n">
        <f aca="false">Inputs!$B$9-SUMIFS(Cash_Events!$G$6:$G$20,Cash_Events!$C$6:$C$20,"rAGMF",Cash_Events!$B$6:$B$20,"&lt;="&amp;A75)</f>
        <v>1500000</v>
      </c>
      <c r="E75" s="38" t="n">
        <f aca="false">VLOOKUP(A75,Inputs!$A$40:$B$48,2,TRUE())</f>
        <v>0.034199997053407</v>
      </c>
      <c r="F75" s="38" t="n">
        <f aca="false">E75+Inputs!$B$10</f>
        <v>0.101699997053407</v>
      </c>
      <c r="G75" s="37" t="n">
        <f aca="false">D75*F75/C75</f>
        <v>417.945193370166</v>
      </c>
      <c r="H75" s="37" t="n">
        <f aca="false">IF(AND(A75&gt;=Inputs!$B$13,OR(A75&lt;Inputs!$B$19,Inputs!$B$20=1)),D75*Inputs!$B$11/C75,0)</f>
        <v>0</v>
      </c>
      <c r="I75" s="37" t="n">
        <f aca="false">Inputs!$C$9-SUMIFS(Cash_Events!$G$6:$G$20,Cash_Events!$C$6:$C$20,"FHL",Cash_Events!$B$6:$B$20,"&lt;="&amp;A75)</f>
        <v>1500000</v>
      </c>
      <c r="J75" s="38" t="n">
        <f aca="false">VLOOKUP(A75,Inputs!$F$40:$G$48,2,TRUE())</f>
        <v>0.034199995543672</v>
      </c>
      <c r="K75" s="38" t="n">
        <f aca="false">J75+Inputs!$C$10</f>
        <v>0.101699995543672</v>
      </c>
      <c r="L75" s="37" t="n">
        <f aca="false">I75*K75/C75</f>
        <v>417.945187165775</v>
      </c>
      <c r="M75" s="37" t="n">
        <f aca="false">IF(AND(A75&gt;=Inputs!$C$13,OR(A75&lt;Inputs!$B$19,Inputs!$B$20=1)),I75*Inputs!$C$11/C75,0)</f>
        <v>0</v>
      </c>
    </row>
    <row r="76" customFormat="false" ht="15" hidden="false" customHeight="false" outlineLevel="0" collapsed="false">
      <c r="A76" s="35" t="n">
        <f aca="false">A75+1</f>
        <v>44883</v>
      </c>
      <c r="B76" s="35" t="n">
        <f aca="false">EOMONTH(A76+1,0)</f>
        <v>44895</v>
      </c>
      <c r="C76" s="36" t="n">
        <f aca="false">IF(MOD(YEAR(A76),4)=0,366,365)</f>
        <v>365</v>
      </c>
      <c r="D76" s="37" t="n">
        <f aca="false">Inputs!$B$9-SUMIFS(Cash_Events!$G$6:$G$20,Cash_Events!$C$6:$C$20,"rAGMF",Cash_Events!$B$6:$B$20,"&lt;="&amp;A76)</f>
        <v>1500000</v>
      </c>
      <c r="E76" s="38" t="n">
        <f aca="false">VLOOKUP(A76,Inputs!$A$40:$B$48,2,TRUE())</f>
        <v>0.034199997053407</v>
      </c>
      <c r="F76" s="38" t="n">
        <f aca="false">E76+Inputs!$B$10</f>
        <v>0.101699997053407</v>
      </c>
      <c r="G76" s="37" t="n">
        <f aca="false">D76*F76/C76</f>
        <v>417.945193370166</v>
      </c>
      <c r="H76" s="37" t="n">
        <f aca="false">IF(AND(A76&gt;=Inputs!$B$13,OR(A76&lt;Inputs!$B$19,Inputs!$B$20=1)),D76*Inputs!$B$11/C76,0)</f>
        <v>0</v>
      </c>
      <c r="I76" s="37" t="n">
        <f aca="false">Inputs!$C$9-SUMIFS(Cash_Events!$G$6:$G$20,Cash_Events!$C$6:$C$20,"FHL",Cash_Events!$B$6:$B$20,"&lt;="&amp;A76)</f>
        <v>1500000</v>
      </c>
      <c r="J76" s="38" t="n">
        <f aca="false">VLOOKUP(A76,Inputs!$F$40:$G$48,2,TRUE())</f>
        <v>0.034199995543672</v>
      </c>
      <c r="K76" s="38" t="n">
        <f aca="false">J76+Inputs!$C$10</f>
        <v>0.101699995543672</v>
      </c>
      <c r="L76" s="37" t="n">
        <f aca="false">I76*K76/C76</f>
        <v>417.945187165775</v>
      </c>
      <c r="M76" s="37" t="n">
        <f aca="false">IF(AND(A76&gt;=Inputs!$C$13,OR(A76&lt;Inputs!$B$19,Inputs!$B$20=1)),I76*Inputs!$C$11/C76,0)</f>
        <v>0</v>
      </c>
    </row>
    <row r="77" customFormat="false" ht="15" hidden="false" customHeight="false" outlineLevel="0" collapsed="false">
      <c r="A77" s="35" t="n">
        <f aca="false">A76+1</f>
        <v>44884</v>
      </c>
      <c r="B77" s="35" t="n">
        <f aca="false">EOMONTH(A77+1,0)</f>
        <v>44895</v>
      </c>
      <c r="C77" s="36" t="n">
        <f aca="false">IF(MOD(YEAR(A77),4)=0,366,365)</f>
        <v>365</v>
      </c>
      <c r="D77" s="37" t="n">
        <f aca="false">Inputs!$B$9-SUMIFS(Cash_Events!$G$6:$G$20,Cash_Events!$C$6:$C$20,"rAGMF",Cash_Events!$B$6:$B$20,"&lt;="&amp;A77)</f>
        <v>1500000</v>
      </c>
      <c r="E77" s="38" t="n">
        <f aca="false">VLOOKUP(A77,Inputs!$A$40:$B$48,2,TRUE())</f>
        <v>0.034199997053407</v>
      </c>
      <c r="F77" s="38" t="n">
        <f aca="false">E77+Inputs!$B$10</f>
        <v>0.101699997053407</v>
      </c>
      <c r="G77" s="37" t="n">
        <f aca="false">D77*F77/C77</f>
        <v>417.945193370166</v>
      </c>
      <c r="H77" s="37" t="n">
        <f aca="false">IF(AND(A77&gt;=Inputs!$B$13,OR(A77&lt;Inputs!$B$19,Inputs!$B$20=1)),D77*Inputs!$B$11/C77,0)</f>
        <v>0</v>
      </c>
      <c r="I77" s="37" t="n">
        <f aca="false">Inputs!$C$9-SUMIFS(Cash_Events!$G$6:$G$20,Cash_Events!$C$6:$C$20,"FHL",Cash_Events!$B$6:$B$20,"&lt;="&amp;A77)</f>
        <v>1500000</v>
      </c>
      <c r="J77" s="38" t="n">
        <f aca="false">VLOOKUP(A77,Inputs!$F$40:$G$48,2,TRUE())</f>
        <v>0.034199995543672</v>
      </c>
      <c r="K77" s="38" t="n">
        <f aca="false">J77+Inputs!$C$10</f>
        <v>0.101699995543672</v>
      </c>
      <c r="L77" s="37" t="n">
        <f aca="false">I77*K77/C77</f>
        <v>417.945187165775</v>
      </c>
      <c r="M77" s="37" t="n">
        <f aca="false">IF(AND(A77&gt;=Inputs!$C$13,OR(A77&lt;Inputs!$B$19,Inputs!$B$20=1)),I77*Inputs!$C$11/C77,0)</f>
        <v>0</v>
      </c>
    </row>
    <row r="78" customFormat="false" ht="15" hidden="false" customHeight="false" outlineLevel="0" collapsed="false">
      <c r="A78" s="35" t="n">
        <f aca="false">A77+1</f>
        <v>44885</v>
      </c>
      <c r="B78" s="35" t="n">
        <f aca="false">EOMONTH(A78+1,0)</f>
        <v>44895</v>
      </c>
      <c r="C78" s="36" t="n">
        <f aca="false">IF(MOD(YEAR(A78),4)=0,366,365)</f>
        <v>365</v>
      </c>
      <c r="D78" s="37" t="n">
        <f aca="false">Inputs!$B$9-SUMIFS(Cash_Events!$G$6:$G$20,Cash_Events!$C$6:$C$20,"rAGMF",Cash_Events!$B$6:$B$20,"&lt;="&amp;A78)</f>
        <v>1500000</v>
      </c>
      <c r="E78" s="38" t="n">
        <f aca="false">VLOOKUP(A78,Inputs!$A$40:$B$48,2,TRUE())</f>
        <v>0.034199997053407</v>
      </c>
      <c r="F78" s="38" t="n">
        <f aca="false">E78+Inputs!$B$10</f>
        <v>0.101699997053407</v>
      </c>
      <c r="G78" s="37" t="n">
        <f aca="false">D78*F78/C78</f>
        <v>417.945193370166</v>
      </c>
      <c r="H78" s="37" t="n">
        <f aca="false">IF(AND(A78&gt;=Inputs!$B$13,OR(A78&lt;Inputs!$B$19,Inputs!$B$20=1)),D78*Inputs!$B$11/C78,0)</f>
        <v>0</v>
      </c>
      <c r="I78" s="37" t="n">
        <f aca="false">Inputs!$C$9-SUMIFS(Cash_Events!$G$6:$G$20,Cash_Events!$C$6:$C$20,"FHL",Cash_Events!$B$6:$B$20,"&lt;="&amp;A78)</f>
        <v>1500000</v>
      </c>
      <c r="J78" s="38" t="n">
        <f aca="false">VLOOKUP(A78,Inputs!$F$40:$G$48,2,TRUE())</f>
        <v>0.034199995543672</v>
      </c>
      <c r="K78" s="38" t="n">
        <f aca="false">J78+Inputs!$C$10</f>
        <v>0.101699995543672</v>
      </c>
      <c r="L78" s="37" t="n">
        <f aca="false">I78*K78/C78</f>
        <v>417.945187165775</v>
      </c>
      <c r="M78" s="37" t="n">
        <f aca="false">IF(AND(A78&gt;=Inputs!$C$13,OR(A78&lt;Inputs!$B$19,Inputs!$B$20=1)),I78*Inputs!$C$11/C78,0)</f>
        <v>0</v>
      </c>
    </row>
    <row r="79" customFormat="false" ht="15" hidden="false" customHeight="false" outlineLevel="0" collapsed="false">
      <c r="A79" s="35" t="n">
        <f aca="false">A78+1</f>
        <v>44886</v>
      </c>
      <c r="B79" s="35" t="n">
        <f aca="false">EOMONTH(A79+1,0)</f>
        <v>44895</v>
      </c>
      <c r="C79" s="36" t="n">
        <f aca="false">IF(MOD(YEAR(A79),4)=0,366,365)</f>
        <v>365</v>
      </c>
      <c r="D79" s="37" t="n">
        <f aca="false">Inputs!$B$9-SUMIFS(Cash_Events!$G$6:$G$20,Cash_Events!$C$6:$C$20,"rAGMF",Cash_Events!$B$6:$B$20,"&lt;="&amp;A79)</f>
        <v>1500000</v>
      </c>
      <c r="E79" s="38" t="n">
        <f aca="false">VLOOKUP(A79,Inputs!$A$40:$B$48,2,TRUE())</f>
        <v>0.034199997053407</v>
      </c>
      <c r="F79" s="38" t="n">
        <f aca="false">E79+Inputs!$B$10</f>
        <v>0.101699997053407</v>
      </c>
      <c r="G79" s="37" t="n">
        <f aca="false">D79*F79/C79</f>
        <v>417.945193370166</v>
      </c>
      <c r="H79" s="37" t="n">
        <f aca="false">IF(AND(A79&gt;=Inputs!$B$13,OR(A79&lt;Inputs!$B$19,Inputs!$B$20=1)),D79*Inputs!$B$11/C79,0)</f>
        <v>0</v>
      </c>
      <c r="I79" s="37" t="n">
        <f aca="false">Inputs!$C$9-SUMIFS(Cash_Events!$G$6:$G$20,Cash_Events!$C$6:$C$20,"FHL",Cash_Events!$B$6:$B$20,"&lt;="&amp;A79)</f>
        <v>1500000</v>
      </c>
      <c r="J79" s="38" t="n">
        <f aca="false">VLOOKUP(A79,Inputs!$F$40:$G$48,2,TRUE())</f>
        <v>0.034199995543672</v>
      </c>
      <c r="K79" s="38" t="n">
        <f aca="false">J79+Inputs!$C$10</f>
        <v>0.101699995543672</v>
      </c>
      <c r="L79" s="37" t="n">
        <f aca="false">I79*K79/C79</f>
        <v>417.945187165775</v>
      </c>
      <c r="M79" s="37" t="n">
        <f aca="false">IF(AND(A79&gt;=Inputs!$C$13,OR(A79&lt;Inputs!$B$19,Inputs!$B$20=1)),I79*Inputs!$C$11/C79,0)</f>
        <v>0</v>
      </c>
    </row>
    <row r="80" customFormat="false" ht="15" hidden="false" customHeight="false" outlineLevel="0" collapsed="false">
      <c r="A80" s="35" t="n">
        <f aca="false">A79+1</f>
        <v>44887</v>
      </c>
      <c r="B80" s="35" t="n">
        <f aca="false">EOMONTH(A80+1,0)</f>
        <v>44895</v>
      </c>
      <c r="C80" s="36" t="n">
        <f aca="false">IF(MOD(YEAR(A80),4)=0,366,365)</f>
        <v>365</v>
      </c>
      <c r="D80" s="37" t="n">
        <f aca="false">Inputs!$B$9-SUMIFS(Cash_Events!$G$6:$G$20,Cash_Events!$C$6:$C$20,"rAGMF",Cash_Events!$B$6:$B$20,"&lt;="&amp;A80)</f>
        <v>1500000</v>
      </c>
      <c r="E80" s="38" t="n">
        <f aca="false">VLOOKUP(A80,Inputs!$A$40:$B$48,2,TRUE())</f>
        <v>0.034199997053407</v>
      </c>
      <c r="F80" s="38" t="n">
        <f aca="false">E80+Inputs!$B$10</f>
        <v>0.101699997053407</v>
      </c>
      <c r="G80" s="37" t="n">
        <f aca="false">D80*F80/C80</f>
        <v>417.945193370166</v>
      </c>
      <c r="H80" s="37" t="n">
        <f aca="false">IF(AND(A80&gt;=Inputs!$B$13,OR(A80&lt;Inputs!$B$19,Inputs!$B$20=1)),D80*Inputs!$B$11/C80,0)</f>
        <v>0</v>
      </c>
      <c r="I80" s="37" t="n">
        <f aca="false">Inputs!$C$9-SUMIFS(Cash_Events!$G$6:$G$20,Cash_Events!$C$6:$C$20,"FHL",Cash_Events!$B$6:$B$20,"&lt;="&amp;A80)</f>
        <v>1500000</v>
      </c>
      <c r="J80" s="38" t="n">
        <f aca="false">VLOOKUP(A80,Inputs!$F$40:$G$48,2,TRUE())</f>
        <v>0.034199995543672</v>
      </c>
      <c r="K80" s="38" t="n">
        <f aca="false">J80+Inputs!$C$10</f>
        <v>0.101699995543672</v>
      </c>
      <c r="L80" s="37" t="n">
        <f aca="false">I80*K80/C80</f>
        <v>417.945187165775</v>
      </c>
      <c r="M80" s="37" t="n">
        <f aca="false">IF(AND(A80&gt;=Inputs!$C$13,OR(A80&lt;Inputs!$B$19,Inputs!$B$20=1)),I80*Inputs!$C$11/C80,0)</f>
        <v>0</v>
      </c>
    </row>
    <row r="81" customFormat="false" ht="15" hidden="false" customHeight="false" outlineLevel="0" collapsed="false">
      <c r="A81" s="35" t="n">
        <f aca="false">A80+1</f>
        <v>44888</v>
      </c>
      <c r="B81" s="35" t="n">
        <f aca="false">EOMONTH(A81+1,0)</f>
        <v>44895</v>
      </c>
      <c r="C81" s="36" t="n">
        <f aca="false">IF(MOD(YEAR(A81),4)=0,366,365)</f>
        <v>365</v>
      </c>
      <c r="D81" s="37" t="n">
        <f aca="false">Inputs!$B$9-SUMIFS(Cash_Events!$G$6:$G$20,Cash_Events!$C$6:$C$20,"rAGMF",Cash_Events!$B$6:$B$20,"&lt;="&amp;A81)</f>
        <v>1500000</v>
      </c>
      <c r="E81" s="38" t="n">
        <f aca="false">VLOOKUP(A81,Inputs!$A$40:$B$48,2,TRUE())</f>
        <v>0.034199997053407</v>
      </c>
      <c r="F81" s="38" t="n">
        <f aca="false">E81+Inputs!$B$10</f>
        <v>0.101699997053407</v>
      </c>
      <c r="G81" s="37" t="n">
        <f aca="false">D81*F81/C81</f>
        <v>417.945193370166</v>
      </c>
      <c r="H81" s="37" t="n">
        <f aca="false">IF(AND(A81&gt;=Inputs!$B$13,OR(A81&lt;Inputs!$B$19,Inputs!$B$20=1)),D81*Inputs!$B$11/C81,0)</f>
        <v>0</v>
      </c>
      <c r="I81" s="37" t="n">
        <f aca="false">Inputs!$C$9-SUMIFS(Cash_Events!$G$6:$G$20,Cash_Events!$C$6:$C$20,"FHL",Cash_Events!$B$6:$B$20,"&lt;="&amp;A81)</f>
        <v>1500000</v>
      </c>
      <c r="J81" s="38" t="n">
        <f aca="false">VLOOKUP(A81,Inputs!$F$40:$G$48,2,TRUE())</f>
        <v>0.034199995543672</v>
      </c>
      <c r="K81" s="38" t="n">
        <f aca="false">J81+Inputs!$C$10</f>
        <v>0.101699995543672</v>
      </c>
      <c r="L81" s="37" t="n">
        <f aca="false">I81*K81/C81</f>
        <v>417.945187165775</v>
      </c>
      <c r="M81" s="37" t="n">
        <f aca="false">IF(AND(A81&gt;=Inputs!$C$13,OR(A81&lt;Inputs!$B$19,Inputs!$B$20=1)),I81*Inputs!$C$11/C81,0)</f>
        <v>0</v>
      </c>
    </row>
    <row r="82" customFormat="false" ht="15" hidden="false" customHeight="false" outlineLevel="0" collapsed="false">
      <c r="A82" s="35" t="n">
        <f aca="false">A81+1</f>
        <v>44889</v>
      </c>
      <c r="B82" s="35" t="n">
        <f aca="false">EOMONTH(A82+1,0)</f>
        <v>44895</v>
      </c>
      <c r="C82" s="36" t="n">
        <f aca="false">IF(MOD(YEAR(A82),4)=0,366,365)</f>
        <v>365</v>
      </c>
      <c r="D82" s="37" t="n">
        <f aca="false">Inputs!$B$9-SUMIFS(Cash_Events!$G$6:$G$20,Cash_Events!$C$6:$C$20,"rAGMF",Cash_Events!$B$6:$B$20,"&lt;="&amp;A82)</f>
        <v>1500000</v>
      </c>
      <c r="E82" s="38" t="n">
        <f aca="false">VLOOKUP(A82,Inputs!$A$40:$B$48,2,TRUE())</f>
        <v>0.034199997053407</v>
      </c>
      <c r="F82" s="38" t="n">
        <f aca="false">E82+Inputs!$B$10</f>
        <v>0.101699997053407</v>
      </c>
      <c r="G82" s="37" t="n">
        <f aca="false">D82*F82/C82</f>
        <v>417.945193370166</v>
      </c>
      <c r="H82" s="37" t="n">
        <f aca="false">IF(AND(A82&gt;=Inputs!$B$13,OR(A82&lt;Inputs!$B$19,Inputs!$B$20=1)),D82*Inputs!$B$11/C82,0)</f>
        <v>0</v>
      </c>
      <c r="I82" s="37" t="n">
        <f aca="false">Inputs!$C$9-SUMIFS(Cash_Events!$G$6:$G$20,Cash_Events!$C$6:$C$20,"FHL",Cash_Events!$B$6:$B$20,"&lt;="&amp;A82)</f>
        <v>1500000</v>
      </c>
      <c r="J82" s="38" t="n">
        <f aca="false">VLOOKUP(A82,Inputs!$F$40:$G$48,2,TRUE())</f>
        <v>0.034199995543672</v>
      </c>
      <c r="K82" s="38" t="n">
        <f aca="false">J82+Inputs!$C$10</f>
        <v>0.101699995543672</v>
      </c>
      <c r="L82" s="37" t="n">
        <f aca="false">I82*K82/C82</f>
        <v>417.945187165775</v>
      </c>
      <c r="M82" s="37" t="n">
        <f aca="false">IF(AND(A82&gt;=Inputs!$C$13,OR(A82&lt;Inputs!$B$19,Inputs!$B$20=1)),I82*Inputs!$C$11/C82,0)</f>
        <v>0</v>
      </c>
    </row>
    <row r="83" customFormat="false" ht="15" hidden="false" customHeight="false" outlineLevel="0" collapsed="false">
      <c r="A83" s="35" t="n">
        <f aca="false">A82+1</f>
        <v>44890</v>
      </c>
      <c r="B83" s="35" t="n">
        <f aca="false">EOMONTH(A83+1,0)</f>
        <v>44895</v>
      </c>
      <c r="C83" s="36" t="n">
        <f aca="false">IF(MOD(YEAR(A83),4)=0,366,365)</f>
        <v>365</v>
      </c>
      <c r="D83" s="37" t="n">
        <f aca="false">Inputs!$B$9-SUMIFS(Cash_Events!$G$6:$G$20,Cash_Events!$C$6:$C$20,"rAGMF",Cash_Events!$B$6:$B$20,"&lt;="&amp;A83)</f>
        <v>1500000</v>
      </c>
      <c r="E83" s="38" t="n">
        <f aca="false">VLOOKUP(A83,Inputs!$A$40:$B$48,2,TRUE())</f>
        <v>0.034199997053407</v>
      </c>
      <c r="F83" s="38" t="n">
        <f aca="false">E83+Inputs!$B$10</f>
        <v>0.101699997053407</v>
      </c>
      <c r="G83" s="37" t="n">
        <f aca="false">D83*F83/C83</f>
        <v>417.945193370166</v>
      </c>
      <c r="H83" s="37" t="n">
        <f aca="false">IF(AND(A83&gt;=Inputs!$B$13,OR(A83&lt;Inputs!$B$19,Inputs!$B$20=1)),D83*Inputs!$B$11/C83,0)</f>
        <v>0</v>
      </c>
      <c r="I83" s="37" t="n">
        <f aca="false">Inputs!$C$9-SUMIFS(Cash_Events!$G$6:$G$20,Cash_Events!$C$6:$C$20,"FHL",Cash_Events!$B$6:$B$20,"&lt;="&amp;A83)</f>
        <v>1500000</v>
      </c>
      <c r="J83" s="38" t="n">
        <f aca="false">VLOOKUP(A83,Inputs!$F$40:$G$48,2,TRUE())</f>
        <v>0.034199995543672</v>
      </c>
      <c r="K83" s="38" t="n">
        <f aca="false">J83+Inputs!$C$10</f>
        <v>0.101699995543672</v>
      </c>
      <c r="L83" s="37" t="n">
        <f aca="false">I83*K83/C83</f>
        <v>417.945187165775</v>
      </c>
      <c r="M83" s="37" t="n">
        <f aca="false">IF(AND(A83&gt;=Inputs!$C$13,OR(A83&lt;Inputs!$B$19,Inputs!$B$20=1)),I83*Inputs!$C$11/C83,0)</f>
        <v>0</v>
      </c>
    </row>
    <row r="84" customFormat="false" ht="15" hidden="false" customHeight="false" outlineLevel="0" collapsed="false">
      <c r="A84" s="35" t="n">
        <f aca="false">A83+1</f>
        <v>44891</v>
      </c>
      <c r="B84" s="35" t="n">
        <f aca="false">EOMONTH(A84+1,0)</f>
        <v>44895</v>
      </c>
      <c r="C84" s="36" t="n">
        <f aca="false">IF(MOD(YEAR(A84),4)=0,366,365)</f>
        <v>365</v>
      </c>
      <c r="D84" s="37" t="n">
        <f aca="false">Inputs!$B$9-SUMIFS(Cash_Events!$G$6:$G$20,Cash_Events!$C$6:$C$20,"rAGMF",Cash_Events!$B$6:$B$20,"&lt;="&amp;A84)</f>
        <v>1500000</v>
      </c>
      <c r="E84" s="38" t="n">
        <f aca="false">VLOOKUP(A84,Inputs!$A$40:$B$48,2,TRUE())</f>
        <v>0.034199997053407</v>
      </c>
      <c r="F84" s="38" t="n">
        <f aca="false">E84+Inputs!$B$10</f>
        <v>0.101699997053407</v>
      </c>
      <c r="G84" s="37" t="n">
        <f aca="false">D84*F84/C84</f>
        <v>417.945193370166</v>
      </c>
      <c r="H84" s="37" t="n">
        <f aca="false">IF(AND(A84&gt;=Inputs!$B$13,OR(A84&lt;Inputs!$B$19,Inputs!$B$20=1)),D84*Inputs!$B$11/C84,0)</f>
        <v>0</v>
      </c>
      <c r="I84" s="37" t="n">
        <f aca="false">Inputs!$C$9-SUMIFS(Cash_Events!$G$6:$G$20,Cash_Events!$C$6:$C$20,"FHL",Cash_Events!$B$6:$B$20,"&lt;="&amp;A84)</f>
        <v>1500000</v>
      </c>
      <c r="J84" s="38" t="n">
        <f aca="false">VLOOKUP(A84,Inputs!$F$40:$G$48,2,TRUE())</f>
        <v>0.034199995543672</v>
      </c>
      <c r="K84" s="38" t="n">
        <f aca="false">J84+Inputs!$C$10</f>
        <v>0.101699995543672</v>
      </c>
      <c r="L84" s="37" t="n">
        <f aca="false">I84*K84/C84</f>
        <v>417.945187165775</v>
      </c>
      <c r="M84" s="37" t="n">
        <f aca="false">IF(AND(A84&gt;=Inputs!$C$13,OR(A84&lt;Inputs!$B$19,Inputs!$B$20=1)),I84*Inputs!$C$11/C84,0)</f>
        <v>0</v>
      </c>
    </row>
    <row r="85" customFormat="false" ht="15" hidden="false" customHeight="false" outlineLevel="0" collapsed="false">
      <c r="A85" s="35" t="n">
        <f aca="false">A84+1</f>
        <v>44892</v>
      </c>
      <c r="B85" s="35" t="n">
        <f aca="false">EOMONTH(A85+1,0)</f>
        <v>44895</v>
      </c>
      <c r="C85" s="36" t="n">
        <f aca="false">IF(MOD(YEAR(A85),4)=0,366,365)</f>
        <v>365</v>
      </c>
      <c r="D85" s="37" t="n">
        <f aca="false">Inputs!$B$9-SUMIFS(Cash_Events!$G$6:$G$20,Cash_Events!$C$6:$C$20,"rAGMF",Cash_Events!$B$6:$B$20,"&lt;="&amp;A85)</f>
        <v>1500000</v>
      </c>
      <c r="E85" s="38" t="n">
        <f aca="false">VLOOKUP(A85,Inputs!$A$40:$B$48,2,TRUE())</f>
        <v>0.034199997053407</v>
      </c>
      <c r="F85" s="38" t="n">
        <f aca="false">E85+Inputs!$B$10</f>
        <v>0.101699997053407</v>
      </c>
      <c r="G85" s="37" t="n">
        <f aca="false">D85*F85/C85</f>
        <v>417.945193370166</v>
      </c>
      <c r="H85" s="37" t="n">
        <f aca="false">IF(AND(A85&gt;=Inputs!$B$13,OR(A85&lt;Inputs!$B$19,Inputs!$B$20=1)),D85*Inputs!$B$11/C85,0)</f>
        <v>0</v>
      </c>
      <c r="I85" s="37" t="n">
        <f aca="false">Inputs!$C$9-SUMIFS(Cash_Events!$G$6:$G$20,Cash_Events!$C$6:$C$20,"FHL",Cash_Events!$B$6:$B$20,"&lt;="&amp;A85)</f>
        <v>1500000</v>
      </c>
      <c r="J85" s="38" t="n">
        <f aca="false">VLOOKUP(A85,Inputs!$F$40:$G$48,2,TRUE())</f>
        <v>0.034199995543672</v>
      </c>
      <c r="K85" s="38" t="n">
        <f aca="false">J85+Inputs!$C$10</f>
        <v>0.101699995543672</v>
      </c>
      <c r="L85" s="37" t="n">
        <f aca="false">I85*K85/C85</f>
        <v>417.945187165775</v>
      </c>
      <c r="M85" s="37" t="n">
        <f aca="false">IF(AND(A85&gt;=Inputs!$C$13,OR(A85&lt;Inputs!$B$19,Inputs!$B$20=1)),I85*Inputs!$C$11/C85,0)</f>
        <v>0</v>
      </c>
    </row>
    <row r="86" customFormat="false" ht="15" hidden="false" customHeight="false" outlineLevel="0" collapsed="false">
      <c r="A86" s="35" t="n">
        <f aca="false">A85+1</f>
        <v>44893</v>
      </c>
      <c r="B86" s="35" t="n">
        <f aca="false">EOMONTH(A86+1,0)</f>
        <v>44895</v>
      </c>
      <c r="C86" s="36" t="n">
        <f aca="false">IF(MOD(YEAR(A86),4)=0,366,365)</f>
        <v>365</v>
      </c>
      <c r="D86" s="37" t="n">
        <f aca="false">Inputs!$B$9-SUMIFS(Cash_Events!$G$6:$G$20,Cash_Events!$C$6:$C$20,"rAGMF",Cash_Events!$B$6:$B$20,"&lt;="&amp;A86)</f>
        <v>1500000</v>
      </c>
      <c r="E86" s="38" t="n">
        <f aca="false">VLOOKUP(A86,Inputs!$A$40:$B$48,2,TRUE())</f>
        <v>0.034199997053407</v>
      </c>
      <c r="F86" s="38" t="n">
        <f aca="false">E86+Inputs!$B$10</f>
        <v>0.101699997053407</v>
      </c>
      <c r="G86" s="37" t="n">
        <f aca="false">D86*F86/C86</f>
        <v>417.945193370166</v>
      </c>
      <c r="H86" s="37" t="n">
        <f aca="false">IF(AND(A86&gt;=Inputs!$B$13,OR(A86&lt;Inputs!$B$19,Inputs!$B$20=1)),D86*Inputs!$B$11/C86,0)</f>
        <v>0</v>
      </c>
      <c r="I86" s="37" t="n">
        <f aca="false">Inputs!$C$9-SUMIFS(Cash_Events!$G$6:$G$20,Cash_Events!$C$6:$C$20,"FHL",Cash_Events!$B$6:$B$20,"&lt;="&amp;A86)</f>
        <v>1500000</v>
      </c>
      <c r="J86" s="38" t="n">
        <f aca="false">VLOOKUP(A86,Inputs!$F$40:$G$48,2,TRUE())</f>
        <v>0.034199995543672</v>
      </c>
      <c r="K86" s="38" t="n">
        <f aca="false">J86+Inputs!$C$10</f>
        <v>0.101699995543672</v>
      </c>
      <c r="L86" s="37" t="n">
        <f aca="false">I86*K86/C86</f>
        <v>417.945187165775</v>
      </c>
      <c r="M86" s="37" t="n">
        <f aca="false">IF(AND(A86&gt;=Inputs!$C$13,OR(A86&lt;Inputs!$B$19,Inputs!$B$20=1)),I86*Inputs!$C$11/C86,0)</f>
        <v>0</v>
      </c>
    </row>
    <row r="87" customFormat="false" ht="15" hidden="false" customHeight="false" outlineLevel="0" collapsed="false">
      <c r="A87" s="35" t="n">
        <f aca="false">A86+1</f>
        <v>44894</v>
      </c>
      <c r="B87" s="35" t="n">
        <f aca="false">EOMONTH(A87+1,0)</f>
        <v>44895</v>
      </c>
      <c r="C87" s="36" t="n">
        <f aca="false">IF(MOD(YEAR(A87),4)=0,366,365)</f>
        <v>365</v>
      </c>
      <c r="D87" s="37" t="n">
        <f aca="false">Inputs!$B$9-SUMIFS(Cash_Events!$G$6:$G$20,Cash_Events!$C$6:$C$20,"rAGMF",Cash_Events!$B$6:$B$20,"&lt;="&amp;A87)</f>
        <v>1500000</v>
      </c>
      <c r="E87" s="38" t="n">
        <f aca="false">VLOOKUP(A87,Inputs!$A$40:$B$48,2,TRUE())</f>
        <v>0.034199997053407</v>
      </c>
      <c r="F87" s="38" t="n">
        <f aca="false">E87+Inputs!$B$10</f>
        <v>0.101699997053407</v>
      </c>
      <c r="G87" s="37" t="n">
        <f aca="false">D87*F87/C87</f>
        <v>417.945193370166</v>
      </c>
      <c r="H87" s="37" t="n">
        <f aca="false">IF(AND(A87&gt;=Inputs!$B$13,OR(A87&lt;Inputs!$B$19,Inputs!$B$20=1)),D87*Inputs!$B$11/C87,0)</f>
        <v>0</v>
      </c>
      <c r="I87" s="37" t="n">
        <f aca="false">Inputs!$C$9-SUMIFS(Cash_Events!$G$6:$G$20,Cash_Events!$C$6:$C$20,"FHL",Cash_Events!$B$6:$B$20,"&lt;="&amp;A87)</f>
        <v>1500000</v>
      </c>
      <c r="J87" s="38" t="n">
        <f aca="false">VLOOKUP(A87,Inputs!$F$40:$G$48,2,TRUE())</f>
        <v>0.034199995543672</v>
      </c>
      <c r="K87" s="38" t="n">
        <f aca="false">J87+Inputs!$C$10</f>
        <v>0.101699995543672</v>
      </c>
      <c r="L87" s="37" t="n">
        <f aca="false">I87*K87/C87</f>
        <v>417.945187165775</v>
      </c>
      <c r="M87" s="37" t="n">
        <f aca="false">IF(AND(A87&gt;=Inputs!$C$13,OR(A87&lt;Inputs!$B$19,Inputs!$B$20=1)),I87*Inputs!$C$11/C87,0)</f>
        <v>0</v>
      </c>
    </row>
    <row r="88" customFormat="false" ht="15" hidden="false" customHeight="false" outlineLevel="0" collapsed="false">
      <c r="A88" s="35" t="n">
        <f aca="false">A87+1</f>
        <v>44895</v>
      </c>
      <c r="B88" s="35" t="n">
        <f aca="false">EOMONTH(A88+1,0)</f>
        <v>44926</v>
      </c>
      <c r="C88" s="36" t="n">
        <f aca="false">IF(MOD(YEAR(A88),4)=0,366,365)</f>
        <v>365</v>
      </c>
      <c r="D88" s="37" t="n">
        <f aca="false">Inputs!$B$9-SUMIFS(Cash_Events!$G$6:$G$20,Cash_Events!$C$6:$C$20,"rAGMF",Cash_Events!$B$6:$B$20,"&lt;="&amp;A88)</f>
        <v>1500000</v>
      </c>
      <c r="E88" s="38" t="n">
        <f aca="false">VLOOKUP(A88,Inputs!$A$40:$B$48,2,TRUE())</f>
        <v>0.034199997053407</v>
      </c>
      <c r="F88" s="38" t="n">
        <f aca="false">E88+Inputs!$B$10</f>
        <v>0.101699997053407</v>
      </c>
      <c r="G88" s="37" t="n">
        <f aca="false">D88*F88/C88</f>
        <v>417.945193370166</v>
      </c>
      <c r="H88" s="37" t="n">
        <f aca="false">IF(AND(A88&gt;=Inputs!$B$13,OR(A88&lt;Inputs!$B$19,Inputs!$B$20=1)),D88*Inputs!$B$11/C88,0)</f>
        <v>0</v>
      </c>
      <c r="I88" s="37" t="n">
        <f aca="false">Inputs!$C$9-SUMIFS(Cash_Events!$G$6:$G$20,Cash_Events!$C$6:$C$20,"FHL",Cash_Events!$B$6:$B$20,"&lt;="&amp;A88)</f>
        <v>1500000</v>
      </c>
      <c r="J88" s="38" t="n">
        <f aca="false">VLOOKUP(A88,Inputs!$F$40:$G$48,2,TRUE())</f>
        <v>0.034199995543672</v>
      </c>
      <c r="K88" s="38" t="n">
        <f aca="false">J88+Inputs!$C$10</f>
        <v>0.101699995543672</v>
      </c>
      <c r="L88" s="37" t="n">
        <f aca="false">I88*K88/C88</f>
        <v>417.945187165775</v>
      </c>
      <c r="M88" s="37" t="n">
        <f aca="false">IF(AND(A88&gt;=Inputs!$C$13,OR(A88&lt;Inputs!$B$19,Inputs!$B$20=1)),I88*Inputs!$C$11/C88,0)</f>
        <v>0</v>
      </c>
    </row>
    <row r="89" customFormat="false" ht="15" hidden="false" customHeight="false" outlineLevel="0" collapsed="false">
      <c r="A89" s="35" t="n">
        <f aca="false">A88+1</f>
        <v>44896</v>
      </c>
      <c r="B89" s="35" t="n">
        <f aca="false">EOMONTH(A89+1,0)</f>
        <v>44926</v>
      </c>
      <c r="C89" s="36" t="n">
        <f aca="false">IF(MOD(YEAR(A89),4)=0,366,365)</f>
        <v>365</v>
      </c>
      <c r="D89" s="37" t="n">
        <f aca="false">Inputs!$B$9-SUMIFS(Cash_Events!$G$6:$G$20,Cash_Events!$C$6:$C$20,"rAGMF",Cash_Events!$B$6:$B$20,"&lt;="&amp;A89)</f>
        <v>1500000</v>
      </c>
      <c r="E89" s="38" t="n">
        <f aca="false">VLOOKUP(A89,Inputs!$A$40:$B$48,2,TRUE())</f>
        <v>0.034199997053407</v>
      </c>
      <c r="F89" s="38" t="n">
        <f aca="false">E89+Inputs!$B$10</f>
        <v>0.101699997053407</v>
      </c>
      <c r="G89" s="37" t="n">
        <f aca="false">D89*F89/C89</f>
        <v>417.945193370166</v>
      </c>
      <c r="H89" s="37" t="n">
        <f aca="false">IF(AND(A89&gt;=Inputs!$B$13,OR(A89&lt;Inputs!$B$19,Inputs!$B$20=1)),D89*Inputs!$B$11/C89,0)</f>
        <v>0</v>
      </c>
      <c r="I89" s="37" t="n">
        <f aca="false">Inputs!$C$9-SUMIFS(Cash_Events!$G$6:$G$20,Cash_Events!$C$6:$C$20,"FHL",Cash_Events!$B$6:$B$20,"&lt;="&amp;A89)</f>
        <v>1500000</v>
      </c>
      <c r="J89" s="38" t="n">
        <f aca="false">VLOOKUP(A89,Inputs!$F$40:$G$48,2,TRUE())</f>
        <v>0.034199995543672</v>
      </c>
      <c r="K89" s="38" t="n">
        <f aca="false">J89+Inputs!$C$10</f>
        <v>0.101699995543672</v>
      </c>
      <c r="L89" s="37" t="n">
        <f aca="false">I89*K89/C89</f>
        <v>417.945187165775</v>
      </c>
      <c r="M89" s="37" t="n">
        <f aca="false">IF(AND(A89&gt;=Inputs!$C$13,OR(A89&lt;Inputs!$B$19,Inputs!$B$20=1)),I89*Inputs!$C$11/C89,0)</f>
        <v>0</v>
      </c>
    </row>
    <row r="90" customFormat="false" ht="15" hidden="false" customHeight="false" outlineLevel="0" collapsed="false">
      <c r="A90" s="35" t="n">
        <f aca="false">A89+1</f>
        <v>44897</v>
      </c>
      <c r="B90" s="35" t="n">
        <f aca="false">EOMONTH(A90+1,0)</f>
        <v>44926</v>
      </c>
      <c r="C90" s="36" t="n">
        <f aca="false">IF(MOD(YEAR(A90),4)=0,366,365)</f>
        <v>365</v>
      </c>
      <c r="D90" s="37" t="n">
        <f aca="false">Inputs!$B$9-SUMIFS(Cash_Events!$G$6:$G$20,Cash_Events!$C$6:$C$20,"rAGMF",Cash_Events!$B$6:$B$20,"&lt;="&amp;A90)</f>
        <v>1500000</v>
      </c>
      <c r="E90" s="38" t="n">
        <f aca="false">VLOOKUP(A90,Inputs!$A$40:$B$48,2,TRUE())</f>
        <v>0.034199997053407</v>
      </c>
      <c r="F90" s="38" t="n">
        <f aca="false">E90+Inputs!$B$10</f>
        <v>0.101699997053407</v>
      </c>
      <c r="G90" s="37" t="n">
        <f aca="false">D90*F90/C90</f>
        <v>417.945193370166</v>
      </c>
      <c r="H90" s="37" t="n">
        <f aca="false">IF(AND(A90&gt;=Inputs!$B$13,OR(A90&lt;Inputs!$B$19,Inputs!$B$20=1)),D90*Inputs!$B$11/C90,0)</f>
        <v>0</v>
      </c>
      <c r="I90" s="37" t="n">
        <f aca="false">Inputs!$C$9-SUMIFS(Cash_Events!$G$6:$G$20,Cash_Events!$C$6:$C$20,"FHL",Cash_Events!$B$6:$B$20,"&lt;="&amp;A90)</f>
        <v>1500000</v>
      </c>
      <c r="J90" s="38" t="n">
        <f aca="false">VLOOKUP(A90,Inputs!$F$40:$G$48,2,TRUE())</f>
        <v>0.034199995543672</v>
      </c>
      <c r="K90" s="38" t="n">
        <f aca="false">J90+Inputs!$C$10</f>
        <v>0.101699995543672</v>
      </c>
      <c r="L90" s="37" t="n">
        <f aca="false">I90*K90/C90</f>
        <v>417.945187165775</v>
      </c>
      <c r="M90" s="37" t="n">
        <f aca="false">IF(AND(A90&gt;=Inputs!$C$13,OR(A90&lt;Inputs!$B$19,Inputs!$B$20=1)),I90*Inputs!$C$11/C90,0)</f>
        <v>0</v>
      </c>
    </row>
    <row r="91" customFormat="false" ht="15" hidden="false" customHeight="false" outlineLevel="0" collapsed="false">
      <c r="A91" s="35" t="n">
        <f aca="false">A90+1</f>
        <v>44898</v>
      </c>
      <c r="B91" s="35" t="n">
        <f aca="false">EOMONTH(A91+1,0)</f>
        <v>44926</v>
      </c>
      <c r="C91" s="36" t="n">
        <f aca="false">IF(MOD(YEAR(A91),4)=0,366,365)</f>
        <v>365</v>
      </c>
      <c r="D91" s="37" t="n">
        <f aca="false">Inputs!$B$9-SUMIFS(Cash_Events!$G$6:$G$20,Cash_Events!$C$6:$C$20,"rAGMF",Cash_Events!$B$6:$B$20,"&lt;="&amp;A91)</f>
        <v>1500000</v>
      </c>
      <c r="E91" s="38" t="n">
        <f aca="false">VLOOKUP(A91,Inputs!$A$40:$B$48,2,TRUE())</f>
        <v>0.034199997053407</v>
      </c>
      <c r="F91" s="38" t="n">
        <f aca="false">E91+Inputs!$B$10</f>
        <v>0.101699997053407</v>
      </c>
      <c r="G91" s="37" t="n">
        <f aca="false">D91*F91/C91</f>
        <v>417.945193370166</v>
      </c>
      <c r="H91" s="37" t="n">
        <f aca="false">IF(AND(A91&gt;=Inputs!$B$13,OR(A91&lt;Inputs!$B$19,Inputs!$B$20=1)),D91*Inputs!$B$11/C91,0)</f>
        <v>0</v>
      </c>
      <c r="I91" s="37" t="n">
        <f aca="false">Inputs!$C$9-SUMIFS(Cash_Events!$G$6:$G$20,Cash_Events!$C$6:$C$20,"FHL",Cash_Events!$B$6:$B$20,"&lt;="&amp;A91)</f>
        <v>1500000</v>
      </c>
      <c r="J91" s="38" t="n">
        <f aca="false">VLOOKUP(A91,Inputs!$F$40:$G$48,2,TRUE())</f>
        <v>0.034199995543672</v>
      </c>
      <c r="K91" s="38" t="n">
        <f aca="false">J91+Inputs!$C$10</f>
        <v>0.101699995543672</v>
      </c>
      <c r="L91" s="37" t="n">
        <f aca="false">I91*K91/C91</f>
        <v>417.945187165775</v>
      </c>
      <c r="M91" s="37" t="n">
        <f aca="false">IF(AND(A91&gt;=Inputs!$C$13,OR(A91&lt;Inputs!$B$19,Inputs!$B$20=1)),I91*Inputs!$C$11/C91,0)</f>
        <v>0</v>
      </c>
    </row>
    <row r="92" customFormat="false" ht="15" hidden="false" customHeight="false" outlineLevel="0" collapsed="false">
      <c r="A92" s="35" t="n">
        <f aca="false">A91+1</f>
        <v>44899</v>
      </c>
      <c r="B92" s="35" t="n">
        <f aca="false">EOMONTH(A92+1,0)</f>
        <v>44926</v>
      </c>
      <c r="C92" s="36" t="n">
        <f aca="false">IF(MOD(YEAR(A92),4)=0,366,365)</f>
        <v>365</v>
      </c>
      <c r="D92" s="37" t="n">
        <f aca="false">Inputs!$B$9-SUMIFS(Cash_Events!$G$6:$G$20,Cash_Events!$C$6:$C$20,"rAGMF",Cash_Events!$B$6:$B$20,"&lt;="&amp;A92)</f>
        <v>1500000</v>
      </c>
      <c r="E92" s="38" t="n">
        <f aca="false">VLOOKUP(A92,Inputs!$A$40:$B$48,2,TRUE())</f>
        <v>0.034199997053407</v>
      </c>
      <c r="F92" s="38" t="n">
        <f aca="false">E92+Inputs!$B$10</f>
        <v>0.101699997053407</v>
      </c>
      <c r="G92" s="37" t="n">
        <f aca="false">D92*F92/C92</f>
        <v>417.945193370166</v>
      </c>
      <c r="H92" s="37" t="n">
        <f aca="false">IF(AND(A92&gt;=Inputs!$B$13,OR(A92&lt;Inputs!$B$19,Inputs!$B$20=1)),D92*Inputs!$B$11/C92,0)</f>
        <v>0</v>
      </c>
      <c r="I92" s="37" t="n">
        <f aca="false">Inputs!$C$9-SUMIFS(Cash_Events!$G$6:$G$20,Cash_Events!$C$6:$C$20,"FHL",Cash_Events!$B$6:$B$20,"&lt;="&amp;A92)</f>
        <v>1500000</v>
      </c>
      <c r="J92" s="38" t="n">
        <f aca="false">VLOOKUP(A92,Inputs!$F$40:$G$48,2,TRUE())</f>
        <v>0.034199995543672</v>
      </c>
      <c r="K92" s="38" t="n">
        <f aca="false">J92+Inputs!$C$10</f>
        <v>0.101699995543672</v>
      </c>
      <c r="L92" s="37" t="n">
        <f aca="false">I92*K92/C92</f>
        <v>417.945187165775</v>
      </c>
      <c r="M92" s="37" t="n">
        <f aca="false">IF(AND(A92&gt;=Inputs!$C$13,OR(A92&lt;Inputs!$B$19,Inputs!$B$20=1)),I92*Inputs!$C$11/C92,0)</f>
        <v>0</v>
      </c>
    </row>
    <row r="93" customFormat="false" ht="15" hidden="false" customHeight="false" outlineLevel="0" collapsed="false">
      <c r="A93" s="35" t="n">
        <f aca="false">A92+1</f>
        <v>44900</v>
      </c>
      <c r="B93" s="35" t="n">
        <f aca="false">EOMONTH(A93+1,0)</f>
        <v>44926</v>
      </c>
      <c r="C93" s="36" t="n">
        <f aca="false">IF(MOD(YEAR(A93),4)=0,366,365)</f>
        <v>365</v>
      </c>
      <c r="D93" s="37" t="n">
        <f aca="false">Inputs!$B$9-SUMIFS(Cash_Events!$G$6:$G$20,Cash_Events!$C$6:$C$20,"rAGMF",Cash_Events!$B$6:$B$20,"&lt;="&amp;A93)</f>
        <v>1500000</v>
      </c>
      <c r="E93" s="38" t="n">
        <f aca="false">VLOOKUP(A93,Inputs!$A$40:$B$48,2,TRUE())</f>
        <v>0.034199997053407</v>
      </c>
      <c r="F93" s="38" t="n">
        <f aca="false">E93+Inputs!$B$10</f>
        <v>0.101699997053407</v>
      </c>
      <c r="G93" s="37" t="n">
        <f aca="false">D93*F93/C93</f>
        <v>417.945193370166</v>
      </c>
      <c r="H93" s="37" t="n">
        <f aca="false">IF(AND(A93&gt;=Inputs!$B$13,OR(A93&lt;Inputs!$B$19,Inputs!$B$20=1)),D93*Inputs!$B$11/C93,0)</f>
        <v>0</v>
      </c>
      <c r="I93" s="37" t="n">
        <f aca="false">Inputs!$C$9-SUMIFS(Cash_Events!$G$6:$G$20,Cash_Events!$C$6:$C$20,"FHL",Cash_Events!$B$6:$B$20,"&lt;="&amp;A93)</f>
        <v>1500000</v>
      </c>
      <c r="J93" s="38" t="n">
        <f aca="false">VLOOKUP(A93,Inputs!$F$40:$G$48,2,TRUE())</f>
        <v>0.034199995543672</v>
      </c>
      <c r="K93" s="38" t="n">
        <f aca="false">J93+Inputs!$C$10</f>
        <v>0.101699995543672</v>
      </c>
      <c r="L93" s="37" t="n">
        <f aca="false">I93*K93/C93</f>
        <v>417.945187165775</v>
      </c>
      <c r="M93" s="37" t="n">
        <f aca="false">IF(AND(A93&gt;=Inputs!$C$13,OR(A93&lt;Inputs!$B$19,Inputs!$B$20=1)),I93*Inputs!$C$11/C93,0)</f>
        <v>0</v>
      </c>
    </row>
    <row r="94" customFormat="false" ht="15" hidden="false" customHeight="false" outlineLevel="0" collapsed="false">
      <c r="A94" s="35" t="n">
        <f aca="false">A93+1</f>
        <v>44901</v>
      </c>
      <c r="B94" s="35" t="n">
        <f aca="false">EOMONTH(A94+1,0)</f>
        <v>44926</v>
      </c>
      <c r="C94" s="36" t="n">
        <f aca="false">IF(MOD(YEAR(A94),4)=0,366,365)</f>
        <v>365</v>
      </c>
      <c r="D94" s="37" t="n">
        <f aca="false">Inputs!$B$9-SUMIFS(Cash_Events!$G$6:$G$20,Cash_Events!$C$6:$C$20,"rAGMF",Cash_Events!$B$6:$B$20,"&lt;="&amp;A94)</f>
        <v>1500000</v>
      </c>
      <c r="E94" s="38" t="n">
        <f aca="false">VLOOKUP(A94,Inputs!$A$40:$B$48,2,TRUE())</f>
        <v>0.034199997053407</v>
      </c>
      <c r="F94" s="38" t="n">
        <f aca="false">E94+Inputs!$B$10</f>
        <v>0.101699997053407</v>
      </c>
      <c r="G94" s="37" t="n">
        <f aca="false">D94*F94/C94</f>
        <v>417.945193370166</v>
      </c>
      <c r="H94" s="37" t="n">
        <f aca="false">IF(AND(A94&gt;=Inputs!$B$13,OR(A94&lt;Inputs!$B$19,Inputs!$B$20=1)),D94*Inputs!$B$11/C94,0)</f>
        <v>0</v>
      </c>
      <c r="I94" s="37" t="n">
        <f aca="false">Inputs!$C$9-SUMIFS(Cash_Events!$G$6:$G$20,Cash_Events!$C$6:$C$20,"FHL",Cash_Events!$B$6:$B$20,"&lt;="&amp;A94)</f>
        <v>1500000</v>
      </c>
      <c r="J94" s="38" t="n">
        <f aca="false">VLOOKUP(A94,Inputs!$F$40:$G$48,2,TRUE())</f>
        <v>0.034199995543672</v>
      </c>
      <c r="K94" s="38" t="n">
        <f aca="false">J94+Inputs!$C$10</f>
        <v>0.101699995543672</v>
      </c>
      <c r="L94" s="37" t="n">
        <f aca="false">I94*K94/C94</f>
        <v>417.945187165775</v>
      </c>
      <c r="M94" s="37" t="n">
        <f aca="false">IF(AND(A94&gt;=Inputs!$C$13,OR(A94&lt;Inputs!$B$19,Inputs!$B$20=1)),I94*Inputs!$C$11/C94,0)</f>
        <v>0</v>
      </c>
    </row>
    <row r="95" customFormat="false" ht="15" hidden="false" customHeight="false" outlineLevel="0" collapsed="false">
      <c r="A95" s="35" t="n">
        <f aca="false">A94+1</f>
        <v>44902</v>
      </c>
      <c r="B95" s="35" t="n">
        <f aca="false">EOMONTH(A95+1,0)</f>
        <v>44926</v>
      </c>
      <c r="C95" s="36" t="n">
        <f aca="false">IF(MOD(YEAR(A95),4)=0,366,365)</f>
        <v>365</v>
      </c>
      <c r="D95" s="37" t="n">
        <f aca="false">Inputs!$B$9-SUMIFS(Cash_Events!$G$6:$G$20,Cash_Events!$C$6:$C$20,"rAGMF",Cash_Events!$B$6:$B$20,"&lt;="&amp;A95)</f>
        <v>1500000</v>
      </c>
      <c r="E95" s="38" t="n">
        <f aca="false">VLOOKUP(A95,Inputs!$A$40:$B$48,2,TRUE())</f>
        <v>0.034199997053407</v>
      </c>
      <c r="F95" s="38" t="n">
        <f aca="false">E95+Inputs!$B$10</f>
        <v>0.101699997053407</v>
      </c>
      <c r="G95" s="37" t="n">
        <f aca="false">D95*F95/C95</f>
        <v>417.945193370166</v>
      </c>
      <c r="H95" s="37" t="n">
        <f aca="false">IF(AND(A95&gt;=Inputs!$B$13,OR(A95&lt;Inputs!$B$19,Inputs!$B$20=1)),D95*Inputs!$B$11/C95,0)</f>
        <v>0</v>
      </c>
      <c r="I95" s="37" t="n">
        <f aca="false">Inputs!$C$9-SUMIFS(Cash_Events!$G$6:$G$20,Cash_Events!$C$6:$C$20,"FHL",Cash_Events!$B$6:$B$20,"&lt;="&amp;A95)</f>
        <v>1500000</v>
      </c>
      <c r="J95" s="38" t="n">
        <f aca="false">VLOOKUP(A95,Inputs!$F$40:$G$48,2,TRUE())</f>
        <v>0.034199995543672</v>
      </c>
      <c r="K95" s="38" t="n">
        <f aca="false">J95+Inputs!$C$10</f>
        <v>0.101699995543672</v>
      </c>
      <c r="L95" s="37" t="n">
        <f aca="false">I95*K95/C95</f>
        <v>417.945187165775</v>
      </c>
      <c r="M95" s="37" t="n">
        <f aca="false">IF(AND(A95&gt;=Inputs!$C$13,OR(A95&lt;Inputs!$B$19,Inputs!$B$20=1)),I95*Inputs!$C$11/C95,0)</f>
        <v>0</v>
      </c>
    </row>
    <row r="96" customFormat="false" ht="15" hidden="false" customHeight="false" outlineLevel="0" collapsed="false">
      <c r="A96" s="35" t="n">
        <f aca="false">A95+1</f>
        <v>44903</v>
      </c>
      <c r="B96" s="35" t="n">
        <f aca="false">EOMONTH(A96+1,0)</f>
        <v>44926</v>
      </c>
      <c r="C96" s="36" t="n">
        <f aca="false">IF(MOD(YEAR(A96),4)=0,366,365)</f>
        <v>365</v>
      </c>
      <c r="D96" s="37" t="n">
        <f aca="false">Inputs!$B$9-SUMIFS(Cash_Events!$G$6:$G$20,Cash_Events!$C$6:$C$20,"rAGMF",Cash_Events!$B$6:$B$20,"&lt;="&amp;A96)</f>
        <v>1500000</v>
      </c>
      <c r="E96" s="38" t="n">
        <f aca="false">VLOOKUP(A96,Inputs!$A$40:$B$48,2,TRUE())</f>
        <v>0.034199997053407</v>
      </c>
      <c r="F96" s="38" t="n">
        <f aca="false">E96+Inputs!$B$10</f>
        <v>0.101699997053407</v>
      </c>
      <c r="G96" s="37" t="n">
        <f aca="false">D96*F96/C96</f>
        <v>417.945193370166</v>
      </c>
      <c r="H96" s="37" t="n">
        <f aca="false">IF(AND(A96&gt;=Inputs!$B$13,OR(A96&lt;Inputs!$B$19,Inputs!$B$20=1)),D96*Inputs!$B$11/C96,0)</f>
        <v>0</v>
      </c>
      <c r="I96" s="37" t="n">
        <f aca="false">Inputs!$C$9-SUMIFS(Cash_Events!$G$6:$G$20,Cash_Events!$C$6:$C$20,"FHL",Cash_Events!$B$6:$B$20,"&lt;="&amp;A96)</f>
        <v>1500000</v>
      </c>
      <c r="J96" s="38" t="n">
        <f aca="false">VLOOKUP(A96,Inputs!$F$40:$G$48,2,TRUE())</f>
        <v>0.034199995543672</v>
      </c>
      <c r="K96" s="38" t="n">
        <f aca="false">J96+Inputs!$C$10</f>
        <v>0.101699995543672</v>
      </c>
      <c r="L96" s="37" t="n">
        <f aca="false">I96*K96/C96</f>
        <v>417.945187165775</v>
      </c>
      <c r="M96" s="37" t="n">
        <f aca="false">IF(AND(A96&gt;=Inputs!$C$13,OR(A96&lt;Inputs!$B$19,Inputs!$B$20=1)),I96*Inputs!$C$11/C96,0)</f>
        <v>0</v>
      </c>
    </row>
    <row r="97" customFormat="false" ht="15" hidden="false" customHeight="false" outlineLevel="0" collapsed="false">
      <c r="A97" s="35" t="n">
        <f aca="false">A96+1</f>
        <v>44904</v>
      </c>
      <c r="B97" s="35" t="n">
        <f aca="false">EOMONTH(A97+1,0)</f>
        <v>44926</v>
      </c>
      <c r="C97" s="36" t="n">
        <f aca="false">IF(MOD(YEAR(A97),4)=0,366,365)</f>
        <v>365</v>
      </c>
      <c r="D97" s="37" t="n">
        <f aca="false">Inputs!$B$9-SUMIFS(Cash_Events!$G$6:$G$20,Cash_Events!$C$6:$C$20,"rAGMF",Cash_Events!$B$6:$B$20,"&lt;="&amp;A97)</f>
        <v>1500000</v>
      </c>
      <c r="E97" s="38" t="n">
        <f aca="false">VLOOKUP(A97,Inputs!$A$40:$B$48,2,TRUE())</f>
        <v>0.034199997053407</v>
      </c>
      <c r="F97" s="38" t="n">
        <f aca="false">E97+Inputs!$B$10</f>
        <v>0.101699997053407</v>
      </c>
      <c r="G97" s="37" t="n">
        <f aca="false">D97*F97/C97</f>
        <v>417.945193370166</v>
      </c>
      <c r="H97" s="37" t="n">
        <f aca="false">IF(AND(A97&gt;=Inputs!$B$13,OR(A97&lt;Inputs!$B$19,Inputs!$B$20=1)),D97*Inputs!$B$11/C97,0)</f>
        <v>0</v>
      </c>
      <c r="I97" s="37" t="n">
        <f aca="false">Inputs!$C$9-SUMIFS(Cash_Events!$G$6:$G$20,Cash_Events!$C$6:$C$20,"FHL",Cash_Events!$B$6:$B$20,"&lt;="&amp;A97)</f>
        <v>1500000</v>
      </c>
      <c r="J97" s="38" t="n">
        <f aca="false">VLOOKUP(A97,Inputs!$F$40:$G$48,2,TRUE())</f>
        <v>0.034199995543672</v>
      </c>
      <c r="K97" s="38" t="n">
        <f aca="false">J97+Inputs!$C$10</f>
        <v>0.101699995543672</v>
      </c>
      <c r="L97" s="37" t="n">
        <f aca="false">I97*K97/C97</f>
        <v>417.945187165775</v>
      </c>
      <c r="M97" s="37" t="n">
        <f aca="false">IF(AND(A97&gt;=Inputs!$C$13,OR(A97&lt;Inputs!$B$19,Inputs!$B$20=1)),I97*Inputs!$C$11/C97,0)</f>
        <v>0</v>
      </c>
    </row>
    <row r="98" customFormat="false" ht="15" hidden="false" customHeight="false" outlineLevel="0" collapsed="false">
      <c r="A98" s="35" t="n">
        <f aca="false">A97+1</f>
        <v>44905</v>
      </c>
      <c r="B98" s="35" t="n">
        <f aca="false">EOMONTH(A98+1,0)</f>
        <v>44926</v>
      </c>
      <c r="C98" s="36" t="n">
        <f aca="false">IF(MOD(YEAR(A98),4)=0,366,365)</f>
        <v>365</v>
      </c>
      <c r="D98" s="37" t="n">
        <f aca="false">Inputs!$B$9-SUMIFS(Cash_Events!$G$6:$G$20,Cash_Events!$C$6:$C$20,"rAGMF",Cash_Events!$B$6:$B$20,"&lt;="&amp;A98)</f>
        <v>1500000</v>
      </c>
      <c r="E98" s="38" t="n">
        <f aca="false">VLOOKUP(A98,Inputs!$A$40:$B$48,2,TRUE())</f>
        <v>0.034199997053407</v>
      </c>
      <c r="F98" s="38" t="n">
        <f aca="false">E98+Inputs!$B$10</f>
        <v>0.101699997053407</v>
      </c>
      <c r="G98" s="37" t="n">
        <f aca="false">D98*F98/C98</f>
        <v>417.945193370166</v>
      </c>
      <c r="H98" s="37" t="n">
        <f aca="false">IF(AND(A98&gt;=Inputs!$B$13,OR(A98&lt;Inputs!$B$19,Inputs!$B$20=1)),D98*Inputs!$B$11/C98,0)</f>
        <v>0</v>
      </c>
      <c r="I98" s="37" t="n">
        <f aca="false">Inputs!$C$9-SUMIFS(Cash_Events!$G$6:$G$20,Cash_Events!$C$6:$C$20,"FHL",Cash_Events!$B$6:$B$20,"&lt;="&amp;A98)</f>
        <v>1500000</v>
      </c>
      <c r="J98" s="38" t="n">
        <f aca="false">VLOOKUP(A98,Inputs!$F$40:$G$48,2,TRUE())</f>
        <v>0.034199995543672</v>
      </c>
      <c r="K98" s="38" t="n">
        <f aca="false">J98+Inputs!$C$10</f>
        <v>0.101699995543672</v>
      </c>
      <c r="L98" s="37" t="n">
        <f aca="false">I98*K98/C98</f>
        <v>417.945187165775</v>
      </c>
      <c r="M98" s="37" t="n">
        <f aca="false">IF(AND(A98&gt;=Inputs!$C$13,OR(A98&lt;Inputs!$B$19,Inputs!$B$20=1)),I98*Inputs!$C$11/C98,0)</f>
        <v>0</v>
      </c>
    </row>
    <row r="99" customFormat="false" ht="15" hidden="false" customHeight="false" outlineLevel="0" collapsed="false">
      <c r="A99" s="35" t="n">
        <f aca="false">A98+1</f>
        <v>44906</v>
      </c>
      <c r="B99" s="35" t="n">
        <f aca="false">EOMONTH(A99+1,0)</f>
        <v>44926</v>
      </c>
      <c r="C99" s="36" t="n">
        <f aca="false">IF(MOD(YEAR(A99),4)=0,366,365)</f>
        <v>365</v>
      </c>
      <c r="D99" s="37" t="n">
        <f aca="false">Inputs!$B$9-SUMIFS(Cash_Events!$G$6:$G$20,Cash_Events!$C$6:$C$20,"rAGMF",Cash_Events!$B$6:$B$20,"&lt;="&amp;A99)</f>
        <v>1500000</v>
      </c>
      <c r="E99" s="38" t="n">
        <f aca="false">VLOOKUP(A99,Inputs!$A$40:$B$48,2,TRUE())</f>
        <v>0.034199997053407</v>
      </c>
      <c r="F99" s="38" t="n">
        <f aca="false">E99+Inputs!$B$10</f>
        <v>0.101699997053407</v>
      </c>
      <c r="G99" s="37" t="n">
        <f aca="false">D99*F99/C99</f>
        <v>417.945193370166</v>
      </c>
      <c r="H99" s="37" t="n">
        <f aca="false">IF(AND(A99&gt;=Inputs!$B$13,OR(A99&lt;Inputs!$B$19,Inputs!$B$20=1)),D99*Inputs!$B$11/C99,0)</f>
        <v>0</v>
      </c>
      <c r="I99" s="37" t="n">
        <f aca="false">Inputs!$C$9-SUMIFS(Cash_Events!$G$6:$G$20,Cash_Events!$C$6:$C$20,"FHL",Cash_Events!$B$6:$B$20,"&lt;="&amp;A99)</f>
        <v>1500000</v>
      </c>
      <c r="J99" s="38" t="n">
        <f aca="false">VLOOKUP(A99,Inputs!$F$40:$G$48,2,TRUE())</f>
        <v>0.034199995543672</v>
      </c>
      <c r="K99" s="38" t="n">
        <f aca="false">J99+Inputs!$C$10</f>
        <v>0.101699995543672</v>
      </c>
      <c r="L99" s="37" t="n">
        <f aca="false">I99*K99/C99</f>
        <v>417.945187165775</v>
      </c>
      <c r="M99" s="37" t="n">
        <f aca="false">IF(AND(A99&gt;=Inputs!$C$13,OR(A99&lt;Inputs!$B$19,Inputs!$B$20=1)),I99*Inputs!$C$11/C99,0)</f>
        <v>0</v>
      </c>
    </row>
    <row r="100" customFormat="false" ht="15" hidden="false" customHeight="false" outlineLevel="0" collapsed="false">
      <c r="A100" s="35" t="n">
        <f aca="false">A99+1</f>
        <v>44907</v>
      </c>
      <c r="B100" s="35" t="n">
        <f aca="false">EOMONTH(A100+1,0)</f>
        <v>44926</v>
      </c>
      <c r="C100" s="36" t="n">
        <f aca="false">IF(MOD(YEAR(A100),4)=0,366,365)</f>
        <v>365</v>
      </c>
      <c r="D100" s="37" t="n">
        <f aca="false">Inputs!$B$9-SUMIFS(Cash_Events!$G$6:$G$20,Cash_Events!$C$6:$C$20,"rAGMF",Cash_Events!$B$6:$B$20,"&lt;="&amp;A100)</f>
        <v>1500000</v>
      </c>
      <c r="E100" s="38" t="n">
        <f aca="false">VLOOKUP(A100,Inputs!$A$40:$B$48,2,TRUE())</f>
        <v>0.034199997053407</v>
      </c>
      <c r="F100" s="38" t="n">
        <f aca="false">E100+Inputs!$B$10</f>
        <v>0.101699997053407</v>
      </c>
      <c r="G100" s="37" t="n">
        <f aca="false">D100*F100/C100</f>
        <v>417.945193370166</v>
      </c>
      <c r="H100" s="37" t="n">
        <f aca="false">IF(AND(A100&gt;=Inputs!$B$13,OR(A100&lt;Inputs!$B$19,Inputs!$B$20=1)),D100*Inputs!$B$11/C100,0)</f>
        <v>0</v>
      </c>
      <c r="I100" s="37" t="n">
        <f aca="false">Inputs!$C$9-SUMIFS(Cash_Events!$G$6:$G$20,Cash_Events!$C$6:$C$20,"FHL",Cash_Events!$B$6:$B$20,"&lt;="&amp;A100)</f>
        <v>1500000</v>
      </c>
      <c r="J100" s="38" t="n">
        <f aca="false">VLOOKUP(A100,Inputs!$F$40:$G$48,2,TRUE())</f>
        <v>0.034199995543672</v>
      </c>
      <c r="K100" s="38" t="n">
        <f aca="false">J100+Inputs!$C$10</f>
        <v>0.101699995543672</v>
      </c>
      <c r="L100" s="37" t="n">
        <f aca="false">I100*K100/C100</f>
        <v>417.945187165775</v>
      </c>
      <c r="M100" s="37" t="n">
        <f aca="false">IF(AND(A100&gt;=Inputs!$C$13,OR(A100&lt;Inputs!$B$19,Inputs!$B$20=1)),I100*Inputs!$C$11/C100,0)</f>
        <v>0</v>
      </c>
    </row>
    <row r="101" customFormat="false" ht="15" hidden="false" customHeight="false" outlineLevel="0" collapsed="false">
      <c r="A101" s="35" t="n">
        <f aca="false">A100+1</f>
        <v>44908</v>
      </c>
      <c r="B101" s="35" t="n">
        <f aca="false">EOMONTH(A101+1,0)</f>
        <v>44926</v>
      </c>
      <c r="C101" s="36" t="n">
        <f aca="false">IF(MOD(YEAR(A101),4)=0,366,365)</f>
        <v>365</v>
      </c>
      <c r="D101" s="37" t="n">
        <f aca="false">Inputs!$B$9-SUMIFS(Cash_Events!$G$6:$G$20,Cash_Events!$C$6:$C$20,"rAGMF",Cash_Events!$B$6:$B$20,"&lt;="&amp;A101)</f>
        <v>1500000</v>
      </c>
      <c r="E101" s="38" t="n">
        <f aca="false">VLOOKUP(A101,Inputs!$A$40:$B$48,2,TRUE())</f>
        <v>0.034199997053407</v>
      </c>
      <c r="F101" s="38" t="n">
        <f aca="false">E101+Inputs!$B$10</f>
        <v>0.101699997053407</v>
      </c>
      <c r="G101" s="37" t="n">
        <f aca="false">D101*F101/C101</f>
        <v>417.945193370166</v>
      </c>
      <c r="H101" s="37" t="n">
        <f aca="false">IF(AND(A101&gt;=Inputs!$B$13,OR(A101&lt;Inputs!$B$19,Inputs!$B$20=1)),D101*Inputs!$B$11/C101,0)</f>
        <v>0</v>
      </c>
      <c r="I101" s="37" t="n">
        <f aca="false">Inputs!$C$9-SUMIFS(Cash_Events!$G$6:$G$20,Cash_Events!$C$6:$C$20,"FHL",Cash_Events!$B$6:$B$20,"&lt;="&amp;A101)</f>
        <v>1500000</v>
      </c>
      <c r="J101" s="38" t="n">
        <f aca="false">VLOOKUP(A101,Inputs!$F$40:$G$48,2,TRUE())</f>
        <v>0.034199995543672</v>
      </c>
      <c r="K101" s="38" t="n">
        <f aca="false">J101+Inputs!$C$10</f>
        <v>0.101699995543672</v>
      </c>
      <c r="L101" s="37" t="n">
        <f aca="false">I101*K101/C101</f>
        <v>417.945187165775</v>
      </c>
      <c r="M101" s="37" t="n">
        <f aca="false">IF(AND(A101&gt;=Inputs!$C$13,OR(A101&lt;Inputs!$B$19,Inputs!$B$20=1)),I101*Inputs!$C$11/C101,0)</f>
        <v>0</v>
      </c>
    </row>
    <row r="102" customFormat="false" ht="15" hidden="false" customHeight="false" outlineLevel="0" collapsed="false">
      <c r="A102" s="35" t="n">
        <f aca="false">A101+1</f>
        <v>44909</v>
      </c>
      <c r="B102" s="35" t="n">
        <f aca="false">EOMONTH(A102+1,0)</f>
        <v>44926</v>
      </c>
      <c r="C102" s="36" t="n">
        <f aca="false">IF(MOD(YEAR(A102),4)=0,366,365)</f>
        <v>365</v>
      </c>
      <c r="D102" s="37" t="n">
        <f aca="false">Inputs!$B$9-SUMIFS(Cash_Events!$G$6:$G$20,Cash_Events!$C$6:$C$20,"rAGMF",Cash_Events!$B$6:$B$20,"&lt;="&amp;A102)</f>
        <v>1500000</v>
      </c>
      <c r="E102" s="38" t="n">
        <f aca="false">VLOOKUP(A102,Inputs!$A$40:$B$48,2,TRUE())</f>
        <v>0.034199997053407</v>
      </c>
      <c r="F102" s="38" t="n">
        <f aca="false">E102+Inputs!$B$10</f>
        <v>0.101699997053407</v>
      </c>
      <c r="G102" s="37" t="n">
        <f aca="false">D102*F102/C102</f>
        <v>417.945193370166</v>
      </c>
      <c r="H102" s="37" t="n">
        <f aca="false">IF(AND(A102&gt;=Inputs!$B$13,OR(A102&lt;Inputs!$B$19,Inputs!$B$20=1)),D102*Inputs!$B$11/C102,0)</f>
        <v>0</v>
      </c>
      <c r="I102" s="37" t="n">
        <f aca="false">Inputs!$C$9-SUMIFS(Cash_Events!$G$6:$G$20,Cash_Events!$C$6:$C$20,"FHL",Cash_Events!$B$6:$B$20,"&lt;="&amp;A102)</f>
        <v>1500000</v>
      </c>
      <c r="J102" s="38" t="n">
        <f aca="false">VLOOKUP(A102,Inputs!$F$40:$G$48,2,TRUE())</f>
        <v>0.034199995543672</v>
      </c>
      <c r="K102" s="38" t="n">
        <f aca="false">J102+Inputs!$C$10</f>
        <v>0.101699995543672</v>
      </c>
      <c r="L102" s="37" t="n">
        <f aca="false">I102*K102/C102</f>
        <v>417.945187165775</v>
      </c>
      <c r="M102" s="37" t="n">
        <f aca="false">IF(AND(A102&gt;=Inputs!$C$13,OR(A102&lt;Inputs!$B$19,Inputs!$B$20=1)),I102*Inputs!$C$11/C102,0)</f>
        <v>0</v>
      </c>
    </row>
    <row r="103" customFormat="false" ht="15" hidden="false" customHeight="false" outlineLevel="0" collapsed="false">
      <c r="A103" s="35" t="n">
        <f aca="false">A102+1</f>
        <v>44910</v>
      </c>
      <c r="B103" s="35" t="n">
        <f aca="false">EOMONTH(A103+1,0)</f>
        <v>44926</v>
      </c>
      <c r="C103" s="36" t="n">
        <f aca="false">IF(MOD(YEAR(A103),4)=0,366,365)</f>
        <v>365</v>
      </c>
      <c r="D103" s="37" t="n">
        <f aca="false">Inputs!$B$9-SUMIFS(Cash_Events!$G$6:$G$20,Cash_Events!$C$6:$C$20,"rAGMF",Cash_Events!$B$6:$B$20,"&lt;="&amp;A103)</f>
        <v>1500000</v>
      </c>
      <c r="E103" s="38" t="n">
        <f aca="false">VLOOKUP(A103,Inputs!$A$40:$B$48,2,TRUE())</f>
        <v>0.034199997053407</v>
      </c>
      <c r="F103" s="38" t="n">
        <f aca="false">E103+Inputs!$B$10</f>
        <v>0.101699997053407</v>
      </c>
      <c r="G103" s="37" t="n">
        <f aca="false">D103*F103/C103</f>
        <v>417.945193370166</v>
      </c>
      <c r="H103" s="37" t="n">
        <f aca="false">IF(AND(A103&gt;=Inputs!$B$13,OR(A103&lt;Inputs!$B$19,Inputs!$B$20=1)),D103*Inputs!$B$11/C103,0)</f>
        <v>0</v>
      </c>
      <c r="I103" s="37" t="n">
        <f aca="false">Inputs!$C$9-SUMIFS(Cash_Events!$G$6:$G$20,Cash_Events!$C$6:$C$20,"FHL",Cash_Events!$B$6:$B$20,"&lt;="&amp;A103)</f>
        <v>1500000</v>
      </c>
      <c r="J103" s="38" t="n">
        <f aca="false">VLOOKUP(A103,Inputs!$F$40:$G$48,2,TRUE())</f>
        <v>0.034199995543672</v>
      </c>
      <c r="K103" s="38" t="n">
        <f aca="false">J103+Inputs!$C$10</f>
        <v>0.101699995543672</v>
      </c>
      <c r="L103" s="37" t="n">
        <f aca="false">I103*K103/C103</f>
        <v>417.945187165775</v>
      </c>
      <c r="M103" s="37" t="n">
        <f aca="false">IF(AND(A103&gt;=Inputs!$C$13,OR(A103&lt;Inputs!$B$19,Inputs!$B$20=1)),I103*Inputs!$C$11/C103,0)</f>
        <v>0</v>
      </c>
    </row>
    <row r="104" customFormat="false" ht="15" hidden="false" customHeight="false" outlineLevel="0" collapsed="false">
      <c r="A104" s="35" t="n">
        <f aca="false">A103+1</f>
        <v>44911</v>
      </c>
      <c r="B104" s="35" t="n">
        <f aca="false">EOMONTH(A104+1,0)</f>
        <v>44926</v>
      </c>
      <c r="C104" s="36" t="n">
        <f aca="false">IF(MOD(YEAR(A104),4)=0,366,365)</f>
        <v>365</v>
      </c>
      <c r="D104" s="37" t="n">
        <f aca="false">Inputs!$B$9-SUMIFS(Cash_Events!$G$6:$G$20,Cash_Events!$C$6:$C$20,"rAGMF",Cash_Events!$B$6:$B$20,"&lt;="&amp;A104)</f>
        <v>1500000</v>
      </c>
      <c r="E104" s="38" t="n">
        <f aca="false">VLOOKUP(A104,Inputs!$A$40:$B$48,2,TRUE())</f>
        <v>0.034199997053407</v>
      </c>
      <c r="F104" s="38" t="n">
        <f aca="false">E104+Inputs!$B$10</f>
        <v>0.101699997053407</v>
      </c>
      <c r="G104" s="37" t="n">
        <f aca="false">D104*F104/C104</f>
        <v>417.945193370166</v>
      </c>
      <c r="H104" s="37" t="n">
        <f aca="false">IF(AND(A104&gt;=Inputs!$B$13,OR(A104&lt;Inputs!$B$19,Inputs!$B$20=1)),D104*Inputs!$B$11/C104,0)</f>
        <v>0</v>
      </c>
      <c r="I104" s="37" t="n">
        <f aca="false">Inputs!$C$9-SUMIFS(Cash_Events!$G$6:$G$20,Cash_Events!$C$6:$C$20,"FHL",Cash_Events!$B$6:$B$20,"&lt;="&amp;A104)</f>
        <v>1500000</v>
      </c>
      <c r="J104" s="38" t="n">
        <f aca="false">VLOOKUP(A104,Inputs!$F$40:$G$48,2,TRUE())</f>
        <v>0.034199995543672</v>
      </c>
      <c r="K104" s="38" t="n">
        <f aca="false">J104+Inputs!$C$10</f>
        <v>0.101699995543672</v>
      </c>
      <c r="L104" s="37" t="n">
        <f aca="false">I104*K104/C104</f>
        <v>417.945187165775</v>
      </c>
      <c r="M104" s="37" t="n">
        <f aca="false">IF(AND(A104&gt;=Inputs!$C$13,OR(A104&lt;Inputs!$B$19,Inputs!$B$20=1)),I104*Inputs!$C$11/C104,0)</f>
        <v>0</v>
      </c>
    </row>
    <row r="105" customFormat="false" ht="15" hidden="false" customHeight="false" outlineLevel="0" collapsed="false">
      <c r="A105" s="35" t="n">
        <f aca="false">A104+1</f>
        <v>44912</v>
      </c>
      <c r="B105" s="35" t="n">
        <f aca="false">EOMONTH(A105+1,0)</f>
        <v>44926</v>
      </c>
      <c r="C105" s="36" t="n">
        <f aca="false">IF(MOD(YEAR(A105),4)=0,366,365)</f>
        <v>365</v>
      </c>
      <c r="D105" s="37" t="n">
        <f aca="false">Inputs!$B$9-SUMIFS(Cash_Events!$G$6:$G$20,Cash_Events!$C$6:$C$20,"rAGMF",Cash_Events!$B$6:$B$20,"&lt;="&amp;A105)</f>
        <v>1500000</v>
      </c>
      <c r="E105" s="38" t="n">
        <f aca="false">VLOOKUP(A105,Inputs!$A$40:$B$48,2,TRUE())</f>
        <v>0.034199997053407</v>
      </c>
      <c r="F105" s="38" t="n">
        <f aca="false">E105+Inputs!$B$10</f>
        <v>0.101699997053407</v>
      </c>
      <c r="G105" s="37" t="n">
        <f aca="false">D105*F105/C105</f>
        <v>417.945193370166</v>
      </c>
      <c r="H105" s="37" t="n">
        <f aca="false">IF(AND(A105&gt;=Inputs!$B$13,OR(A105&lt;Inputs!$B$19,Inputs!$B$20=1)),D105*Inputs!$B$11/C105,0)</f>
        <v>0</v>
      </c>
      <c r="I105" s="37" t="n">
        <f aca="false">Inputs!$C$9-SUMIFS(Cash_Events!$G$6:$G$20,Cash_Events!$C$6:$C$20,"FHL",Cash_Events!$B$6:$B$20,"&lt;="&amp;A105)</f>
        <v>1500000</v>
      </c>
      <c r="J105" s="38" t="n">
        <f aca="false">VLOOKUP(A105,Inputs!$F$40:$G$48,2,TRUE())</f>
        <v>0.034199995543672</v>
      </c>
      <c r="K105" s="38" t="n">
        <f aca="false">J105+Inputs!$C$10</f>
        <v>0.101699995543672</v>
      </c>
      <c r="L105" s="37" t="n">
        <f aca="false">I105*K105/C105</f>
        <v>417.945187165775</v>
      </c>
      <c r="M105" s="37" t="n">
        <f aca="false">IF(AND(A105&gt;=Inputs!$C$13,OR(A105&lt;Inputs!$B$19,Inputs!$B$20=1)),I105*Inputs!$C$11/C105,0)</f>
        <v>0</v>
      </c>
    </row>
    <row r="106" customFormat="false" ht="15" hidden="false" customHeight="false" outlineLevel="0" collapsed="false">
      <c r="A106" s="35" t="n">
        <f aca="false">A105+1</f>
        <v>44913</v>
      </c>
      <c r="B106" s="35" t="n">
        <f aca="false">EOMONTH(A106+1,0)</f>
        <v>44926</v>
      </c>
      <c r="C106" s="36" t="n">
        <f aca="false">IF(MOD(YEAR(A106),4)=0,366,365)</f>
        <v>365</v>
      </c>
      <c r="D106" s="37" t="n">
        <f aca="false">Inputs!$B$9-SUMIFS(Cash_Events!$G$6:$G$20,Cash_Events!$C$6:$C$20,"rAGMF",Cash_Events!$B$6:$B$20,"&lt;="&amp;A106)</f>
        <v>1500000</v>
      </c>
      <c r="E106" s="38" t="n">
        <f aca="false">VLOOKUP(A106,Inputs!$A$40:$B$48,2,TRUE())</f>
        <v>0.034199997053407</v>
      </c>
      <c r="F106" s="38" t="n">
        <f aca="false">E106+Inputs!$B$10</f>
        <v>0.101699997053407</v>
      </c>
      <c r="G106" s="37" t="n">
        <f aca="false">D106*F106/C106</f>
        <v>417.945193370166</v>
      </c>
      <c r="H106" s="37" t="n">
        <f aca="false">IF(AND(A106&gt;=Inputs!$B$13,OR(A106&lt;Inputs!$B$19,Inputs!$B$20=1)),D106*Inputs!$B$11/C106,0)</f>
        <v>0</v>
      </c>
      <c r="I106" s="37" t="n">
        <f aca="false">Inputs!$C$9-SUMIFS(Cash_Events!$G$6:$G$20,Cash_Events!$C$6:$C$20,"FHL",Cash_Events!$B$6:$B$20,"&lt;="&amp;A106)</f>
        <v>1500000</v>
      </c>
      <c r="J106" s="38" t="n">
        <f aca="false">VLOOKUP(A106,Inputs!$F$40:$G$48,2,TRUE())</f>
        <v>0.034199995543672</v>
      </c>
      <c r="K106" s="38" t="n">
        <f aca="false">J106+Inputs!$C$10</f>
        <v>0.101699995543672</v>
      </c>
      <c r="L106" s="37" t="n">
        <f aca="false">I106*K106/C106</f>
        <v>417.945187165775</v>
      </c>
      <c r="M106" s="37" t="n">
        <f aca="false">IF(AND(A106&gt;=Inputs!$C$13,OR(A106&lt;Inputs!$B$19,Inputs!$B$20=1)),I106*Inputs!$C$11/C106,0)</f>
        <v>0</v>
      </c>
    </row>
    <row r="107" customFormat="false" ht="15" hidden="false" customHeight="false" outlineLevel="0" collapsed="false">
      <c r="A107" s="35" t="n">
        <f aca="false">A106+1</f>
        <v>44914</v>
      </c>
      <c r="B107" s="35" t="n">
        <f aca="false">EOMONTH(A107+1,0)</f>
        <v>44926</v>
      </c>
      <c r="C107" s="36" t="n">
        <f aca="false">IF(MOD(YEAR(A107),4)=0,366,365)</f>
        <v>365</v>
      </c>
      <c r="D107" s="37" t="n">
        <f aca="false">Inputs!$B$9-SUMIFS(Cash_Events!$G$6:$G$20,Cash_Events!$C$6:$C$20,"rAGMF",Cash_Events!$B$6:$B$20,"&lt;="&amp;A107)</f>
        <v>1500000</v>
      </c>
      <c r="E107" s="38" t="n">
        <f aca="false">VLOOKUP(A107,Inputs!$A$40:$B$48,2,TRUE())</f>
        <v>0.034199997053407</v>
      </c>
      <c r="F107" s="38" t="n">
        <f aca="false">E107+Inputs!$B$10</f>
        <v>0.101699997053407</v>
      </c>
      <c r="G107" s="37" t="n">
        <f aca="false">D107*F107/C107</f>
        <v>417.945193370166</v>
      </c>
      <c r="H107" s="37" t="n">
        <f aca="false">IF(AND(A107&gt;=Inputs!$B$13,OR(A107&lt;Inputs!$B$19,Inputs!$B$20=1)),D107*Inputs!$B$11/C107,0)</f>
        <v>0</v>
      </c>
      <c r="I107" s="37" t="n">
        <f aca="false">Inputs!$C$9-SUMIFS(Cash_Events!$G$6:$G$20,Cash_Events!$C$6:$C$20,"FHL",Cash_Events!$B$6:$B$20,"&lt;="&amp;A107)</f>
        <v>1500000</v>
      </c>
      <c r="J107" s="38" t="n">
        <f aca="false">VLOOKUP(A107,Inputs!$F$40:$G$48,2,TRUE())</f>
        <v>0.034199995543672</v>
      </c>
      <c r="K107" s="38" t="n">
        <f aca="false">J107+Inputs!$C$10</f>
        <v>0.101699995543672</v>
      </c>
      <c r="L107" s="37" t="n">
        <f aca="false">I107*K107/C107</f>
        <v>417.945187165775</v>
      </c>
      <c r="M107" s="37" t="n">
        <f aca="false">IF(AND(A107&gt;=Inputs!$C$13,OR(A107&lt;Inputs!$B$19,Inputs!$B$20=1)),I107*Inputs!$C$11/C107,0)</f>
        <v>0</v>
      </c>
    </row>
    <row r="108" customFormat="false" ht="15" hidden="false" customHeight="false" outlineLevel="0" collapsed="false">
      <c r="A108" s="35" t="n">
        <f aca="false">A107+1</f>
        <v>44915</v>
      </c>
      <c r="B108" s="35" t="n">
        <f aca="false">EOMONTH(A108+1,0)</f>
        <v>44926</v>
      </c>
      <c r="C108" s="36" t="n">
        <f aca="false">IF(MOD(YEAR(A108),4)=0,366,365)</f>
        <v>365</v>
      </c>
      <c r="D108" s="37" t="n">
        <f aca="false">Inputs!$B$9-SUMIFS(Cash_Events!$G$6:$G$20,Cash_Events!$C$6:$C$20,"rAGMF",Cash_Events!$B$6:$B$20,"&lt;="&amp;A108)</f>
        <v>1500000</v>
      </c>
      <c r="E108" s="38" t="n">
        <f aca="false">VLOOKUP(A108,Inputs!$A$40:$B$48,2,TRUE())</f>
        <v>0.034199997053407</v>
      </c>
      <c r="F108" s="38" t="n">
        <f aca="false">E108+Inputs!$B$10</f>
        <v>0.101699997053407</v>
      </c>
      <c r="G108" s="37" t="n">
        <f aca="false">D108*F108/C108</f>
        <v>417.945193370166</v>
      </c>
      <c r="H108" s="37" t="n">
        <f aca="false">IF(AND(A108&gt;=Inputs!$B$13,OR(A108&lt;Inputs!$B$19,Inputs!$B$20=1)),D108*Inputs!$B$11/C108,0)</f>
        <v>0</v>
      </c>
      <c r="I108" s="37" t="n">
        <f aca="false">Inputs!$C$9-SUMIFS(Cash_Events!$G$6:$G$20,Cash_Events!$C$6:$C$20,"FHL",Cash_Events!$B$6:$B$20,"&lt;="&amp;A108)</f>
        <v>1500000</v>
      </c>
      <c r="J108" s="38" t="n">
        <f aca="false">VLOOKUP(A108,Inputs!$F$40:$G$48,2,TRUE())</f>
        <v>0.034199995543672</v>
      </c>
      <c r="K108" s="38" t="n">
        <f aca="false">J108+Inputs!$C$10</f>
        <v>0.101699995543672</v>
      </c>
      <c r="L108" s="37" t="n">
        <f aca="false">I108*K108/C108</f>
        <v>417.945187165775</v>
      </c>
      <c r="M108" s="37" t="n">
        <f aca="false">IF(AND(A108&gt;=Inputs!$C$13,OR(A108&lt;Inputs!$B$19,Inputs!$B$20=1)),I108*Inputs!$C$11/C108,0)</f>
        <v>0</v>
      </c>
    </row>
    <row r="109" customFormat="false" ht="15" hidden="false" customHeight="false" outlineLevel="0" collapsed="false">
      <c r="A109" s="35" t="n">
        <f aca="false">A108+1</f>
        <v>44916</v>
      </c>
      <c r="B109" s="35" t="n">
        <f aca="false">EOMONTH(A109+1,0)</f>
        <v>44926</v>
      </c>
      <c r="C109" s="36" t="n">
        <f aca="false">IF(MOD(YEAR(A109),4)=0,366,365)</f>
        <v>365</v>
      </c>
      <c r="D109" s="37" t="n">
        <f aca="false">Inputs!$B$9-SUMIFS(Cash_Events!$G$6:$G$20,Cash_Events!$C$6:$C$20,"rAGMF",Cash_Events!$B$6:$B$20,"&lt;="&amp;A109)</f>
        <v>1500000</v>
      </c>
      <c r="E109" s="38" t="n">
        <f aca="false">VLOOKUP(A109,Inputs!$A$40:$B$48,2,TRUE())</f>
        <v>0.034199997053407</v>
      </c>
      <c r="F109" s="38" t="n">
        <f aca="false">E109+Inputs!$B$10</f>
        <v>0.101699997053407</v>
      </c>
      <c r="G109" s="37" t="n">
        <f aca="false">D109*F109/C109</f>
        <v>417.945193370166</v>
      </c>
      <c r="H109" s="37" t="n">
        <f aca="false">IF(AND(A109&gt;=Inputs!$B$13,OR(A109&lt;Inputs!$B$19,Inputs!$B$20=1)),D109*Inputs!$B$11/C109,0)</f>
        <v>0</v>
      </c>
      <c r="I109" s="37" t="n">
        <f aca="false">Inputs!$C$9-SUMIFS(Cash_Events!$G$6:$G$20,Cash_Events!$C$6:$C$20,"FHL",Cash_Events!$B$6:$B$20,"&lt;="&amp;A109)</f>
        <v>1500000</v>
      </c>
      <c r="J109" s="38" t="n">
        <f aca="false">VLOOKUP(A109,Inputs!$F$40:$G$48,2,TRUE())</f>
        <v>0.034199995543672</v>
      </c>
      <c r="K109" s="38" t="n">
        <f aca="false">J109+Inputs!$C$10</f>
        <v>0.101699995543672</v>
      </c>
      <c r="L109" s="37" t="n">
        <f aca="false">I109*K109/C109</f>
        <v>417.945187165775</v>
      </c>
      <c r="M109" s="37" t="n">
        <f aca="false">IF(AND(A109&gt;=Inputs!$C$13,OR(A109&lt;Inputs!$B$19,Inputs!$B$20=1)),I109*Inputs!$C$11/C109,0)</f>
        <v>0</v>
      </c>
    </row>
    <row r="110" customFormat="false" ht="15" hidden="false" customHeight="false" outlineLevel="0" collapsed="false">
      <c r="A110" s="35" t="n">
        <f aca="false">A109+1</f>
        <v>44917</v>
      </c>
      <c r="B110" s="35" t="n">
        <f aca="false">EOMONTH(A110+1,0)</f>
        <v>44926</v>
      </c>
      <c r="C110" s="36" t="n">
        <f aca="false">IF(MOD(YEAR(A110),4)=0,366,365)</f>
        <v>365</v>
      </c>
      <c r="D110" s="37" t="n">
        <f aca="false">Inputs!$B$9-SUMIFS(Cash_Events!$G$6:$G$20,Cash_Events!$C$6:$C$20,"rAGMF",Cash_Events!$B$6:$B$20,"&lt;="&amp;A110)</f>
        <v>1500000</v>
      </c>
      <c r="E110" s="38" t="n">
        <f aca="false">VLOOKUP(A110,Inputs!$A$40:$B$48,2,TRUE())</f>
        <v>0.034199997053407</v>
      </c>
      <c r="F110" s="38" t="n">
        <f aca="false">E110+Inputs!$B$10</f>
        <v>0.101699997053407</v>
      </c>
      <c r="G110" s="37" t="n">
        <f aca="false">D110*F110/C110</f>
        <v>417.945193370166</v>
      </c>
      <c r="H110" s="37" t="n">
        <f aca="false">IF(AND(A110&gt;=Inputs!$B$13,OR(A110&lt;Inputs!$B$19,Inputs!$B$20=1)),D110*Inputs!$B$11/C110,0)</f>
        <v>0</v>
      </c>
      <c r="I110" s="37" t="n">
        <f aca="false">Inputs!$C$9-SUMIFS(Cash_Events!$G$6:$G$20,Cash_Events!$C$6:$C$20,"FHL",Cash_Events!$B$6:$B$20,"&lt;="&amp;A110)</f>
        <v>1500000</v>
      </c>
      <c r="J110" s="38" t="n">
        <f aca="false">VLOOKUP(A110,Inputs!$F$40:$G$48,2,TRUE())</f>
        <v>0.034199995543672</v>
      </c>
      <c r="K110" s="38" t="n">
        <f aca="false">J110+Inputs!$C$10</f>
        <v>0.101699995543672</v>
      </c>
      <c r="L110" s="37" t="n">
        <f aca="false">I110*K110/C110</f>
        <v>417.945187165775</v>
      </c>
      <c r="M110" s="37" t="n">
        <f aca="false">IF(AND(A110&gt;=Inputs!$C$13,OR(A110&lt;Inputs!$B$19,Inputs!$B$20=1)),I110*Inputs!$C$11/C110,0)</f>
        <v>0</v>
      </c>
    </row>
    <row r="111" customFormat="false" ht="15" hidden="false" customHeight="false" outlineLevel="0" collapsed="false">
      <c r="A111" s="35" t="n">
        <f aca="false">A110+1</f>
        <v>44918</v>
      </c>
      <c r="B111" s="35" t="n">
        <f aca="false">EOMONTH(A111+1,0)</f>
        <v>44926</v>
      </c>
      <c r="C111" s="36" t="n">
        <f aca="false">IF(MOD(YEAR(A111),4)=0,366,365)</f>
        <v>365</v>
      </c>
      <c r="D111" s="37" t="n">
        <f aca="false">Inputs!$B$9-SUMIFS(Cash_Events!$G$6:$G$20,Cash_Events!$C$6:$C$20,"rAGMF",Cash_Events!$B$6:$B$20,"&lt;="&amp;A111)</f>
        <v>1500000</v>
      </c>
      <c r="E111" s="38" t="n">
        <f aca="false">VLOOKUP(A111,Inputs!$A$40:$B$48,2,TRUE())</f>
        <v>0.034199997053407</v>
      </c>
      <c r="F111" s="38" t="n">
        <f aca="false">E111+Inputs!$B$10</f>
        <v>0.101699997053407</v>
      </c>
      <c r="G111" s="37" t="n">
        <f aca="false">D111*F111/C111</f>
        <v>417.945193370166</v>
      </c>
      <c r="H111" s="37" t="n">
        <f aca="false">IF(AND(A111&gt;=Inputs!$B$13,OR(A111&lt;Inputs!$B$19,Inputs!$B$20=1)),D111*Inputs!$B$11/C111,0)</f>
        <v>0</v>
      </c>
      <c r="I111" s="37" t="n">
        <f aca="false">Inputs!$C$9-SUMIFS(Cash_Events!$G$6:$G$20,Cash_Events!$C$6:$C$20,"FHL",Cash_Events!$B$6:$B$20,"&lt;="&amp;A111)</f>
        <v>1500000</v>
      </c>
      <c r="J111" s="38" t="n">
        <f aca="false">VLOOKUP(A111,Inputs!$F$40:$G$48,2,TRUE())</f>
        <v>0.034199995543672</v>
      </c>
      <c r="K111" s="38" t="n">
        <f aca="false">J111+Inputs!$C$10</f>
        <v>0.101699995543672</v>
      </c>
      <c r="L111" s="37" t="n">
        <f aca="false">I111*K111/C111</f>
        <v>417.945187165775</v>
      </c>
      <c r="M111" s="37" t="n">
        <f aca="false">IF(AND(A111&gt;=Inputs!$C$13,OR(A111&lt;Inputs!$B$19,Inputs!$B$20=1)),I111*Inputs!$C$11/C111,0)</f>
        <v>0</v>
      </c>
    </row>
    <row r="112" customFormat="false" ht="15" hidden="false" customHeight="false" outlineLevel="0" collapsed="false">
      <c r="A112" s="35" t="n">
        <f aca="false">A111+1</f>
        <v>44919</v>
      </c>
      <c r="B112" s="35" t="n">
        <f aca="false">EOMONTH(A112+1,0)</f>
        <v>44926</v>
      </c>
      <c r="C112" s="36" t="n">
        <f aca="false">IF(MOD(YEAR(A112),4)=0,366,365)</f>
        <v>365</v>
      </c>
      <c r="D112" s="37" t="n">
        <f aca="false">Inputs!$B$9-SUMIFS(Cash_Events!$G$6:$G$20,Cash_Events!$C$6:$C$20,"rAGMF",Cash_Events!$B$6:$B$20,"&lt;="&amp;A112)</f>
        <v>1500000</v>
      </c>
      <c r="E112" s="38" t="n">
        <f aca="false">VLOOKUP(A112,Inputs!$A$40:$B$48,2,TRUE())</f>
        <v>0.034199997053407</v>
      </c>
      <c r="F112" s="38" t="n">
        <f aca="false">E112+Inputs!$B$10</f>
        <v>0.101699997053407</v>
      </c>
      <c r="G112" s="37" t="n">
        <f aca="false">D112*F112/C112</f>
        <v>417.945193370166</v>
      </c>
      <c r="H112" s="37" t="n">
        <f aca="false">IF(AND(A112&gt;=Inputs!$B$13,OR(A112&lt;Inputs!$B$19,Inputs!$B$20=1)),D112*Inputs!$B$11/C112,0)</f>
        <v>0</v>
      </c>
      <c r="I112" s="37" t="n">
        <f aca="false">Inputs!$C$9-SUMIFS(Cash_Events!$G$6:$G$20,Cash_Events!$C$6:$C$20,"FHL",Cash_Events!$B$6:$B$20,"&lt;="&amp;A112)</f>
        <v>1500000</v>
      </c>
      <c r="J112" s="38" t="n">
        <f aca="false">VLOOKUP(A112,Inputs!$F$40:$G$48,2,TRUE())</f>
        <v>0.034199995543672</v>
      </c>
      <c r="K112" s="38" t="n">
        <f aca="false">J112+Inputs!$C$10</f>
        <v>0.101699995543672</v>
      </c>
      <c r="L112" s="37" t="n">
        <f aca="false">I112*K112/C112</f>
        <v>417.945187165775</v>
      </c>
      <c r="M112" s="37" t="n">
        <f aca="false">IF(AND(A112&gt;=Inputs!$C$13,OR(A112&lt;Inputs!$B$19,Inputs!$B$20=1)),I112*Inputs!$C$11/C112,0)</f>
        <v>0</v>
      </c>
    </row>
    <row r="113" customFormat="false" ht="15" hidden="false" customHeight="false" outlineLevel="0" collapsed="false">
      <c r="A113" s="35" t="n">
        <f aca="false">A112+1</f>
        <v>44920</v>
      </c>
      <c r="B113" s="35" t="n">
        <f aca="false">EOMONTH(A113+1,0)</f>
        <v>44926</v>
      </c>
      <c r="C113" s="36" t="n">
        <f aca="false">IF(MOD(YEAR(A113),4)=0,366,365)</f>
        <v>365</v>
      </c>
      <c r="D113" s="37" t="n">
        <f aca="false">Inputs!$B$9-SUMIFS(Cash_Events!$G$6:$G$20,Cash_Events!$C$6:$C$20,"rAGMF",Cash_Events!$B$6:$B$20,"&lt;="&amp;A113)</f>
        <v>1500000</v>
      </c>
      <c r="E113" s="38" t="n">
        <f aca="false">VLOOKUP(A113,Inputs!$A$40:$B$48,2,TRUE())</f>
        <v>0.034199997053407</v>
      </c>
      <c r="F113" s="38" t="n">
        <f aca="false">E113+Inputs!$B$10</f>
        <v>0.101699997053407</v>
      </c>
      <c r="G113" s="37" t="n">
        <f aca="false">D113*F113/C113</f>
        <v>417.945193370166</v>
      </c>
      <c r="H113" s="37" t="n">
        <f aca="false">IF(AND(A113&gt;=Inputs!$B$13,OR(A113&lt;Inputs!$B$19,Inputs!$B$20=1)),D113*Inputs!$B$11/C113,0)</f>
        <v>0</v>
      </c>
      <c r="I113" s="37" t="n">
        <f aca="false">Inputs!$C$9-SUMIFS(Cash_Events!$G$6:$G$20,Cash_Events!$C$6:$C$20,"FHL",Cash_Events!$B$6:$B$20,"&lt;="&amp;A113)</f>
        <v>1500000</v>
      </c>
      <c r="J113" s="38" t="n">
        <f aca="false">VLOOKUP(A113,Inputs!$F$40:$G$48,2,TRUE())</f>
        <v>0.034199995543672</v>
      </c>
      <c r="K113" s="38" t="n">
        <f aca="false">J113+Inputs!$C$10</f>
        <v>0.101699995543672</v>
      </c>
      <c r="L113" s="37" t="n">
        <f aca="false">I113*K113/C113</f>
        <v>417.945187165775</v>
      </c>
      <c r="M113" s="37" t="n">
        <f aca="false">IF(AND(A113&gt;=Inputs!$C$13,OR(A113&lt;Inputs!$B$19,Inputs!$B$20=1)),I113*Inputs!$C$11/C113,0)</f>
        <v>0</v>
      </c>
    </row>
    <row r="114" customFormat="false" ht="15" hidden="false" customHeight="false" outlineLevel="0" collapsed="false">
      <c r="A114" s="35" t="n">
        <f aca="false">A113+1</f>
        <v>44921</v>
      </c>
      <c r="B114" s="35" t="n">
        <f aca="false">EOMONTH(A114+1,0)</f>
        <v>44926</v>
      </c>
      <c r="C114" s="36" t="n">
        <f aca="false">IF(MOD(YEAR(A114),4)=0,366,365)</f>
        <v>365</v>
      </c>
      <c r="D114" s="37" t="n">
        <f aca="false">Inputs!$B$9-SUMIFS(Cash_Events!$G$6:$G$20,Cash_Events!$C$6:$C$20,"rAGMF",Cash_Events!$B$6:$B$20,"&lt;="&amp;A114)</f>
        <v>1500000</v>
      </c>
      <c r="E114" s="38" t="n">
        <f aca="false">VLOOKUP(A114,Inputs!$A$40:$B$48,2,TRUE())</f>
        <v>0.034199997053407</v>
      </c>
      <c r="F114" s="38" t="n">
        <f aca="false">E114+Inputs!$B$10</f>
        <v>0.101699997053407</v>
      </c>
      <c r="G114" s="37" t="n">
        <f aca="false">D114*F114/C114</f>
        <v>417.945193370166</v>
      </c>
      <c r="H114" s="37" t="n">
        <f aca="false">IF(AND(A114&gt;=Inputs!$B$13,OR(A114&lt;Inputs!$B$19,Inputs!$B$20=1)),D114*Inputs!$B$11/C114,0)</f>
        <v>0</v>
      </c>
      <c r="I114" s="37" t="n">
        <f aca="false">Inputs!$C$9-SUMIFS(Cash_Events!$G$6:$G$20,Cash_Events!$C$6:$C$20,"FHL",Cash_Events!$B$6:$B$20,"&lt;="&amp;A114)</f>
        <v>1500000</v>
      </c>
      <c r="J114" s="38" t="n">
        <f aca="false">VLOOKUP(A114,Inputs!$F$40:$G$48,2,TRUE())</f>
        <v>0.034199995543672</v>
      </c>
      <c r="K114" s="38" t="n">
        <f aca="false">J114+Inputs!$C$10</f>
        <v>0.101699995543672</v>
      </c>
      <c r="L114" s="37" t="n">
        <f aca="false">I114*K114/C114</f>
        <v>417.945187165775</v>
      </c>
      <c r="M114" s="37" t="n">
        <f aca="false">IF(AND(A114&gt;=Inputs!$C$13,OR(A114&lt;Inputs!$B$19,Inputs!$B$20=1)),I114*Inputs!$C$11/C114,0)</f>
        <v>0</v>
      </c>
    </row>
    <row r="115" customFormat="false" ht="15" hidden="false" customHeight="false" outlineLevel="0" collapsed="false">
      <c r="A115" s="35" t="n">
        <f aca="false">A114+1</f>
        <v>44922</v>
      </c>
      <c r="B115" s="35" t="n">
        <f aca="false">EOMONTH(A115+1,0)</f>
        <v>44926</v>
      </c>
      <c r="C115" s="36" t="n">
        <f aca="false">IF(MOD(YEAR(A115),4)=0,366,365)</f>
        <v>365</v>
      </c>
      <c r="D115" s="37" t="n">
        <f aca="false">Inputs!$B$9-SUMIFS(Cash_Events!$G$6:$G$20,Cash_Events!$C$6:$C$20,"rAGMF",Cash_Events!$B$6:$B$20,"&lt;="&amp;A115)</f>
        <v>1500000</v>
      </c>
      <c r="E115" s="38" t="n">
        <f aca="false">VLOOKUP(A115,Inputs!$A$40:$B$48,2,TRUE())</f>
        <v>0.034199997053407</v>
      </c>
      <c r="F115" s="38" t="n">
        <f aca="false">E115+Inputs!$B$10</f>
        <v>0.101699997053407</v>
      </c>
      <c r="G115" s="37" t="n">
        <f aca="false">D115*F115/C115</f>
        <v>417.945193370166</v>
      </c>
      <c r="H115" s="37" t="n">
        <f aca="false">IF(AND(A115&gt;=Inputs!$B$13,OR(A115&lt;Inputs!$B$19,Inputs!$B$20=1)),D115*Inputs!$B$11/C115,0)</f>
        <v>0</v>
      </c>
      <c r="I115" s="37" t="n">
        <f aca="false">Inputs!$C$9-SUMIFS(Cash_Events!$G$6:$G$20,Cash_Events!$C$6:$C$20,"FHL",Cash_Events!$B$6:$B$20,"&lt;="&amp;A115)</f>
        <v>1500000</v>
      </c>
      <c r="J115" s="38" t="n">
        <f aca="false">VLOOKUP(A115,Inputs!$F$40:$G$48,2,TRUE())</f>
        <v>0.034199995543672</v>
      </c>
      <c r="K115" s="38" t="n">
        <f aca="false">J115+Inputs!$C$10</f>
        <v>0.101699995543672</v>
      </c>
      <c r="L115" s="37" t="n">
        <f aca="false">I115*K115/C115</f>
        <v>417.945187165775</v>
      </c>
      <c r="M115" s="37" t="n">
        <f aca="false">IF(AND(A115&gt;=Inputs!$C$13,OR(A115&lt;Inputs!$B$19,Inputs!$B$20=1)),I115*Inputs!$C$11/C115,0)</f>
        <v>0</v>
      </c>
    </row>
    <row r="116" customFormat="false" ht="15" hidden="false" customHeight="false" outlineLevel="0" collapsed="false">
      <c r="A116" s="35" t="n">
        <f aca="false">A115+1</f>
        <v>44923</v>
      </c>
      <c r="B116" s="35" t="n">
        <f aca="false">EOMONTH(A116+1,0)</f>
        <v>44926</v>
      </c>
      <c r="C116" s="36" t="n">
        <f aca="false">IF(MOD(YEAR(A116),4)=0,366,365)</f>
        <v>365</v>
      </c>
      <c r="D116" s="37" t="n">
        <f aca="false">Inputs!$B$9-SUMIFS(Cash_Events!$G$6:$G$20,Cash_Events!$C$6:$C$20,"rAGMF",Cash_Events!$B$6:$B$20,"&lt;="&amp;A116)</f>
        <v>1500000</v>
      </c>
      <c r="E116" s="38" t="n">
        <f aca="false">VLOOKUP(A116,Inputs!$A$40:$B$48,2,TRUE())</f>
        <v>0.034199997053407</v>
      </c>
      <c r="F116" s="38" t="n">
        <f aca="false">E116+Inputs!$B$10</f>
        <v>0.101699997053407</v>
      </c>
      <c r="G116" s="37" t="n">
        <f aca="false">D116*F116/C116</f>
        <v>417.945193370166</v>
      </c>
      <c r="H116" s="37" t="n">
        <f aca="false">IF(AND(A116&gt;=Inputs!$B$13,OR(A116&lt;Inputs!$B$19,Inputs!$B$20=1)),D116*Inputs!$B$11/C116,0)</f>
        <v>0</v>
      </c>
      <c r="I116" s="37" t="n">
        <f aca="false">Inputs!$C$9-SUMIFS(Cash_Events!$G$6:$G$20,Cash_Events!$C$6:$C$20,"FHL",Cash_Events!$B$6:$B$20,"&lt;="&amp;A116)</f>
        <v>1500000</v>
      </c>
      <c r="J116" s="38" t="n">
        <f aca="false">VLOOKUP(A116,Inputs!$F$40:$G$48,2,TRUE())</f>
        <v>0.034199995543672</v>
      </c>
      <c r="K116" s="38" t="n">
        <f aca="false">J116+Inputs!$C$10</f>
        <v>0.101699995543672</v>
      </c>
      <c r="L116" s="37" t="n">
        <f aca="false">I116*K116/C116</f>
        <v>417.945187165775</v>
      </c>
      <c r="M116" s="37" t="n">
        <f aca="false">IF(AND(A116&gt;=Inputs!$C$13,OR(A116&lt;Inputs!$B$19,Inputs!$B$20=1)),I116*Inputs!$C$11/C116,0)</f>
        <v>0</v>
      </c>
    </row>
    <row r="117" customFormat="false" ht="15" hidden="false" customHeight="false" outlineLevel="0" collapsed="false">
      <c r="A117" s="35" t="n">
        <f aca="false">A116+1</f>
        <v>44924</v>
      </c>
      <c r="B117" s="35" t="n">
        <f aca="false">EOMONTH(A117+1,0)</f>
        <v>44926</v>
      </c>
      <c r="C117" s="36" t="n">
        <f aca="false">IF(MOD(YEAR(A117),4)=0,366,365)</f>
        <v>365</v>
      </c>
      <c r="D117" s="37" t="n">
        <f aca="false">Inputs!$B$9-SUMIFS(Cash_Events!$G$6:$G$20,Cash_Events!$C$6:$C$20,"rAGMF",Cash_Events!$B$6:$B$20,"&lt;="&amp;A117)</f>
        <v>1500000</v>
      </c>
      <c r="E117" s="38" t="n">
        <f aca="false">VLOOKUP(A117,Inputs!$A$40:$B$48,2,TRUE())</f>
        <v>0.034199997053407</v>
      </c>
      <c r="F117" s="38" t="n">
        <f aca="false">E117+Inputs!$B$10</f>
        <v>0.101699997053407</v>
      </c>
      <c r="G117" s="37" t="n">
        <f aca="false">D117*F117/C117</f>
        <v>417.945193370166</v>
      </c>
      <c r="H117" s="37" t="n">
        <f aca="false">IF(AND(A117&gt;=Inputs!$B$13,OR(A117&lt;Inputs!$B$19,Inputs!$B$20=1)),D117*Inputs!$B$11/C117,0)</f>
        <v>0</v>
      </c>
      <c r="I117" s="37" t="n">
        <f aca="false">Inputs!$C$9-SUMIFS(Cash_Events!$G$6:$G$20,Cash_Events!$C$6:$C$20,"FHL",Cash_Events!$B$6:$B$20,"&lt;="&amp;A117)</f>
        <v>1500000</v>
      </c>
      <c r="J117" s="38" t="n">
        <f aca="false">VLOOKUP(A117,Inputs!$F$40:$G$48,2,TRUE())</f>
        <v>0.034199995543672</v>
      </c>
      <c r="K117" s="38" t="n">
        <f aca="false">J117+Inputs!$C$10</f>
        <v>0.101699995543672</v>
      </c>
      <c r="L117" s="37" t="n">
        <f aca="false">I117*K117/C117</f>
        <v>417.945187165775</v>
      </c>
      <c r="M117" s="37" t="n">
        <f aca="false">IF(AND(A117&gt;=Inputs!$C$13,OR(A117&lt;Inputs!$B$19,Inputs!$B$20=1)),I117*Inputs!$C$11/C117,0)</f>
        <v>0</v>
      </c>
    </row>
    <row r="118" customFormat="false" ht="15" hidden="false" customHeight="false" outlineLevel="0" collapsed="false">
      <c r="A118" s="35" t="n">
        <f aca="false">A117+1</f>
        <v>44925</v>
      </c>
      <c r="B118" s="35" t="n">
        <f aca="false">EOMONTH(A118+1,0)</f>
        <v>44926</v>
      </c>
      <c r="C118" s="36" t="n">
        <f aca="false">IF(MOD(YEAR(A118),4)=0,366,365)</f>
        <v>365</v>
      </c>
      <c r="D118" s="37" t="n">
        <f aca="false">Inputs!$B$9-SUMIFS(Cash_Events!$G$6:$G$20,Cash_Events!$C$6:$C$20,"rAGMF",Cash_Events!$B$6:$B$20,"&lt;="&amp;A118)</f>
        <v>1500000</v>
      </c>
      <c r="E118" s="38" t="n">
        <f aca="false">VLOOKUP(A118,Inputs!$A$40:$B$48,2,TRUE())</f>
        <v>0.034199997053407</v>
      </c>
      <c r="F118" s="38" t="n">
        <f aca="false">E118+Inputs!$B$10</f>
        <v>0.101699997053407</v>
      </c>
      <c r="G118" s="37" t="n">
        <f aca="false">D118*F118/C118</f>
        <v>417.945193370166</v>
      </c>
      <c r="H118" s="37" t="n">
        <f aca="false">IF(AND(A118&gt;=Inputs!$B$13,OR(A118&lt;Inputs!$B$19,Inputs!$B$20=1)),D118*Inputs!$B$11/C118,0)</f>
        <v>0</v>
      </c>
      <c r="I118" s="37" t="n">
        <f aca="false">Inputs!$C$9-SUMIFS(Cash_Events!$G$6:$G$20,Cash_Events!$C$6:$C$20,"FHL",Cash_Events!$B$6:$B$20,"&lt;="&amp;A118)</f>
        <v>1500000</v>
      </c>
      <c r="J118" s="38" t="n">
        <f aca="false">VLOOKUP(A118,Inputs!$F$40:$G$48,2,TRUE())</f>
        <v>0.034199995543672</v>
      </c>
      <c r="K118" s="38" t="n">
        <f aca="false">J118+Inputs!$C$10</f>
        <v>0.101699995543672</v>
      </c>
      <c r="L118" s="37" t="n">
        <f aca="false">I118*K118/C118</f>
        <v>417.945187165775</v>
      </c>
      <c r="M118" s="37" t="n">
        <f aca="false">IF(AND(A118&gt;=Inputs!$C$13,OR(A118&lt;Inputs!$B$19,Inputs!$B$20=1)),I118*Inputs!$C$11/C118,0)</f>
        <v>0</v>
      </c>
    </row>
    <row r="119" customFormat="false" ht="15" hidden="false" customHeight="false" outlineLevel="0" collapsed="false">
      <c r="A119" s="35" t="n">
        <f aca="false">A118+1</f>
        <v>44926</v>
      </c>
      <c r="B119" s="35" t="n">
        <f aca="false">EOMONTH(A119+1,0)</f>
        <v>44957</v>
      </c>
      <c r="C119" s="36" t="n">
        <f aca="false">IF(MOD(YEAR(A119),4)=0,366,365)</f>
        <v>365</v>
      </c>
      <c r="D119" s="37" t="n">
        <f aca="false">Inputs!$B$9-SUMIFS(Cash_Events!$G$6:$G$20,Cash_Events!$C$6:$C$20,"rAGMF",Cash_Events!$B$6:$B$20,"&lt;="&amp;A119)</f>
        <v>1500000</v>
      </c>
      <c r="E119" s="38" t="n">
        <f aca="false">VLOOKUP(A119,Inputs!$A$40:$B$48,2,TRUE())</f>
        <v>0.034199997053407</v>
      </c>
      <c r="F119" s="38" t="n">
        <f aca="false">E119+Inputs!$B$10</f>
        <v>0.101699997053407</v>
      </c>
      <c r="G119" s="37" t="n">
        <f aca="false">D119*F119/C119</f>
        <v>417.945193370166</v>
      </c>
      <c r="H119" s="37" t="n">
        <f aca="false">IF(AND(A119&gt;=Inputs!$B$13,OR(A119&lt;Inputs!$B$19,Inputs!$B$20=1)),D119*Inputs!$B$11/C119,0)</f>
        <v>0</v>
      </c>
      <c r="I119" s="37" t="n">
        <f aca="false">Inputs!$C$9-SUMIFS(Cash_Events!$G$6:$G$20,Cash_Events!$C$6:$C$20,"FHL",Cash_Events!$B$6:$B$20,"&lt;="&amp;A119)</f>
        <v>1500000</v>
      </c>
      <c r="J119" s="38" t="n">
        <f aca="false">VLOOKUP(A119,Inputs!$F$40:$G$48,2,TRUE())</f>
        <v>0.034199995543672</v>
      </c>
      <c r="K119" s="38" t="n">
        <f aca="false">J119+Inputs!$C$10</f>
        <v>0.101699995543672</v>
      </c>
      <c r="L119" s="37" t="n">
        <f aca="false">I119*K119/C119</f>
        <v>417.945187165775</v>
      </c>
      <c r="M119" s="37" t="n">
        <f aca="false">IF(AND(A119&gt;=Inputs!$C$13,OR(A119&lt;Inputs!$B$19,Inputs!$B$20=1)),I119*Inputs!$C$11/C119,0)</f>
        <v>0</v>
      </c>
    </row>
    <row r="120" customFormat="false" ht="15" hidden="false" customHeight="false" outlineLevel="0" collapsed="false">
      <c r="A120" s="35" t="n">
        <f aca="false">A119+1</f>
        <v>44927</v>
      </c>
      <c r="B120" s="35" t="n">
        <f aca="false">EOMONTH(A120+1,0)</f>
        <v>44957</v>
      </c>
      <c r="C120" s="36" t="n">
        <f aca="false">IF(MOD(YEAR(A120),4)=0,366,365)</f>
        <v>365</v>
      </c>
      <c r="D120" s="37" t="n">
        <f aca="false">Inputs!$B$9-SUMIFS(Cash_Events!$G$6:$G$20,Cash_Events!$C$6:$C$20,"rAGMF",Cash_Events!$B$6:$B$20,"&lt;="&amp;A120)</f>
        <v>1500000</v>
      </c>
      <c r="E120" s="38" t="n">
        <f aca="false">VLOOKUP(A120,Inputs!$A$40:$B$48,2,TRUE())</f>
        <v>0.034199997053407</v>
      </c>
      <c r="F120" s="38" t="n">
        <f aca="false">E120+Inputs!$B$10</f>
        <v>0.101699997053407</v>
      </c>
      <c r="G120" s="37" t="n">
        <f aca="false">D120*F120/C120</f>
        <v>417.945193370166</v>
      </c>
      <c r="H120" s="37" t="n">
        <f aca="false">IF(AND(A120&gt;=Inputs!$B$13,OR(A120&lt;Inputs!$B$19,Inputs!$B$20=1)),D120*Inputs!$B$11/C120,0)</f>
        <v>0</v>
      </c>
      <c r="I120" s="37" t="n">
        <f aca="false">Inputs!$C$9-SUMIFS(Cash_Events!$G$6:$G$20,Cash_Events!$C$6:$C$20,"FHL",Cash_Events!$B$6:$B$20,"&lt;="&amp;A120)</f>
        <v>1500000</v>
      </c>
      <c r="J120" s="38" t="n">
        <f aca="false">VLOOKUP(A120,Inputs!$F$40:$G$48,2,TRUE())</f>
        <v>0.034199995543672</v>
      </c>
      <c r="K120" s="38" t="n">
        <f aca="false">J120+Inputs!$C$10</f>
        <v>0.101699995543672</v>
      </c>
      <c r="L120" s="37" t="n">
        <f aca="false">I120*K120/C120</f>
        <v>417.945187165775</v>
      </c>
      <c r="M120" s="37" t="n">
        <f aca="false">IF(AND(A120&gt;=Inputs!$C$13,OR(A120&lt;Inputs!$B$19,Inputs!$B$20=1)),I120*Inputs!$C$11/C120,0)</f>
        <v>0</v>
      </c>
    </row>
    <row r="121" customFormat="false" ht="15" hidden="false" customHeight="false" outlineLevel="0" collapsed="false">
      <c r="A121" s="35" t="n">
        <f aca="false">A120+1</f>
        <v>44928</v>
      </c>
      <c r="B121" s="35" t="n">
        <f aca="false">EOMONTH(A121+1,0)</f>
        <v>44957</v>
      </c>
      <c r="C121" s="36" t="n">
        <f aca="false">IF(MOD(YEAR(A121),4)=0,366,365)</f>
        <v>365</v>
      </c>
      <c r="D121" s="37" t="n">
        <f aca="false">Inputs!$B$9-SUMIFS(Cash_Events!$G$6:$G$20,Cash_Events!$C$6:$C$20,"rAGMF",Cash_Events!$B$6:$B$20,"&lt;="&amp;A121)</f>
        <v>1500000</v>
      </c>
      <c r="E121" s="38" t="n">
        <f aca="false">VLOOKUP(A121,Inputs!$A$40:$B$48,2,TRUE())</f>
        <v>0.034199997053407</v>
      </c>
      <c r="F121" s="38" t="n">
        <f aca="false">E121+Inputs!$B$10</f>
        <v>0.101699997053407</v>
      </c>
      <c r="G121" s="37" t="n">
        <f aca="false">D121*F121/C121</f>
        <v>417.945193370166</v>
      </c>
      <c r="H121" s="37" t="n">
        <f aca="false">IF(AND(A121&gt;=Inputs!$B$13,OR(A121&lt;Inputs!$B$19,Inputs!$B$20=1)),D121*Inputs!$B$11/C121,0)</f>
        <v>0</v>
      </c>
      <c r="I121" s="37" t="n">
        <f aca="false">Inputs!$C$9-SUMIFS(Cash_Events!$G$6:$G$20,Cash_Events!$C$6:$C$20,"FHL",Cash_Events!$B$6:$B$20,"&lt;="&amp;A121)</f>
        <v>1500000</v>
      </c>
      <c r="J121" s="38" t="n">
        <f aca="false">VLOOKUP(A121,Inputs!$F$40:$G$48,2,TRUE())</f>
        <v>0.034199995543672</v>
      </c>
      <c r="K121" s="38" t="n">
        <f aca="false">J121+Inputs!$C$10</f>
        <v>0.101699995543672</v>
      </c>
      <c r="L121" s="37" t="n">
        <f aca="false">I121*K121/C121</f>
        <v>417.945187165775</v>
      </c>
      <c r="M121" s="37" t="n">
        <f aca="false">IF(AND(A121&gt;=Inputs!$C$13,OR(A121&lt;Inputs!$B$19,Inputs!$B$20=1)),I121*Inputs!$C$11/C121,0)</f>
        <v>0</v>
      </c>
    </row>
    <row r="122" customFormat="false" ht="15" hidden="false" customHeight="false" outlineLevel="0" collapsed="false">
      <c r="A122" s="35" t="n">
        <f aca="false">A121+1</f>
        <v>44929</v>
      </c>
      <c r="B122" s="35" t="n">
        <f aca="false">EOMONTH(A122+1,0)</f>
        <v>44957</v>
      </c>
      <c r="C122" s="36" t="n">
        <f aca="false">IF(MOD(YEAR(A122),4)=0,366,365)</f>
        <v>365</v>
      </c>
      <c r="D122" s="37" t="n">
        <f aca="false">Inputs!$B$9-SUMIFS(Cash_Events!$G$6:$G$20,Cash_Events!$C$6:$C$20,"rAGMF",Cash_Events!$B$6:$B$20,"&lt;="&amp;A122)</f>
        <v>1500000</v>
      </c>
      <c r="E122" s="38" t="n">
        <f aca="false">VLOOKUP(A122,Inputs!$A$40:$B$48,2,TRUE())</f>
        <v>0.034199997053407</v>
      </c>
      <c r="F122" s="38" t="n">
        <f aca="false">E122+Inputs!$B$10</f>
        <v>0.101699997053407</v>
      </c>
      <c r="G122" s="37" t="n">
        <f aca="false">D122*F122/C122</f>
        <v>417.945193370166</v>
      </c>
      <c r="H122" s="37" t="n">
        <f aca="false">IF(AND(A122&gt;=Inputs!$B$13,OR(A122&lt;Inputs!$B$19,Inputs!$B$20=1)),D122*Inputs!$B$11/C122,0)</f>
        <v>0</v>
      </c>
      <c r="I122" s="37" t="n">
        <f aca="false">Inputs!$C$9-SUMIFS(Cash_Events!$G$6:$G$20,Cash_Events!$C$6:$C$20,"FHL",Cash_Events!$B$6:$B$20,"&lt;="&amp;A122)</f>
        <v>1500000</v>
      </c>
      <c r="J122" s="38" t="n">
        <f aca="false">VLOOKUP(A122,Inputs!$F$40:$G$48,2,TRUE())</f>
        <v>0.034199995543672</v>
      </c>
      <c r="K122" s="38" t="n">
        <f aca="false">J122+Inputs!$C$10</f>
        <v>0.101699995543672</v>
      </c>
      <c r="L122" s="37" t="n">
        <f aca="false">I122*K122/C122</f>
        <v>417.945187165775</v>
      </c>
      <c r="M122" s="37" t="n">
        <f aca="false">IF(AND(A122&gt;=Inputs!$C$13,OR(A122&lt;Inputs!$B$19,Inputs!$B$20=1)),I122*Inputs!$C$11/C122,0)</f>
        <v>0</v>
      </c>
    </row>
    <row r="123" customFormat="false" ht="15" hidden="false" customHeight="false" outlineLevel="0" collapsed="false">
      <c r="A123" s="35" t="n">
        <f aca="false">A122+1</f>
        <v>44930</v>
      </c>
      <c r="B123" s="35" t="n">
        <f aca="false">EOMONTH(A123+1,0)</f>
        <v>44957</v>
      </c>
      <c r="C123" s="36" t="n">
        <f aca="false">IF(MOD(YEAR(A123),4)=0,366,365)</f>
        <v>365</v>
      </c>
      <c r="D123" s="37" t="n">
        <f aca="false">Inputs!$B$9-SUMIFS(Cash_Events!$G$6:$G$20,Cash_Events!$C$6:$C$20,"rAGMF",Cash_Events!$B$6:$B$20,"&lt;="&amp;A123)</f>
        <v>1500000</v>
      </c>
      <c r="E123" s="38" t="n">
        <f aca="false">VLOOKUP(A123,Inputs!$A$40:$B$48,2,TRUE())</f>
        <v>0.034199997053407</v>
      </c>
      <c r="F123" s="38" t="n">
        <f aca="false">E123+Inputs!$B$10</f>
        <v>0.101699997053407</v>
      </c>
      <c r="G123" s="37" t="n">
        <f aca="false">D123*F123/C123</f>
        <v>417.945193370166</v>
      </c>
      <c r="H123" s="37" t="n">
        <f aca="false">IF(AND(A123&gt;=Inputs!$B$13,OR(A123&lt;Inputs!$B$19,Inputs!$B$20=1)),D123*Inputs!$B$11/C123,0)</f>
        <v>0</v>
      </c>
      <c r="I123" s="37" t="n">
        <f aca="false">Inputs!$C$9-SUMIFS(Cash_Events!$G$6:$G$20,Cash_Events!$C$6:$C$20,"FHL",Cash_Events!$B$6:$B$20,"&lt;="&amp;A123)</f>
        <v>1500000</v>
      </c>
      <c r="J123" s="38" t="n">
        <f aca="false">VLOOKUP(A123,Inputs!$F$40:$G$48,2,TRUE())</f>
        <v>0.034199995543672</v>
      </c>
      <c r="K123" s="38" t="n">
        <f aca="false">J123+Inputs!$C$10</f>
        <v>0.101699995543672</v>
      </c>
      <c r="L123" s="37" t="n">
        <f aca="false">I123*K123/C123</f>
        <v>417.945187165775</v>
      </c>
      <c r="M123" s="37" t="n">
        <f aca="false">IF(AND(A123&gt;=Inputs!$C$13,OR(A123&lt;Inputs!$B$19,Inputs!$B$20=1)),I123*Inputs!$C$11/C123,0)</f>
        <v>0</v>
      </c>
    </row>
    <row r="124" customFormat="false" ht="15" hidden="false" customHeight="false" outlineLevel="0" collapsed="false">
      <c r="A124" s="35" t="n">
        <f aca="false">A123+1</f>
        <v>44931</v>
      </c>
      <c r="B124" s="35" t="n">
        <f aca="false">EOMONTH(A124+1,0)</f>
        <v>44957</v>
      </c>
      <c r="C124" s="36" t="n">
        <f aca="false">IF(MOD(YEAR(A124),4)=0,366,365)</f>
        <v>365</v>
      </c>
      <c r="D124" s="37" t="n">
        <f aca="false">Inputs!$B$9-SUMIFS(Cash_Events!$G$6:$G$20,Cash_Events!$C$6:$C$20,"rAGMF",Cash_Events!$B$6:$B$20,"&lt;="&amp;A124)</f>
        <v>1500000</v>
      </c>
      <c r="E124" s="38" t="n">
        <f aca="false">VLOOKUP(A124,Inputs!$A$40:$B$48,2,TRUE())</f>
        <v>0.034199997053407</v>
      </c>
      <c r="F124" s="38" t="n">
        <f aca="false">E124+Inputs!$B$10</f>
        <v>0.101699997053407</v>
      </c>
      <c r="G124" s="37" t="n">
        <f aca="false">D124*F124/C124</f>
        <v>417.945193370166</v>
      </c>
      <c r="H124" s="37" t="n">
        <f aca="false">IF(AND(A124&gt;=Inputs!$B$13,OR(A124&lt;Inputs!$B$19,Inputs!$B$20=1)),D124*Inputs!$B$11/C124,0)</f>
        <v>0</v>
      </c>
      <c r="I124" s="37" t="n">
        <f aca="false">Inputs!$C$9-SUMIFS(Cash_Events!$G$6:$G$20,Cash_Events!$C$6:$C$20,"FHL",Cash_Events!$B$6:$B$20,"&lt;="&amp;A124)</f>
        <v>1500000</v>
      </c>
      <c r="J124" s="38" t="n">
        <f aca="false">VLOOKUP(A124,Inputs!$F$40:$G$48,2,TRUE())</f>
        <v>0.034199995543672</v>
      </c>
      <c r="K124" s="38" t="n">
        <f aca="false">J124+Inputs!$C$10</f>
        <v>0.101699995543672</v>
      </c>
      <c r="L124" s="37" t="n">
        <f aca="false">I124*K124/C124</f>
        <v>417.945187165775</v>
      </c>
      <c r="M124" s="37" t="n">
        <f aca="false">IF(AND(A124&gt;=Inputs!$C$13,OR(A124&lt;Inputs!$B$19,Inputs!$B$20=1)),I124*Inputs!$C$11/C124,0)</f>
        <v>0</v>
      </c>
    </row>
    <row r="125" customFormat="false" ht="15" hidden="false" customHeight="false" outlineLevel="0" collapsed="false">
      <c r="A125" s="35" t="n">
        <f aca="false">A124+1</f>
        <v>44932</v>
      </c>
      <c r="B125" s="35" t="n">
        <f aca="false">EOMONTH(A125+1,0)</f>
        <v>44957</v>
      </c>
      <c r="C125" s="36" t="n">
        <f aca="false">IF(MOD(YEAR(A125),4)=0,366,365)</f>
        <v>365</v>
      </c>
      <c r="D125" s="37" t="n">
        <f aca="false">Inputs!$B$9-SUMIFS(Cash_Events!$G$6:$G$20,Cash_Events!$C$6:$C$20,"rAGMF",Cash_Events!$B$6:$B$20,"&lt;="&amp;A125)</f>
        <v>1500000</v>
      </c>
      <c r="E125" s="38" t="n">
        <f aca="false">VLOOKUP(A125,Inputs!$A$40:$B$48,2,TRUE())</f>
        <v>0.034199997053407</v>
      </c>
      <c r="F125" s="38" t="n">
        <f aca="false">E125+Inputs!$B$10</f>
        <v>0.101699997053407</v>
      </c>
      <c r="G125" s="37" t="n">
        <f aca="false">D125*F125/C125</f>
        <v>417.945193370166</v>
      </c>
      <c r="H125" s="37" t="n">
        <f aca="false">IF(AND(A125&gt;=Inputs!$B$13,OR(A125&lt;Inputs!$B$19,Inputs!$B$20=1)),D125*Inputs!$B$11/C125,0)</f>
        <v>0</v>
      </c>
      <c r="I125" s="37" t="n">
        <f aca="false">Inputs!$C$9-SUMIFS(Cash_Events!$G$6:$G$20,Cash_Events!$C$6:$C$20,"FHL",Cash_Events!$B$6:$B$20,"&lt;="&amp;A125)</f>
        <v>1500000</v>
      </c>
      <c r="J125" s="38" t="n">
        <f aca="false">VLOOKUP(A125,Inputs!$F$40:$G$48,2,TRUE())</f>
        <v>0.034199995543672</v>
      </c>
      <c r="K125" s="38" t="n">
        <f aca="false">J125+Inputs!$C$10</f>
        <v>0.101699995543672</v>
      </c>
      <c r="L125" s="37" t="n">
        <f aca="false">I125*K125/C125</f>
        <v>417.945187165775</v>
      </c>
      <c r="M125" s="37" t="n">
        <f aca="false">IF(AND(A125&gt;=Inputs!$C$13,OR(A125&lt;Inputs!$B$19,Inputs!$B$20=1)),I125*Inputs!$C$11/C125,0)</f>
        <v>0</v>
      </c>
    </row>
    <row r="126" customFormat="false" ht="15" hidden="false" customHeight="false" outlineLevel="0" collapsed="false">
      <c r="A126" s="35" t="n">
        <f aca="false">A125+1</f>
        <v>44933</v>
      </c>
      <c r="B126" s="35" t="n">
        <f aca="false">EOMONTH(A126+1,0)</f>
        <v>44957</v>
      </c>
      <c r="C126" s="36" t="n">
        <f aca="false">IF(MOD(YEAR(A126),4)=0,366,365)</f>
        <v>365</v>
      </c>
      <c r="D126" s="37" t="n">
        <f aca="false">Inputs!$B$9-SUMIFS(Cash_Events!$G$6:$G$20,Cash_Events!$C$6:$C$20,"rAGMF",Cash_Events!$B$6:$B$20,"&lt;="&amp;A126)</f>
        <v>1500000</v>
      </c>
      <c r="E126" s="38" t="n">
        <f aca="false">VLOOKUP(A126,Inputs!$A$40:$B$48,2,TRUE())</f>
        <v>0.034199997053407</v>
      </c>
      <c r="F126" s="38" t="n">
        <f aca="false">E126+Inputs!$B$10</f>
        <v>0.101699997053407</v>
      </c>
      <c r="G126" s="37" t="n">
        <f aca="false">D126*F126/C126</f>
        <v>417.945193370166</v>
      </c>
      <c r="H126" s="37" t="n">
        <f aca="false">IF(AND(A126&gt;=Inputs!$B$13,OR(A126&lt;Inputs!$B$19,Inputs!$B$20=1)),D126*Inputs!$B$11/C126,0)</f>
        <v>0</v>
      </c>
      <c r="I126" s="37" t="n">
        <f aca="false">Inputs!$C$9-SUMIFS(Cash_Events!$G$6:$G$20,Cash_Events!$C$6:$C$20,"FHL",Cash_Events!$B$6:$B$20,"&lt;="&amp;A126)</f>
        <v>1500000</v>
      </c>
      <c r="J126" s="38" t="n">
        <f aca="false">VLOOKUP(A126,Inputs!$F$40:$G$48,2,TRUE())</f>
        <v>0.034199995543672</v>
      </c>
      <c r="K126" s="38" t="n">
        <f aca="false">J126+Inputs!$C$10</f>
        <v>0.101699995543672</v>
      </c>
      <c r="L126" s="37" t="n">
        <f aca="false">I126*K126/C126</f>
        <v>417.945187165775</v>
      </c>
      <c r="M126" s="37" t="n">
        <f aca="false">IF(AND(A126&gt;=Inputs!$C$13,OR(A126&lt;Inputs!$B$19,Inputs!$B$20=1)),I126*Inputs!$C$11/C126,0)</f>
        <v>0</v>
      </c>
    </row>
    <row r="127" customFormat="false" ht="15" hidden="false" customHeight="false" outlineLevel="0" collapsed="false">
      <c r="A127" s="35" t="n">
        <f aca="false">A126+1</f>
        <v>44934</v>
      </c>
      <c r="B127" s="35" t="n">
        <f aca="false">EOMONTH(A127+1,0)</f>
        <v>44957</v>
      </c>
      <c r="C127" s="36" t="n">
        <f aca="false">IF(MOD(YEAR(A127),4)=0,366,365)</f>
        <v>365</v>
      </c>
      <c r="D127" s="37" t="n">
        <f aca="false">Inputs!$B$9-SUMIFS(Cash_Events!$G$6:$G$20,Cash_Events!$C$6:$C$20,"rAGMF",Cash_Events!$B$6:$B$20,"&lt;="&amp;A127)</f>
        <v>1500000</v>
      </c>
      <c r="E127" s="38" t="n">
        <f aca="false">VLOOKUP(A127,Inputs!$A$40:$B$48,2,TRUE())</f>
        <v>0.034199997053407</v>
      </c>
      <c r="F127" s="38" t="n">
        <f aca="false">E127+Inputs!$B$10</f>
        <v>0.101699997053407</v>
      </c>
      <c r="G127" s="37" t="n">
        <f aca="false">D127*F127/C127</f>
        <v>417.945193370166</v>
      </c>
      <c r="H127" s="37" t="n">
        <f aca="false">IF(AND(A127&gt;=Inputs!$B$13,OR(A127&lt;Inputs!$B$19,Inputs!$B$20=1)),D127*Inputs!$B$11/C127,0)</f>
        <v>0</v>
      </c>
      <c r="I127" s="37" t="n">
        <f aca="false">Inputs!$C$9-SUMIFS(Cash_Events!$G$6:$G$20,Cash_Events!$C$6:$C$20,"FHL",Cash_Events!$B$6:$B$20,"&lt;="&amp;A127)</f>
        <v>1500000</v>
      </c>
      <c r="J127" s="38" t="n">
        <f aca="false">VLOOKUP(A127,Inputs!$F$40:$G$48,2,TRUE())</f>
        <v>0.034199995543672</v>
      </c>
      <c r="K127" s="38" t="n">
        <f aca="false">J127+Inputs!$C$10</f>
        <v>0.101699995543672</v>
      </c>
      <c r="L127" s="37" t="n">
        <f aca="false">I127*K127/C127</f>
        <v>417.945187165775</v>
      </c>
      <c r="M127" s="37" t="n">
        <f aca="false">IF(AND(A127&gt;=Inputs!$C$13,OR(A127&lt;Inputs!$B$19,Inputs!$B$20=1)),I127*Inputs!$C$11/C127,0)</f>
        <v>0</v>
      </c>
    </row>
    <row r="128" customFormat="false" ht="15" hidden="false" customHeight="false" outlineLevel="0" collapsed="false">
      <c r="A128" s="35" t="n">
        <f aca="false">A127+1</f>
        <v>44935</v>
      </c>
      <c r="B128" s="35" t="n">
        <f aca="false">EOMONTH(A128+1,0)</f>
        <v>44957</v>
      </c>
      <c r="C128" s="36" t="n">
        <f aca="false">IF(MOD(YEAR(A128),4)=0,366,365)</f>
        <v>365</v>
      </c>
      <c r="D128" s="37" t="n">
        <f aca="false">Inputs!$B$9-SUMIFS(Cash_Events!$G$6:$G$20,Cash_Events!$C$6:$C$20,"rAGMF",Cash_Events!$B$6:$B$20,"&lt;="&amp;A128)</f>
        <v>1500000</v>
      </c>
      <c r="E128" s="38" t="n">
        <f aca="false">VLOOKUP(A128,Inputs!$A$40:$B$48,2,TRUE())</f>
        <v>0.034199997053407</v>
      </c>
      <c r="F128" s="38" t="n">
        <f aca="false">E128+Inputs!$B$10</f>
        <v>0.101699997053407</v>
      </c>
      <c r="G128" s="37" t="n">
        <f aca="false">D128*F128/C128</f>
        <v>417.945193370166</v>
      </c>
      <c r="H128" s="37" t="n">
        <f aca="false">IF(AND(A128&gt;=Inputs!$B$13,OR(A128&lt;Inputs!$B$19,Inputs!$B$20=1)),D128*Inputs!$B$11/C128,0)</f>
        <v>0</v>
      </c>
      <c r="I128" s="37" t="n">
        <f aca="false">Inputs!$C$9-SUMIFS(Cash_Events!$G$6:$G$20,Cash_Events!$C$6:$C$20,"FHL",Cash_Events!$B$6:$B$20,"&lt;="&amp;A128)</f>
        <v>1500000</v>
      </c>
      <c r="J128" s="38" t="n">
        <f aca="false">VLOOKUP(A128,Inputs!$F$40:$G$48,2,TRUE())</f>
        <v>0.034199995543672</v>
      </c>
      <c r="K128" s="38" t="n">
        <f aca="false">J128+Inputs!$C$10</f>
        <v>0.101699995543672</v>
      </c>
      <c r="L128" s="37" t="n">
        <f aca="false">I128*K128/C128</f>
        <v>417.945187165775</v>
      </c>
      <c r="M128" s="37" t="n">
        <f aca="false">IF(AND(A128&gt;=Inputs!$C$13,OR(A128&lt;Inputs!$B$19,Inputs!$B$20=1)),I128*Inputs!$C$11/C128,0)</f>
        <v>0</v>
      </c>
    </row>
    <row r="129" customFormat="false" ht="15" hidden="false" customHeight="false" outlineLevel="0" collapsed="false">
      <c r="A129" s="35" t="n">
        <f aca="false">A128+1</f>
        <v>44936</v>
      </c>
      <c r="B129" s="35" t="n">
        <f aca="false">EOMONTH(A129+1,0)</f>
        <v>44957</v>
      </c>
      <c r="C129" s="36" t="n">
        <f aca="false">IF(MOD(YEAR(A129),4)=0,366,365)</f>
        <v>365</v>
      </c>
      <c r="D129" s="37" t="n">
        <f aca="false">Inputs!$B$9-SUMIFS(Cash_Events!$G$6:$G$20,Cash_Events!$C$6:$C$20,"rAGMF",Cash_Events!$B$6:$B$20,"&lt;="&amp;A129)</f>
        <v>1500000</v>
      </c>
      <c r="E129" s="38" t="n">
        <f aca="false">VLOOKUP(A129,Inputs!$A$40:$B$48,2,TRUE())</f>
        <v>0.034199997053407</v>
      </c>
      <c r="F129" s="38" t="n">
        <f aca="false">E129+Inputs!$B$10</f>
        <v>0.101699997053407</v>
      </c>
      <c r="G129" s="37" t="n">
        <f aca="false">D129*F129/C129</f>
        <v>417.945193370166</v>
      </c>
      <c r="H129" s="37" t="n">
        <f aca="false">IF(AND(A129&gt;=Inputs!$B$13,OR(A129&lt;Inputs!$B$19,Inputs!$B$20=1)),D129*Inputs!$B$11/C129,0)</f>
        <v>0</v>
      </c>
      <c r="I129" s="37" t="n">
        <f aca="false">Inputs!$C$9-SUMIFS(Cash_Events!$G$6:$G$20,Cash_Events!$C$6:$C$20,"FHL",Cash_Events!$B$6:$B$20,"&lt;="&amp;A129)</f>
        <v>1500000</v>
      </c>
      <c r="J129" s="38" t="n">
        <f aca="false">VLOOKUP(A129,Inputs!$F$40:$G$48,2,TRUE())</f>
        <v>0.034199995543672</v>
      </c>
      <c r="K129" s="38" t="n">
        <f aca="false">J129+Inputs!$C$10</f>
        <v>0.101699995543672</v>
      </c>
      <c r="L129" s="37" t="n">
        <f aca="false">I129*K129/C129</f>
        <v>417.945187165775</v>
      </c>
      <c r="M129" s="37" t="n">
        <f aca="false">IF(AND(A129&gt;=Inputs!$C$13,OR(A129&lt;Inputs!$B$19,Inputs!$B$20=1)),I129*Inputs!$C$11/C129,0)</f>
        <v>0</v>
      </c>
    </row>
    <row r="130" customFormat="false" ht="15" hidden="false" customHeight="false" outlineLevel="0" collapsed="false">
      <c r="A130" s="35" t="n">
        <f aca="false">A129+1</f>
        <v>44937</v>
      </c>
      <c r="B130" s="35" t="n">
        <f aca="false">EOMONTH(A130+1,0)</f>
        <v>44957</v>
      </c>
      <c r="C130" s="36" t="n">
        <f aca="false">IF(MOD(YEAR(A130),4)=0,366,365)</f>
        <v>365</v>
      </c>
      <c r="D130" s="37" t="n">
        <f aca="false">Inputs!$B$9-SUMIFS(Cash_Events!$G$6:$G$20,Cash_Events!$C$6:$C$20,"rAGMF",Cash_Events!$B$6:$B$20,"&lt;="&amp;A130)</f>
        <v>1500000</v>
      </c>
      <c r="E130" s="38" t="n">
        <f aca="false">VLOOKUP(A130,Inputs!$A$40:$B$48,2,TRUE())</f>
        <v>0.034199997053407</v>
      </c>
      <c r="F130" s="38" t="n">
        <f aca="false">E130+Inputs!$B$10</f>
        <v>0.101699997053407</v>
      </c>
      <c r="G130" s="37" t="n">
        <f aca="false">D130*F130/C130</f>
        <v>417.945193370166</v>
      </c>
      <c r="H130" s="37" t="n">
        <f aca="false">IF(AND(A130&gt;=Inputs!$B$13,OR(A130&lt;Inputs!$B$19,Inputs!$B$20=1)),D130*Inputs!$B$11/C130,0)</f>
        <v>0</v>
      </c>
      <c r="I130" s="37" t="n">
        <f aca="false">Inputs!$C$9-SUMIFS(Cash_Events!$G$6:$G$20,Cash_Events!$C$6:$C$20,"FHL",Cash_Events!$B$6:$B$20,"&lt;="&amp;A130)</f>
        <v>1500000</v>
      </c>
      <c r="J130" s="38" t="n">
        <f aca="false">VLOOKUP(A130,Inputs!$F$40:$G$48,2,TRUE())</f>
        <v>0.034199995543672</v>
      </c>
      <c r="K130" s="38" t="n">
        <f aca="false">J130+Inputs!$C$10</f>
        <v>0.101699995543672</v>
      </c>
      <c r="L130" s="37" t="n">
        <f aca="false">I130*K130/C130</f>
        <v>417.945187165775</v>
      </c>
      <c r="M130" s="37" t="n">
        <f aca="false">IF(AND(A130&gt;=Inputs!$C$13,OR(A130&lt;Inputs!$B$19,Inputs!$B$20=1)),I130*Inputs!$C$11/C130,0)</f>
        <v>0</v>
      </c>
    </row>
    <row r="131" customFormat="false" ht="15" hidden="false" customHeight="false" outlineLevel="0" collapsed="false">
      <c r="A131" s="35" t="n">
        <f aca="false">A130+1</f>
        <v>44938</v>
      </c>
      <c r="B131" s="35" t="n">
        <f aca="false">EOMONTH(A131+1,0)</f>
        <v>44957</v>
      </c>
      <c r="C131" s="36" t="n">
        <f aca="false">IF(MOD(YEAR(A131),4)=0,366,365)</f>
        <v>365</v>
      </c>
      <c r="D131" s="37" t="n">
        <f aca="false">Inputs!$B$9-SUMIFS(Cash_Events!$G$6:$G$20,Cash_Events!$C$6:$C$20,"rAGMF",Cash_Events!$B$6:$B$20,"&lt;="&amp;A131)</f>
        <v>1500000</v>
      </c>
      <c r="E131" s="38" t="n">
        <f aca="false">VLOOKUP(A131,Inputs!$A$40:$B$48,2,TRUE())</f>
        <v>0.034199997053407</v>
      </c>
      <c r="F131" s="38" t="n">
        <f aca="false">E131+Inputs!$B$10</f>
        <v>0.101699997053407</v>
      </c>
      <c r="G131" s="37" t="n">
        <f aca="false">D131*F131/C131</f>
        <v>417.945193370166</v>
      </c>
      <c r="H131" s="37" t="n">
        <f aca="false">IF(AND(A131&gt;=Inputs!$B$13,OR(A131&lt;Inputs!$B$19,Inputs!$B$20=1)),D131*Inputs!$B$11/C131,0)</f>
        <v>0</v>
      </c>
      <c r="I131" s="37" t="n">
        <f aca="false">Inputs!$C$9-SUMIFS(Cash_Events!$G$6:$G$20,Cash_Events!$C$6:$C$20,"FHL",Cash_Events!$B$6:$B$20,"&lt;="&amp;A131)</f>
        <v>1500000</v>
      </c>
      <c r="J131" s="38" t="n">
        <f aca="false">VLOOKUP(A131,Inputs!$F$40:$G$48,2,TRUE())</f>
        <v>0.034199995543672</v>
      </c>
      <c r="K131" s="38" t="n">
        <f aca="false">J131+Inputs!$C$10</f>
        <v>0.101699995543672</v>
      </c>
      <c r="L131" s="37" t="n">
        <f aca="false">I131*K131/C131</f>
        <v>417.945187165775</v>
      </c>
      <c r="M131" s="37" t="n">
        <f aca="false">IF(AND(A131&gt;=Inputs!$C$13,OR(A131&lt;Inputs!$B$19,Inputs!$B$20=1)),I131*Inputs!$C$11/C131,0)</f>
        <v>0</v>
      </c>
    </row>
    <row r="132" customFormat="false" ht="15" hidden="false" customHeight="false" outlineLevel="0" collapsed="false">
      <c r="A132" s="35" t="n">
        <f aca="false">A131+1</f>
        <v>44939</v>
      </c>
      <c r="B132" s="35" t="n">
        <f aca="false">EOMONTH(A132+1,0)</f>
        <v>44957</v>
      </c>
      <c r="C132" s="36" t="n">
        <f aca="false">IF(MOD(YEAR(A132),4)=0,366,365)</f>
        <v>365</v>
      </c>
      <c r="D132" s="37" t="n">
        <f aca="false">Inputs!$B$9-SUMIFS(Cash_Events!$G$6:$G$20,Cash_Events!$C$6:$C$20,"rAGMF",Cash_Events!$B$6:$B$20,"&lt;="&amp;A132)</f>
        <v>1500000</v>
      </c>
      <c r="E132" s="38" t="n">
        <f aca="false">VLOOKUP(A132,Inputs!$A$40:$B$48,2,TRUE())</f>
        <v>0.034199997053407</v>
      </c>
      <c r="F132" s="38" t="n">
        <f aca="false">E132+Inputs!$B$10</f>
        <v>0.101699997053407</v>
      </c>
      <c r="G132" s="37" t="n">
        <f aca="false">D132*F132/C132</f>
        <v>417.945193370166</v>
      </c>
      <c r="H132" s="37" t="n">
        <f aca="false">IF(AND(A132&gt;=Inputs!$B$13,OR(A132&lt;Inputs!$B$19,Inputs!$B$20=1)),D132*Inputs!$B$11/C132,0)</f>
        <v>0</v>
      </c>
      <c r="I132" s="37" t="n">
        <f aca="false">Inputs!$C$9-SUMIFS(Cash_Events!$G$6:$G$20,Cash_Events!$C$6:$C$20,"FHL",Cash_Events!$B$6:$B$20,"&lt;="&amp;A132)</f>
        <v>1500000</v>
      </c>
      <c r="J132" s="38" t="n">
        <f aca="false">VLOOKUP(A132,Inputs!$F$40:$G$48,2,TRUE())</f>
        <v>0.034199995543672</v>
      </c>
      <c r="K132" s="38" t="n">
        <f aca="false">J132+Inputs!$C$10</f>
        <v>0.101699995543672</v>
      </c>
      <c r="L132" s="37" t="n">
        <f aca="false">I132*K132/C132</f>
        <v>417.945187165775</v>
      </c>
      <c r="M132" s="37" t="n">
        <f aca="false">IF(AND(A132&gt;=Inputs!$C$13,OR(A132&lt;Inputs!$B$19,Inputs!$B$20=1)),I132*Inputs!$C$11/C132,0)</f>
        <v>0</v>
      </c>
    </row>
    <row r="133" customFormat="false" ht="15" hidden="false" customHeight="false" outlineLevel="0" collapsed="false">
      <c r="A133" s="35" t="n">
        <f aca="false">A132+1</f>
        <v>44940</v>
      </c>
      <c r="B133" s="35" t="n">
        <f aca="false">EOMONTH(A133+1,0)</f>
        <v>44957</v>
      </c>
      <c r="C133" s="36" t="n">
        <f aca="false">IF(MOD(YEAR(A133),4)=0,366,365)</f>
        <v>365</v>
      </c>
      <c r="D133" s="37" t="n">
        <f aca="false">Inputs!$B$9-SUMIFS(Cash_Events!$G$6:$G$20,Cash_Events!$C$6:$C$20,"rAGMF",Cash_Events!$B$6:$B$20,"&lt;="&amp;A133)</f>
        <v>1500000</v>
      </c>
      <c r="E133" s="38" t="n">
        <f aca="false">VLOOKUP(A133,Inputs!$A$40:$B$48,2,TRUE())</f>
        <v>0.034199997053407</v>
      </c>
      <c r="F133" s="38" t="n">
        <f aca="false">E133+Inputs!$B$10</f>
        <v>0.101699997053407</v>
      </c>
      <c r="G133" s="37" t="n">
        <f aca="false">D133*F133/C133</f>
        <v>417.945193370166</v>
      </c>
      <c r="H133" s="37" t="n">
        <f aca="false">IF(AND(A133&gt;=Inputs!$B$13,OR(A133&lt;Inputs!$B$19,Inputs!$B$20=1)),D133*Inputs!$B$11/C133,0)</f>
        <v>0</v>
      </c>
      <c r="I133" s="37" t="n">
        <f aca="false">Inputs!$C$9-SUMIFS(Cash_Events!$G$6:$G$20,Cash_Events!$C$6:$C$20,"FHL",Cash_Events!$B$6:$B$20,"&lt;="&amp;A133)</f>
        <v>1500000</v>
      </c>
      <c r="J133" s="38" t="n">
        <f aca="false">VLOOKUP(A133,Inputs!$F$40:$G$48,2,TRUE())</f>
        <v>0.034199995543672</v>
      </c>
      <c r="K133" s="38" t="n">
        <f aca="false">J133+Inputs!$C$10</f>
        <v>0.101699995543672</v>
      </c>
      <c r="L133" s="37" t="n">
        <f aca="false">I133*K133/C133</f>
        <v>417.945187165775</v>
      </c>
      <c r="M133" s="37" t="n">
        <f aca="false">IF(AND(A133&gt;=Inputs!$C$13,OR(A133&lt;Inputs!$B$19,Inputs!$B$20=1)),I133*Inputs!$C$11/C133,0)</f>
        <v>0</v>
      </c>
    </row>
    <row r="134" customFormat="false" ht="15" hidden="false" customHeight="false" outlineLevel="0" collapsed="false">
      <c r="A134" s="35" t="n">
        <f aca="false">A133+1</f>
        <v>44941</v>
      </c>
      <c r="B134" s="35" t="n">
        <f aca="false">EOMONTH(A134+1,0)</f>
        <v>44957</v>
      </c>
      <c r="C134" s="36" t="n">
        <f aca="false">IF(MOD(YEAR(A134),4)=0,366,365)</f>
        <v>365</v>
      </c>
      <c r="D134" s="37" t="n">
        <f aca="false">Inputs!$B$9-SUMIFS(Cash_Events!$G$6:$G$20,Cash_Events!$C$6:$C$20,"rAGMF",Cash_Events!$B$6:$B$20,"&lt;="&amp;A134)</f>
        <v>1500000</v>
      </c>
      <c r="E134" s="38" t="n">
        <f aca="false">VLOOKUP(A134,Inputs!$A$40:$B$48,2,TRUE())</f>
        <v>0.034199997053407</v>
      </c>
      <c r="F134" s="38" t="n">
        <f aca="false">E134+Inputs!$B$10</f>
        <v>0.101699997053407</v>
      </c>
      <c r="G134" s="37" t="n">
        <f aca="false">D134*F134/C134</f>
        <v>417.945193370166</v>
      </c>
      <c r="H134" s="37" t="n">
        <f aca="false">IF(AND(A134&gt;=Inputs!$B$13,OR(A134&lt;Inputs!$B$19,Inputs!$B$20=1)),D134*Inputs!$B$11/C134,0)</f>
        <v>0</v>
      </c>
      <c r="I134" s="37" t="n">
        <f aca="false">Inputs!$C$9-SUMIFS(Cash_Events!$G$6:$G$20,Cash_Events!$C$6:$C$20,"FHL",Cash_Events!$B$6:$B$20,"&lt;="&amp;A134)</f>
        <v>1500000</v>
      </c>
      <c r="J134" s="38" t="n">
        <f aca="false">VLOOKUP(A134,Inputs!$F$40:$G$48,2,TRUE())</f>
        <v>0.034199995543672</v>
      </c>
      <c r="K134" s="38" t="n">
        <f aca="false">J134+Inputs!$C$10</f>
        <v>0.101699995543672</v>
      </c>
      <c r="L134" s="37" t="n">
        <f aca="false">I134*K134/C134</f>
        <v>417.945187165775</v>
      </c>
      <c r="M134" s="37" t="n">
        <f aca="false">IF(AND(A134&gt;=Inputs!$C$13,OR(A134&lt;Inputs!$B$19,Inputs!$B$20=1)),I134*Inputs!$C$11/C134,0)</f>
        <v>0</v>
      </c>
    </row>
    <row r="135" customFormat="false" ht="15" hidden="false" customHeight="false" outlineLevel="0" collapsed="false">
      <c r="A135" s="35" t="n">
        <f aca="false">A134+1</f>
        <v>44942</v>
      </c>
      <c r="B135" s="35" t="n">
        <f aca="false">EOMONTH(A135+1,0)</f>
        <v>44957</v>
      </c>
      <c r="C135" s="36" t="n">
        <f aca="false">IF(MOD(YEAR(A135),4)=0,366,365)</f>
        <v>365</v>
      </c>
      <c r="D135" s="37" t="n">
        <f aca="false">Inputs!$B$9-SUMIFS(Cash_Events!$G$6:$G$20,Cash_Events!$C$6:$C$20,"rAGMF",Cash_Events!$B$6:$B$20,"&lt;="&amp;A135)</f>
        <v>1500000</v>
      </c>
      <c r="E135" s="38" t="n">
        <f aca="false">VLOOKUP(A135,Inputs!$A$40:$B$48,2,TRUE())</f>
        <v>0.034199997053407</v>
      </c>
      <c r="F135" s="38" t="n">
        <f aca="false">E135+Inputs!$B$10</f>
        <v>0.101699997053407</v>
      </c>
      <c r="G135" s="37" t="n">
        <f aca="false">D135*F135/C135</f>
        <v>417.945193370166</v>
      </c>
      <c r="H135" s="37" t="n">
        <f aca="false">IF(AND(A135&gt;=Inputs!$B$13,OR(A135&lt;Inputs!$B$19,Inputs!$B$20=1)),D135*Inputs!$B$11/C135,0)</f>
        <v>0</v>
      </c>
      <c r="I135" s="37" t="n">
        <f aca="false">Inputs!$C$9-SUMIFS(Cash_Events!$G$6:$G$20,Cash_Events!$C$6:$C$20,"FHL",Cash_Events!$B$6:$B$20,"&lt;="&amp;A135)</f>
        <v>1500000</v>
      </c>
      <c r="J135" s="38" t="n">
        <f aca="false">VLOOKUP(A135,Inputs!$F$40:$G$48,2,TRUE())</f>
        <v>0.034199995543672</v>
      </c>
      <c r="K135" s="38" t="n">
        <f aca="false">J135+Inputs!$C$10</f>
        <v>0.101699995543672</v>
      </c>
      <c r="L135" s="37" t="n">
        <f aca="false">I135*K135/C135</f>
        <v>417.945187165775</v>
      </c>
      <c r="M135" s="37" t="n">
        <f aca="false">IF(AND(A135&gt;=Inputs!$C$13,OR(A135&lt;Inputs!$B$19,Inputs!$B$20=1)),I135*Inputs!$C$11/C135,0)</f>
        <v>0</v>
      </c>
    </row>
    <row r="136" customFormat="false" ht="15" hidden="false" customHeight="false" outlineLevel="0" collapsed="false">
      <c r="A136" s="35" t="n">
        <f aca="false">A135+1</f>
        <v>44943</v>
      </c>
      <c r="B136" s="35" t="n">
        <f aca="false">EOMONTH(A136+1,0)</f>
        <v>44957</v>
      </c>
      <c r="C136" s="36" t="n">
        <f aca="false">IF(MOD(YEAR(A136),4)=0,366,365)</f>
        <v>365</v>
      </c>
      <c r="D136" s="37" t="n">
        <f aca="false">Inputs!$B$9-SUMIFS(Cash_Events!$G$6:$G$20,Cash_Events!$C$6:$C$20,"rAGMF",Cash_Events!$B$6:$B$20,"&lt;="&amp;A136)</f>
        <v>1500000</v>
      </c>
      <c r="E136" s="38" t="n">
        <f aca="false">VLOOKUP(A136,Inputs!$A$40:$B$48,2,TRUE())</f>
        <v>0.034199997053407</v>
      </c>
      <c r="F136" s="38" t="n">
        <f aca="false">E136+Inputs!$B$10</f>
        <v>0.101699997053407</v>
      </c>
      <c r="G136" s="37" t="n">
        <f aca="false">D136*F136/C136</f>
        <v>417.945193370166</v>
      </c>
      <c r="H136" s="37" t="n">
        <f aca="false">IF(AND(A136&gt;=Inputs!$B$13,OR(A136&lt;Inputs!$B$19,Inputs!$B$20=1)),D136*Inputs!$B$11/C136,0)</f>
        <v>0</v>
      </c>
      <c r="I136" s="37" t="n">
        <f aca="false">Inputs!$C$9-SUMIFS(Cash_Events!$G$6:$G$20,Cash_Events!$C$6:$C$20,"FHL",Cash_Events!$B$6:$B$20,"&lt;="&amp;A136)</f>
        <v>1500000</v>
      </c>
      <c r="J136" s="38" t="n">
        <f aca="false">VLOOKUP(A136,Inputs!$F$40:$G$48,2,TRUE())</f>
        <v>0.034199995543672</v>
      </c>
      <c r="K136" s="38" t="n">
        <f aca="false">J136+Inputs!$C$10</f>
        <v>0.101699995543672</v>
      </c>
      <c r="L136" s="37" t="n">
        <f aca="false">I136*K136/C136</f>
        <v>417.945187165775</v>
      </c>
      <c r="M136" s="37" t="n">
        <f aca="false">IF(AND(A136&gt;=Inputs!$C$13,OR(A136&lt;Inputs!$B$19,Inputs!$B$20=1)),I136*Inputs!$C$11/C136,0)</f>
        <v>0</v>
      </c>
    </row>
    <row r="137" customFormat="false" ht="15" hidden="false" customHeight="false" outlineLevel="0" collapsed="false">
      <c r="A137" s="35" t="n">
        <f aca="false">A136+1</f>
        <v>44944</v>
      </c>
      <c r="B137" s="35" t="n">
        <f aca="false">EOMONTH(A137+1,0)</f>
        <v>44957</v>
      </c>
      <c r="C137" s="36" t="n">
        <f aca="false">IF(MOD(YEAR(A137),4)=0,366,365)</f>
        <v>365</v>
      </c>
      <c r="D137" s="37" t="n">
        <f aca="false">Inputs!$B$9-SUMIFS(Cash_Events!$G$6:$G$20,Cash_Events!$C$6:$C$20,"rAGMF",Cash_Events!$B$6:$B$20,"&lt;="&amp;A137)</f>
        <v>1500000</v>
      </c>
      <c r="E137" s="38" t="n">
        <f aca="false">VLOOKUP(A137,Inputs!$A$40:$B$48,2,TRUE())</f>
        <v>0.034199997053407</v>
      </c>
      <c r="F137" s="38" t="n">
        <f aca="false">E137+Inputs!$B$10</f>
        <v>0.101699997053407</v>
      </c>
      <c r="G137" s="37" t="n">
        <f aca="false">D137*F137/C137</f>
        <v>417.945193370166</v>
      </c>
      <c r="H137" s="37" t="n">
        <f aca="false">IF(AND(A137&gt;=Inputs!$B$13,OR(A137&lt;Inputs!$B$19,Inputs!$B$20=1)),D137*Inputs!$B$11/C137,0)</f>
        <v>0</v>
      </c>
      <c r="I137" s="37" t="n">
        <f aca="false">Inputs!$C$9-SUMIFS(Cash_Events!$G$6:$G$20,Cash_Events!$C$6:$C$20,"FHL",Cash_Events!$B$6:$B$20,"&lt;="&amp;A137)</f>
        <v>1500000</v>
      </c>
      <c r="J137" s="38" t="n">
        <f aca="false">VLOOKUP(A137,Inputs!$F$40:$G$48,2,TRUE())</f>
        <v>0.034199995543672</v>
      </c>
      <c r="K137" s="38" t="n">
        <f aca="false">J137+Inputs!$C$10</f>
        <v>0.101699995543672</v>
      </c>
      <c r="L137" s="37" t="n">
        <f aca="false">I137*K137/C137</f>
        <v>417.945187165775</v>
      </c>
      <c r="M137" s="37" t="n">
        <f aca="false">IF(AND(A137&gt;=Inputs!$C$13,OR(A137&lt;Inputs!$B$19,Inputs!$B$20=1)),I137*Inputs!$C$11/C137,0)</f>
        <v>0</v>
      </c>
    </row>
    <row r="138" customFormat="false" ht="15" hidden="false" customHeight="false" outlineLevel="0" collapsed="false">
      <c r="A138" s="35" t="n">
        <f aca="false">A137+1</f>
        <v>44945</v>
      </c>
      <c r="B138" s="35" t="n">
        <f aca="false">EOMONTH(A138+1,0)</f>
        <v>44957</v>
      </c>
      <c r="C138" s="36" t="n">
        <f aca="false">IF(MOD(YEAR(A138),4)=0,366,365)</f>
        <v>365</v>
      </c>
      <c r="D138" s="37" t="n">
        <f aca="false">Inputs!$B$9-SUMIFS(Cash_Events!$G$6:$G$20,Cash_Events!$C$6:$C$20,"rAGMF",Cash_Events!$B$6:$B$20,"&lt;="&amp;A138)</f>
        <v>1500000</v>
      </c>
      <c r="E138" s="38" t="n">
        <f aca="false">VLOOKUP(A138,Inputs!$A$40:$B$48,2,TRUE())</f>
        <v>0.034199997053407</v>
      </c>
      <c r="F138" s="38" t="n">
        <f aca="false">E138+Inputs!$B$10</f>
        <v>0.101699997053407</v>
      </c>
      <c r="G138" s="37" t="n">
        <f aca="false">D138*F138/C138</f>
        <v>417.945193370166</v>
      </c>
      <c r="H138" s="37" t="n">
        <f aca="false">IF(AND(A138&gt;=Inputs!$B$13,OR(A138&lt;Inputs!$B$19,Inputs!$B$20=1)),D138*Inputs!$B$11/C138,0)</f>
        <v>0</v>
      </c>
      <c r="I138" s="37" t="n">
        <f aca="false">Inputs!$C$9-SUMIFS(Cash_Events!$G$6:$G$20,Cash_Events!$C$6:$C$20,"FHL",Cash_Events!$B$6:$B$20,"&lt;="&amp;A138)</f>
        <v>1500000</v>
      </c>
      <c r="J138" s="38" t="n">
        <f aca="false">VLOOKUP(A138,Inputs!$F$40:$G$48,2,TRUE())</f>
        <v>0.034199995543672</v>
      </c>
      <c r="K138" s="38" t="n">
        <f aca="false">J138+Inputs!$C$10</f>
        <v>0.101699995543672</v>
      </c>
      <c r="L138" s="37" t="n">
        <f aca="false">I138*K138/C138</f>
        <v>417.945187165775</v>
      </c>
      <c r="M138" s="37" t="n">
        <f aca="false">IF(AND(A138&gt;=Inputs!$C$13,OR(A138&lt;Inputs!$B$19,Inputs!$B$20=1)),I138*Inputs!$C$11/C138,0)</f>
        <v>0</v>
      </c>
    </row>
    <row r="139" customFormat="false" ht="15" hidden="false" customHeight="false" outlineLevel="0" collapsed="false">
      <c r="A139" s="35" t="n">
        <f aca="false">A138+1</f>
        <v>44946</v>
      </c>
      <c r="B139" s="35" t="n">
        <f aca="false">EOMONTH(A139+1,0)</f>
        <v>44957</v>
      </c>
      <c r="C139" s="36" t="n">
        <f aca="false">IF(MOD(YEAR(A139),4)=0,366,365)</f>
        <v>365</v>
      </c>
      <c r="D139" s="37" t="n">
        <f aca="false">Inputs!$B$9-SUMIFS(Cash_Events!$G$6:$G$20,Cash_Events!$C$6:$C$20,"rAGMF",Cash_Events!$B$6:$B$20,"&lt;="&amp;A139)</f>
        <v>1500000</v>
      </c>
      <c r="E139" s="38" t="n">
        <f aca="false">VLOOKUP(A139,Inputs!$A$40:$B$48,2,TRUE())</f>
        <v>0.034199997053407</v>
      </c>
      <c r="F139" s="38" t="n">
        <f aca="false">E139+Inputs!$B$10</f>
        <v>0.101699997053407</v>
      </c>
      <c r="G139" s="37" t="n">
        <f aca="false">D139*F139/C139</f>
        <v>417.945193370166</v>
      </c>
      <c r="H139" s="37" t="n">
        <f aca="false">IF(AND(A139&gt;=Inputs!$B$13,OR(A139&lt;Inputs!$B$19,Inputs!$B$20=1)),D139*Inputs!$B$11/C139,0)</f>
        <v>0</v>
      </c>
      <c r="I139" s="37" t="n">
        <f aca="false">Inputs!$C$9-SUMIFS(Cash_Events!$G$6:$G$20,Cash_Events!$C$6:$C$20,"FHL",Cash_Events!$B$6:$B$20,"&lt;="&amp;A139)</f>
        <v>1500000</v>
      </c>
      <c r="J139" s="38" t="n">
        <f aca="false">VLOOKUP(A139,Inputs!$F$40:$G$48,2,TRUE())</f>
        <v>0.034199995543672</v>
      </c>
      <c r="K139" s="38" t="n">
        <f aca="false">J139+Inputs!$C$10</f>
        <v>0.101699995543672</v>
      </c>
      <c r="L139" s="37" t="n">
        <f aca="false">I139*K139/C139</f>
        <v>417.945187165775</v>
      </c>
      <c r="M139" s="37" t="n">
        <f aca="false">IF(AND(A139&gt;=Inputs!$C$13,OR(A139&lt;Inputs!$B$19,Inputs!$B$20=1)),I139*Inputs!$C$11/C139,0)</f>
        <v>0</v>
      </c>
    </row>
    <row r="140" customFormat="false" ht="15" hidden="false" customHeight="false" outlineLevel="0" collapsed="false">
      <c r="A140" s="35" t="n">
        <f aca="false">A139+1</f>
        <v>44947</v>
      </c>
      <c r="B140" s="35" t="n">
        <f aca="false">EOMONTH(A140+1,0)</f>
        <v>44957</v>
      </c>
      <c r="C140" s="36" t="n">
        <f aca="false">IF(MOD(YEAR(A140),4)=0,366,365)</f>
        <v>365</v>
      </c>
      <c r="D140" s="37" t="n">
        <f aca="false">Inputs!$B$9-SUMIFS(Cash_Events!$G$6:$G$20,Cash_Events!$C$6:$C$20,"rAGMF",Cash_Events!$B$6:$B$20,"&lt;="&amp;A140)</f>
        <v>1500000</v>
      </c>
      <c r="E140" s="38" t="n">
        <f aca="false">VLOOKUP(A140,Inputs!$A$40:$B$48,2,TRUE())</f>
        <v>0.034199997053407</v>
      </c>
      <c r="F140" s="38" t="n">
        <f aca="false">E140+Inputs!$B$10</f>
        <v>0.101699997053407</v>
      </c>
      <c r="G140" s="37" t="n">
        <f aca="false">D140*F140/C140</f>
        <v>417.945193370166</v>
      </c>
      <c r="H140" s="37" t="n">
        <f aca="false">IF(AND(A140&gt;=Inputs!$B$13,OR(A140&lt;Inputs!$B$19,Inputs!$B$20=1)),D140*Inputs!$B$11/C140,0)</f>
        <v>0</v>
      </c>
      <c r="I140" s="37" t="n">
        <f aca="false">Inputs!$C$9-SUMIFS(Cash_Events!$G$6:$G$20,Cash_Events!$C$6:$C$20,"FHL",Cash_Events!$B$6:$B$20,"&lt;="&amp;A140)</f>
        <v>1500000</v>
      </c>
      <c r="J140" s="38" t="n">
        <f aca="false">VLOOKUP(A140,Inputs!$F$40:$G$48,2,TRUE())</f>
        <v>0.034199995543672</v>
      </c>
      <c r="K140" s="38" t="n">
        <f aca="false">J140+Inputs!$C$10</f>
        <v>0.101699995543672</v>
      </c>
      <c r="L140" s="37" t="n">
        <f aca="false">I140*K140/C140</f>
        <v>417.945187165775</v>
      </c>
      <c r="M140" s="37" t="n">
        <f aca="false">IF(AND(A140&gt;=Inputs!$C$13,OR(A140&lt;Inputs!$B$19,Inputs!$B$20=1)),I140*Inputs!$C$11/C140,0)</f>
        <v>0</v>
      </c>
    </row>
    <row r="141" customFormat="false" ht="15" hidden="false" customHeight="false" outlineLevel="0" collapsed="false">
      <c r="A141" s="35" t="n">
        <f aca="false">A140+1</f>
        <v>44948</v>
      </c>
      <c r="B141" s="35" t="n">
        <f aca="false">EOMONTH(A141+1,0)</f>
        <v>44957</v>
      </c>
      <c r="C141" s="36" t="n">
        <f aca="false">IF(MOD(YEAR(A141),4)=0,366,365)</f>
        <v>365</v>
      </c>
      <c r="D141" s="37" t="n">
        <f aca="false">Inputs!$B$9-SUMIFS(Cash_Events!$G$6:$G$20,Cash_Events!$C$6:$C$20,"rAGMF",Cash_Events!$B$6:$B$20,"&lt;="&amp;A141)</f>
        <v>1500000</v>
      </c>
      <c r="E141" s="38" t="n">
        <f aca="false">VLOOKUP(A141,Inputs!$A$40:$B$48,2,TRUE())</f>
        <v>0.034199997053407</v>
      </c>
      <c r="F141" s="38" t="n">
        <f aca="false">E141+Inputs!$B$10</f>
        <v>0.101699997053407</v>
      </c>
      <c r="G141" s="37" t="n">
        <f aca="false">D141*F141/C141</f>
        <v>417.945193370166</v>
      </c>
      <c r="H141" s="37" t="n">
        <f aca="false">IF(AND(A141&gt;=Inputs!$B$13,OR(A141&lt;Inputs!$B$19,Inputs!$B$20=1)),D141*Inputs!$B$11/C141,0)</f>
        <v>0</v>
      </c>
      <c r="I141" s="37" t="n">
        <f aca="false">Inputs!$C$9-SUMIFS(Cash_Events!$G$6:$G$20,Cash_Events!$C$6:$C$20,"FHL",Cash_Events!$B$6:$B$20,"&lt;="&amp;A141)</f>
        <v>1500000</v>
      </c>
      <c r="J141" s="38" t="n">
        <f aca="false">VLOOKUP(A141,Inputs!$F$40:$G$48,2,TRUE())</f>
        <v>0.034199995543672</v>
      </c>
      <c r="K141" s="38" t="n">
        <f aca="false">J141+Inputs!$C$10</f>
        <v>0.101699995543672</v>
      </c>
      <c r="L141" s="37" t="n">
        <f aca="false">I141*K141/C141</f>
        <v>417.945187165775</v>
      </c>
      <c r="M141" s="37" t="n">
        <f aca="false">IF(AND(A141&gt;=Inputs!$C$13,OR(A141&lt;Inputs!$B$19,Inputs!$B$20=1)),I141*Inputs!$C$11/C141,0)</f>
        <v>0</v>
      </c>
    </row>
    <row r="142" customFormat="false" ht="15" hidden="false" customHeight="false" outlineLevel="0" collapsed="false">
      <c r="A142" s="35" t="n">
        <f aca="false">A141+1</f>
        <v>44949</v>
      </c>
      <c r="B142" s="35" t="n">
        <f aca="false">EOMONTH(A142+1,0)</f>
        <v>44957</v>
      </c>
      <c r="C142" s="36" t="n">
        <f aca="false">IF(MOD(YEAR(A142),4)=0,366,365)</f>
        <v>365</v>
      </c>
      <c r="D142" s="37" t="n">
        <f aca="false">Inputs!$B$9-SUMIFS(Cash_Events!$G$6:$G$20,Cash_Events!$C$6:$C$20,"rAGMF",Cash_Events!$B$6:$B$20,"&lt;="&amp;A142)</f>
        <v>1500000</v>
      </c>
      <c r="E142" s="38" t="n">
        <f aca="false">VLOOKUP(A142,Inputs!$A$40:$B$48,2,TRUE())</f>
        <v>0.034199997053407</v>
      </c>
      <c r="F142" s="38" t="n">
        <f aca="false">E142+Inputs!$B$10</f>
        <v>0.101699997053407</v>
      </c>
      <c r="G142" s="37" t="n">
        <f aca="false">D142*F142/C142</f>
        <v>417.945193370166</v>
      </c>
      <c r="H142" s="37" t="n">
        <f aca="false">IF(AND(A142&gt;=Inputs!$B$13,OR(A142&lt;Inputs!$B$19,Inputs!$B$20=1)),D142*Inputs!$B$11/C142,0)</f>
        <v>0</v>
      </c>
      <c r="I142" s="37" t="n">
        <f aca="false">Inputs!$C$9-SUMIFS(Cash_Events!$G$6:$G$20,Cash_Events!$C$6:$C$20,"FHL",Cash_Events!$B$6:$B$20,"&lt;="&amp;A142)</f>
        <v>1500000</v>
      </c>
      <c r="J142" s="38" t="n">
        <f aca="false">VLOOKUP(A142,Inputs!$F$40:$G$48,2,TRUE())</f>
        <v>0.034199995543672</v>
      </c>
      <c r="K142" s="38" t="n">
        <f aca="false">J142+Inputs!$C$10</f>
        <v>0.101699995543672</v>
      </c>
      <c r="L142" s="37" t="n">
        <f aca="false">I142*K142/C142</f>
        <v>417.945187165775</v>
      </c>
      <c r="M142" s="37" t="n">
        <f aca="false">IF(AND(A142&gt;=Inputs!$C$13,OR(A142&lt;Inputs!$B$19,Inputs!$B$20=1)),I142*Inputs!$C$11/C142,0)</f>
        <v>0</v>
      </c>
    </row>
    <row r="143" customFormat="false" ht="15" hidden="false" customHeight="false" outlineLevel="0" collapsed="false">
      <c r="A143" s="35" t="n">
        <f aca="false">A142+1</f>
        <v>44950</v>
      </c>
      <c r="B143" s="35" t="n">
        <f aca="false">EOMONTH(A143+1,0)</f>
        <v>44957</v>
      </c>
      <c r="C143" s="36" t="n">
        <f aca="false">IF(MOD(YEAR(A143),4)=0,366,365)</f>
        <v>365</v>
      </c>
      <c r="D143" s="37" t="n">
        <f aca="false">Inputs!$B$9-SUMIFS(Cash_Events!$G$6:$G$20,Cash_Events!$C$6:$C$20,"rAGMF",Cash_Events!$B$6:$B$20,"&lt;="&amp;A143)</f>
        <v>1500000</v>
      </c>
      <c r="E143" s="38" t="n">
        <f aca="false">VLOOKUP(A143,Inputs!$A$40:$B$48,2,TRUE())</f>
        <v>0.034199997053407</v>
      </c>
      <c r="F143" s="38" t="n">
        <f aca="false">E143+Inputs!$B$10</f>
        <v>0.101699997053407</v>
      </c>
      <c r="G143" s="37" t="n">
        <f aca="false">D143*F143/C143</f>
        <v>417.945193370166</v>
      </c>
      <c r="H143" s="37" t="n">
        <f aca="false">IF(AND(A143&gt;=Inputs!$B$13,OR(A143&lt;Inputs!$B$19,Inputs!$B$20=1)),D143*Inputs!$B$11/C143,0)</f>
        <v>0</v>
      </c>
      <c r="I143" s="37" t="n">
        <f aca="false">Inputs!$C$9-SUMIFS(Cash_Events!$G$6:$G$20,Cash_Events!$C$6:$C$20,"FHL",Cash_Events!$B$6:$B$20,"&lt;="&amp;A143)</f>
        <v>1500000</v>
      </c>
      <c r="J143" s="38" t="n">
        <f aca="false">VLOOKUP(A143,Inputs!$F$40:$G$48,2,TRUE())</f>
        <v>0.034199995543672</v>
      </c>
      <c r="K143" s="38" t="n">
        <f aca="false">J143+Inputs!$C$10</f>
        <v>0.101699995543672</v>
      </c>
      <c r="L143" s="37" t="n">
        <f aca="false">I143*K143/C143</f>
        <v>417.945187165775</v>
      </c>
      <c r="M143" s="37" t="n">
        <f aca="false">IF(AND(A143&gt;=Inputs!$C$13,OR(A143&lt;Inputs!$B$19,Inputs!$B$20=1)),I143*Inputs!$C$11/C143,0)</f>
        <v>0</v>
      </c>
    </row>
    <row r="144" customFormat="false" ht="15" hidden="false" customHeight="false" outlineLevel="0" collapsed="false">
      <c r="A144" s="35" t="n">
        <f aca="false">A143+1</f>
        <v>44951</v>
      </c>
      <c r="B144" s="35" t="n">
        <f aca="false">EOMONTH(A144+1,0)</f>
        <v>44957</v>
      </c>
      <c r="C144" s="36" t="n">
        <f aca="false">IF(MOD(YEAR(A144),4)=0,366,365)</f>
        <v>365</v>
      </c>
      <c r="D144" s="37" t="n">
        <f aca="false">Inputs!$B$9-SUMIFS(Cash_Events!$G$6:$G$20,Cash_Events!$C$6:$C$20,"rAGMF",Cash_Events!$B$6:$B$20,"&lt;="&amp;A144)</f>
        <v>1500000</v>
      </c>
      <c r="E144" s="38" t="n">
        <f aca="false">VLOOKUP(A144,Inputs!$A$40:$B$48,2,TRUE())</f>
        <v>0.034199997053407</v>
      </c>
      <c r="F144" s="38" t="n">
        <f aca="false">E144+Inputs!$B$10</f>
        <v>0.101699997053407</v>
      </c>
      <c r="G144" s="37" t="n">
        <f aca="false">D144*F144/C144</f>
        <v>417.945193370166</v>
      </c>
      <c r="H144" s="37" t="n">
        <f aca="false">IF(AND(A144&gt;=Inputs!$B$13,OR(A144&lt;Inputs!$B$19,Inputs!$B$20=1)),D144*Inputs!$B$11/C144,0)</f>
        <v>0</v>
      </c>
      <c r="I144" s="37" t="n">
        <f aca="false">Inputs!$C$9-SUMIFS(Cash_Events!$G$6:$G$20,Cash_Events!$C$6:$C$20,"FHL",Cash_Events!$B$6:$B$20,"&lt;="&amp;A144)</f>
        <v>1500000</v>
      </c>
      <c r="J144" s="38" t="n">
        <f aca="false">VLOOKUP(A144,Inputs!$F$40:$G$48,2,TRUE())</f>
        <v>0.034199995543672</v>
      </c>
      <c r="K144" s="38" t="n">
        <f aca="false">J144+Inputs!$C$10</f>
        <v>0.101699995543672</v>
      </c>
      <c r="L144" s="37" t="n">
        <f aca="false">I144*K144/C144</f>
        <v>417.945187165775</v>
      </c>
      <c r="M144" s="37" t="n">
        <f aca="false">IF(AND(A144&gt;=Inputs!$C$13,OR(A144&lt;Inputs!$B$19,Inputs!$B$20=1)),I144*Inputs!$C$11/C144,0)</f>
        <v>0</v>
      </c>
    </row>
    <row r="145" customFormat="false" ht="15" hidden="false" customHeight="false" outlineLevel="0" collapsed="false">
      <c r="A145" s="35" t="n">
        <f aca="false">A144+1</f>
        <v>44952</v>
      </c>
      <c r="B145" s="35" t="n">
        <f aca="false">EOMONTH(A145+1,0)</f>
        <v>44957</v>
      </c>
      <c r="C145" s="36" t="n">
        <f aca="false">IF(MOD(YEAR(A145),4)=0,366,365)</f>
        <v>365</v>
      </c>
      <c r="D145" s="37" t="n">
        <f aca="false">Inputs!$B$9-SUMIFS(Cash_Events!$G$6:$G$20,Cash_Events!$C$6:$C$20,"rAGMF",Cash_Events!$B$6:$B$20,"&lt;="&amp;A145)</f>
        <v>1500000</v>
      </c>
      <c r="E145" s="38" t="n">
        <f aca="false">VLOOKUP(A145,Inputs!$A$40:$B$48,2,TRUE())</f>
        <v>0.034199997053407</v>
      </c>
      <c r="F145" s="38" t="n">
        <f aca="false">E145+Inputs!$B$10</f>
        <v>0.101699997053407</v>
      </c>
      <c r="G145" s="37" t="n">
        <f aca="false">D145*F145/C145</f>
        <v>417.945193370166</v>
      </c>
      <c r="H145" s="37" t="n">
        <f aca="false">IF(AND(A145&gt;=Inputs!$B$13,OR(A145&lt;Inputs!$B$19,Inputs!$B$20=1)),D145*Inputs!$B$11/C145,0)</f>
        <v>0</v>
      </c>
      <c r="I145" s="37" t="n">
        <f aca="false">Inputs!$C$9-SUMIFS(Cash_Events!$G$6:$G$20,Cash_Events!$C$6:$C$20,"FHL",Cash_Events!$B$6:$B$20,"&lt;="&amp;A145)</f>
        <v>1500000</v>
      </c>
      <c r="J145" s="38" t="n">
        <f aca="false">VLOOKUP(A145,Inputs!$F$40:$G$48,2,TRUE())</f>
        <v>0.034199995543672</v>
      </c>
      <c r="K145" s="38" t="n">
        <f aca="false">J145+Inputs!$C$10</f>
        <v>0.101699995543672</v>
      </c>
      <c r="L145" s="37" t="n">
        <f aca="false">I145*K145/C145</f>
        <v>417.945187165775</v>
      </c>
      <c r="M145" s="37" t="n">
        <f aca="false">IF(AND(A145&gt;=Inputs!$C$13,OR(A145&lt;Inputs!$B$19,Inputs!$B$20=1)),I145*Inputs!$C$11/C145,0)</f>
        <v>0</v>
      </c>
    </row>
    <row r="146" customFormat="false" ht="15" hidden="false" customHeight="false" outlineLevel="0" collapsed="false">
      <c r="A146" s="35" t="n">
        <f aca="false">A145+1</f>
        <v>44953</v>
      </c>
      <c r="B146" s="35" t="n">
        <f aca="false">EOMONTH(A146+1,0)</f>
        <v>44957</v>
      </c>
      <c r="C146" s="36" t="n">
        <f aca="false">IF(MOD(YEAR(A146),4)=0,366,365)</f>
        <v>365</v>
      </c>
      <c r="D146" s="37" t="n">
        <f aca="false">Inputs!$B$9-SUMIFS(Cash_Events!$G$6:$G$20,Cash_Events!$C$6:$C$20,"rAGMF",Cash_Events!$B$6:$B$20,"&lt;="&amp;A146)</f>
        <v>1500000</v>
      </c>
      <c r="E146" s="38" t="n">
        <f aca="false">VLOOKUP(A146,Inputs!$A$40:$B$48,2,TRUE())</f>
        <v>0.034199997053407</v>
      </c>
      <c r="F146" s="38" t="n">
        <f aca="false">E146+Inputs!$B$10</f>
        <v>0.101699997053407</v>
      </c>
      <c r="G146" s="37" t="n">
        <f aca="false">D146*F146/C146</f>
        <v>417.945193370166</v>
      </c>
      <c r="H146" s="37" t="n">
        <f aca="false">IF(AND(A146&gt;=Inputs!$B$13,OR(A146&lt;Inputs!$B$19,Inputs!$B$20=1)),D146*Inputs!$B$11/C146,0)</f>
        <v>0</v>
      </c>
      <c r="I146" s="37" t="n">
        <f aca="false">Inputs!$C$9-SUMIFS(Cash_Events!$G$6:$G$20,Cash_Events!$C$6:$C$20,"FHL",Cash_Events!$B$6:$B$20,"&lt;="&amp;A146)</f>
        <v>1500000</v>
      </c>
      <c r="J146" s="38" t="n">
        <f aca="false">VLOOKUP(A146,Inputs!$F$40:$G$48,2,TRUE())</f>
        <v>0.034199995543672</v>
      </c>
      <c r="K146" s="38" t="n">
        <f aca="false">J146+Inputs!$C$10</f>
        <v>0.101699995543672</v>
      </c>
      <c r="L146" s="37" t="n">
        <f aca="false">I146*K146/C146</f>
        <v>417.945187165775</v>
      </c>
      <c r="M146" s="37" t="n">
        <f aca="false">IF(AND(A146&gt;=Inputs!$C$13,OR(A146&lt;Inputs!$B$19,Inputs!$B$20=1)),I146*Inputs!$C$11/C146,0)</f>
        <v>0</v>
      </c>
    </row>
    <row r="147" customFormat="false" ht="15" hidden="false" customHeight="false" outlineLevel="0" collapsed="false">
      <c r="A147" s="35" t="n">
        <f aca="false">A146+1</f>
        <v>44954</v>
      </c>
      <c r="B147" s="35" t="n">
        <f aca="false">EOMONTH(A147+1,0)</f>
        <v>44957</v>
      </c>
      <c r="C147" s="36" t="n">
        <f aca="false">IF(MOD(YEAR(A147),4)=0,366,365)</f>
        <v>365</v>
      </c>
      <c r="D147" s="37" t="n">
        <f aca="false">Inputs!$B$9-SUMIFS(Cash_Events!$G$6:$G$20,Cash_Events!$C$6:$C$20,"rAGMF",Cash_Events!$B$6:$B$20,"&lt;="&amp;A147)</f>
        <v>1500000</v>
      </c>
      <c r="E147" s="38" t="n">
        <f aca="false">VLOOKUP(A147,Inputs!$A$40:$B$48,2,TRUE())</f>
        <v>0.034199997053407</v>
      </c>
      <c r="F147" s="38" t="n">
        <f aca="false">E147+Inputs!$B$10</f>
        <v>0.101699997053407</v>
      </c>
      <c r="G147" s="37" t="n">
        <f aca="false">D147*F147/C147</f>
        <v>417.945193370166</v>
      </c>
      <c r="H147" s="37" t="n">
        <f aca="false">IF(AND(A147&gt;=Inputs!$B$13,OR(A147&lt;Inputs!$B$19,Inputs!$B$20=1)),D147*Inputs!$B$11/C147,0)</f>
        <v>0</v>
      </c>
      <c r="I147" s="37" t="n">
        <f aca="false">Inputs!$C$9-SUMIFS(Cash_Events!$G$6:$G$20,Cash_Events!$C$6:$C$20,"FHL",Cash_Events!$B$6:$B$20,"&lt;="&amp;A147)</f>
        <v>1500000</v>
      </c>
      <c r="J147" s="38" t="n">
        <f aca="false">VLOOKUP(A147,Inputs!$F$40:$G$48,2,TRUE())</f>
        <v>0.034199995543672</v>
      </c>
      <c r="K147" s="38" t="n">
        <f aca="false">J147+Inputs!$C$10</f>
        <v>0.101699995543672</v>
      </c>
      <c r="L147" s="37" t="n">
        <f aca="false">I147*K147/C147</f>
        <v>417.945187165775</v>
      </c>
      <c r="M147" s="37" t="n">
        <f aca="false">IF(AND(A147&gt;=Inputs!$C$13,OR(A147&lt;Inputs!$B$19,Inputs!$B$20=1)),I147*Inputs!$C$11/C147,0)</f>
        <v>0</v>
      </c>
    </row>
    <row r="148" customFormat="false" ht="15" hidden="false" customHeight="false" outlineLevel="0" collapsed="false">
      <c r="A148" s="35" t="n">
        <f aca="false">A147+1</f>
        <v>44955</v>
      </c>
      <c r="B148" s="35" t="n">
        <f aca="false">EOMONTH(A148+1,0)</f>
        <v>44957</v>
      </c>
      <c r="C148" s="36" t="n">
        <f aca="false">IF(MOD(YEAR(A148),4)=0,366,365)</f>
        <v>365</v>
      </c>
      <c r="D148" s="37" t="n">
        <f aca="false">Inputs!$B$9-SUMIFS(Cash_Events!$G$6:$G$20,Cash_Events!$C$6:$C$20,"rAGMF",Cash_Events!$B$6:$B$20,"&lt;="&amp;A148)</f>
        <v>1500000</v>
      </c>
      <c r="E148" s="38" t="n">
        <f aca="false">VLOOKUP(A148,Inputs!$A$40:$B$48,2,TRUE())</f>
        <v>0.034199997053407</v>
      </c>
      <c r="F148" s="38" t="n">
        <f aca="false">E148+Inputs!$B$10</f>
        <v>0.101699997053407</v>
      </c>
      <c r="G148" s="37" t="n">
        <f aca="false">D148*F148/C148</f>
        <v>417.945193370166</v>
      </c>
      <c r="H148" s="37" t="n">
        <f aca="false">IF(AND(A148&gt;=Inputs!$B$13,OR(A148&lt;Inputs!$B$19,Inputs!$B$20=1)),D148*Inputs!$B$11/C148,0)</f>
        <v>0</v>
      </c>
      <c r="I148" s="37" t="n">
        <f aca="false">Inputs!$C$9-SUMIFS(Cash_Events!$G$6:$G$20,Cash_Events!$C$6:$C$20,"FHL",Cash_Events!$B$6:$B$20,"&lt;="&amp;A148)</f>
        <v>1500000</v>
      </c>
      <c r="J148" s="38" t="n">
        <f aca="false">VLOOKUP(A148,Inputs!$F$40:$G$48,2,TRUE())</f>
        <v>0.034199995543672</v>
      </c>
      <c r="K148" s="38" t="n">
        <f aca="false">J148+Inputs!$C$10</f>
        <v>0.101699995543672</v>
      </c>
      <c r="L148" s="37" t="n">
        <f aca="false">I148*K148/C148</f>
        <v>417.945187165775</v>
      </c>
      <c r="M148" s="37" t="n">
        <f aca="false">IF(AND(A148&gt;=Inputs!$C$13,OR(A148&lt;Inputs!$B$19,Inputs!$B$20=1)),I148*Inputs!$C$11/C148,0)</f>
        <v>0</v>
      </c>
    </row>
    <row r="149" customFormat="false" ht="15" hidden="false" customHeight="false" outlineLevel="0" collapsed="false">
      <c r="A149" s="35" t="n">
        <f aca="false">A148+1</f>
        <v>44956</v>
      </c>
      <c r="B149" s="35" t="n">
        <f aca="false">EOMONTH(A149+1,0)</f>
        <v>44957</v>
      </c>
      <c r="C149" s="36" t="n">
        <f aca="false">IF(MOD(YEAR(A149),4)=0,366,365)</f>
        <v>365</v>
      </c>
      <c r="D149" s="37" t="n">
        <f aca="false">Inputs!$B$9-SUMIFS(Cash_Events!$G$6:$G$20,Cash_Events!$C$6:$C$20,"rAGMF",Cash_Events!$B$6:$B$20,"&lt;="&amp;A149)</f>
        <v>1500000</v>
      </c>
      <c r="E149" s="38" t="n">
        <f aca="false">VLOOKUP(A149,Inputs!$A$40:$B$48,2,TRUE())</f>
        <v>0.034199997053407</v>
      </c>
      <c r="F149" s="38" t="n">
        <f aca="false">E149+Inputs!$B$10</f>
        <v>0.101699997053407</v>
      </c>
      <c r="G149" s="37" t="n">
        <f aca="false">D149*F149/C149</f>
        <v>417.945193370166</v>
      </c>
      <c r="H149" s="37" t="n">
        <f aca="false">IF(AND(A149&gt;=Inputs!$B$13,OR(A149&lt;Inputs!$B$19,Inputs!$B$20=1)),D149*Inputs!$B$11/C149,0)</f>
        <v>0</v>
      </c>
      <c r="I149" s="37" t="n">
        <f aca="false">Inputs!$C$9-SUMIFS(Cash_Events!$G$6:$G$20,Cash_Events!$C$6:$C$20,"FHL",Cash_Events!$B$6:$B$20,"&lt;="&amp;A149)</f>
        <v>1500000</v>
      </c>
      <c r="J149" s="38" t="n">
        <f aca="false">VLOOKUP(A149,Inputs!$F$40:$G$48,2,TRUE())</f>
        <v>0.034199995543672</v>
      </c>
      <c r="K149" s="38" t="n">
        <f aca="false">J149+Inputs!$C$10</f>
        <v>0.101699995543672</v>
      </c>
      <c r="L149" s="37" t="n">
        <f aca="false">I149*K149/C149</f>
        <v>417.945187165775</v>
      </c>
      <c r="M149" s="37" t="n">
        <f aca="false">IF(AND(A149&gt;=Inputs!$C$13,OR(A149&lt;Inputs!$B$19,Inputs!$B$20=1)),I149*Inputs!$C$11/C149,0)</f>
        <v>0</v>
      </c>
    </row>
    <row r="150" customFormat="false" ht="15" hidden="false" customHeight="false" outlineLevel="0" collapsed="false">
      <c r="A150" s="35" t="n">
        <f aca="false">A149+1</f>
        <v>44957</v>
      </c>
      <c r="B150" s="35" t="n">
        <f aca="false">EOMONTH(A150+1,0)</f>
        <v>44985</v>
      </c>
      <c r="C150" s="36" t="n">
        <f aca="false">IF(MOD(YEAR(A150),4)=0,366,365)</f>
        <v>365</v>
      </c>
      <c r="D150" s="37" t="n">
        <f aca="false">Inputs!$B$9-SUMIFS(Cash_Events!$G$6:$G$20,Cash_Events!$C$6:$C$20,"rAGMF",Cash_Events!$B$6:$B$20,"&lt;="&amp;A150)</f>
        <v>1500000</v>
      </c>
      <c r="E150" s="38" t="n">
        <f aca="false">VLOOKUP(A150,Inputs!$A$40:$B$48,2,TRUE())</f>
        <v>0.034199997053407</v>
      </c>
      <c r="F150" s="38" t="n">
        <f aca="false">E150+Inputs!$B$10</f>
        <v>0.101699997053407</v>
      </c>
      <c r="G150" s="37" t="n">
        <f aca="false">D150*F150/C150</f>
        <v>417.945193370166</v>
      </c>
      <c r="H150" s="37" t="n">
        <f aca="false">IF(AND(A150&gt;=Inputs!$B$13,OR(A150&lt;Inputs!$B$19,Inputs!$B$20=1)),D150*Inputs!$B$11/C150,0)</f>
        <v>0</v>
      </c>
      <c r="I150" s="37" t="n">
        <f aca="false">Inputs!$C$9-SUMIFS(Cash_Events!$G$6:$G$20,Cash_Events!$C$6:$C$20,"FHL",Cash_Events!$B$6:$B$20,"&lt;="&amp;A150)</f>
        <v>1500000</v>
      </c>
      <c r="J150" s="38" t="n">
        <f aca="false">VLOOKUP(A150,Inputs!$F$40:$G$48,2,TRUE())</f>
        <v>0.034199995543672</v>
      </c>
      <c r="K150" s="38" t="n">
        <f aca="false">J150+Inputs!$C$10</f>
        <v>0.101699995543672</v>
      </c>
      <c r="L150" s="37" t="n">
        <f aca="false">I150*K150/C150</f>
        <v>417.945187165775</v>
      </c>
      <c r="M150" s="37" t="n">
        <f aca="false">IF(AND(A150&gt;=Inputs!$C$13,OR(A150&lt;Inputs!$B$19,Inputs!$B$20=1)),I150*Inputs!$C$11/C150,0)</f>
        <v>0</v>
      </c>
    </row>
    <row r="151" customFormat="false" ht="15" hidden="false" customHeight="false" outlineLevel="0" collapsed="false">
      <c r="A151" s="35" t="n">
        <f aca="false">A150+1</f>
        <v>44958</v>
      </c>
      <c r="B151" s="35" t="n">
        <f aca="false">EOMONTH(A151+1,0)</f>
        <v>44985</v>
      </c>
      <c r="C151" s="36" t="n">
        <f aca="false">IF(MOD(YEAR(A151),4)=0,366,365)</f>
        <v>365</v>
      </c>
      <c r="D151" s="37" t="n">
        <f aca="false">Inputs!$B$9-SUMIFS(Cash_Events!$G$6:$G$20,Cash_Events!$C$6:$C$20,"rAGMF",Cash_Events!$B$6:$B$20,"&lt;="&amp;A151)</f>
        <v>1500000</v>
      </c>
      <c r="E151" s="38" t="n">
        <f aca="false">VLOOKUP(A151,Inputs!$A$40:$B$48,2,TRUE())</f>
        <v>0.034199997053407</v>
      </c>
      <c r="F151" s="38" t="n">
        <f aca="false">E151+Inputs!$B$10</f>
        <v>0.101699997053407</v>
      </c>
      <c r="G151" s="37" t="n">
        <f aca="false">D151*F151/C151</f>
        <v>417.945193370166</v>
      </c>
      <c r="H151" s="37" t="n">
        <f aca="false">IF(AND(A151&gt;=Inputs!$B$13,OR(A151&lt;Inputs!$B$19,Inputs!$B$20=1)),D151*Inputs!$B$11/C151,0)</f>
        <v>0</v>
      </c>
      <c r="I151" s="37" t="n">
        <f aca="false">Inputs!$C$9-SUMIFS(Cash_Events!$G$6:$G$20,Cash_Events!$C$6:$C$20,"FHL",Cash_Events!$B$6:$B$20,"&lt;="&amp;A151)</f>
        <v>1500000</v>
      </c>
      <c r="J151" s="38" t="n">
        <f aca="false">VLOOKUP(A151,Inputs!$F$40:$G$48,2,TRUE())</f>
        <v>0.034199995543672</v>
      </c>
      <c r="K151" s="38" t="n">
        <f aca="false">J151+Inputs!$C$10</f>
        <v>0.101699995543672</v>
      </c>
      <c r="L151" s="37" t="n">
        <f aca="false">I151*K151/C151</f>
        <v>417.945187165775</v>
      </c>
      <c r="M151" s="37" t="n">
        <f aca="false">IF(AND(A151&gt;=Inputs!$C$13,OR(A151&lt;Inputs!$B$19,Inputs!$B$20=1)),I151*Inputs!$C$11/C151,0)</f>
        <v>0</v>
      </c>
    </row>
    <row r="152" customFormat="false" ht="15" hidden="false" customHeight="false" outlineLevel="0" collapsed="false">
      <c r="A152" s="35" t="n">
        <f aca="false">A151+1</f>
        <v>44959</v>
      </c>
      <c r="B152" s="35" t="n">
        <f aca="false">EOMONTH(A152+1,0)</f>
        <v>44985</v>
      </c>
      <c r="C152" s="36" t="n">
        <f aca="false">IF(MOD(YEAR(A152),4)=0,366,365)</f>
        <v>365</v>
      </c>
      <c r="D152" s="37" t="n">
        <f aca="false">Inputs!$B$9-SUMIFS(Cash_Events!$G$6:$G$20,Cash_Events!$C$6:$C$20,"rAGMF",Cash_Events!$B$6:$B$20,"&lt;="&amp;A152)</f>
        <v>1500000</v>
      </c>
      <c r="E152" s="38" t="n">
        <f aca="false">VLOOKUP(A152,Inputs!$A$40:$B$48,2,TRUE())</f>
        <v>0.034199997053407</v>
      </c>
      <c r="F152" s="38" t="n">
        <f aca="false">E152+Inputs!$B$10</f>
        <v>0.101699997053407</v>
      </c>
      <c r="G152" s="37" t="n">
        <f aca="false">D152*F152/C152</f>
        <v>417.945193370166</v>
      </c>
      <c r="H152" s="37" t="n">
        <f aca="false">IF(AND(A152&gt;=Inputs!$B$13,OR(A152&lt;Inputs!$B$19,Inputs!$B$20=1)),D152*Inputs!$B$11/C152,0)</f>
        <v>0</v>
      </c>
      <c r="I152" s="37" t="n">
        <f aca="false">Inputs!$C$9-SUMIFS(Cash_Events!$G$6:$G$20,Cash_Events!$C$6:$C$20,"FHL",Cash_Events!$B$6:$B$20,"&lt;="&amp;A152)</f>
        <v>1500000</v>
      </c>
      <c r="J152" s="38" t="n">
        <f aca="false">VLOOKUP(A152,Inputs!$F$40:$G$48,2,TRUE())</f>
        <v>0.034199995543672</v>
      </c>
      <c r="K152" s="38" t="n">
        <f aca="false">J152+Inputs!$C$10</f>
        <v>0.101699995543672</v>
      </c>
      <c r="L152" s="37" t="n">
        <f aca="false">I152*K152/C152</f>
        <v>417.945187165775</v>
      </c>
      <c r="M152" s="37" t="n">
        <f aca="false">IF(AND(A152&gt;=Inputs!$C$13,OR(A152&lt;Inputs!$B$19,Inputs!$B$20=1)),I152*Inputs!$C$11/C152,0)</f>
        <v>0</v>
      </c>
    </row>
    <row r="153" customFormat="false" ht="15" hidden="false" customHeight="false" outlineLevel="0" collapsed="false">
      <c r="A153" s="35" t="n">
        <f aca="false">A152+1</f>
        <v>44960</v>
      </c>
      <c r="B153" s="35" t="n">
        <f aca="false">EOMONTH(A153+1,0)</f>
        <v>44985</v>
      </c>
      <c r="C153" s="36" t="n">
        <f aca="false">IF(MOD(YEAR(A153),4)=0,366,365)</f>
        <v>365</v>
      </c>
      <c r="D153" s="37" t="n">
        <f aca="false">Inputs!$B$9-SUMIFS(Cash_Events!$G$6:$G$20,Cash_Events!$C$6:$C$20,"rAGMF",Cash_Events!$B$6:$B$20,"&lt;="&amp;A153)</f>
        <v>1500000</v>
      </c>
      <c r="E153" s="38" t="n">
        <f aca="false">VLOOKUP(A153,Inputs!$A$40:$B$48,2,TRUE())</f>
        <v>0.034199997053407</v>
      </c>
      <c r="F153" s="38" t="n">
        <f aca="false">E153+Inputs!$B$10</f>
        <v>0.101699997053407</v>
      </c>
      <c r="G153" s="37" t="n">
        <f aca="false">D153*F153/C153</f>
        <v>417.945193370166</v>
      </c>
      <c r="H153" s="37" t="n">
        <f aca="false">IF(AND(A153&gt;=Inputs!$B$13,OR(A153&lt;Inputs!$B$19,Inputs!$B$20=1)),D153*Inputs!$B$11/C153,0)</f>
        <v>0</v>
      </c>
      <c r="I153" s="37" t="n">
        <f aca="false">Inputs!$C$9-SUMIFS(Cash_Events!$G$6:$G$20,Cash_Events!$C$6:$C$20,"FHL",Cash_Events!$B$6:$B$20,"&lt;="&amp;A153)</f>
        <v>1500000</v>
      </c>
      <c r="J153" s="38" t="n">
        <f aca="false">VLOOKUP(A153,Inputs!$F$40:$G$48,2,TRUE())</f>
        <v>0.034199995543672</v>
      </c>
      <c r="K153" s="38" t="n">
        <f aca="false">J153+Inputs!$C$10</f>
        <v>0.101699995543672</v>
      </c>
      <c r="L153" s="37" t="n">
        <f aca="false">I153*K153/C153</f>
        <v>417.945187165775</v>
      </c>
      <c r="M153" s="37" t="n">
        <f aca="false">IF(AND(A153&gt;=Inputs!$C$13,OR(A153&lt;Inputs!$B$19,Inputs!$B$20=1)),I153*Inputs!$C$11/C153,0)</f>
        <v>0</v>
      </c>
    </row>
    <row r="154" customFormat="false" ht="15" hidden="false" customHeight="false" outlineLevel="0" collapsed="false">
      <c r="A154" s="35" t="n">
        <f aca="false">A153+1</f>
        <v>44961</v>
      </c>
      <c r="B154" s="35" t="n">
        <f aca="false">EOMONTH(A154+1,0)</f>
        <v>44985</v>
      </c>
      <c r="C154" s="36" t="n">
        <f aca="false">IF(MOD(YEAR(A154),4)=0,366,365)</f>
        <v>365</v>
      </c>
      <c r="D154" s="37" t="n">
        <f aca="false">Inputs!$B$9-SUMIFS(Cash_Events!$G$6:$G$20,Cash_Events!$C$6:$C$20,"rAGMF",Cash_Events!$B$6:$B$20,"&lt;="&amp;A154)</f>
        <v>1500000</v>
      </c>
      <c r="E154" s="38" t="n">
        <f aca="false">VLOOKUP(A154,Inputs!$A$40:$B$48,2,TRUE())</f>
        <v>0.034199997053407</v>
      </c>
      <c r="F154" s="38" t="n">
        <f aca="false">E154+Inputs!$B$10</f>
        <v>0.101699997053407</v>
      </c>
      <c r="G154" s="37" t="n">
        <f aca="false">D154*F154/C154</f>
        <v>417.945193370166</v>
      </c>
      <c r="H154" s="37" t="n">
        <f aca="false">IF(AND(A154&gt;=Inputs!$B$13,OR(A154&lt;Inputs!$B$19,Inputs!$B$20=1)),D154*Inputs!$B$11/C154,0)</f>
        <v>0</v>
      </c>
      <c r="I154" s="37" t="n">
        <f aca="false">Inputs!$C$9-SUMIFS(Cash_Events!$G$6:$G$20,Cash_Events!$C$6:$C$20,"FHL",Cash_Events!$B$6:$B$20,"&lt;="&amp;A154)</f>
        <v>1500000</v>
      </c>
      <c r="J154" s="38" t="n">
        <f aca="false">VLOOKUP(A154,Inputs!$F$40:$G$48,2,TRUE())</f>
        <v>0.034199995543672</v>
      </c>
      <c r="K154" s="38" t="n">
        <f aca="false">J154+Inputs!$C$10</f>
        <v>0.101699995543672</v>
      </c>
      <c r="L154" s="37" t="n">
        <f aca="false">I154*K154/C154</f>
        <v>417.945187165775</v>
      </c>
      <c r="M154" s="37" t="n">
        <f aca="false">IF(AND(A154&gt;=Inputs!$C$13,OR(A154&lt;Inputs!$B$19,Inputs!$B$20=1)),I154*Inputs!$C$11/C154,0)</f>
        <v>0</v>
      </c>
    </row>
    <row r="155" customFormat="false" ht="15" hidden="false" customHeight="false" outlineLevel="0" collapsed="false">
      <c r="A155" s="35" t="n">
        <f aca="false">A154+1</f>
        <v>44962</v>
      </c>
      <c r="B155" s="35" t="n">
        <f aca="false">EOMONTH(A155+1,0)</f>
        <v>44985</v>
      </c>
      <c r="C155" s="36" t="n">
        <f aca="false">IF(MOD(YEAR(A155),4)=0,366,365)</f>
        <v>365</v>
      </c>
      <c r="D155" s="37" t="n">
        <f aca="false">Inputs!$B$9-SUMIFS(Cash_Events!$G$6:$G$20,Cash_Events!$C$6:$C$20,"rAGMF",Cash_Events!$B$6:$B$20,"&lt;="&amp;A155)</f>
        <v>1500000</v>
      </c>
      <c r="E155" s="38" t="n">
        <f aca="false">VLOOKUP(A155,Inputs!$A$40:$B$48,2,TRUE())</f>
        <v>0.034199997053407</v>
      </c>
      <c r="F155" s="38" t="n">
        <f aca="false">E155+Inputs!$B$10</f>
        <v>0.101699997053407</v>
      </c>
      <c r="G155" s="37" t="n">
        <f aca="false">D155*F155/C155</f>
        <v>417.945193370166</v>
      </c>
      <c r="H155" s="37" t="n">
        <f aca="false">IF(AND(A155&gt;=Inputs!$B$13,OR(A155&lt;Inputs!$B$19,Inputs!$B$20=1)),D155*Inputs!$B$11/C155,0)</f>
        <v>0</v>
      </c>
      <c r="I155" s="37" t="n">
        <f aca="false">Inputs!$C$9-SUMIFS(Cash_Events!$G$6:$G$20,Cash_Events!$C$6:$C$20,"FHL",Cash_Events!$B$6:$B$20,"&lt;="&amp;A155)</f>
        <v>1500000</v>
      </c>
      <c r="J155" s="38" t="n">
        <f aca="false">VLOOKUP(A155,Inputs!$F$40:$G$48,2,TRUE())</f>
        <v>0.034199995543672</v>
      </c>
      <c r="K155" s="38" t="n">
        <f aca="false">J155+Inputs!$C$10</f>
        <v>0.101699995543672</v>
      </c>
      <c r="L155" s="37" t="n">
        <f aca="false">I155*K155/C155</f>
        <v>417.945187165775</v>
      </c>
      <c r="M155" s="37" t="n">
        <f aca="false">IF(AND(A155&gt;=Inputs!$C$13,OR(A155&lt;Inputs!$B$19,Inputs!$B$20=1)),I155*Inputs!$C$11/C155,0)</f>
        <v>0</v>
      </c>
    </row>
    <row r="156" customFormat="false" ht="15" hidden="false" customHeight="false" outlineLevel="0" collapsed="false">
      <c r="A156" s="35" t="n">
        <f aca="false">A155+1</f>
        <v>44963</v>
      </c>
      <c r="B156" s="35" t="n">
        <f aca="false">EOMONTH(A156+1,0)</f>
        <v>44985</v>
      </c>
      <c r="C156" s="36" t="n">
        <f aca="false">IF(MOD(YEAR(A156),4)=0,366,365)</f>
        <v>365</v>
      </c>
      <c r="D156" s="37" t="n">
        <f aca="false">Inputs!$B$9-SUMIFS(Cash_Events!$G$6:$G$20,Cash_Events!$C$6:$C$20,"rAGMF",Cash_Events!$B$6:$B$20,"&lt;="&amp;A156)</f>
        <v>1500000</v>
      </c>
      <c r="E156" s="38" t="n">
        <f aca="false">VLOOKUP(A156,Inputs!$A$40:$B$48,2,TRUE())</f>
        <v>0.034199997053407</v>
      </c>
      <c r="F156" s="38" t="n">
        <f aca="false">E156+Inputs!$B$10</f>
        <v>0.101699997053407</v>
      </c>
      <c r="G156" s="37" t="n">
        <f aca="false">D156*F156/C156</f>
        <v>417.945193370166</v>
      </c>
      <c r="H156" s="37" t="n">
        <f aca="false">IF(AND(A156&gt;=Inputs!$B$13,OR(A156&lt;Inputs!$B$19,Inputs!$B$20=1)),D156*Inputs!$B$11/C156,0)</f>
        <v>0</v>
      </c>
      <c r="I156" s="37" t="n">
        <f aca="false">Inputs!$C$9-SUMIFS(Cash_Events!$G$6:$G$20,Cash_Events!$C$6:$C$20,"FHL",Cash_Events!$B$6:$B$20,"&lt;="&amp;A156)</f>
        <v>1500000</v>
      </c>
      <c r="J156" s="38" t="n">
        <f aca="false">VLOOKUP(A156,Inputs!$F$40:$G$48,2,TRUE())</f>
        <v>0.034199995543672</v>
      </c>
      <c r="K156" s="38" t="n">
        <f aca="false">J156+Inputs!$C$10</f>
        <v>0.101699995543672</v>
      </c>
      <c r="L156" s="37" t="n">
        <f aca="false">I156*K156/C156</f>
        <v>417.945187165775</v>
      </c>
      <c r="M156" s="37" t="n">
        <f aca="false">IF(AND(A156&gt;=Inputs!$C$13,OR(A156&lt;Inputs!$B$19,Inputs!$B$20=1)),I156*Inputs!$C$11/C156,0)</f>
        <v>0</v>
      </c>
    </row>
    <row r="157" customFormat="false" ht="15" hidden="false" customHeight="false" outlineLevel="0" collapsed="false">
      <c r="A157" s="35" t="n">
        <f aca="false">A156+1</f>
        <v>44964</v>
      </c>
      <c r="B157" s="35" t="n">
        <f aca="false">EOMONTH(A157+1,0)</f>
        <v>44985</v>
      </c>
      <c r="C157" s="36" t="n">
        <f aca="false">IF(MOD(YEAR(A157),4)=0,366,365)</f>
        <v>365</v>
      </c>
      <c r="D157" s="37" t="n">
        <f aca="false">Inputs!$B$9-SUMIFS(Cash_Events!$G$6:$G$20,Cash_Events!$C$6:$C$20,"rAGMF",Cash_Events!$B$6:$B$20,"&lt;="&amp;A157)</f>
        <v>1500000</v>
      </c>
      <c r="E157" s="38" t="n">
        <f aca="false">VLOOKUP(A157,Inputs!$A$40:$B$48,2,TRUE())</f>
        <v>0.034199997053407</v>
      </c>
      <c r="F157" s="38" t="n">
        <f aca="false">E157+Inputs!$B$10</f>
        <v>0.101699997053407</v>
      </c>
      <c r="G157" s="37" t="n">
        <f aca="false">D157*F157/C157</f>
        <v>417.945193370166</v>
      </c>
      <c r="H157" s="37" t="n">
        <f aca="false">IF(AND(A157&gt;=Inputs!$B$13,OR(A157&lt;Inputs!$B$19,Inputs!$B$20=1)),D157*Inputs!$B$11/C157,0)</f>
        <v>0</v>
      </c>
      <c r="I157" s="37" t="n">
        <f aca="false">Inputs!$C$9-SUMIFS(Cash_Events!$G$6:$G$20,Cash_Events!$C$6:$C$20,"FHL",Cash_Events!$B$6:$B$20,"&lt;="&amp;A157)</f>
        <v>1500000</v>
      </c>
      <c r="J157" s="38" t="n">
        <f aca="false">VLOOKUP(A157,Inputs!$F$40:$G$48,2,TRUE())</f>
        <v>0.034199995543672</v>
      </c>
      <c r="K157" s="38" t="n">
        <f aca="false">J157+Inputs!$C$10</f>
        <v>0.101699995543672</v>
      </c>
      <c r="L157" s="37" t="n">
        <f aca="false">I157*K157/C157</f>
        <v>417.945187165775</v>
      </c>
      <c r="M157" s="37" t="n">
        <f aca="false">IF(AND(A157&gt;=Inputs!$C$13,OR(A157&lt;Inputs!$B$19,Inputs!$B$20=1)),I157*Inputs!$C$11/C157,0)</f>
        <v>0</v>
      </c>
    </row>
    <row r="158" customFormat="false" ht="15" hidden="false" customHeight="false" outlineLevel="0" collapsed="false">
      <c r="A158" s="35" t="n">
        <f aca="false">A157+1</f>
        <v>44965</v>
      </c>
      <c r="B158" s="35" t="n">
        <f aca="false">EOMONTH(A158+1,0)</f>
        <v>44985</v>
      </c>
      <c r="C158" s="36" t="n">
        <f aca="false">IF(MOD(YEAR(A158),4)=0,366,365)</f>
        <v>365</v>
      </c>
      <c r="D158" s="37" t="n">
        <f aca="false">Inputs!$B$9-SUMIFS(Cash_Events!$G$6:$G$20,Cash_Events!$C$6:$C$20,"rAGMF",Cash_Events!$B$6:$B$20,"&lt;="&amp;A158)</f>
        <v>1500000</v>
      </c>
      <c r="E158" s="38" t="n">
        <f aca="false">VLOOKUP(A158,Inputs!$A$40:$B$48,2,TRUE())</f>
        <v>0.034199997053407</v>
      </c>
      <c r="F158" s="38" t="n">
        <f aca="false">E158+Inputs!$B$10</f>
        <v>0.101699997053407</v>
      </c>
      <c r="G158" s="37" t="n">
        <f aca="false">D158*F158/C158</f>
        <v>417.945193370166</v>
      </c>
      <c r="H158" s="37" t="n">
        <f aca="false">IF(AND(A158&gt;=Inputs!$B$13,OR(A158&lt;Inputs!$B$19,Inputs!$B$20=1)),D158*Inputs!$B$11/C158,0)</f>
        <v>0</v>
      </c>
      <c r="I158" s="37" t="n">
        <f aca="false">Inputs!$C$9-SUMIFS(Cash_Events!$G$6:$G$20,Cash_Events!$C$6:$C$20,"FHL",Cash_Events!$B$6:$B$20,"&lt;="&amp;A158)</f>
        <v>1500000</v>
      </c>
      <c r="J158" s="38" t="n">
        <f aca="false">VLOOKUP(A158,Inputs!$F$40:$G$48,2,TRUE())</f>
        <v>0.034199995543672</v>
      </c>
      <c r="K158" s="38" t="n">
        <f aca="false">J158+Inputs!$C$10</f>
        <v>0.101699995543672</v>
      </c>
      <c r="L158" s="37" t="n">
        <f aca="false">I158*K158/C158</f>
        <v>417.945187165775</v>
      </c>
      <c r="M158" s="37" t="n">
        <f aca="false">IF(AND(A158&gt;=Inputs!$C$13,OR(A158&lt;Inputs!$B$19,Inputs!$B$20=1)),I158*Inputs!$C$11/C158,0)</f>
        <v>0</v>
      </c>
    </row>
    <row r="159" customFormat="false" ht="15" hidden="false" customHeight="false" outlineLevel="0" collapsed="false">
      <c r="A159" s="35" t="n">
        <f aca="false">A158+1</f>
        <v>44966</v>
      </c>
      <c r="B159" s="35" t="n">
        <f aca="false">EOMONTH(A159+1,0)</f>
        <v>44985</v>
      </c>
      <c r="C159" s="36" t="n">
        <f aca="false">IF(MOD(YEAR(A159),4)=0,366,365)</f>
        <v>365</v>
      </c>
      <c r="D159" s="37" t="n">
        <f aca="false">Inputs!$B$9-SUMIFS(Cash_Events!$G$6:$G$20,Cash_Events!$C$6:$C$20,"rAGMF",Cash_Events!$B$6:$B$20,"&lt;="&amp;A159)</f>
        <v>1500000</v>
      </c>
      <c r="E159" s="38" t="n">
        <f aca="false">VLOOKUP(A159,Inputs!$A$40:$B$48,2,TRUE())</f>
        <v>0.034199997053407</v>
      </c>
      <c r="F159" s="38" t="n">
        <f aca="false">E159+Inputs!$B$10</f>
        <v>0.101699997053407</v>
      </c>
      <c r="G159" s="37" t="n">
        <f aca="false">D159*F159/C159</f>
        <v>417.945193370166</v>
      </c>
      <c r="H159" s="37" t="n">
        <f aca="false">IF(AND(A159&gt;=Inputs!$B$13,OR(A159&lt;Inputs!$B$19,Inputs!$B$20=1)),D159*Inputs!$B$11/C159,0)</f>
        <v>0</v>
      </c>
      <c r="I159" s="37" t="n">
        <f aca="false">Inputs!$C$9-SUMIFS(Cash_Events!$G$6:$G$20,Cash_Events!$C$6:$C$20,"FHL",Cash_Events!$B$6:$B$20,"&lt;="&amp;A159)</f>
        <v>1500000</v>
      </c>
      <c r="J159" s="38" t="n">
        <f aca="false">VLOOKUP(A159,Inputs!$F$40:$G$48,2,TRUE())</f>
        <v>0.034199995543672</v>
      </c>
      <c r="K159" s="38" t="n">
        <f aca="false">J159+Inputs!$C$10</f>
        <v>0.101699995543672</v>
      </c>
      <c r="L159" s="37" t="n">
        <f aca="false">I159*K159/C159</f>
        <v>417.945187165775</v>
      </c>
      <c r="M159" s="37" t="n">
        <f aca="false">IF(AND(A159&gt;=Inputs!$C$13,OR(A159&lt;Inputs!$B$19,Inputs!$B$20=1)),I159*Inputs!$C$11/C159,0)</f>
        <v>0</v>
      </c>
    </row>
    <row r="160" customFormat="false" ht="15" hidden="false" customHeight="false" outlineLevel="0" collapsed="false">
      <c r="A160" s="35" t="n">
        <f aca="false">A159+1</f>
        <v>44967</v>
      </c>
      <c r="B160" s="35" t="n">
        <f aca="false">EOMONTH(A160+1,0)</f>
        <v>44985</v>
      </c>
      <c r="C160" s="36" t="n">
        <f aca="false">IF(MOD(YEAR(A160),4)=0,366,365)</f>
        <v>365</v>
      </c>
      <c r="D160" s="37" t="n">
        <f aca="false">Inputs!$B$9-SUMIFS(Cash_Events!$G$6:$G$20,Cash_Events!$C$6:$C$20,"rAGMF",Cash_Events!$B$6:$B$20,"&lt;="&amp;A160)</f>
        <v>1500000</v>
      </c>
      <c r="E160" s="38" t="n">
        <f aca="false">VLOOKUP(A160,Inputs!$A$40:$B$48,2,TRUE())</f>
        <v>0.034199997053407</v>
      </c>
      <c r="F160" s="38" t="n">
        <f aca="false">E160+Inputs!$B$10</f>
        <v>0.101699997053407</v>
      </c>
      <c r="G160" s="37" t="n">
        <f aca="false">D160*F160/C160</f>
        <v>417.945193370166</v>
      </c>
      <c r="H160" s="37" t="n">
        <f aca="false">IF(AND(A160&gt;=Inputs!$B$13,OR(A160&lt;Inputs!$B$19,Inputs!$B$20=1)),D160*Inputs!$B$11/C160,0)</f>
        <v>0</v>
      </c>
      <c r="I160" s="37" t="n">
        <f aca="false">Inputs!$C$9-SUMIFS(Cash_Events!$G$6:$G$20,Cash_Events!$C$6:$C$20,"FHL",Cash_Events!$B$6:$B$20,"&lt;="&amp;A160)</f>
        <v>1500000</v>
      </c>
      <c r="J160" s="38" t="n">
        <f aca="false">VLOOKUP(A160,Inputs!$F$40:$G$48,2,TRUE())</f>
        <v>0.034199995543672</v>
      </c>
      <c r="K160" s="38" t="n">
        <f aca="false">J160+Inputs!$C$10</f>
        <v>0.101699995543672</v>
      </c>
      <c r="L160" s="37" t="n">
        <f aca="false">I160*K160/C160</f>
        <v>417.945187165775</v>
      </c>
      <c r="M160" s="37" t="n">
        <f aca="false">IF(AND(A160&gt;=Inputs!$C$13,OR(A160&lt;Inputs!$B$19,Inputs!$B$20=1)),I160*Inputs!$C$11/C160,0)</f>
        <v>0</v>
      </c>
    </row>
    <row r="161" customFormat="false" ht="15" hidden="false" customHeight="false" outlineLevel="0" collapsed="false">
      <c r="A161" s="35" t="n">
        <f aca="false">A160+1</f>
        <v>44968</v>
      </c>
      <c r="B161" s="35" t="n">
        <f aca="false">EOMONTH(A161+1,0)</f>
        <v>44985</v>
      </c>
      <c r="C161" s="36" t="n">
        <f aca="false">IF(MOD(YEAR(A161),4)=0,366,365)</f>
        <v>365</v>
      </c>
      <c r="D161" s="37" t="n">
        <f aca="false">Inputs!$B$9-SUMIFS(Cash_Events!$G$6:$G$20,Cash_Events!$C$6:$C$20,"rAGMF",Cash_Events!$B$6:$B$20,"&lt;="&amp;A161)</f>
        <v>1500000</v>
      </c>
      <c r="E161" s="38" t="n">
        <f aca="false">VLOOKUP(A161,Inputs!$A$40:$B$48,2,TRUE())</f>
        <v>0.034199997053407</v>
      </c>
      <c r="F161" s="38" t="n">
        <f aca="false">E161+Inputs!$B$10</f>
        <v>0.101699997053407</v>
      </c>
      <c r="G161" s="37" t="n">
        <f aca="false">D161*F161/C161</f>
        <v>417.945193370166</v>
      </c>
      <c r="H161" s="37" t="n">
        <f aca="false">IF(AND(A161&gt;=Inputs!$B$13,OR(A161&lt;Inputs!$B$19,Inputs!$B$20=1)),D161*Inputs!$B$11/C161,0)</f>
        <v>0</v>
      </c>
      <c r="I161" s="37" t="n">
        <f aca="false">Inputs!$C$9-SUMIFS(Cash_Events!$G$6:$G$20,Cash_Events!$C$6:$C$20,"FHL",Cash_Events!$B$6:$B$20,"&lt;="&amp;A161)</f>
        <v>1500000</v>
      </c>
      <c r="J161" s="38" t="n">
        <f aca="false">VLOOKUP(A161,Inputs!$F$40:$G$48,2,TRUE())</f>
        <v>0.034199995543672</v>
      </c>
      <c r="K161" s="38" t="n">
        <f aca="false">J161+Inputs!$C$10</f>
        <v>0.101699995543672</v>
      </c>
      <c r="L161" s="37" t="n">
        <f aca="false">I161*K161/C161</f>
        <v>417.945187165775</v>
      </c>
      <c r="M161" s="37" t="n">
        <f aca="false">IF(AND(A161&gt;=Inputs!$C$13,OR(A161&lt;Inputs!$B$19,Inputs!$B$20=1)),I161*Inputs!$C$11/C161,0)</f>
        <v>0</v>
      </c>
    </row>
    <row r="162" customFormat="false" ht="15" hidden="false" customHeight="false" outlineLevel="0" collapsed="false">
      <c r="A162" s="35" t="n">
        <f aca="false">A161+1</f>
        <v>44969</v>
      </c>
      <c r="B162" s="35" t="n">
        <f aca="false">EOMONTH(A162+1,0)</f>
        <v>44985</v>
      </c>
      <c r="C162" s="36" t="n">
        <f aca="false">IF(MOD(YEAR(A162),4)=0,366,365)</f>
        <v>365</v>
      </c>
      <c r="D162" s="37" t="n">
        <f aca="false">Inputs!$B$9-SUMIFS(Cash_Events!$G$6:$G$20,Cash_Events!$C$6:$C$20,"rAGMF",Cash_Events!$B$6:$B$20,"&lt;="&amp;A162)</f>
        <v>1500000</v>
      </c>
      <c r="E162" s="38" t="n">
        <f aca="false">VLOOKUP(A162,Inputs!$A$40:$B$48,2,TRUE())</f>
        <v>0.034199997053407</v>
      </c>
      <c r="F162" s="38" t="n">
        <f aca="false">E162+Inputs!$B$10</f>
        <v>0.101699997053407</v>
      </c>
      <c r="G162" s="37" t="n">
        <f aca="false">D162*F162/C162</f>
        <v>417.945193370166</v>
      </c>
      <c r="H162" s="37" t="n">
        <f aca="false">IF(AND(A162&gt;=Inputs!$B$13,OR(A162&lt;Inputs!$B$19,Inputs!$B$20=1)),D162*Inputs!$B$11/C162,0)</f>
        <v>0</v>
      </c>
      <c r="I162" s="37" t="n">
        <f aca="false">Inputs!$C$9-SUMIFS(Cash_Events!$G$6:$G$20,Cash_Events!$C$6:$C$20,"FHL",Cash_Events!$B$6:$B$20,"&lt;="&amp;A162)</f>
        <v>1500000</v>
      </c>
      <c r="J162" s="38" t="n">
        <f aca="false">VLOOKUP(A162,Inputs!$F$40:$G$48,2,TRUE())</f>
        <v>0.034199995543672</v>
      </c>
      <c r="K162" s="38" t="n">
        <f aca="false">J162+Inputs!$C$10</f>
        <v>0.101699995543672</v>
      </c>
      <c r="L162" s="37" t="n">
        <f aca="false">I162*K162/C162</f>
        <v>417.945187165775</v>
      </c>
      <c r="M162" s="37" t="n">
        <f aca="false">IF(AND(A162&gt;=Inputs!$C$13,OR(A162&lt;Inputs!$B$19,Inputs!$B$20=1)),I162*Inputs!$C$11/C162,0)</f>
        <v>0</v>
      </c>
    </row>
    <row r="163" customFormat="false" ht="15" hidden="false" customHeight="false" outlineLevel="0" collapsed="false">
      <c r="A163" s="35" t="n">
        <f aca="false">A162+1</f>
        <v>44970</v>
      </c>
      <c r="B163" s="35" t="n">
        <f aca="false">EOMONTH(A163+1,0)</f>
        <v>44985</v>
      </c>
      <c r="C163" s="36" t="n">
        <f aca="false">IF(MOD(YEAR(A163),4)=0,366,365)</f>
        <v>365</v>
      </c>
      <c r="D163" s="37" t="n">
        <f aca="false">Inputs!$B$9-SUMIFS(Cash_Events!$G$6:$G$20,Cash_Events!$C$6:$C$20,"rAGMF",Cash_Events!$B$6:$B$20,"&lt;="&amp;A163)</f>
        <v>1500000</v>
      </c>
      <c r="E163" s="38" t="n">
        <f aca="false">VLOOKUP(A163,Inputs!$A$40:$B$48,2,TRUE())</f>
        <v>0.034199997053407</v>
      </c>
      <c r="F163" s="38" t="n">
        <f aca="false">E163+Inputs!$B$10</f>
        <v>0.101699997053407</v>
      </c>
      <c r="G163" s="37" t="n">
        <f aca="false">D163*F163/C163</f>
        <v>417.945193370166</v>
      </c>
      <c r="H163" s="37" t="n">
        <f aca="false">IF(AND(A163&gt;=Inputs!$B$13,OR(A163&lt;Inputs!$B$19,Inputs!$B$20=1)),D163*Inputs!$B$11/C163,0)</f>
        <v>0</v>
      </c>
      <c r="I163" s="37" t="n">
        <f aca="false">Inputs!$C$9-SUMIFS(Cash_Events!$G$6:$G$20,Cash_Events!$C$6:$C$20,"FHL",Cash_Events!$B$6:$B$20,"&lt;="&amp;A163)</f>
        <v>1500000</v>
      </c>
      <c r="J163" s="38" t="n">
        <f aca="false">VLOOKUP(A163,Inputs!$F$40:$G$48,2,TRUE())</f>
        <v>0.034199995543672</v>
      </c>
      <c r="K163" s="38" t="n">
        <f aca="false">J163+Inputs!$C$10</f>
        <v>0.101699995543672</v>
      </c>
      <c r="L163" s="37" t="n">
        <f aca="false">I163*K163/C163</f>
        <v>417.945187165775</v>
      </c>
      <c r="M163" s="37" t="n">
        <f aca="false">IF(AND(A163&gt;=Inputs!$C$13,OR(A163&lt;Inputs!$B$19,Inputs!$B$20=1)),I163*Inputs!$C$11/C163,0)</f>
        <v>0</v>
      </c>
    </row>
    <row r="164" customFormat="false" ht="15" hidden="false" customHeight="false" outlineLevel="0" collapsed="false">
      <c r="A164" s="35" t="n">
        <f aca="false">A163+1</f>
        <v>44971</v>
      </c>
      <c r="B164" s="35" t="n">
        <f aca="false">EOMONTH(A164+1,0)</f>
        <v>44985</v>
      </c>
      <c r="C164" s="36" t="n">
        <f aca="false">IF(MOD(YEAR(A164),4)=0,366,365)</f>
        <v>365</v>
      </c>
      <c r="D164" s="37" t="n">
        <f aca="false">Inputs!$B$9-SUMIFS(Cash_Events!$G$6:$G$20,Cash_Events!$C$6:$C$20,"rAGMF",Cash_Events!$B$6:$B$20,"&lt;="&amp;A164)</f>
        <v>1500000</v>
      </c>
      <c r="E164" s="38" t="n">
        <f aca="false">VLOOKUP(A164,Inputs!$A$40:$B$48,2,TRUE())</f>
        <v>0.034199997053407</v>
      </c>
      <c r="F164" s="38" t="n">
        <f aca="false">E164+Inputs!$B$10</f>
        <v>0.101699997053407</v>
      </c>
      <c r="G164" s="37" t="n">
        <f aca="false">D164*F164/C164</f>
        <v>417.945193370166</v>
      </c>
      <c r="H164" s="37" t="n">
        <f aca="false">IF(AND(A164&gt;=Inputs!$B$13,OR(A164&lt;Inputs!$B$19,Inputs!$B$20=1)),D164*Inputs!$B$11/C164,0)</f>
        <v>0</v>
      </c>
      <c r="I164" s="37" t="n">
        <f aca="false">Inputs!$C$9-SUMIFS(Cash_Events!$G$6:$G$20,Cash_Events!$C$6:$C$20,"FHL",Cash_Events!$B$6:$B$20,"&lt;="&amp;A164)</f>
        <v>1500000</v>
      </c>
      <c r="J164" s="38" t="n">
        <f aca="false">VLOOKUP(A164,Inputs!$F$40:$G$48,2,TRUE())</f>
        <v>0.034199995543672</v>
      </c>
      <c r="K164" s="38" t="n">
        <f aca="false">J164+Inputs!$C$10</f>
        <v>0.101699995543672</v>
      </c>
      <c r="L164" s="37" t="n">
        <f aca="false">I164*K164/C164</f>
        <v>417.945187165775</v>
      </c>
      <c r="M164" s="37" t="n">
        <f aca="false">IF(AND(A164&gt;=Inputs!$C$13,OR(A164&lt;Inputs!$B$19,Inputs!$B$20=1)),I164*Inputs!$C$11/C164,0)</f>
        <v>0</v>
      </c>
    </row>
    <row r="165" customFormat="false" ht="15" hidden="false" customHeight="false" outlineLevel="0" collapsed="false">
      <c r="A165" s="35" t="n">
        <f aca="false">A164+1</f>
        <v>44972</v>
      </c>
      <c r="B165" s="35" t="n">
        <f aca="false">EOMONTH(A165+1,0)</f>
        <v>44985</v>
      </c>
      <c r="C165" s="36" t="n">
        <f aca="false">IF(MOD(YEAR(A165),4)=0,366,365)</f>
        <v>365</v>
      </c>
      <c r="D165" s="37" t="n">
        <f aca="false">Inputs!$B$9-SUMIFS(Cash_Events!$G$6:$G$20,Cash_Events!$C$6:$C$20,"rAGMF",Cash_Events!$B$6:$B$20,"&lt;="&amp;A165)</f>
        <v>1500000</v>
      </c>
      <c r="E165" s="38" t="n">
        <f aca="false">VLOOKUP(A165,Inputs!$A$40:$B$48,2,TRUE())</f>
        <v>0.034199997053407</v>
      </c>
      <c r="F165" s="38" t="n">
        <f aca="false">E165+Inputs!$B$10</f>
        <v>0.101699997053407</v>
      </c>
      <c r="G165" s="37" t="n">
        <f aca="false">D165*F165/C165</f>
        <v>417.945193370166</v>
      </c>
      <c r="H165" s="37" t="n">
        <f aca="false">IF(AND(A165&gt;=Inputs!$B$13,OR(A165&lt;Inputs!$B$19,Inputs!$B$20=1)),D165*Inputs!$B$11/C165,0)</f>
        <v>0</v>
      </c>
      <c r="I165" s="37" t="n">
        <f aca="false">Inputs!$C$9-SUMIFS(Cash_Events!$G$6:$G$20,Cash_Events!$C$6:$C$20,"FHL",Cash_Events!$B$6:$B$20,"&lt;="&amp;A165)</f>
        <v>1500000</v>
      </c>
      <c r="J165" s="38" t="n">
        <f aca="false">VLOOKUP(A165,Inputs!$F$40:$G$48,2,TRUE())</f>
        <v>0.034199995543672</v>
      </c>
      <c r="K165" s="38" t="n">
        <f aca="false">J165+Inputs!$C$10</f>
        <v>0.101699995543672</v>
      </c>
      <c r="L165" s="37" t="n">
        <f aca="false">I165*K165/C165</f>
        <v>417.945187165775</v>
      </c>
      <c r="M165" s="37" t="n">
        <f aca="false">IF(AND(A165&gt;=Inputs!$C$13,OR(A165&lt;Inputs!$B$19,Inputs!$B$20=1)),I165*Inputs!$C$11/C165,0)</f>
        <v>0</v>
      </c>
    </row>
    <row r="166" customFormat="false" ht="15" hidden="false" customHeight="false" outlineLevel="0" collapsed="false">
      <c r="A166" s="35" t="n">
        <f aca="false">A165+1</f>
        <v>44973</v>
      </c>
      <c r="B166" s="35" t="n">
        <f aca="false">EOMONTH(A166+1,0)</f>
        <v>44985</v>
      </c>
      <c r="C166" s="36" t="n">
        <f aca="false">IF(MOD(YEAR(A166),4)=0,366,365)</f>
        <v>365</v>
      </c>
      <c r="D166" s="37" t="n">
        <f aca="false">Inputs!$B$9-SUMIFS(Cash_Events!$G$6:$G$20,Cash_Events!$C$6:$C$20,"rAGMF",Cash_Events!$B$6:$B$20,"&lt;="&amp;A166)</f>
        <v>1500000</v>
      </c>
      <c r="E166" s="38" t="n">
        <f aca="false">VLOOKUP(A166,Inputs!$A$40:$B$48,2,TRUE())</f>
        <v>0.034199997053407</v>
      </c>
      <c r="F166" s="38" t="n">
        <f aca="false">E166+Inputs!$B$10</f>
        <v>0.101699997053407</v>
      </c>
      <c r="G166" s="37" t="n">
        <f aca="false">D166*F166/C166</f>
        <v>417.945193370166</v>
      </c>
      <c r="H166" s="37" t="n">
        <f aca="false">IF(AND(A166&gt;=Inputs!$B$13,OR(A166&lt;Inputs!$B$19,Inputs!$B$20=1)),D166*Inputs!$B$11/C166,0)</f>
        <v>0</v>
      </c>
      <c r="I166" s="37" t="n">
        <f aca="false">Inputs!$C$9-SUMIFS(Cash_Events!$G$6:$G$20,Cash_Events!$C$6:$C$20,"FHL",Cash_Events!$B$6:$B$20,"&lt;="&amp;A166)</f>
        <v>1500000</v>
      </c>
      <c r="J166" s="38" t="n">
        <f aca="false">VLOOKUP(A166,Inputs!$F$40:$G$48,2,TRUE())</f>
        <v>0.034199995543672</v>
      </c>
      <c r="K166" s="38" t="n">
        <f aca="false">J166+Inputs!$C$10</f>
        <v>0.101699995543672</v>
      </c>
      <c r="L166" s="37" t="n">
        <f aca="false">I166*K166/C166</f>
        <v>417.945187165775</v>
      </c>
      <c r="M166" s="37" t="n">
        <f aca="false">IF(AND(A166&gt;=Inputs!$C$13,OR(A166&lt;Inputs!$B$19,Inputs!$B$20=1)),I166*Inputs!$C$11/C166,0)</f>
        <v>0</v>
      </c>
    </row>
    <row r="167" customFormat="false" ht="15" hidden="false" customHeight="false" outlineLevel="0" collapsed="false">
      <c r="A167" s="35" t="n">
        <f aca="false">A166+1</f>
        <v>44974</v>
      </c>
      <c r="B167" s="35" t="n">
        <f aca="false">EOMONTH(A167+1,0)</f>
        <v>44985</v>
      </c>
      <c r="C167" s="36" t="n">
        <f aca="false">IF(MOD(YEAR(A167),4)=0,366,365)</f>
        <v>365</v>
      </c>
      <c r="D167" s="37" t="n">
        <f aca="false">Inputs!$B$9-SUMIFS(Cash_Events!$G$6:$G$20,Cash_Events!$C$6:$C$20,"rAGMF",Cash_Events!$B$6:$B$20,"&lt;="&amp;A167)</f>
        <v>1500000</v>
      </c>
      <c r="E167" s="38" t="n">
        <f aca="false">VLOOKUP(A167,Inputs!$A$40:$B$48,2,TRUE())</f>
        <v>0.034199997053407</v>
      </c>
      <c r="F167" s="38" t="n">
        <f aca="false">E167+Inputs!$B$10</f>
        <v>0.101699997053407</v>
      </c>
      <c r="G167" s="37" t="n">
        <f aca="false">D167*F167/C167</f>
        <v>417.945193370166</v>
      </c>
      <c r="H167" s="37" t="n">
        <f aca="false">IF(AND(A167&gt;=Inputs!$B$13,OR(A167&lt;Inputs!$B$19,Inputs!$B$20=1)),D167*Inputs!$B$11/C167,0)</f>
        <v>0</v>
      </c>
      <c r="I167" s="37" t="n">
        <f aca="false">Inputs!$C$9-SUMIFS(Cash_Events!$G$6:$G$20,Cash_Events!$C$6:$C$20,"FHL",Cash_Events!$B$6:$B$20,"&lt;="&amp;A167)</f>
        <v>1500000</v>
      </c>
      <c r="J167" s="38" t="n">
        <f aca="false">VLOOKUP(A167,Inputs!$F$40:$G$48,2,TRUE())</f>
        <v>0.034199995543672</v>
      </c>
      <c r="K167" s="38" t="n">
        <f aca="false">J167+Inputs!$C$10</f>
        <v>0.101699995543672</v>
      </c>
      <c r="L167" s="37" t="n">
        <f aca="false">I167*K167/C167</f>
        <v>417.945187165775</v>
      </c>
      <c r="M167" s="37" t="n">
        <f aca="false">IF(AND(A167&gt;=Inputs!$C$13,OR(A167&lt;Inputs!$B$19,Inputs!$B$20=1)),I167*Inputs!$C$11/C167,0)</f>
        <v>0</v>
      </c>
    </row>
    <row r="168" customFormat="false" ht="15" hidden="false" customHeight="false" outlineLevel="0" collapsed="false">
      <c r="A168" s="35" t="n">
        <f aca="false">A167+1</f>
        <v>44975</v>
      </c>
      <c r="B168" s="35" t="n">
        <f aca="false">EOMONTH(A168+1,0)</f>
        <v>44985</v>
      </c>
      <c r="C168" s="36" t="n">
        <f aca="false">IF(MOD(YEAR(A168),4)=0,366,365)</f>
        <v>365</v>
      </c>
      <c r="D168" s="37" t="n">
        <f aca="false">Inputs!$B$9-SUMIFS(Cash_Events!$G$6:$G$20,Cash_Events!$C$6:$C$20,"rAGMF",Cash_Events!$B$6:$B$20,"&lt;="&amp;A168)</f>
        <v>1500000</v>
      </c>
      <c r="E168" s="38" t="n">
        <f aca="false">VLOOKUP(A168,Inputs!$A$40:$B$48,2,TRUE())</f>
        <v>0.034199997053407</v>
      </c>
      <c r="F168" s="38" t="n">
        <f aca="false">E168+Inputs!$B$10</f>
        <v>0.101699997053407</v>
      </c>
      <c r="G168" s="37" t="n">
        <f aca="false">D168*F168/C168</f>
        <v>417.945193370166</v>
      </c>
      <c r="H168" s="37" t="n">
        <f aca="false">IF(AND(A168&gt;=Inputs!$B$13,OR(A168&lt;Inputs!$B$19,Inputs!$B$20=1)),D168*Inputs!$B$11/C168,0)</f>
        <v>0</v>
      </c>
      <c r="I168" s="37" t="n">
        <f aca="false">Inputs!$C$9-SUMIFS(Cash_Events!$G$6:$G$20,Cash_Events!$C$6:$C$20,"FHL",Cash_Events!$B$6:$B$20,"&lt;="&amp;A168)</f>
        <v>1500000</v>
      </c>
      <c r="J168" s="38" t="n">
        <f aca="false">VLOOKUP(A168,Inputs!$F$40:$G$48,2,TRUE())</f>
        <v>0.034199995543672</v>
      </c>
      <c r="K168" s="38" t="n">
        <f aca="false">J168+Inputs!$C$10</f>
        <v>0.101699995543672</v>
      </c>
      <c r="L168" s="37" t="n">
        <f aca="false">I168*K168/C168</f>
        <v>417.945187165775</v>
      </c>
      <c r="M168" s="37" t="n">
        <f aca="false">IF(AND(A168&gt;=Inputs!$C$13,OR(A168&lt;Inputs!$B$19,Inputs!$B$20=1)),I168*Inputs!$C$11/C168,0)</f>
        <v>0</v>
      </c>
    </row>
    <row r="169" customFormat="false" ht="15" hidden="false" customHeight="false" outlineLevel="0" collapsed="false">
      <c r="A169" s="35" t="n">
        <f aca="false">A168+1</f>
        <v>44976</v>
      </c>
      <c r="B169" s="35" t="n">
        <f aca="false">EOMONTH(A169+1,0)</f>
        <v>44985</v>
      </c>
      <c r="C169" s="36" t="n">
        <f aca="false">IF(MOD(YEAR(A169),4)=0,366,365)</f>
        <v>365</v>
      </c>
      <c r="D169" s="37" t="n">
        <f aca="false">Inputs!$B$9-SUMIFS(Cash_Events!$G$6:$G$20,Cash_Events!$C$6:$C$20,"rAGMF",Cash_Events!$B$6:$B$20,"&lt;="&amp;A169)</f>
        <v>1500000</v>
      </c>
      <c r="E169" s="38" t="n">
        <f aca="false">VLOOKUP(A169,Inputs!$A$40:$B$48,2,TRUE())</f>
        <v>0.034199997053407</v>
      </c>
      <c r="F169" s="38" t="n">
        <f aca="false">E169+Inputs!$B$10</f>
        <v>0.101699997053407</v>
      </c>
      <c r="G169" s="37" t="n">
        <f aca="false">D169*F169/C169</f>
        <v>417.945193370166</v>
      </c>
      <c r="H169" s="37" t="n">
        <f aca="false">IF(AND(A169&gt;=Inputs!$B$13,OR(A169&lt;Inputs!$B$19,Inputs!$B$20=1)),D169*Inputs!$B$11/C169,0)</f>
        <v>0</v>
      </c>
      <c r="I169" s="37" t="n">
        <f aca="false">Inputs!$C$9-SUMIFS(Cash_Events!$G$6:$G$20,Cash_Events!$C$6:$C$20,"FHL",Cash_Events!$B$6:$B$20,"&lt;="&amp;A169)</f>
        <v>1500000</v>
      </c>
      <c r="J169" s="38" t="n">
        <f aca="false">VLOOKUP(A169,Inputs!$F$40:$G$48,2,TRUE())</f>
        <v>0.034199995543672</v>
      </c>
      <c r="K169" s="38" t="n">
        <f aca="false">J169+Inputs!$C$10</f>
        <v>0.101699995543672</v>
      </c>
      <c r="L169" s="37" t="n">
        <f aca="false">I169*K169/C169</f>
        <v>417.945187165775</v>
      </c>
      <c r="M169" s="37" t="n">
        <f aca="false">IF(AND(A169&gt;=Inputs!$C$13,OR(A169&lt;Inputs!$B$19,Inputs!$B$20=1)),I169*Inputs!$C$11/C169,0)</f>
        <v>0</v>
      </c>
    </row>
    <row r="170" customFormat="false" ht="15" hidden="false" customHeight="false" outlineLevel="0" collapsed="false">
      <c r="A170" s="35" t="n">
        <f aca="false">A169+1</f>
        <v>44977</v>
      </c>
      <c r="B170" s="35" t="n">
        <f aca="false">EOMONTH(A170+1,0)</f>
        <v>44985</v>
      </c>
      <c r="C170" s="36" t="n">
        <f aca="false">IF(MOD(YEAR(A170),4)=0,366,365)</f>
        <v>365</v>
      </c>
      <c r="D170" s="37" t="n">
        <f aca="false">Inputs!$B$9-SUMIFS(Cash_Events!$G$6:$G$20,Cash_Events!$C$6:$C$20,"rAGMF",Cash_Events!$B$6:$B$20,"&lt;="&amp;A170)</f>
        <v>1500000</v>
      </c>
      <c r="E170" s="38" t="n">
        <f aca="false">VLOOKUP(A170,Inputs!$A$40:$B$48,2,TRUE())</f>
        <v>0.034199997053407</v>
      </c>
      <c r="F170" s="38" t="n">
        <f aca="false">E170+Inputs!$B$10</f>
        <v>0.101699997053407</v>
      </c>
      <c r="G170" s="37" t="n">
        <f aca="false">D170*F170/C170</f>
        <v>417.945193370166</v>
      </c>
      <c r="H170" s="37" t="n">
        <f aca="false">IF(AND(A170&gt;=Inputs!$B$13,OR(A170&lt;Inputs!$B$19,Inputs!$B$20=1)),D170*Inputs!$B$11/C170,0)</f>
        <v>0</v>
      </c>
      <c r="I170" s="37" t="n">
        <f aca="false">Inputs!$C$9-SUMIFS(Cash_Events!$G$6:$G$20,Cash_Events!$C$6:$C$20,"FHL",Cash_Events!$B$6:$B$20,"&lt;="&amp;A170)</f>
        <v>1500000</v>
      </c>
      <c r="J170" s="38" t="n">
        <f aca="false">VLOOKUP(A170,Inputs!$F$40:$G$48,2,TRUE())</f>
        <v>0.034199995543672</v>
      </c>
      <c r="K170" s="38" t="n">
        <f aca="false">J170+Inputs!$C$10</f>
        <v>0.101699995543672</v>
      </c>
      <c r="L170" s="37" t="n">
        <f aca="false">I170*K170/C170</f>
        <v>417.945187165775</v>
      </c>
      <c r="M170" s="37" t="n">
        <f aca="false">IF(AND(A170&gt;=Inputs!$C$13,OR(A170&lt;Inputs!$B$19,Inputs!$B$20=1)),I170*Inputs!$C$11/C170,0)</f>
        <v>0</v>
      </c>
    </row>
    <row r="171" customFormat="false" ht="15" hidden="false" customHeight="false" outlineLevel="0" collapsed="false">
      <c r="A171" s="35" t="n">
        <f aca="false">A170+1</f>
        <v>44978</v>
      </c>
      <c r="B171" s="35" t="n">
        <f aca="false">EOMONTH(A171+1,0)</f>
        <v>44985</v>
      </c>
      <c r="C171" s="36" t="n">
        <f aca="false">IF(MOD(YEAR(A171),4)=0,366,365)</f>
        <v>365</v>
      </c>
      <c r="D171" s="37" t="n">
        <f aca="false">Inputs!$B$9-SUMIFS(Cash_Events!$G$6:$G$20,Cash_Events!$C$6:$C$20,"rAGMF",Cash_Events!$B$6:$B$20,"&lt;="&amp;A171)</f>
        <v>1500000</v>
      </c>
      <c r="E171" s="38" t="n">
        <f aca="false">VLOOKUP(A171,Inputs!$A$40:$B$48,2,TRUE())</f>
        <v>0.034199997053407</v>
      </c>
      <c r="F171" s="38" t="n">
        <f aca="false">E171+Inputs!$B$10</f>
        <v>0.101699997053407</v>
      </c>
      <c r="G171" s="37" t="n">
        <f aca="false">D171*F171/C171</f>
        <v>417.945193370166</v>
      </c>
      <c r="H171" s="37" t="n">
        <f aca="false">IF(AND(A171&gt;=Inputs!$B$13,OR(A171&lt;Inputs!$B$19,Inputs!$B$20=1)),D171*Inputs!$B$11/C171,0)</f>
        <v>0</v>
      </c>
      <c r="I171" s="37" t="n">
        <f aca="false">Inputs!$C$9-SUMIFS(Cash_Events!$G$6:$G$20,Cash_Events!$C$6:$C$20,"FHL",Cash_Events!$B$6:$B$20,"&lt;="&amp;A171)</f>
        <v>1500000</v>
      </c>
      <c r="J171" s="38" t="n">
        <f aca="false">VLOOKUP(A171,Inputs!$F$40:$G$48,2,TRUE())</f>
        <v>0.034199995543672</v>
      </c>
      <c r="K171" s="38" t="n">
        <f aca="false">J171+Inputs!$C$10</f>
        <v>0.101699995543672</v>
      </c>
      <c r="L171" s="37" t="n">
        <f aca="false">I171*K171/C171</f>
        <v>417.945187165775</v>
      </c>
      <c r="M171" s="37" t="n">
        <f aca="false">IF(AND(A171&gt;=Inputs!$C$13,OR(A171&lt;Inputs!$B$19,Inputs!$B$20=1)),I171*Inputs!$C$11/C171,0)</f>
        <v>0</v>
      </c>
    </row>
    <row r="172" customFormat="false" ht="15" hidden="false" customHeight="false" outlineLevel="0" collapsed="false">
      <c r="A172" s="35" t="n">
        <f aca="false">A171+1</f>
        <v>44979</v>
      </c>
      <c r="B172" s="35" t="n">
        <f aca="false">EOMONTH(A172+1,0)</f>
        <v>44985</v>
      </c>
      <c r="C172" s="36" t="n">
        <f aca="false">IF(MOD(YEAR(A172),4)=0,366,365)</f>
        <v>365</v>
      </c>
      <c r="D172" s="37" t="n">
        <f aca="false">Inputs!$B$9-SUMIFS(Cash_Events!$G$6:$G$20,Cash_Events!$C$6:$C$20,"rAGMF",Cash_Events!$B$6:$B$20,"&lt;="&amp;A172)</f>
        <v>1500000</v>
      </c>
      <c r="E172" s="38" t="n">
        <f aca="false">VLOOKUP(A172,Inputs!$A$40:$B$48,2,TRUE())</f>
        <v>0.034199997053407</v>
      </c>
      <c r="F172" s="38" t="n">
        <f aca="false">E172+Inputs!$B$10</f>
        <v>0.101699997053407</v>
      </c>
      <c r="G172" s="37" t="n">
        <f aca="false">D172*F172/C172</f>
        <v>417.945193370166</v>
      </c>
      <c r="H172" s="37" t="n">
        <f aca="false">IF(AND(A172&gt;=Inputs!$B$13,OR(A172&lt;Inputs!$B$19,Inputs!$B$20=1)),D172*Inputs!$B$11/C172,0)</f>
        <v>0</v>
      </c>
      <c r="I172" s="37" t="n">
        <f aca="false">Inputs!$C$9-SUMIFS(Cash_Events!$G$6:$G$20,Cash_Events!$C$6:$C$20,"FHL",Cash_Events!$B$6:$B$20,"&lt;="&amp;A172)</f>
        <v>1500000</v>
      </c>
      <c r="J172" s="38" t="n">
        <f aca="false">VLOOKUP(A172,Inputs!$F$40:$G$48,2,TRUE())</f>
        <v>0.034199995543672</v>
      </c>
      <c r="K172" s="38" t="n">
        <f aca="false">J172+Inputs!$C$10</f>
        <v>0.101699995543672</v>
      </c>
      <c r="L172" s="37" t="n">
        <f aca="false">I172*K172/C172</f>
        <v>417.945187165775</v>
      </c>
      <c r="M172" s="37" t="n">
        <f aca="false">IF(AND(A172&gt;=Inputs!$C$13,OR(A172&lt;Inputs!$B$19,Inputs!$B$20=1)),I172*Inputs!$C$11/C172,0)</f>
        <v>0</v>
      </c>
    </row>
    <row r="173" customFormat="false" ht="15" hidden="false" customHeight="false" outlineLevel="0" collapsed="false">
      <c r="A173" s="35" t="n">
        <f aca="false">A172+1</f>
        <v>44980</v>
      </c>
      <c r="B173" s="35" t="n">
        <f aca="false">EOMONTH(A173+1,0)</f>
        <v>44985</v>
      </c>
      <c r="C173" s="36" t="n">
        <f aca="false">IF(MOD(YEAR(A173),4)=0,366,365)</f>
        <v>365</v>
      </c>
      <c r="D173" s="37" t="n">
        <f aca="false">Inputs!$B$9-SUMIFS(Cash_Events!$G$6:$G$20,Cash_Events!$C$6:$C$20,"rAGMF",Cash_Events!$B$6:$B$20,"&lt;="&amp;A173)</f>
        <v>1500000</v>
      </c>
      <c r="E173" s="38" t="n">
        <f aca="false">VLOOKUP(A173,Inputs!$A$40:$B$48,2,TRUE())</f>
        <v>0.034199997053407</v>
      </c>
      <c r="F173" s="38" t="n">
        <f aca="false">E173+Inputs!$B$10</f>
        <v>0.101699997053407</v>
      </c>
      <c r="G173" s="37" t="n">
        <f aca="false">D173*F173/C173</f>
        <v>417.945193370166</v>
      </c>
      <c r="H173" s="37" t="n">
        <f aca="false">IF(AND(A173&gt;=Inputs!$B$13,OR(A173&lt;Inputs!$B$19,Inputs!$B$20=1)),D173*Inputs!$B$11/C173,0)</f>
        <v>0</v>
      </c>
      <c r="I173" s="37" t="n">
        <f aca="false">Inputs!$C$9-SUMIFS(Cash_Events!$G$6:$G$20,Cash_Events!$C$6:$C$20,"FHL",Cash_Events!$B$6:$B$20,"&lt;="&amp;A173)</f>
        <v>1500000</v>
      </c>
      <c r="J173" s="38" t="n">
        <f aca="false">VLOOKUP(A173,Inputs!$F$40:$G$48,2,TRUE())</f>
        <v>0.034199995543672</v>
      </c>
      <c r="K173" s="38" t="n">
        <f aca="false">J173+Inputs!$C$10</f>
        <v>0.101699995543672</v>
      </c>
      <c r="L173" s="37" t="n">
        <f aca="false">I173*K173/C173</f>
        <v>417.945187165775</v>
      </c>
      <c r="M173" s="37" t="n">
        <f aca="false">IF(AND(A173&gt;=Inputs!$C$13,OR(A173&lt;Inputs!$B$19,Inputs!$B$20=1)),I173*Inputs!$C$11/C173,0)</f>
        <v>0</v>
      </c>
    </row>
    <row r="174" customFormat="false" ht="15" hidden="false" customHeight="false" outlineLevel="0" collapsed="false">
      <c r="A174" s="35" t="n">
        <f aca="false">A173+1</f>
        <v>44981</v>
      </c>
      <c r="B174" s="35" t="n">
        <f aca="false">EOMONTH(A174+1,0)</f>
        <v>44985</v>
      </c>
      <c r="C174" s="36" t="n">
        <f aca="false">IF(MOD(YEAR(A174),4)=0,366,365)</f>
        <v>365</v>
      </c>
      <c r="D174" s="37" t="n">
        <f aca="false">Inputs!$B$9-SUMIFS(Cash_Events!$G$6:$G$20,Cash_Events!$C$6:$C$20,"rAGMF",Cash_Events!$B$6:$B$20,"&lt;="&amp;A174)</f>
        <v>1500000</v>
      </c>
      <c r="E174" s="38" t="n">
        <f aca="false">VLOOKUP(A174,Inputs!$A$40:$B$48,2,TRUE())</f>
        <v>0.034199997053407</v>
      </c>
      <c r="F174" s="38" t="n">
        <f aca="false">E174+Inputs!$B$10</f>
        <v>0.101699997053407</v>
      </c>
      <c r="G174" s="37" t="n">
        <f aca="false">D174*F174/C174</f>
        <v>417.945193370166</v>
      </c>
      <c r="H174" s="37" t="n">
        <f aca="false">IF(AND(A174&gt;=Inputs!$B$13,OR(A174&lt;Inputs!$B$19,Inputs!$B$20=1)),D174*Inputs!$B$11/C174,0)</f>
        <v>0</v>
      </c>
      <c r="I174" s="37" t="n">
        <f aca="false">Inputs!$C$9-SUMIFS(Cash_Events!$G$6:$G$20,Cash_Events!$C$6:$C$20,"FHL",Cash_Events!$B$6:$B$20,"&lt;="&amp;A174)</f>
        <v>1500000</v>
      </c>
      <c r="J174" s="38" t="n">
        <f aca="false">VLOOKUP(A174,Inputs!$F$40:$G$48,2,TRUE())</f>
        <v>0.034199995543672</v>
      </c>
      <c r="K174" s="38" t="n">
        <f aca="false">J174+Inputs!$C$10</f>
        <v>0.101699995543672</v>
      </c>
      <c r="L174" s="37" t="n">
        <f aca="false">I174*K174/C174</f>
        <v>417.945187165775</v>
      </c>
      <c r="M174" s="37" t="n">
        <f aca="false">IF(AND(A174&gt;=Inputs!$C$13,OR(A174&lt;Inputs!$B$19,Inputs!$B$20=1)),I174*Inputs!$C$11/C174,0)</f>
        <v>0</v>
      </c>
    </row>
    <row r="175" customFormat="false" ht="15" hidden="false" customHeight="false" outlineLevel="0" collapsed="false">
      <c r="A175" s="35" t="n">
        <f aca="false">A174+1</f>
        <v>44982</v>
      </c>
      <c r="B175" s="35" t="n">
        <f aca="false">EOMONTH(A175+1,0)</f>
        <v>44985</v>
      </c>
      <c r="C175" s="36" t="n">
        <f aca="false">IF(MOD(YEAR(A175),4)=0,366,365)</f>
        <v>365</v>
      </c>
      <c r="D175" s="37" t="n">
        <f aca="false">Inputs!$B$9-SUMIFS(Cash_Events!$G$6:$G$20,Cash_Events!$C$6:$C$20,"rAGMF",Cash_Events!$B$6:$B$20,"&lt;="&amp;A175)</f>
        <v>1500000</v>
      </c>
      <c r="E175" s="38" t="n">
        <f aca="false">VLOOKUP(A175,Inputs!$A$40:$B$48,2,TRUE())</f>
        <v>0.034199997053407</v>
      </c>
      <c r="F175" s="38" t="n">
        <f aca="false">E175+Inputs!$B$10</f>
        <v>0.101699997053407</v>
      </c>
      <c r="G175" s="37" t="n">
        <f aca="false">D175*F175/C175</f>
        <v>417.945193370166</v>
      </c>
      <c r="H175" s="37" t="n">
        <f aca="false">IF(AND(A175&gt;=Inputs!$B$13,OR(A175&lt;Inputs!$B$19,Inputs!$B$20=1)),D175*Inputs!$B$11/C175,0)</f>
        <v>0</v>
      </c>
      <c r="I175" s="37" t="n">
        <f aca="false">Inputs!$C$9-SUMIFS(Cash_Events!$G$6:$G$20,Cash_Events!$C$6:$C$20,"FHL",Cash_Events!$B$6:$B$20,"&lt;="&amp;A175)</f>
        <v>1500000</v>
      </c>
      <c r="J175" s="38" t="n">
        <f aca="false">VLOOKUP(A175,Inputs!$F$40:$G$48,2,TRUE())</f>
        <v>0.034199995543672</v>
      </c>
      <c r="K175" s="38" t="n">
        <f aca="false">J175+Inputs!$C$10</f>
        <v>0.101699995543672</v>
      </c>
      <c r="L175" s="37" t="n">
        <f aca="false">I175*K175/C175</f>
        <v>417.945187165775</v>
      </c>
      <c r="M175" s="37" t="n">
        <f aca="false">IF(AND(A175&gt;=Inputs!$C$13,OR(A175&lt;Inputs!$B$19,Inputs!$B$20=1)),I175*Inputs!$C$11/C175,0)</f>
        <v>0</v>
      </c>
    </row>
    <row r="176" customFormat="false" ht="15" hidden="false" customHeight="false" outlineLevel="0" collapsed="false">
      <c r="A176" s="35" t="n">
        <f aca="false">A175+1</f>
        <v>44983</v>
      </c>
      <c r="B176" s="35" t="n">
        <f aca="false">EOMONTH(A176+1,0)</f>
        <v>44985</v>
      </c>
      <c r="C176" s="36" t="n">
        <f aca="false">IF(MOD(YEAR(A176),4)=0,366,365)</f>
        <v>365</v>
      </c>
      <c r="D176" s="37" t="n">
        <f aca="false">Inputs!$B$9-SUMIFS(Cash_Events!$G$6:$G$20,Cash_Events!$C$6:$C$20,"rAGMF",Cash_Events!$B$6:$B$20,"&lt;="&amp;A176)</f>
        <v>1500000</v>
      </c>
      <c r="E176" s="38" t="n">
        <f aca="false">VLOOKUP(A176,Inputs!$A$40:$B$48,2,TRUE())</f>
        <v>0.034199997053407</v>
      </c>
      <c r="F176" s="38" t="n">
        <f aca="false">E176+Inputs!$B$10</f>
        <v>0.101699997053407</v>
      </c>
      <c r="G176" s="37" t="n">
        <f aca="false">D176*F176/C176</f>
        <v>417.945193370166</v>
      </c>
      <c r="H176" s="37" t="n">
        <f aca="false">IF(AND(A176&gt;=Inputs!$B$13,OR(A176&lt;Inputs!$B$19,Inputs!$B$20=1)),D176*Inputs!$B$11/C176,0)</f>
        <v>0</v>
      </c>
      <c r="I176" s="37" t="n">
        <f aca="false">Inputs!$C$9-SUMIFS(Cash_Events!$G$6:$G$20,Cash_Events!$C$6:$C$20,"FHL",Cash_Events!$B$6:$B$20,"&lt;="&amp;A176)</f>
        <v>1500000</v>
      </c>
      <c r="J176" s="38" t="n">
        <f aca="false">VLOOKUP(A176,Inputs!$F$40:$G$48,2,TRUE())</f>
        <v>0.034199995543672</v>
      </c>
      <c r="K176" s="38" t="n">
        <f aca="false">J176+Inputs!$C$10</f>
        <v>0.101699995543672</v>
      </c>
      <c r="L176" s="37" t="n">
        <f aca="false">I176*K176/C176</f>
        <v>417.945187165775</v>
      </c>
      <c r="M176" s="37" t="n">
        <f aca="false">IF(AND(A176&gt;=Inputs!$C$13,OR(A176&lt;Inputs!$B$19,Inputs!$B$20=1)),I176*Inputs!$C$11/C176,0)</f>
        <v>0</v>
      </c>
    </row>
    <row r="177" customFormat="false" ht="15" hidden="false" customHeight="false" outlineLevel="0" collapsed="false">
      <c r="A177" s="35" t="n">
        <f aca="false">A176+1</f>
        <v>44984</v>
      </c>
      <c r="B177" s="35" t="n">
        <f aca="false">EOMONTH(A177+1,0)</f>
        <v>44985</v>
      </c>
      <c r="C177" s="36" t="n">
        <f aca="false">IF(MOD(YEAR(A177),4)=0,366,365)</f>
        <v>365</v>
      </c>
      <c r="D177" s="37" t="n">
        <f aca="false">Inputs!$B$9-SUMIFS(Cash_Events!$G$6:$G$20,Cash_Events!$C$6:$C$20,"rAGMF",Cash_Events!$B$6:$B$20,"&lt;="&amp;A177)</f>
        <v>1500000</v>
      </c>
      <c r="E177" s="38" t="n">
        <f aca="false">VLOOKUP(A177,Inputs!$A$40:$B$48,2,TRUE())</f>
        <v>0.034199997053407</v>
      </c>
      <c r="F177" s="38" t="n">
        <f aca="false">E177+Inputs!$B$10</f>
        <v>0.101699997053407</v>
      </c>
      <c r="G177" s="37" t="n">
        <f aca="false">D177*F177/C177</f>
        <v>417.945193370166</v>
      </c>
      <c r="H177" s="37" t="n">
        <f aca="false">IF(AND(A177&gt;=Inputs!$B$13,OR(A177&lt;Inputs!$B$19,Inputs!$B$20=1)),D177*Inputs!$B$11/C177,0)</f>
        <v>0</v>
      </c>
      <c r="I177" s="37" t="n">
        <f aca="false">Inputs!$C$9-SUMIFS(Cash_Events!$G$6:$G$20,Cash_Events!$C$6:$C$20,"FHL",Cash_Events!$B$6:$B$20,"&lt;="&amp;A177)</f>
        <v>1500000</v>
      </c>
      <c r="J177" s="38" t="n">
        <f aca="false">VLOOKUP(A177,Inputs!$F$40:$G$48,2,TRUE())</f>
        <v>0.034199995543672</v>
      </c>
      <c r="K177" s="38" t="n">
        <f aca="false">J177+Inputs!$C$10</f>
        <v>0.101699995543672</v>
      </c>
      <c r="L177" s="37" t="n">
        <f aca="false">I177*K177/C177</f>
        <v>417.945187165775</v>
      </c>
      <c r="M177" s="37" t="n">
        <f aca="false">IF(AND(A177&gt;=Inputs!$C$13,OR(A177&lt;Inputs!$B$19,Inputs!$B$20=1)),I177*Inputs!$C$11/C177,0)</f>
        <v>0</v>
      </c>
    </row>
    <row r="178" customFormat="false" ht="15" hidden="false" customHeight="false" outlineLevel="0" collapsed="false">
      <c r="A178" s="35" t="n">
        <f aca="false">A177+1</f>
        <v>44985</v>
      </c>
      <c r="B178" s="35" t="n">
        <f aca="false">EOMONTH(A178+1,0)</f>
        <v>45016</v>
      </c>
      <c r="C178" s="36" t="n">
        <f aca="false">IF(MOD(YEAR(A178),4)=0,366,365)</f>
        <v>365</v>
      </c>
      <c r="D178" s="37" t="n">
        <f aca="false">Inputs!$B$9-SUMIFS(Cash_Events!$G$6:$G$20,Cash_Events!$C$6:$C$20,"rAGMF",Cash_Events!$B$6:$B$20,"&lt;="&amp;A178)</f>
        <v>1500000</v>
      </c>
      <c r="E178" s="38" t="n">
        <f aca="false">VLOOKUP(A178,Inputs!$A$40:$B$48,2,TRUE())</f>
        <v>0.034199997053407</v>
      </c>
      <c r="F178" s="38" t="n">
        <f aca="false">E178+Inputs!$B$10</f>
        <v>0.101699997053407</v>
      </c>
      <c r="G178" s="37" t="n">
        <f aca="false">D178*F178/C178</f>
        <v>417.945193370166</v>
      </c>
      <c r="H178" s="37" t="n">
        <f aca="false">IF(AND(A178&gt;=Inputs!$B$13,OR(A178&lt;Inputs!$B$19,Inputs!$B$20=1)),D178*Inputs!$B$11/C178,0)</f>
        <v>0</v>
      </c>
      <c r="I178" s="37" t="n">
        <f aca="false">Inputs!$C$9-SUMIFS(Cash_Events!$G$6:$G$20,Cash_Events!$C$6:$C$20,"FHL",Cash_Events!$B$6:$B$20,"&lt;="&amp;A178)</f>
        <v>1500000</v>
      </c>
      <c r="J178" s="38" t="n">
        <f aca="false">VLOOKUP(A178,Inputs!$F$40:$G$48,2,TRUE())</f>
        <v>0.034199995543672</v>
      </c>
      <c r="K178" s="38" t="n">
        <f aca="false">J178+Inputs!$C$10</f>
        <v>0.101699995543672</v>
      </c>
      <c r="L178" s="37" t="n">
        <f aca="false">I178*K178/C178</f>
        <v>417.945187165775</v>
      </c>
      <c r="M178" s="37" t="n">
        <f aca="false">IF(AND(A178&gt;=Inputs!$C$13,OR(A178&lt;Inputs!$B$19,Inputs!$B$20=1)),I178*Inputs!$C$11/C178,0)</f>
        <v>0</v>
      </c>
    </row>
    <row r="179" customFormat="false" ht="15" hidden="false" customHeight="false" outlineLevel="0" collapsed="false">
      <c r="A179" s="35" t="n">
        <f aca="false">A178+1</f>
        <v>44986</v>
      </c>
      <c r="B179" s="35" t="n">
        <f aca="false">EOMONTH(A179+1,0)</f>
        <v>45016</v>
      </c>
      <c r="C179" s="36" t="n">
        <f aca="false">IF(MOD(YEAR(A179),4)=0,366,365)</f>
        <v>365</v>
      </c>
      <c r="D179" s="37" t="n">
        <f aca="false">Inputs!$B$9-SUMIFS(Cash_Events!$G$6:$G$20,Cash_Events!$C$6:$C$20,"rAGMF",Cash_Events!$B$6:$B$20,"&lt;="&amp;A179)</f>
        <v>1500000</v>
      </c>
      <c r="E179" s="38" t="n">
        <f aca="false">VLOOKUP(A179,Inputs!$A$40:$B$48,2,TRUE())</f>
        <v>0.034199997053407</v>
      </c>
      <c r="F179" s="38" t="n">
        <f aca="false">E179+Inputs!$B$10</f>
        <v>0.101699997053407</v>
      </c>
      <c r="G179" s="37" t="n">
        <f aca="false">D179*F179/C179</f>
        <v>417.945193370166</v>
      </c>
      <c r="H179" s="37" t="n">
        <f aca="false">IF(AND(A179&gt;=Inputs!$B$13,OR(A179&lt;Inputs!$B$19,Inputs!$B$20=1)),D179*Inputs!$B$11/C179,0)</f>
        <v>0</v>
      </c>
      <c r="I179" s="37" t="n">
        <f aca="false">Inputs!$C$9-SUMIFS(Cash_Events!$G$6:$G$20,Cash_Events!$C$6:$C$20,"FHL",Cash_Events!$B$6:$B$20,"&lt;="&amp;A179)</f>
        <v>1500000</v>
      </c>
      <c r="J179" s="38" t="n">
        <f aca="false">VLOOKUP(A179,Inputs!$F$40:$G$48,2,TRUE())</f>
        <v>0.034199995543672</v>
      </c>
      <c r="K179" s="38" t="n">
        <f aca="false">J179+Inputs!$C$10</f>
        <v>0.101699995543672</v>
      </c>
      <c r="L179" s="37" t="n">
        <f aca="false">I179*K179/C179</f>
        <v>417.945187165775</v>
      </c>
      <c r="M179" s="37" t="n">
        <f aca="false">IF(AND(A179&gt;=Inputs!$C$13,OR(A179&lt;Inputs!$B$19,Inputs!$B$20=1)),I179*Inputs!$C$11/C179,0)</f>
        <v>0</v>
      </c>
    </row>
    <row r="180" customFormat="false" ht="15" hidden="false" customHeight="false" outlineLevel="0" collapsed="false">
      <c r="A180" s="35" t="n">
        <f aca="false">A179+1</f>
        <v>44987</v>
      </c>
      <c r="B180" s="35" t="n">
        <f aca="false">EOMONTH(A180+1,0)</f>
        <v>45016</v>
      </c>
      <c r="C180" s="36" t="n">
        <f aca="false">IF(MOD(YEAR(A180),4)=0,366,365)</f>
        <v>365</v>
      </c>
      <c r="D180" s="37" t="n">
        <f aca="false">Inputs!$B$9-SUMIFS(Cash_Events!$G$6:$G$20,Cash_Events!$C$6:$C$20,"rAGMF",Cash_Events!$B$6:$B$20,"&lt;="&amp;A180)</f>
        <v>1500000</v>
      </c>
      <c r="E180" s="38" t="n">
        <f aca="false">VLOOKUP(A180,Inputs!$A$40:$B$48,2,TRUE())</f>
        <v>0.034199997053407</v>
      </c>
      <c r="F180" s="38" t="n">
        <f aca="false">E180+Inputs!$B$10</f>
        <v>0.101699997053407</v>
      </c>
      <c r="G180" s="37" t="n">
        <f aca="false">D180*F180/C180</f>
        <v>417.945193370166</v>
      </c>
      <c r="H180" s="37" t="n">
        <f aca="false">IF(AND(A180&gt;=Inputs!$B$13,OR(A180&lt;Inputs!$B$19,Inputs!$B$20=1)),D180*Inputs!$B$11/C180,0)</f>
        <v>0</v>
      </c>
      <c r="I180" s="37" t="n">
        <f aca="false">Inputs!$C$9-SUMIFS(Cash_Events!$G$6:$G$20,Cash_Events!$C$6:$C$20,"FHL",Cash_Events!$B$6:$B$20,"&lt;="&amp;A180)</f>
        <v>1500000</v>
      </c>
      <c r="J180" s="38" t="n">
        <f aca="false">VLOOKUP(A180,Inputs!$F$40:$G$48,2,TRUE())</f>
        <v>0.034199995543672</v>
      </c>
      <c r="K180" s="38" t="n">
        <f aca="false">J180+Inputs!$C$10</f>
        <v>0.101699995543672</v>
      </c>
      <c r="L180" s="37" t="n">
        <f aca="false">I180*K180/C180</f>
        <v>417.945187165775</v>
      </c>
      <c r="M180" s="37" t="n">
        <f aca="false">IF(AND(A180&gt;=Inputs!$C$13,OR(A180&lt;Inputs!$B$19,Inputs!$B$20=1)),I180*Inputs!$C$11/C180,0)</f>
        <v>0</v>
      </c>
    </row>
    <row r="181" customFormat="false" ht="15" hidden="false" customHeight="false" outlineLevel="0" collapsed="false">
      <c r="A181" s="35" t="n">
        <f aca="false">A180+1</f>
        <v>44988</v>
      </c>
      <c r="B181" s="35" t="n">
        <f aca="false">EOMONTH(A181+1,0)</f>
        <v>45016</v>
      </c>
      <c r="C181" s="36" t="n">
        <f aca="false">IF(MOD(YEAR(A181),4)=0,366,365)</f>
        <v>365</v>
      </c>
      <c r="D181" s="37" t="n">
        <f aca="false">Inputs!$B$9-SUMIFS(Cash_Events!$G$6:$G$20,Cash_Events!$C$6:$C$20,"rAGMF",Cash_Events!$B$6:$B$20,"&lt;="&amp;A181)</f>
        <v>1500000</v>
      </c>
      <c r="E181" s="38" t="n">
        <f aca="false">VLOOKUP(A181,Inputs!$A$40:$B$48,2,TRUE())</f>
        <v>0.034199997053407</v>
      </c>
      <c r="F181" s="38" t="n">
        <f aca="false">E181+Inputs!$B$10</f>
        <v>0.101699997053407</v>
      </c>
      <c r="G181" s="37" t="n">
        <f aca="false">D181*F181/C181</f>
        <v>417.945193370166</v>
      </c>
      <c r="H181" s="37" t="n">
        <f aca="false">IF(AND(A181&gt;=Inputs!$B$13,OR(A181&lt;Inputs!$B$19,Inputs!$B$20=1)),D181*Inputs!$B$11/C181,0)</f>
        <v>0</v>
      </c>
      <c r="I181" s="37" t="n">
        <f aca="false">Inputs!$C$9-SUMIFS(Cash_Events!$G$6:$G$20,Cash_Events!$C$6:$C$20,"FHL",Cash_Events!$B$6:$B$20,"&lt;="&amp;A181)</f>
        <v>1500000</v>
      </c>
      <c r="J181" s="38" t="n">
        <f aca="false">VLOOKUP(A181,Inputs!$F$40:$G$48,2,TRUE())</f>
        <v>0.034199995543672</v>
      </c>
      <c r="K181" s="38" t="n">
        <f aca="false">J181+Inputs!$C$10</f>
        <v>0.101699995543672</v>
      </c>
      <c r="L181" s="37" t="n">
        <f aca="false">I181*K181/C181</f>
        <v>417.945187165775</v>
      </c>
      <c r="M181" s="37" t="n">
        <f aca="false">IF(AND(A181&gt;=Inputs!$C$13,OR(A181&lt;Inputs!$B$19,Inputs!$B$20=1)),I181*Inputs!$C$11/C181,0)</f>
        <v>0</v>
      </c>
    </row>
    <row r="182" customFormat="false" ht="15" hidden="false" customHeight="false" outlineLevel="0" collapsed="false">
      <c r="A182" s="35" t="n">
        <f aca="false">A181+1</f>
        <v>44989</v>
      </c>
      <c r="B182" s="35" t="n">
        <f aca="false">EOMONTH(A182+1,0)</f>
        <v>45016</v>
      </c>
      <c r="C182" s="36" t="n">
        <f aca="false">IF(MOD(YEAR(A182),4)=0,366,365)</f>
        <v>365</v>
      </c>
      <c r="D182" s="37" t="n">
        <f aca="false">Inputs!$B$9-SUMIFS(Cash_Events!$G$6:$G$20,Cash_Events!$C$6:$C$20,"rAGMF",Cash_Events!$B$6:$B$20,"&lt;="&amp;A182)</f>
        <v>1500000</v>
      </c>
      <c r="E182" s="38" t="n">
        <f aca="false">VLOOKUP(A182,Inputs!$A$40:$B$48,2,TRUE())</f>
        <v>0.034199997053407</v>
      </c>
      <c r="F182" s="38" t="n">
        <f aca="false">E182+Inputs!$B$10</f>
        <v>0.101699997053407</v>
      </c>
      <c r="G182" s="37" t="n">
        <f aca="false">D182*F182/C182</f>
        <v>417.945193370166</v>
      </c>
      <c r="H182" s="37" t="n">
        <f aca="false">IF(AND(A182&gt;=Inputs!$B$13,OR(A182&lt;Inputs!$B$19,Inputs!$B$20=1)),D182*Inputs!$B$11/C182,0)</f>
        <v>0</v>
      </c>
      <c r="I182" s="37" t="n">
        <f aca="false">Inputs!$C$9-SUMIFS(Cash_Events!$G$6:$G$20,Cash_Events!$C$6:$C$20,"FHL",Cash_Events!$B$6:$B$20,"&lt;="&amp;A182)</f>
        <v>1500000</v>
      </c>
      <c r="J182" s="38" t="n">
        <f aca="false">VLOOKUP(A182,Inputs!$F$40:$G$48,2,TRUE())</f>
        <v>0.034199995543672</v>
      </c>
      <c r="K182" s="38" t="n">
        <f aca="false">J182+Inputs!$C$10</f>
        <v>0.101699995543672</v>
      </c>
      <c r="L182" s="37" t="n">
        <f aca="false">I182*K182/C182</f>
        <v>417.945187165775</v>
      </c>
      <c r="M182" s="37" t="n">
        <f aca="false">IF(AND(A182&gt;=Inputs!$C$13,OR(A182&lt;Inputs!$B$19,Inputs!$B$20=1)),I182*Inputs!$C$11/C182,0)</f>
        <v>0</v>
      </c>
    </row>
    <row r="183" customFormat="false" ht="15" hidden="false" customHeight="false" outlineLevel="0" collapsed="false">
      <c r="A183" s="35" t="n">
        <f aca="false">A182+1</f>
        <v>44990</v>
      </c>
      <c r="B183" s="35" t="n">
        <f aca="false">EOMONTH(A183+1,0)</f>
        <v>45016</v>
      </c>
      <c r="C183" s="36" t="n">
        <f aca="false">IF(MOD(YEAR(A183),4)=0,366,365)</f>
        <v>365</v>
      </c>
      <c r="D183" s="37" t="n">
        <f aca="false">Inputs!$B$9-SUMIFS(Cash_Events!$G$6:$G$20,Cash_Events!$C$6:$C$20,"rAGMF",Cash_Events!$B$6:$B$20,"&lt;="&amp;A183)</f>
        <v>1500000</v>
      </c>
      <c r="E183" s="38" t="n">
        <f aca="false">VLOOKUP(A183,Inputs!$A$40:$B$48,2,TRUE())</f>
        <v>0.034199997053407</v>
      </c>
      <c r="F183" s="38" t="n">
        <f aca="false">E183+Inputs!$B$10</f>
        <v>0.101699997053407</v>
      </c>
      <c r="G183" s="37" t="n">
        <f aca="false">D183*F183/C183</f>
        <v>417.945193370166</v>
      </c>
      <c r="H183" s="37" t="n">
        <f aca="false">IF(AND(A183&gt;=Inputs!$B$13,OR(A183&lt;Inputs!$B$19,Inputs!$B$20=1)),D183*Inputs!$B$11/C183,0)</f>
        <v>0</v>
      </c>
      <c r="I183" s="37" t="n">
        <f aca="false">Inputs!$C$9-SUMIFS(Cash_Events!$G$6:$G$20,Cash_Events!$C$6:$C$20,"FHL",Cash_Events!$B$6:$B$20,"&lt;="&amp;A183)</f>
        <v>1500000</v>
      </c>
      <c r="J183" s="38" t="n">
        <f aca="false">VLOOKUP(A183,Inputs!$F$40:$G$48,2,TRUE())</f>
        <v>0.034199995543672</v>
      </c>
      <c r="K183" s="38" t="n">
        <f aca="false">J183+Inputs!$C$10</f>
        <v>0.101699995543672</v>
      </c>
      <c r="L183" s="37" t="n">
        <f aca="false">I183*K183/C183</f>
        <v>417.945187165775</v>
      </c>
      <c r="M183" s="37" t="n">
        <f aca="false">IF(AND(A183&gt;=Inputs!$C$13,OR(A183&lt;Inputs!$B$19,Inputs!$B$20=1)),I183*Inputs!$C$11/C183,0)</f>
        <v>0</v>
      </c>
    </row>
    <row r="184" customFormat="false" ht="15" hidden="false" customHeight="false" outlineLevel="0" collapsed="false">
      <c r="A184" s="35" t="n">
        <f aca="false">A183+1</f>
        <v>44991</v>
      </c>
      <c r="B184" s="35" t="n">
        <f aca="false">EOMONTH(A184+1,0)</f>
        <v>45016</v>
      </c>
      <c r="C184" s="36" t="n">
        <f aca="false">IF(MOD(YEAR(A184),4)=0,366,365)</f>
        <v>365</v>
      </c>
      <c r="D184" s="37" t="n">
        <f aca="false">Inputs!$B$9-SUMIFS(Cash_Events!$G$6:$G$20,Cash_Events!$C$6:$C$20,"rAGMF",Cash_Events!$B$6:$B$20,"&lt;="&amp;A184)</f>
        <v>1500000</v>
      </c>
      <c r="E184" s="38" t="n">
        <f aca="false">VLOOKUP(A184,Inputs!$A$40:$B$48,2,TRUE())</f>
        <v>0.034199997053407</v>
      </c>
      <c r="F184" s="38" t="n">
        <f aca="false">E184+Inputs!$B$10</f>
        <v>0.101699997053407</v>
      </c>
      <c r="G184" s="37" t="n">
        <f aca="false">D184*F184/C184</f>
        <v>417.945193370166</v>
      </c>
      <c r="H184" s="37" t="n">
        <f aca="false">IF(AND(A184&gt;=Inputs!$B$13,OR(A184&lt;Inputs!$B$19,Inputs!$B$20=1)),D184*Inputs!$B$11/C184,0)</f>
        <v>0</v>
      </c>
      <c r="I184" s="37" t="n">
        <f aca="false">Inputs!$C$9-SUMIFS(Cash_Events!$G$6:$G$20,Cash_Events!$C$6:$C$20,"FHL",Cash_Events!$B$6:$B$20,"&lt;="&amp;A184)</f>
        <v>1500000</v>
      </c>
      <c r="J184" s="38" t="n">
        <f aca="false">VLOOKUP(A184,Inputs!$F$40:$G$48,2,TRUE())</f>
        <v>0.034199995543672</v>
      </c>
      <c r="K184" s="38" t="n">
        <f aca="false">J184+Inputs!$C$10</f>
        <v>0.101699995543672</v>
      </c>
      <c r="L184" s="37" t="n">
        <f aca="false">I184*K184/C184</f>
        <v>417.945187165775</v>
      </c>
      <c r="M184" s="37" t="n">
        <f aca="false">IF(AND(A184&gt;=Inputs!$C$13,OR(A184&lt;Inputs!$B$19,Inputs!$B$20=1)),I184*Inputs!$C$11/C184,0)</f>
        <v>0</v>
      </c>
    </row>
    <row r="185" customFormat="false" ht="15" hidden="false" customHeight="false" outlineLevel="0" collapsed="false">
      <c r="A185" s="35" t="n">
        <f aca="false">A184+1</f>
        <v>44992</v>
      </c>
      <c r="B185" s="35" t="n">
        <f aca="false">EOMONTH(A185+1,0)</f>
        <v>45016</v>
      </c>
      <c r="C185" s="36" t="n">
        <f aca="false">IF(MOD(YEAR(A185),4)=0,366,365)</f>
        <v>365</v>
      </c>
      <c r="D185" s="37" t="n">
        <f aca="false">Inputs!$B$9-SUMIFS(Cash_Events!$G$6:$G$20,Cash_Events!$C$6:$C$20,"rAGMF",Cash_Events!$B$6:$B$20,"&lt;="&amp;A185)</f>
        <v>1500000</v>
      </c>
      <c r="E185" s="38" t="n">
        <f aca="false">VLOOKUP(A185,Inputs!$A$40:$B$48,2,TRUE())</f>
        <v>0.034199997053407</v>
      </c>
      <c r="F185" s="38" t="n">
        <f aca="false">E185+Inputs!$B$10</f>
        <v>0.101699997053407</v>
      </c>
      <c r="G185" s="37" t="n">
        <f aca="false">D185*F185/C185</f>
        <v>417.945193370166</v>
      </c>
      <c r="H185" s="37" t="n">
        <f aca="false">IF(AND(A185&gt;=Inputs!$B$13,OR(A185&lt;Inputs!$B$19,Inputs!$B$20=1)),D185*Inputs!$B$11/C185,0)</f>
        <v>0</v>
      </c>
      <c r="I185" s="37" t="n">
        <f aca="false">Inputs!$C$9-SUMIFS(Cash_Events!$G$6:$G$20,Cash_Events!$C$6:$C$20,"FHL",Cash_Events!$B$6:$B$20,"&lt;="&amp;A185)</f>
        <v>1500000</v>
      </c>
      <c r="J185" s="38" t="n">
        <f aca="false">VLOOKUP(A185,Inputs!$F$40:$G$48,2,TRUE())</f>
        <v>0.034199995543672</v>
      </c>
      <c r="K185" s="38" t="n">
        <f aca="false">J185+Inputs!$C$10</f>
        <v>0.101699995543672</v>
      </c>
      <c r="L185" s="37" t="n">
        <f aca="false">I185*K185/C185</f>
        <v>417.945187165775</v>
      </c>
      <c r="M185" s="37" t="n">
        <f aca="false">IF(AND(A185&gt;=Inputs!$C$13,OR(A185&lt;Inputs!$B$19,Inputs!$B$20=1)),I185*Inputs!$C$11/C185,0)</f>
        <v>0</v>
      </c>
    </row>
    <row r="186" customFormat="false" ht="15" hidden="false" customHeight="false" outlineLevel="0" collapsed="false">
      <c r="A186" s="35" t="n">
        <f aca="false">A185+1</f>
        <v>44993</v>
      </c>
      <c r="B186" s="35" t="n">
        <f aca="false">EOMONTH(A186+1,0)</f>
        <v>45016</v>
      </c>
      <c r="C186" s="36" t="n">
        <f aca="false">IF(MOD(YEAR(A186),4)=0,366,365)</f>
        <v>365</v>
      </c>
      <c r="D186" s="37" t="n">
        <f aca="false">Inputs!$B$9-SUMIFS(Cash_Events!$G$6:$G$20,Cash_Events!$C$6:$C$20,"rAGMF",Cash_Events!$B$6:$B$20,"&lt;="&amp;A186)</f>
        <v>1500000</v>
      </c>
      <c r="E186" s="38" t="n">
        <f aca="false">VLOOKUP(A186,Inputs!$A$40:$B$48,2,TRUE())</f>
        <v>0.034199997053407</v>
      </c>
      <c r="F186" s="38" t="n">
        <f aca="false">E186+Inputs!$B$10</f>
        <v>0.101699997053407</v>
      </c>
      <c r="G186" s="37" t="n">
        <f aca="false">D186*F186/C186</f>
        <v>417.945193370166</v>
      </c>
      <c r="H186" s="37" t="n">
        <f aca="false">IF(AND(A186&gt;=Inputs!$B$13,OR(A186&lt;Inputs!$B$19,Inputs!$B$20=1)),D186*Inputs!$B$11/C186,0)</f>
        <v>0</v>
      </c>
      <c r="I186" s="37" t="n">
        <f aca="false">Inputs!$C$9-SUMIFS(Cash_Events!$G$6:$G$20,Cash_Events!$C$6:$C$20,"FHL",Cash_Events!$B$6:$B$20,"&lt;="&amp;A186)</f>
        <v>1500000</v>
      </c>
      <c r="J186" s="38" t="n">
        <f aca="false">VLOOKUP(A186,Inputs!$F$40:$G$48,2,TRUE())</f>
        <v>0.034199995543672</v>
      </c>
      <c r="K186" s="38" t="n">
        <f aca="false">J186+Inputs!$C$10</f>
        <v>0.101699995543672</v>
      </c>
      <c r="L186" s="37" t="n">
        <f aca="false">I186*K186/C186</f>
        <v>417.945187165775</v>
      </c>
      <c r="M186" s="37" t="n">
        <f aca="false">IF(AND(A186&gt;=Inputs!$C$13,OR(A186&lt;Inputs!$B$19,Inputs!$B$20=1)),I186*Inputs!$C$11/C186,0)</f>
        <v>0</v>
      </c>
    </row>
    <row r="187" customFormat="false" ht="15" hidden="false" customHeight="false" outlineLevel="0" collapsed="false">
      <c r="A187" s="35" t="n">
        <f aca="false">A186+1</f>
        <v>44994</v>
      </c>
      <c r="B187" s="35" t="n">
        <f aca="false">EOMONTH(A187+1,0)</f>
        <v>45016</v>
      </c>
      <c r="C187" s="36" t="n">
        <f aca="false">IF(MOD(YEAR(A187),4)=0,366,365)</f>
        <v>365</v>
      </c>
      <c r="D187" s="37" t="n">
        <f aca="false">Inputs!$B$9-SUMIFS(Cash_Events!$G$6:$G$20,Cash_Events!$C$6:$C$20,"rAGMF",Cash_Events!$B$6:$B$20,"&lt;="&amp;A187)</f>
        <v>1500000</v>
      </c>
      <c r="E187" s="38" t="n">
        <f aca="false">VLOOKUP(A187,Inputs!$A$40:$B$48,2,TRUE())</f>
        <v>0.0521501</v>
      </c>
      <c r="F187" s="38" t="n">
        <f aca="false">E187+Inputs!$B$10</f>
        <v>0.1196501</v>
      </c>
      <c r="G187" s="37" t="n">
        <f aca="false">D187*F187/C187</f>
        <v>491.712739726027</v>
      </c>
      <c r="H187" s="37" t="n">
        <f aca="false">IF(AND(A187&gt;=Inputs!$B$13,OR(A187&lt;Inputs!$B$19,Inputs!$B$20=1)),D187*Inputs!$B$11/C187,0)</f>
        <v>0</v>
      </c>
      <c r="I187" s="37" t="n">
        <f aca="false">Inputs!$C$9-SUMIFS(Cash_Events!$G$6:$G$20,Cash_Events!$C$6:$C$20,"FHL",Cash_Events!$B$6:$B$20,"&lt;="&amp;A187)</f>
        <v>1500000</v>
      </c>
      <c r="J187" s="38" t="n">
        <f aca="false">VLOOKUP(A187,Inputs!$F$40:$G$48,2,TRUE())</f>
        <v>0.034199995543672</v>
      </c>
      <c r="K187" s="38" t="n">
        <f aca="false">J187+Inputs!$C$10</f>
        <v>0.101699995543672</v>
      </c>
      <c r="L187" s="37" t="n">
        <f aca="false">I187*K187/C187</f>
        <v>417.945187165775</v>
      </c>
      <c r="M187" s="37" t="n">
        <f aca="false">IF(AND(A187&gt;=Inputs!$C$13,OR(A187&lt;Inputs!$B$19,Inputs!$B$20=1)),I187*Inputs!$C$11/C187,0)</f>
        <v>0</v>
      </c>
    </row>
    <row r="188" customFormat="false" ht="15" hidden="false" customHeight="false" outlineLevel="0" collapsed="false">
      <c r="A188" s="35" t="n">
        <f aca="false">A187+1</f>
        <v>44995</v>
      </c>
      <c r="B188" s="35" t="n">
        <f aca="false">EOMONTH(A188+1,0)</f>
        <v>45016</v>
      </c>
      <c r="C188" s="36" t="n">
        <f aca="false">IF(MOD(YEAR(A188),4)=0,366,365)</f>
        <v>365</v>
      </c>
      <c r="D188" s="37" t="n">
        <f aca="false">Inputs!$B$9-SUMIFS(Cash_Events!$G$6:$G$20,Cash_Events!$C$6:$C$20,"rAGMF",Cash_Events!$B$6:$B$20,"&lt;="&amp;A188)</f>
        <v>1500000</v>
      </c>
      <c r="E188" s="38" t="n">
        <f aca="false">VLOOKUP(A188,Inputs!$A$40:$B$48,2,TRUE())</f>
        <v>0.0521501</v>
      </c>
      <c r="F188" s="38" t="n">
        <f aca="false">E188+Inputs!$B$10</f>
        <v>0.1196501</v>
      </c>
      <c r="G188" s="37" t="n">
        <f aca="false">D188*F188/C188</f>
        <v>491.712739726027</v>
      </c>
      <c r="H188" s="37" t="n">
        <f aca="false">IF(AND(A188&gt;=Inputs!$B$13,OR(A188&lt;Inputs!$B$19,Inputs!$B$20=1)),D188*Inputs!$B$11/C188,0)</f>
        <v>0</v>
      </c>
      <c r="I188" s="37" t="n">
        <f aca="false">Inputs!$C$9-SUMIFS(Cash_Events!$G$6:$G$20,Cash_Events!$C$6:$C$20,"FHL",Cash_Events!$B$6:$B$20,"&lt;="&amp;A188)</f>
        <v>1500000</v>
      </c>
      <c r="J188" s="38" t="n">
        <f aca="false">VLOOKUP(A188,Inputs!$F$40:$G$48,2,TRUE())</f>
        <v>0.034199995543672</v>
      </c>
      <c r="K188" s="38" t="n">
        <f aca="false">J188+Inputs!$C$10</f>
        <v>0.101699995543672</v>
      </c>
      <c r="L188" s="37" t="n">
        <f aca="false">I188*K188/C188</f>
        <v>417.945187165775</v>
      </c>
      <c r="M188" s="37" t="n">
        <f aca="false">IF(AND(A188&gt;=Inputs!$C$13,OR(A188&lt;Inputs!$B$19,Inputs!$B$20=1)),I188*Inputs!$C$11/C188,0)</f>
        <v>0</v>
      </c>
    </row>
    <row r="189" customFormat="false" ht="15" hidden="false" customHeight="false" outlineLevel="0" collapsed="false">
      <c r="A189" s="35" t="n">
        <f aca="false">A188+1</f>
        <v>44996</v>
      </c>
      <c r="B189" s="35" t="n">
        <f aca="false">EOMONTH(A189+1,0)</f>
        <v>45016</v>
      </c>
      <c r="C189" s="36" t="n">
        <f aca="false">IF(MOD(YEAR(A189),4)=0,366,365)</f>
        <v>365</v>
      </c>
      <c r="D189" s="37" t="n">
        <f aca="false">Inputs!$B$9-SUMIFS(Cash_Events!$G$6:$G$20,Cash_Events!$C$6:$C$20,"rAGMF",Cash_Events!$B$6:$B$20,"&lt;="&amp;A189)</f>
        <v>1500000</v>
      </c>
      <c r="E189" s="38" t="n">
        <f aca="false">VLOOKUP(A189,Inputs!$A$40:$B$48,2,TRUE())</f>
        <v>0.0521501</v>
      </c>
      <c r="F189" s="38" t="n">
        <f aca="false">E189+Inputs!$B$10</f>
        <v>0.1196501</v>
      </c>
      <c r="G189" s="37" t="n">
        <f aca="false">D189*F189/C189</f>
        <v>491.712739726027</v>
      </c>
      <c r="H189" s="37" t="n">
        <f aca="false">IF(AND(A189&gt;=Inputs!$B$13,OR(A189&lt;Inputs!$B$19,Inputs!$B$20=1)),D189*Inputs!$B$11/C189,0)</f>
        <v>0</v>
      </c>
      <c r="I189" s="37" t="n">
        <f aca="false">Inputs!$C$9-SUMIFS(Cash_Events!$G$6:$G$20,Cash_Events!$C$6:$C$20,"FHL",Cash_Events!$B$6:$B$20,"&lt;="&amp;A189)</f>
        <v>1500000</v>
      </c>
      <c r="J189" s="38" t="n">
        <f aca="false">VLOOKUP(A189,Inputs!$F$40:$G$48,2,TRUE())</f>
        <v>0.034199995543672</v>
      </c>
      <c r="K189" s="38" t="n">
        <f aca="false">J189+Inputs!$C$10</f>
        <v>0.101699995543672</v>
      </c>
      <c r="L189" s="37" t="n">
        <f aca="false">I189*K189/C189</f>
        <v>417.945187165775</v>
      </c>
      <c r="M189" s="37" t="n">
        <f aca="false">IF(AND(A189&gt;=Inputs!$C$13,OR(A189&lt;Inputs!$B$19,Inputs!$B$20=1)),I189*Inputs!$C$11/C189,0)</f>
        <v>0</v>
      </c>
    </row>
    <row r="190" customFormat="false" ht="15" hidden="false" customHeight="false" outlineLevel="0" collapsed="false">
      <c r="A190" s="35" t="n">
        <f aca="false">A189+1</f>
        <v>44997</v>
      </c>
      <c r="B190" s="35" t="n">
        <f aca="false">EOMONTH(A190+1,0)</f>
        <v>45016</v>
      </c>
      <c r="C190" s="36" t="n">
        <f aca="false">IF(MOD(YEAR(A190),4)=0,366,365)</f>
        <v>365</v>
      </c>
      <c r="D190" s="37" t="n">
        <f aca="false">Inputs!$B$9-SUMIFS(Cash_Events!$G$6:$G$20,Cash_Events!$C$6:$C$20,"rAGMF",Cash_Events!$B$6:$B$20,"&lt;="&amp;A190)</f>
        <v>1500000</v>
      </c>
      <c r="E190" s="38" t="n">
        <f aca="false">VLOOKUP(A190,Inputs!$A$40:$B$48,2,TRUE())</f>
        <v>0.0521501</v>
      </c>
      <c r="F190" s="38" t="n">
        <f aca="false">E190+Inputs!$B$10</f>
        <v>0.1196501</v>
      </c>
      <c r="G190" s="37" t="n">
        <f aca="false">D190*F190/C190</f>
        <v>491.712739726027</v>
      </c>
      <c r="H190" s="37" t="n">
        <f aca="false">IF(AND(A190&gt;=Inputs!$B$13,OR(A190&lt;Inputs!$B$19,Inputs!$B$20=1)),D190*Inputs!$B$11/C190,0)</f>
        <v>0</v>
      </c>
      <c r="I190" s="37" t="n">
        <f aca="false">Inputs!$C$9-SUMIFS(Cash_Events!$G$6:$G$20,Cash_Events!$C$6:$C$20,"FHL",Cash_Events!$B$6:$B$20,"&lt;="&amp;A190)</f>
        <v>1500000</v>
      </c>
      <c r="J190" s="38" t="n">
        <f aca="false">VLOOKUP(A190,Inputs!$F$40:$G$48,2,TRUE())</f>
        <v>0.034199995543672</v>
      </c>
      <c r="K190" s="38" t="n">
        <f aca="false">J190+Inputs!$C$10</f>
        <v>0.101699995543672</v>
      </c>
      <c r="L190" s="37" t="n">
        <f aca="false">I190*K190/C190</f>
        <v>417.945187165775</v>
      </c>
      <c r="M190" s="37" t="n">
        <f aca="false">IF(AND(A190&gt;=Inputs!$C$13,OR(A190&lt;Inputs!$B$19,Inputs!$B$20=1)),I190*Inputs!$C$11/C190,0)</f>
        <v>0</v>
      </c>
    </row>
    <row r="191" customFormat="false" ht="15" hidden="false" customHeight="false" outlineLevel="0" collapsed="false">
      <c r="A191" s="35" t="n">
        <f aca="false">A190+1</f>
        <v>44998</v>
      </c>
      <c r="B191" s="35" t="n">
        <f aca="false">EOMONTH(A191+1,0)</f>
        <v>45016</v>
      </c>
      <c r="C191" s="36" t="n">
        <f aca="false">IF(MOD(YEAR(A191),4)=0,366,365)</f>
        <v>365</v>
      </c>
      <c r="D191" s="37" t="n">
        <f aca="false">Inputs!$B$9-SUMIFS(Cash_Events!$G$6:$G$20,Cash_Events!$C$6:$C$20,"rAGMF",Cash_Events!$B$6:$B$20,"&lt;="&amp;A191)</f>
        <v>1500000</v>
      </c>
      <c r="E191" s="38" t="n">
        <f aca="false">VLOOKUP(A191,Inputs!$A$40:$B$48,2,TRUE())</f>
        <v>0.0521501</v>
      </c>
      <c r="F191" s="38" t="n">
        <f aca="false">E191+Inputs!$B$10</f>
        <v>0.1196501</v>
      </c>
      <c r="G191" s="37" t="n">
        <f aca="false">D191*F191/C191</f>
        <v>491.712739726027</v>
      </c>
      <c r="H191" s="37" t="n">
        <f aca="false">IF(AND(A191&gt;=Inputs!$B$13,OR(A191&lt;Inputs!$B$19,Inputs!$B$20=1)),D191*Inputs!$B$11/C191,0)</f>
        <v>0</v>
      </c>
      <c r="I191" s="37" t="n">
        <f aca="false">Inputs!$C$9-SUMIFS(Cash_Events!$G$6:$G$20,Cash_Events!$C$6:$C$20,"FHL",Cash_Events!$B$6:$B$20,"&lt;="&amp;A191)</f>
        <v>1500000</v>
      </c>
      <c r="J191" s="38" t="n">
        <f aca="false">VLOOKUP(A191,Inputs!$F$40:$G$48,2,TRUE())</f>
        <v>0.034199995543672</v>
      </c>
      <c r="K191" s="38" t="n">
        <f aca="false">J191+Inputs!$C$10</f>
        <v>0.101699995543672</v>
      </c>
      <c r="L191" s="37" t="n">
        <f aca="false">I191*K191/C191</f>
        <v>417.945187165775</v>
      </c>
      <c r="M191" s="37" t="n">
        <f aca="false">IF(AND(A191&gt;=Inputs!$C$13,OR(A191&lt;Inputs!$B$19,Inputs!$B$20=1)),I191*Inputs!$C$11/C191,0)</f>
        <v>0</v>
      </c>
    </row>
    <row r="192" customFormat="false" ht="15" hidden="false" customHeight="false" outlineLevel="0" collapsed="false">
      <c r="A192" s="35" t="n">
        <f aca="false">A191+1</f>
        <v>44999</v>
      </c>
      <c r="B192" s="35" t="n">
        <f aca="false">EOMONTH(A192+1,0)</f>
        <v>45016</v>
      </c>
      <c r="C192" s="36" t="n">
        <f aca="false">IF(MOD(YEAR(A192),4)=0,366,365)</f>
        <v>365</v>
      </c>
      <c r="D192" s="37" t="n">
        <f aca="false">Inputs!$B$9-SUMIFS(Cash_Events!$G$6:$G$20,Cash_Events!$C$6:$C$20,"rAGMF",Cash_Events!$B$6:$B$20,"&lt;="&amp;A192)</f>
        <v>1500000</v>
      </c>
      <c r="E192" s="38" t="n">
        <f aca="false">VLOOKUP(A192,Inputs!$A$40:$B$48,2,TRUE())</f>
        <v>0.0521501</v>
      </c>
      <c r="F192" s="38" t="n">
        <f aca="false">E192+Inputs!$B$10</f>
        <v>0.1196501</v>
      </c>
      <c r="G192" s="37" t="n">
        <f aca="false">D192*F192/C192</f>
        <v>491.712739726027</v>
      </c>
      <c r="H192" s="37" t="n">
        <f aca="false">IF(AND(A192&gt;=Inputs!$B$13,OR(A192&lt;Inputs!$B$19,Inputs!$B$20=1)),D192*Inputs!$B$11/C192,0)</f>
        <v>0</v>
      </c>
      <c r="I192" s="37" t="n">
        <f aca="false">Inputs!$C$9-SUMIFS(Cash_Events!$G$6:$G$20,Cash_Events!$C$6:$C$20,"FHL",Cash_Events!$B$6:$B$20,"&lt;="&amp;A192)</f>
        <v>1500000</v>
      </c>
      <c r="J192" s="38" t="n">
        <f aca="false">VLOOKUP(A192,Inputs!$F$40:$G$48,2,TRUE())</f>
        <v>0.034199995543672</v>
      </c>
      <c r="K192" s="38" t="n">
        <f aca="false">J192+Inputs!$C$10</f>
        <v>0.101699995543672</v>
      </c>
      <c r="L192" s="37" t="n">
        <f aca="false">I192*K192/C192</f>
        <v>417.945187165775</v>
      </c>
      <c r="M192" s="37" t="n">
        <f aca="false">IF(AND(A192&gt;=Inputs!$C$13,OR(A192&lt;Inputs!$B$19,Inputs!$B$20=1)),I192*Inputs!$C$11/C192,0)</f>
        <v>0</v>
      </c>
    </row>
    <row r="193" customFormat="false" ht="15" hidden="false" customHeight="false" outlineLevel="0" collapsed="false">
      <c r="A193" s="35" t="n">
        <f aca="false">A192+1</f>
        <v>45000</v>
      </c>
      <c r="B193" s="35" t="n">
        <f aca="false">EOMONTH(A193+1,0)</f>
        <v>45016</v>
      </c>
      <c r="C193" s="36" t="n">
        <f aca="false">IF(MOD(YEAR(A193),4)=0,366,365)</f>
        <v>365</v>
      </c>
      <c r="D193" s="37" t="n">
        <f aca="false">Inputs!$B$9-SUMIFS(Cash_Events!$G$6:$G$20,Cash_Events!$C$6:$C$20,"rAGMF",Cash_Events!$B$6:$B$20,"&lt;="&amp;A193)</f>
        <v>1500000</v>
      </c>
      <c r="E193" s="38" t="n">
        <f aca="false">VLOOKUP(A193,Inputs!$A$40:$B$48,2,TRUE())</f>
        <v>0.0521501</v>
      </c>
      <c r="F193" s="38" t="n">
        <f aca="false">E193+Inputs!$B$10</f>
        <v>0.1196501</v>
      </c>
      <c r="G193" s="37" t="n">
        <f aca="false">D193*F193/C193</f>
        <v>491.712739726027</v>
      </c>
      <c r="H193" s="37" t="n">
        <f aca="false">IF(AND(A193&gt;=Inputs!$B$13,OR(A193&lt;Inputs!$B$19,Inputs!$B$20=1)),D193*Inputs!$B$11/C193,0)</f>
        <v>0</v>
      </c>
      <c r="I193" s="37" t="n">
        <f aca="false">Inputs!$C$9-SUMIFS(Cash_Events!$G$6:$G$20,Cash_Events!$C$6:$C$20,"FHL",Cash_Events!$B$6:$B$20,"&lt;="&amp;A193)</f>
        <v>1500000</v>
      </c>
      <c r="J193" s="38" t="n">
        <f aca="false">VLOOKUP(A193,Inputs!$F$40:$G$48,2,TRUE())</f>
        <v>0.0522223</v>
      </c>
      <c r="K193" s="38" t="n">
        <f aca="false">J193+Inputs!$C$10</f>
        <v>0.1197223</v>
      </c>
      <c r="L193" s="37" t="n">
        <f aca="false">I193*K193/C193</f>
        <v>492.009452054795</v>
      </c>
      <c r="M193" s="37" t="n">
        <f aca="false">IF(AND(A193&gt;=Inputs!$C$13,OR(A193&lt;Inputs!$B$19,Inputs!$B$20=1)),I193*Inputs!$C$11/C193,0)</f>
        <v>0</v>
      </c>
    </row>
    <row r="194" customFormat="false" ht="15" hidden="false" customHeight="false" outlineLevel="0" collapsed="false">
      <c r="A194" s="35" t="n">
        <f aca="false">A193+1</f>
        <v>45001</v>
      </c>
      <c r="B194" s="35" t="n">
        <f aca="false">EOMONTH(A194+1,0)</f>
        <v>45016</v>
      </c>
      <c r="C194" s="36" t="n">
        <f aca="false">IF(MOD(YEAR(A194),4)=0,366,365)</f>
        <v>365</v>
      </c>
      <c r="D194" s="37" t="n">
        <f aca="false">Inputs!$B$9-SUMIFS(Cash_Events!$G$6:$G$20,Cash_Events!$C$6:$C$20,"rAGMF",Cash_Events!$B$6:$B$20,"&lt;="&amp;A194)</f>
        <v>1500000</v>
      </c>
      <c r="E194" s="38" t="n">
        <f aca="false">VLOOKUP(A194,Inputs!$A$40:$B$48,2,TRUE())</f>
        <v>0.0521501</v>
      </c>
      <c r="F194" s="38" t="n">
        <f aca="false">E194+Inputs!$B$10</f>
        <v>0.1196501</v>
      </c>
      <c r="G194" s="37" t="n">
        <f aca="false">D194*F194/C194</f>
        <v>491.712739726027</v>
      </c>
      <c r="H194" s="37" t="n">
        <f aca="false">IF(AND(A194&gt;=Inputs!$B$13,OR(A194&lt;Inputs!$B$19,Inputs!$B$20=1)),D194*Inputs!$B$11/C194,0)</f>
        <v>0</v>
      </c>
      <c r="I194" s="37" t="n">
        <f aca="false">Inputs!$C$9-SUMIFS(Cash_Events!$G$6:$G$20,Cash_Events!$C$6:$C$20,"FHL",Cash_Events!$B$6:$B$20,"&lt;="&amp;A194)</f>
        <v>1500000</v>
      </c>
      <c r="J194" s="38" t="n">
        <f aca="false">VLOOKUP(A194,Inputs!$F$40:$G$48,2,TRUE())</f>
        <v>0.0522223</v>
      </c>
      <c r="K194" s="38" t="n">
        <f aca="false">J194+Inputs!$C$10</f>
        <v>0.1197223</v>
      </c>
      <c r="L194" s="37" t="n">
        <f aca="false">I194*K194/C194</f>
        <v>492.009452054795</v>
      </c>
      <c r="M194" s="37" t="n">
        <f aca="false">IF(AND(A194&gt;=Inputs!$C$13,OR(A194&lt;Inputs!$B$19,Inputs!$B$20=1)),I194*Inputs!$C$11/C194,0)</f>
        <v>0</v>
      </c>
    </row>
    <row r="195" customFormat="false" ht="15" hidden="false" customHeight="false" outlineLevel="0" collapsed="false">
      <c r="A195" s="35" t="n">
        <f aca="false">A194+1</f>
        <v>45002</v>
      </c>
      <c r="B195" s="35" t="n">
        <f aca="false">EOMONTH(A195+1,0)</f>
        <v>45016</v>
      </c>
      <c r="C195" s="36" t="n">
        <f aca="false">IF(MOD(YEAR(A195),4)=0,366,365)</f>
        <v>365</v>
      </c>
      <c r="D195" s="37" t="n">
        <f aca="false">Inputs!$B$9-SUMIFS(Cash_Events!$G$6:$G$20,Cash_Events!$C$6:$C$20,"rAGMF",Cash_Events!$B$6:$B$20,"&lt;="&amp;A195)</f>
        <v>1500000</v>
      </c>
      <c r="E195" s="38" t="n">
        <f aca="false">VLOOKUP(A195,Inputs!$A$40:$B$48,2,TRUE())</f>
        <v>0.0521501</v>
      </c>
      <c r="F195" s="38" t="n">
        <f aca="false">E195+Inputs!$B$10</f>
        <v>0.1196501</v>
      </c>
      <c r="G195" s="37" t="n">
        <f aca="false">D195*F195/C195</f>
        <v>491.712739726027</v>
      </c>
      <c r="H195" s="37" t="n">
        <f aca="false">IF(AND(A195&gt;=Inputs!$B$13,OR(A195&lt;Inputs!$B$19,Inputs!$B$20=1)),D195*Inputs!$B$11/C195,0)</f>
        <v>0</v>
      </c>
      <c r="I195" s="37" t="n">
        <f aca="false">Inputs!$C$9-SUMIFS(Cash_Events!$G$6:$G$20,Cash_Events!$C$6:$C$20,"FHL",Cash_Events!$B$6:$B$20,"&lt;="&amp;A195)</f>
        <v>1500000</v>
      </c>
      <c r="J195" s="38" t="n">
        <f aca="false">VLOOKUP(A195,Inputs!$F$40:$G$48,2,TRUE())</f>
        <v>0.0522223</v>
      </c>
      <c r="K195" s="38" t="n">
        <f aca="false">J195+Inputs!$C$10</f>
        <v>0.1197223</v>
      </c>
      <c r="L195" s="37" t="n">
        <f aca="false">I195*K195/C195</f>
        <v>492.009452054795</v>
      </c>
      <c r="M195" s="37" t="n">
        <f aca="false">IF(AND(A195&gt;=Inputs!$C$13,OR(A195&lt;Inputs!$B$19,Inputs!$B$20=1)),I195*Inputs!$C$11/C195,0)</f>
        <v>0</v>
      </c>
    </row>
    <row r="196" customFormat="false" ht="15" hidden="false" customHeight="false" outlineLevel="0" collapsed="false">
      <c r="A196" s="35" t="n">
        <f aca="false">A195+1</f>
        <v>45003</v>
      </c>
      <c r="B196" s="35" t="n">
        <f aca="false">EOMONTH(A196+1,0)</f>
        <v>45016</v>
      </c>
      <c r="C196" s="36" t="n">
        <f aca="false">IF(MOD(YEAR(A196),4)=0,366,365)</f>
        <v>365</v>
      </c>
      <c r="D196" s="37" t="n">
        <f aca="false">Inputs!$B$9-SUMIFS(Cash_Events!$G$6:$G$20,Cash_Events!$C$6:$C$20,"rAGMF",Cash_Events!$B$6:$B$20,"&lt;="&amp;A196)</f>
        <v>1500000</v>
      </c>
      <c r="E196" s="38" t="n">
        <f aca="false">VLOOKUP(A196,Inputs!$A$40:$B$48,2,TRUE())</f>
        <v>0.0521501</v>
      </c>
      <c r="F196" s="38" t="n">
        <f aca="false">E196+Inputs!$B$10</f>
        <v>0.1196501</v>
      </c>
      <c r="G196" s="37" t="n">
        <f aca="false">D196*F196/C196</f>
        <v>491.712739726027</v>
      </c>
      <c r="H196" s="37" t="n">
        <f aca="false">IF(AND(A196&gt;=Inputs!$B$13,OR(A196&lt;Inputs!$B$19,Inputs!$B$20=1)),D196*Inputs!$B$11/C196,0)</f>
        <v>0</v>
      </c>
      <c r="I196" s="37" t="n">
        <f aca="false">Inputs!$C$9-SUMIFS(Cash_Events!$G$6:$G$20,Cash_Events!$C$6:$C$20,"FHL",Cash_Events!$B$6:$B$20,"&lt;="&amp;A196)</f>
        <v>1500000</v>
      </c>
      <c r="J196" s="38" t="n">
        <f aca="false">VLOOKUP(A196,Inputs!$F$40:$G$48,2,TRUE())</f>
        <v>0.0522223</v>
      </c>
      <c r="K196" s="38" t="n">
        <f aca="false">J196+Inputs!$C$10</f>
        <v>0.1197223</v>
      </c>
      <c r="L196" s="37" t="n">
        <f aca="false">I196*K196/C196</f>
        <v>492.009452054795</v>
      </c>
      <c r="M196" s="37" t="n">
        <f aca="false">IF(AND(A196&gt;=Inputs!$C$13,OR(A196&lt;Inputs!$B$19,Inputs!$B$20=1)),I196*Inputs!$C$11/C196,0)</f>
        <v>0</v>
      </c>
    </row>
    <row r="197" customFormat="false" ht="15" hidden="false" customHeight="false" outlineLevel="0" collapsed="false">
      <c r="A197" s="35" t="n">
        <f aca="false">A196+1</f>
        <v>45004</v>
      </c>
      <c r="B197" s="35" t="n">
        <f aca="false">EOMONTH(A197+1,0)</f>
        <v>45016</v>
      </c>
      <c r="C197" s="36" t="n">
        <f aca="false">IF(MOD(YEAR(A197),4)=0,366,365)</f>
        <v>365</v>
      </c>
      <c r="D197" s="37" t="n">
        <f aca="false">Inputs!$B$9-SUMIFS(Cash_Events!$G$6:$G$20,Cash_Events!$C$6:$C$20,"rAGMF",Cash_Events!$B$6:$B$20,"&lt;="&amp;A197)</f>
        <v>1500000</v>
      </c>
      <c r="E197" s="38" t="n">
        <f aca="false">VLOOKUP(A197,Inputs!$A$40:$B$48,2,TRUE())</f>
        <v>0.0521501</v>
      </c>
      <c r="F197" s="38" t="n">
        <f aca="false">E197+Inputs!$B$10</f>
        <v>0.1196501</v>
      </c>
      <c r="G197" s="37" t="n">
        <f aca="false">D197*F197/C197</f>
        <v>491.712739726027</v>
      </c>
      <c r="H197" s="37" t="n">
        <f aca="false">IF(AND(A197&gt;=Inputs!$B$13,OR(A197&lt;Inputs!$B$19,Inputs!$B$20=1)),D197*Inputs!$B$11/C197,0)</f>
        <v>0</v>
      </c>
      <c r="I197" s="37" t="n">
        <f aca="false">Inputs!$C$9-SUMIFS(Cash_Events!$G$6:$G$20,Cash_Events!$C$6:$C$20,"FHL",Cash_Events!$B$6:$B$20,"&lt;="&amp;A197)</f>
        <v>1500000</v>
      </c>
      <c r="J197" s="38" t="n">
        <f aca="false">VLOOKUP(A197,Inputs!$F$40:$G$48,2,TRUE())</f>
        <v>0.0522223</v>
      </c>
      <c r="K197" s="38" t="n">
        <f aca="false">J197+Inputs!$C$10</f>
        <v>0.1197223</v>
      </c>
      <c r="L197" s="37" t="n">
        <f aca="false">I197*K197/C197</f>
        <v>492.009452054795</v>
      </c>
      <c r="M197" s="37" t="n">
        <f aca="false">IF(AND(A197&gt;=Inputs!$C$13,OR(A197&lt;Inputs!$B$19,Inputs!$B$20=1)),I197*Inputs!$C$11/C197,0)</f>
        <v>0</v>
      </c>
    </row>
    <row r="198" customFormat="false" ht="15" hidden="false" customHeight="false" outlineLevel="0" collapsed="false">
      <c r="A198" s="35" t="n">
        <f aca="false">A197+1</f>
        <v>45005</v>
      </c>
      <c r="B198" s="35" t="n">
        <f aca="false">EOMONTH(A198+1,0)</f>
        <v>45016</v>
      </c>
      <c r="C198" s="36" t="n">
        <f aca="false">IF(MOD(YEAR(A198),4)=0,366,365)</f>
        <v>365</v>
      </c>
      <c r="D198" s="37" t="n">
        <f aca="false">Inputs!$B$9-SUMIFS(Cash_Events!$G$6:$G$20,Cash_Events!$C$6:$C$20,"rAGMF",Cash_Events!$B$6:$B$20,"&lt;="&amp;A198)</f>
        <v>1500000</v>
      </c>
      <c r="E198" s="38" t="n">
        <f aca="false">VLOOKUP(A198,Inputs!$A$40:$B$48,2,TRUE())</f>
        <v>0.0521501</v>
      </c>
      <c r="F198" s="38" t="n">
        <f aca="false">E198+Inputs!$B$10</f>
        <v>0.1196501</v>
      </c>
      <c r="G198" s="37" t="n">
        <f aca="false">D198*F198/C198</f>
        <v>491.712739726027</v>
      </c>
      <c r="H198" s="37" t="n">
        <f aca="false">IF(AND(A198&gt;=Inputs!$B$13,OR(A198&lt;Inputs!$B$19,Inputs!$B$20=1)),D198*Inputs!$B$11/C198,0)</f>
        <v>0</v>
      </c>
      <c r="I198" s="37" t="n">
        <f aca="false">Inputs!$C$9-SUMIFS(Cash_Events!$G$6:$G$20,Cash_Events!$C$6:$C$20,"FHL",Cash_Events!$B$6:$B$20,"&lt;="&amp;A198)</f>
        <v>1500000</v>
      </c>
      <c r="J198" s="38" t="n">
        <f aca="false">VLOOKUP(A198,Inputs!$F$40:$G$48,2,TRUE())</f>
        <v>0.0522223</v>
      </c>
      <c r="K198" s="38" t="n">
        <f aca="false">J198+Inputs!$C$10</f>
        <v>0.1197223</v>
      </c>
      <c r="L198" s="37" t="n">
        <f aca="false">I198*K198/C198</f>
        <v>492.009452054795</v>
      </c>
      <c r="M198" s="37" t="n">
        <f aca="false">IF(AND(A198&gt;=Inputs!$C$13,OR(A198&lt;Inputs!$B$19,Inputs!$B$20=1)),I198*Inputs!$C$11/C198,0)</f>
        <v>0</v>
      </c>
    </row>
    <row r="199" customFormat="false" ht="15" hidden="false" customHeight="false" outlineLevel="0" collapsed="false">
      <c r="A199" s="35" t="n">
        <f aca="false">A198+1</f>
        <v>45006</v>
      </c>
      <c r="B199" s="35" t="n">
        <f aca="false">EOMONTH(A199+1,0)</f>
        <v>45016</v>
      </c>
      <c r="C199" s="36" t="n">
        <f aca="false">IF(MOD(YEAR(A199),4)=0,366,365)</f>
        <v>365</v>
      </c>
      <c r="D199" s="37" t="n">
        <f aca="false">Inputs!$B$9-SUMIFS(Cash_Events!$G$6:$G$20,Cash_Events!$C$6:$C$20,"rAGMF",Cash_Events!$B$6:$B$20,"&lt;="&amp;A199)</f>
        <v>1500000</v>
      </c>
      <c r="E199" s="38" t="n">
        <f aca="false">VLOOKUP(A199,Inputs!$A$40:$B$48,2,TRUE())</f>
        <v>0.0521501</v>
      </c>
      <c r="F199" s="38" t="n">
        <f aca="false">E199+Inputs!$B$10</f>
        <v>0.1196501</v>
      </c>
      <c r="G199" s="37" t="n">
        <f aca="false">D199*F199/C199</f>
        <v>491.712739726027</v>
      </c>
      <c r="H199" s="37" t="n">
        <f aca="false">IF(AND(A199&gt;=Inputs!$B$13,OR(A199&lt;Inputs!$B$19,Inputs!$B$20=1)),D199*Inputs!$B$11/C199,0)</f>
        <v>0</v>
      </c>
      <c r="I199" s="37" t="n">
        <f aca="false">Inputs!$C$9-SUMIFS(Cash_Events!$G$6:$G$20,Cash_Events!$C$6:$C$20,"FHL",Cash_Events!$B$6:$B$20,"&lt;="&amp;A199)</f>
        <v>1500000</v>
      </c>
      <c r="J199" s="38" t="n">
        <f aca="false">VLOOKUP(A199,Inputs!$F$40:$G$48,2,TRUE())</f>
        <v>0.0522223</v>
      </c>
      <c r="K199" s="38" t="n">
        <f aca="false">J199+Inputs!$C$10</f>
        <v>0.1197223</v>
      </c>
      <c r="L199" s="37" t="n">
        <f aca="false">I199*K199/C199</f>
        <v>492.009452054795</v>
      </c>
      <c r="M199" s="37" t="n">
        <f aca="false">IF(AND(A199&gt;=Inputs!$C$13,OR(A199&lt;Inputs!$B$19,Inputs!$B$20=1)),I199*Inputs!$C$11/C199,0)</f>
        <v>0</v>
      </c>
    </row>
    <row r="200" customFormat="false" ht="15" hidden="false" customHeight="false" outlineLevel="0" collapsed="false">
      <c r="A200" s="35" t="n">
        <f aca="false">A199+1</f>
        <v>45007</v>
      </c>
      <c r="B200" s="35" t="n">
        <f aca="false">EOMONTH(A200+1,0)</f>
        <v>45016</v>
      </c>
      <c r="C200" s="36" t="n">
        <f aca="false">IF(MOD(YEAR(A200),4)=0,366,365)</f>
        <v>365</v>
      </c>
      <c r="D200" s="37" t="n">
        <f aca="false">Inputs!$B$9-SUMIFS(Cash_Events!$G$6:$G$20,Cash_Events!$C$6:$C$20,"rAGMF",Cash_Events!$B$6:$B$20,"&lt;="&amp;A200)</f>
        <v>1500000</v>
      </c>
      <c r="E200" s="38" t="n">
        <f aca="false">VLOOKUP(A200,Inputs!$A$40:$B$48,2,TRUE())</f>
        <v>0.0521501</v>
      </c>
      <c r="F200" s="38" t="n">
        <f aca="false">E200+Inputs!$B$10</f>
        <v>0.1196501</v>
      </c>
      <c r="G200" s="37" t="n">
        <f aca="false">D200*F200/C200</f>
        <v>491.712739726027</v>
      </c>
      <c r="H200" s="37" t="n">
        <f aca="false">IF(AND(A200&gt;=Inputs!$B$13,OR(A200&lt;Inputs!$B$19,Inputs!$B$20=1)),D200*Inputs!$B$11/C200,0)</f>
        <v>0</v>
      </c>
      <c r="I200" s="37" t="n">
        <f aca="false">Inputs!$C$9-SUMIFS(Cash_Events!$G$6:$G$20,Cash_Events!$C$6:$C$20,"FHL",Cash_Events!$B$6:$B$20,"&lt;="&amp;A200)</f>
        <v>1500000</v>
      </c>
      <c r="J200" s="38" t="n">
        <f aca="false">VLOOKUP(A200,Inputs!$F$40:$G$48,2,TRUE())</f>
        <v>0.0522223</v>
      </c>
      <c r="K200" s="38" t="n">
        <f aca="false">J200+Inputs!$C$10</f>
        <v>0.1197223</v>
      </c>
      <c r="L200" s="37" t="n">
        <f aca="false">I200*K200/C200</f>
        <v>492.009452054795</v>
      </c>
      <c r="M200" s="37" t="n">
        <f aca="false">IF(AND(A200&gt;=Inputs!$C$13,OR(A200&lt;Inputs!$B$19,Inputs!$B$20=1)),I200*Inputs!$C$11/C200,0)</f>
        <v>0</v>
      </c>
    </row>
    <row r="201" customFormat="false" ht="15" hidden="false" customHeight="false" outlineLevel="0" collapsed="false">
      <c r="A201" s="35" t="n">
        <f aca="false">A200+1</f>
        <v>45008</v>
      </c>
      <c r="B201" s="35" t="n">
        <f aca="false">EOMONTH(A201+1,0)</f>
        <v>45016</v>
      </c>
      <c r="C201" s="36" t="n">
        <f aca="false">IF(MOD(YEAR(A201),4)=0,366,365)</f>
        <v>365</v>
      </c>
      <c r="D201" s="37" t="n">
        <f aca="false">Inputs!$B$9-SUMIFS(Cash_Events!$G$6:$G$20,Cash_Events!$C$6:$C$20,"rAGMF",Cash_Events!$B$6:$B$20,"&lt;="&amp;A201)</f>
        <v>1500000</v>
      </c>
      <c r="E201" s="38" t="n">
        <f aca="false">VLOOKUP(A201,Inputs!$A$40:$B$48,2,TRUE())</f>
        <v>0.0521501</v>
      </c>
      <c r="F201" s="38" t="n">
        <f aca="false">E201+Inputs!$B$10</f>
        <v>0.1196501</v>
      </c>
      <c r="G201" s="37" t="n">
        <f aca="false">D201*F201/C201</f>
        <v>491.712739726027</v>
      </c>
      <c r="H201" s="37" t="n">
        <f aca="false">IF(AND(A201&gt;=Inputs!$B$13,OR(A201&lt;Inputs!$B$19,Inputs!$B$20=1)),D201*Inputs!$B$11/C201,0)</f>
        <v>0</v>
      </c>
      <c r="I201" s="37" t="n">
        <f aca="false">Inputs!$C$9-SUMIFS(Cash_Events!$G$6:$G$20,Cash_Events!$C$6:$C$20,"FHL",Cash_Events!$B$6:$B$20,"&lt;="&amp;A201)</f>
        <v>1500000</v>
      </c>
      <c r="J201" s="38" t="n">
        <f aca="false">VLOOKUP(A201,Inputs!$F$40:$G$48,2,TRUE())</f>
        <v>0.0522223</v>
      </c>
      <c r="K201" s="38" t="n">
        <f aca="false">J201+Inputs!$C$10</f>
        <v>0.1197223</v>
      </c>
      <c r="L201" s="37" t="n">
        <f aca="false">I201*K201/C201</f>
        <v>492.009452054795</v>
      </c>
      <c r="M201" s="37" t="n">
        <f aca="false">IF(AND(A201&gt;=Inputs!$C$13,OR(A201&lt;Inputs!$B$19,Inputs!$B$20=1)),I201*Inputs!$C$11/C201,0)</f>
        <v>0</v>
      </c>
    </row>
    <row r="202" customFormat="false" ht="15" hidden="false" customHeight="false" outlineLevel="0" collapsed="false">
      <c r="A202" s="35" t="n">
        <f aca="false">A201+1</f>
        <v>45009</v>
      </c>
      <c r="B202" s="35" t="n">
        <f aca="false">EOMONTH(A202+1,0)</f>
        <v>45016</v>
      </c>
      <c r="C202" s="36" t="n">
        <f aca="false">IF(MOD(YEAR(A202),4)=0,366,365)</f>
        <v>365</v>
      </c>
      <c r="D202" s="37" t="n">
        <f aca="false">Inputs!$B$9-SUMIFS(Cash_Events!$G$6:$G$20,Cash_Events!$C$6:$C$20,"rAGMF",Cash_Events!$B$6:$B$20,"&lt;="&amp;A202)</f>
        <v>1500000</v>
      </c>
      <c r="E202" s="38" t="n">
        <f aca="false">VLOOKUP(A202,Inputs!$A$40:$B$48,2,TRUE())</f>
        <v>0.0521501</v>
      </c>
      <c r="F202" s="38" t="n">
        <f aca="false">E202+Inputs!$B$10</f>
        <v>0.1196501</v>
      </c>
      <c r="G202" s="37" t="n">
        <f aca="false">D202*F202/C202</f>
        <v>491.712739726027</v>
      </c>
      <c r="H202" s="37" t="n">
        <f aca="false">IF(AND(A202&gt;=Inputs!$B$13,OR(A202&lt;Inputs!$B$19,Inputs!$B$20=1)),D202*Inputs!$B$11/C202,0)</f>
        <v>0</v>
      </c>
      <c r="I202" s="37" t="n">
        <f aca="false">Inputs!$C$9-SUMIFS(Cash_Events!$G$6:$G$20,Cash_Events!$C$6:$C$20,"FHL",Cash_Events!$B$6:$B$20,"&lt;="&amp;A202)</f>
        <v>1500000</v>
      </c>
      <c r="J202" s="38" t="n">
        <f aca="false">VLOOKUP(A202,Inputs!$F$40:$G$48,2,TRUE())</f>
        <v>0.0522223</v>
      </c>
      <c r="K202" s="38" t="n">
        <f aca="false">J202+Inputs!$C$10</f>
        <v>0.1197223</v>
      </c>
      <c r="L202" s="37" t="n">
        <f aca="false">I202*K202/C202</f>
        <v>492.009452054795</v>
      </c>
      <c r="M202" s="37" t="n">
        <f aca="false">IF(AND(A202&gt;=Inputs!$C$13,OR(A202&lt;Inputs!$B$19,Inputs!$B$20=1)),I202*Inputs!$C$11/C202,0)</f>
        <v>0</v>
      </c>
    </row>
    <row r="203" customFormat="false" ht="15" hidden="false" customHeight="false" outlineLevel="0" collapsed="false">
      <c r="A203" s="35" t="n">
        <f aca="false">A202+1</f>
        <v>45010</v>
      </c>
      <c r="B203" s="35" t="n">
        <f aca="false">EOMONTH(A203+1,0)</f>
        <v>45016</v>
      </c>
      <c r="C203" s="36" t="n">
        <f aca="false">IF(MOD(YEAR(A203),4)=0,366,365)</f>
        <v>365</v>
      </c>
      <c r="D203" s="37" t="n">
        <f aca="false">Inputs!$B$9-SUMIFS(Cash_Events!$G$6:$G$20,Cash_Events!$C$6:$C$20,"rAGMF",Cash_Events!$B$6:$B$20,"&lt;="&amp;A203)</f>
        <v>1500000</v>
      </c>
      <c r="E203" s="38" t="n">
        <f aca="false">VLOOKUP(A203,Inputs!$A$40:$B$48,2,TRUE())</f>
        <v>0.0521501</v>
      </c>
      <c r="F203" s="38" t="n">
        <f aca="false">E203+Inputs!$B$10</f>
        <v>0.1196501</v>
      </c>
      <c r="G203" s="37" t="n">
        <f aca="false">D203*F203/C203</f>
        <v>491.712739726027</v>
      </c>
      <c r="H203" s="37" t="n">
        <f aca="false">IF(AND(A203&gt;=Inputs!$B$13,OR(A203&lt;Inputs!$B$19,Inputs!$B$20=1)),D203*Inputs!$B$11/C203,0)</f>
        <v>0</v>
      </c>
      <c r="I203" s="37" t="n">
        <f aca="false">Inputs!$C$9-SUMIFS(Cash_Events!$G$6:$G$20,Cash_Events!$C$6:$C$20,"FHL",Cash_Events!$B$6:$B$20,"&lt;="&amp;A203)</f>
        <v>1500000</v>
      </c>
      <c r="J203" s="38" t="n">
        <f aca="false">VLOOKUP(A203,Inputs!$F$40:$G$48,2,TRUE())</f>
        <v>0.0522223</v>
      </c>
      <c r="K203" s="38" t="n">
        <f aca="false">J203+Inputs!$C$10</f>
        <v>0.1197223</v>
      </c>
      <c r="L203" s="37" t="n">
        <f aca="false">I203*K203/C203</f>
        <v>492.009452054795</v>
      </c>
      <c r="M203" s="37" t="n">
        <f aca="false">IF(AND(A203&gt;=Inputs!$C$13,OR(A203&lt;Inputs!$B$19,Inputs!$B$20=1)),I203*Inputs!$C$11/C203,0)</f>
        <v>0</v>
      </c>
    </row>
    <row r="204" customFormat="false" ht="15" hidden="false" customHeight="false" outlineLevel="0" collapsed="false">
      <c r="A204" s="35" t="n">
        <f aca="false">A203+1</f>
        <v>45011</v>
      </c>
      <c r="B204" s="35" t="n">
        <f aca="false">EOMONTH(A204+1,0)</f>
        <v>45016</v>
      </c>
      <c r="C204" s="36" t="n">
        <f aca="false">IF(MOD(YEAR(A204),4)=0,366,365)</f>
        <v>365</v>
      </c>
      <c r="D204" s="37" t="n">
        <f aca="false">Inputs!$B$9-SUMIFS(Cash_Events!$G$6:$G$20,Cash_Events!$C$6:$C$20,"rAGMF",Cash_Events!$B$6:$B$20,"&lt;="&amp;A204)</f>
        <v>1500000</v>
      </c>
      <c r="E204" s="38" t="n">
        <f aca="false">VLOOKUP(A204,Inputs!$A$40:$B$48,2,TRUE())</f>
        <v>0.0521501</v>
      </c>
      <c r="F204" s="38" t="n">
        <f aca="false">E204+Inputs!$B$10</f>
        <v>0.1196501</v>
      </c>
      <c r="G204" s="37" t="n">
        <f aca="false">D204*F204/C204</f>
        <v>491.712739726027</v>
      </c>
      <c r="H204" s="37" t="n">
        <f aca="false">IF(AND(A204&gt;=Inputs!$B$13,OR(A204&lt;Inputs!$B$19,Inputs!$B$20=1)),D204*Inputs!$B$11/C204,0)</f>
        <v>0</v>
      </c>
      <c r="I204" s="37" t="n">
        <f aca="false">Inputs!$C$9-SUMIFS(Cash_Events!$G$6:$G$20,Cash_Events!$C$6:$C$20,"FHL",Cash_Events!$B$6:$B$20,"&lt;="&amp;A204)</f>
        <v>1500000</v>
      </c>
      <c r="J204" s="38" t="n">
        <f aca="false">VLOOKUP(A204,Inputs!$F$40:$G$48,2,TRUE())</f>
        <v>0.0522223</v>
      </c>
      <c r="K204" s="38" t="n">
        <f aca="false">J204+Inputs!$C$10</f>
        <v>0.1197223</v>
      </c>
      <c r="L204" s="37" t="n">
        <f aca="false">I204*K204/C204</f>
        <v>492.009452054795</v>
      </c>
      <c r="M204" s="37" t="n">
        <f aca="false">IF(AND(A204&gt;=Inputs!$C$13,OR(A204&lt;Inputs!$B$19,Inputs!$B$20=1)),I204*Inputs!$C$11/C204,0)</f>
        <v>0</v>
      </c>
    </row>
    <row r="205" customFormat="false" ht="15" hidden="false" customHeight="false" outlineLevel="0" collapsed="false">
      <c r="A205" s="35" t="n">
        <f aca="false">A204+1</f>
        <v>45012</v>
      </c>
      <c r="B205" s="35" t="n">
        <f aca="false">EOMONTH(A205+1,0)</f>
        <v>45016</v>
      </c>
      <c r="C205" s="36" t="n">
        <f aca="false">IF(MOD(YEAR(A205),4)=0,366,365)</f>
        <v>365</v>
      </c>
      <c r="D205" s="37" t="n">
        <f aca="false">Inputs!$B$9-SUMIFS(Cash_Events!$G$6:$G$20,Cash_Events!$C$6:$C$20,"rAGMF",Cash_Events!$B$6:$B$20,"&lt;="&amp;A205)</f>
        <v>1500000</v>
      </c>
      <c r="E205" s="38" t="n">
        <f aca="false">VLOOKUP(A205,Inputs!$A$40:$B$48,2,TRUE())</f>
        <v>0.0521501</v>
      </c>
      <c r="F205" s="38" t="n">
        <f aca="false">E205+Inputs!$B$10</f>
        <v>0.1196501</v>
      </c>
      <c r="G205" s="37" t="n">
        <f aca="false">D205*F205/C205</f>
        <v>491.712739726027</v>
      </c>
      <c r="H205" s="37" t="n">
        <f aca="false">IF(AND(A205&gt;=Inputs!$B$13,OR(A205&lt;Inputs!$B$19,Inputs!$B$20=1)),D205*Inputs!$B$11/C205,0)</f>
        <v>0</v>
      </c>
      <c r="I205" s="37" t="n">
        <f aca="false">Inputs!$C$9-SUMIFS(Cash_Events!$G$6:$G$20,Cash_Events!$C$6:$C$20,"FHL",Cash_Events!$B$6:$B$20,"&lt;="&amp;A205)</f>
        <v>1500000</v>
      </c>
      <c r="J205" s="38" t="n">
        <f aca="false">VLOOKUP(A205,Inputs!$F$40:$G$48,2,TRUE())</f>
        <v>0.0522223</v>
      </c>
      <c r="K205" s="38" t="n">
        <f aca="false">J205+Inputs!$C$10</f>
        <v>0.1197223</v>
      </c>
      <c r="L205" s="37" t="n">
        <f aca="false">I205*K205/C205</f>
        <v>492.009452054795</v>
      </c>
      <c r="M205" s="37" t="n">
        <f aca="false">IF(AND(A205&gt;=Inputs!$C$13,OR(A205&lt;Inputs!$B$19,Inputs!$B$20=1)),I205*Inputs!$C$11/C205,0)</f>
        <v>0</v>
      </c>
    </row>
    <row r="206" customFormat="false" ht="15" hidden="false" customHeight="false" outlineLevel="0" collapsed="false">
      <c r="A206" s="35" t="n">
        <f aca="false">A205+1</f>
        <v>45013</v>
      </c>
      <c r="B206" s="35" t="n">
        <f aca="false">EOMONTH(A206+1,0)</f>
        <v>45016</v>
      </c>
      <c r="C206" s="36" t="n">
        <f aca="false">IF(MOD(YEAR(A206),4)=0,366,365)</f>
        <v>365</v>
      </c>
      <c r="D206" s="37" t="n">
        <f aca="false">Inputs!$B$9-SUMIFS(Cash_Events!$G$6:$G$20,Cash_Events!$C$6:$C$20,"rAGMF",Cash_Events!$B$6:$B$20,"&lt;="&amp;A206)</f>
        <v>1500000</v>
      </c>
      <c r="E206" s="38" t="n">
        <f aca="false">VLOOKUP(A206,Inputs!$A$40:$B$48,2,TRUE())</f>
        <v>0.0521501</v>
      </c>
      <c r="F206" s="38" t="n">
        <f aca="false">E206+Inputs!$B$10</f>
        <v>0.1196501</v>
      </c>
      <c r="G206" s="37" t="n">
        <f aca="false">D206*F206/C206</f>
        <v>491.712739726027</v>
      </c>
      <c r="H206" s="37" t="n">
        <f aca="false">IF(AND(A206&gt;=Inputs!$B$13,OR(A206&lt;Inputs!$B$19,Inputs!$B$20=1)),D206*Inputs!$B$11/C206,0)</f>
        <v>0</v>
      </c>
      <c r="I206" s="37" t="n">
        <f aca="false">Inputs!$C$9-SUMIFS(Cash_Events!$G$6:$G$20,Cash_Events!$C$6:$C$20,"FHL",Cash_Events!$B$6:$B$20,"&lt;="&amp;A206)</f>
        <v>1500000</v>
      </c>
      <c r="J206" s="38" t="n">
        <f aca="false">VLOOKUP(A206,Inputs!$F$40:$G$48,2,TRUE())</f>
        <v>0.0522223</v>
      </c>
      <c r="K206" s="38" t="n">
        <f aca="false">J206+Inputs!$C$10</f>
        <v>0.1197223</v>
      </c>
      <c r="L206" s="37" t="n">
        <f aca="false">I206*K206/C206</f>
        <v>492.009452054795</v>
      </c>
      <c r="M206" s="37" t="n">
        <f aca="false">IF(AND(A206&gt;=Inputs!$C$13,OR(A206&lt;Inputs!$B$19,Inputs!$B$20=1)),I206*Inputs!$C$11/C206,0)</f>
        <v>0</v>
      </c>
    </row>
    <row r="207" customFormat="false" ht="15" hidden="false" customHeight="false" outlineLevel="0" collapsed="false">
      <c r="A207" s="35" t="n">
        <f aca="false">A206+1</f>
        <v>45014</v>
      </c>
      <c r="B207" s="35" t="n">
        <f aca="false">EOMONTH(A207+1,0)</f>
        <v>45016</v>
      </c>
      <c r="C207" s="36" t="n">
        <f aca="false">IF(MOD(YEAR(A207),4)=0,366,365)</f>
        <v>365</v>
      </c>
      <c r="D207" s="37" t="n">
        <f aca="false">Inputs!$B$9-SUMIFS(Cash_Events!$G$6:$G$20,Cash_Events!$C$6:$C$20,"rAGMF",Cash_Events!$B$6:$B$20,"&lt;="&amp;A207)</f>
        <v>1500000</v>
      </c>
      <c r="E207" s="38" t="n">
        <f aca="false">VLOOKUP(A207,Inputs!$A$40:$B$48,2,TRUE())</f>
        <v>0.0521501</v>
      </c>
      <c r="F207" s="38" t="n">
        <f aca="false">E207+Inputs!$B$10</f>
        <v>0.1196501</v>
      </c>
      <c r="G207" s="37" t="n">
        <f aca="false">D207*F207/C207</f>
        <v>491.712739726027</v>
      </c>
      <c r="H207" s="37" t="n">
        <f aca="false">IF(AND(A207&gt;=Inputs!$B$13,OR(A207&lt;Inputs!$B$19,Inputs!$B$20=1)),D207*Inputs!$B$11/C207,0)</f>
        <v>0</v>
      </c>
      <c r="I207" s="37" t="n">
        <f aca="false">Inputs!$C$9-SUMIFS(Cash_Events!$G$6:$G$20,Cash_Events!$C$6:$C$20,"FHL",Cash_Events!$B$6:$B$20,"&lt;="&amp;A207)</f>
        <v>1500000</v>
      </c>
      <c r="J207" s="38" t="n">
        <f aca="false">VLOOKUP(A207,Inputs!$F$40:$G$48,2,TRUE())</f>
        <v>0.0522223</v>
      </c>
      <c r="K207" s="38" t="n">
        <f aca="false">J207+Inputs!$C$10</f>
        <v>0.1197223</v>
      </c>
      <c r="L207" s="37" t="n">
        <f aca="false">I207*K207/C207</f>
        <v>492.009452054795</v>
      </c>
      <c r="M207" s="37" t="n">
        <f aca="false">IF(AND(A207&gt;=Inputs!$C$13,OR(A207&lt;Inputs!$B$19,Inputs!$B$20=1)),I207*Inputs!$C$11/C207,0)</f>
        <v>0</v>
      </c>
    </row>
    <row r="208" customFormat="false" ht="15" hidden="false" customHeight="false" outlineLevel="0" collapsed="false">
      <c r="A208" s="35" t="n">
        <f aca="false">A207+1</f>
        <v>45015</v>
      </c>
      <c r="B208" s="35" t="n">
        <f aca="false">EOMONTH(A208+1,0)</f>
        <v>45016</v>
      </c>
      <c r="C208" s="36" t="n">
        <f aca="false">IF(MOD(YEAR(A208),4)=0,366,365)</f>
        <v>365</v>
      </c>
      <c r="D208" s="37" t="n">
        <f aca="false">Inputs!$B$9-SUMIFS(Cash_Events!$G$6:$G$20,Cash_Events!$C$6:$C$20,"rAGMF",Cash_Events!$B$6:$B$20,"&lt;="&amp;A208)</f>
        <v>1500000</v>
      </c>
      <c r="E208" s="38" t="n">
        <f aca="false">VLOOKUP(A208,Inputs!$A$40:$B$48,2,TRUE())</f>
        <v>0.0521501</v>
      </c>
      <c r="F208" s="38" t="n">
        <f aca="false">E208+Inputs!$B$10</f>
        <v>0.1196501</v>
      </c>
      <c r="G208" s="37" t="n">
        <f aca="false">D208*F208/C208</f>
        <v>491.712739726027</v>
      </c>
      <c r="H208" s="37" t="n">
        <f aca="false">IF(AND(A208&gt;=Inputs!$B$13,OR(A208&lt;Inputs!$B$19,Inputs!$B$20=1)),D208*Inputs!$B$11/C208,0)</f>
        <v>0</v>
      </c>
      <c r="I208" s="37" t="n">
        <f aca="false">Inputs!$C$9-SUMIFS(Cash_Events!$G$6:$G$20,Cash_Events!$C$6:$C$20,"FHL",Cash_Events!$B$6:$B$20,"&lt;="&amp;A208)</f>
        <v>1500000</v>
      </c>
      <c r="J208" s="38" t="n">
        <f aca="false">VLOOKUP(A208,Inputs!$F$40:$G$48,2,TRUE())</f>
        <v>0.0522223</v>
      </c>
      <c r="K208" s="38" t="n">
        <f aca="false">J208+Inputs!$C$10</f>
        <v>0.1197223</v>
      </c>
      <c r="L208" s="37" t="n">
        <f aca="false">I208*K208/C208</f>
        <v>492.009452054795</v>
      </c>
      <c r="M208" s="37" t="n">
        <f aca="false">IF(AND(A208&gt;=Inputs!$C$13,OR(A208&lt;Inputs!$B$19,Inputs!$B$20=1)),I208*Inputs!$C$11/C208,0)</f>
        <v>0</v>
      </c>
    </row>
    <row r="209" customFormat="false" ht="15" hidden="false" customHeight="false" outlineLevel="0" collapsed="false">
      <c r="A209" s="35" t="n">
        <f aca="false">A208+1</f>
        <v>45016</v>
      </c>
      <c r="B209" s="35" t="n">
        <f aca="false">EOMONTH(A209+1,0)</f>
        <v>45046</v>
      </c>
      <c r="C209" s="36" t="n">
        <f aca="false">IF(MOD(YEAR(A209),4)=0,366,365)</f>
        <v>365</v>
      </c>
      <c r="D209" s="37" t="n">
        <f aca="false">Inputs!$B$9-SUMIFS(Cash_Events!$G$6:$G$20,Cash_Events!$C$6:$C$20,"rAGMF",Cash_Events!$B$6:$B$20,"&lt;="&amp;A209)</f>
        <v>1500000</v>
      </c>
      <c r="E209" s="38" t="n">
        <f aca="false">VLOOKUP(A209,Inputs!$A$40:$B$48,2,TRUE())</f>
        <v>0.0521501</v>
      </c>
      <c r="F209" s="38" t="n">
        <f aca="false">E209+Inputs!$B$10</f>
        <v>0.1196501</v>
      </c>
      <c r="G209" s="37" t="n">
        <f aca="false">D209*F209/C209</f>
        <v>491.712739726027</v>
      </c>
      <c r="H209" s="37" t="n">
        <f aca="false">IF(AND(A209&gt;=Inputs!$B$13,OR(A209&lt;Inputs!$B$19,Inputs!$B$20=1)),D209*Inputs!$B$11/C209,0)</f>
        <v>0</v>
      </c>
      <c r="I209" s="37" t="n">
        <f aca="false">Inputs!$C$9-SUMIFS(Cash_Events!$G$6:$G$20,Cash_Events!$C$6:$C$20,"FHL",Cash_Events!$B$6:$B$20,"&lt;="&amp;A209)</f>
        <v>1500000</v>
      </c>
      <c r="J209" s="38" t="n">
        <f aca="false">VLOOKUP(A209,Inputs!$F$40:$G$48,2,TRUE())</f>
        <v>0.0522223</v>
      </c>
      <c r="K209" s="38" t="n">
        <f aca="false">J209+Inputs!$C$10</f>
        <v>0.1197223</v>
      </c>
      <c r="L209" s="37" t="n">
        <f aca="false">I209*K209/C209</f>
        <v>492.009452054795</v>
      </c>
      <c r="M209" s="37" t="n">
        <f aca="false">IF(AND(A209&gt;=Inputs!$C$13,OR(A209&lt;Inputs!$B$19,Inputs!$B$20=1)),I209*Inputs!$C$11/C209,0)</f>
        <v>0</v>
      </c>
    </row>
    <row r="210" customFormat="false" ht="15" hidden="false" customHeight="false" outlineLevel="0" collapsed="false">
      <c r="A210" s="35" t="n">
        <f aca="false">A209+1</f>
        <v>45017</v>
      </c>
      <c r="B210" s="35" t="n">
        <f aca="false">EOMONTH(A210+1,0)</f>
        <v>45046</v>
      </c>
      <c r="C210" s="36" t="n">
        <f aca="false">IF(MOD(YEAR(A210),4)=0,366,365)</f>
        <v>365</v>
      </c>
      <c r="D210" s="37" t="n">
        <f aca="false">Inputs!$B$9-SUMIFS(Cash_Events!$G$6:$G$20,Cash_Events!$C$6:$C$20,"rAGMF",Cash_Events!$B$6:$B$20,"&lt;="&amp;A210)</f>
        <v>1500000</v>
      </c>
      <c r="E210" s="38" t="n">
        <f aca="false">VLOOKUP(A210,Inputs!$A$40:$B$48,2,TRUE())</f>
        <v>0.0521501</v>
      </c>
      <c r="F210" s="38" t="n">
        <f aca="false">E210+Inputs!$B$10</f>
        <v>0.1196501</v>
      </c>
      <c r="G210" s="37" t="n">
        <f aca="false">D210*F210/C210</f>
        <v>491.712739726027</v>
      </c>
      <c r="H210" s="37" t="n">
        <f aca="false">IF(AND(A210&gt;=Inputs!$B$13,OR(A210&lt;Inputs!$B$19,Inputs!$B$20=1)),D210*Inputs!$B$11/C210,0)</f>
        <v>0</v>
      </c>
      <c r="I210" s="37" t="n">
        <f aca="false">Inputs!$C$9-SUMIFS(Cash_Events!$G$6:$G$20,Cash_Events!$C$6:$C$20,"FHL",Cash_Events!$B$6:$B$20,"&lt;="&amp;A210)</f>
        <v>1500000</v>
      </c>
      <c r="J210" s="38" t="n">
        <f aca="false">VLOOKUP(A210,Inputs!$F$40:$G$48,2,TRUE())</f>
        <v>0.0522223</v>
      </c>
      <c r="K210" s="38" t="n">
        <f aca="false">J210+Inputs!$C$10</f>
        <v>0.1197223</v>
      </c>
      <c r="L210" s="37" t="n">
        <f aca="false">I210*K210/C210</f>
        <v>492.009452054795</v>
      </c>
      <c r="M210" s="37" t="n">
        <f aca="false">IF(AND(A210&gt;=Inputs!$C$13,OR(A210&lt;Inputs!$B$19,Inputs!$B$20=1)),I210*Inputs!$C$11/C210,0)</f>
        <v>0</v>
      </c>
    </row>
    <row r="211" customFormat="false" ht="15" hidden="false" customHeight="false" outlineLevel="0" collapsed="false">
      <c r="A211" s="35" t="n">
        <f aca="false">A210+1</f>
        <v>45018</v>
      </c>
      <c r="B211" s="35" t="n">
        <f aca="false">EOMONTH(A211+1,0)</f>
        <v>45046</v>
      </c>
      <c r="C211" s="36" t="n">
        <f aca="false">IF(MOD(YEAR(A211),4)=0,366,365)</f>
        <v>365</v>
      </c>
      <c r="D211" s="37" t="n">
        <f aca="false">Inputs!$B$9-SUMIFS(Cash_Events!$G$6:$G$20,Cash_Events!$C$6:$C$20,"rAGMF",Cash_Events!$B$6:$B$20,"&lt;="&amp;A211)</f>
        <v>1500000</v>
      </c>
      <c r="E211" s="38" t="n">
        <f aca="false">VLOOKUP(A211,Inputs!$A$40:$B$48,2,TRUE())</f>
        <v>0.0521501</v>
      </c>
      <c r="F211" s="38" t="n">
        <f aca="false">E211+Inputs!$B$10</f>
        <v>0.1196501</v>
      </c>
      <c r="G211" s="37" t="n">
        <f aca="false">D211*F211/C211</f>
        <v>491.712739726027</v>
      </c>
      <c r="H211" s="37" t="n">
        <f aca="false">IF(AND(A211&gt;=Inputs!$B$13,OR(A211&lt;Inputs!$B$19,Inputs!$B$20=1)),D211*Inputs!$B$11/C211,0)</f>
        <v>0</v>
      </c>
      <c r="I211" s="37" t="n">
        <f aca="false">Inputs!$C$9-SUMIFS(Cash_Events!$G$6:$G$20,Cash_Events!$C$6:$C$20,"FHL",Cash_Events!$B$6:$B$20,"&lt;="&amp;A211)</f>
        <v>1500000</v>
      </c>
      <c r="J211" s="38" t="n">
        <f aca="false">VLOOKUP(A211,Inputs!$F$40:$G$48,2,TRUE())</f>
        <v>0.0522223</v>
      </c>
      <c r="K211" s="38" t="n">
        <f aca="false">J211+Inputs!$C$10</f>
        <v>0.1197223</v>
      </c>
      <c r="L211" s="37" t="n">
        <f aca="false">I211*K211/C211</f>
        <v>492.009452054795</v>
      </c>
      <c r="M211" s="37" t="n">
        <f aca="false">IF(AND(A211&gt;=Inputs!$C$13,OR(A211&lt;Inputs!$B$19,Inputs!$B$20=1)),I211*Inputs!$C$11/C211,0)</f>
        <v>0</v>
      </c>
    </row>
    <row r="212" customFormat="false" ht="15" hidden="false" customHeight="false" outlineLevel="0" collapsed="false">
      <c r="A212" s="35" t="n">
        <f aca="false">A211+1</f>
        <v>45019</v>
      </c>
      <c r="B212" s="35" t="n">
        <f aca="false">EOMONTH(A212+1,0)</f>
        <v>45046</v>
      </c>
      <c r="C212" s="36" t="n">
        <f aca="false">IF(MOD(YEAR(A212),4)=0,366,365)</f>
        <v>365</v>
      </c>
      <c r="D212" s="37" t="n">
        <f aca="false">Inputs!$B$9-SUMIFS(Cash_Events!$G$6:$G$20,Cash_Events!$C$6:$C$20,"rAGMF",Cash_Events!$B$6:$B$20,"&lt;="&amp;A212)</f>
        <v>1500000</v>
      </c>
      <c r="E212" s="38" t="n">
        <f aca="false">VLOOKUP(A212,Inputs!$A$40:$B$48,2,TRUE())</f>
        <v>0.0521501</v>
      </c>
      <c r="F212" s="38" t="n">
        <f aca="false">E212+Inputs!$B$10</f>
        <v>0.1196501</v>
      </c>
      <c r="G212" s="37" t="n">
        <f aca="false">D212*F212/C212</f>
        <v>491.712739726027</v>
      </c>
      <c r="H212" s="37" t="n">
        <f aca="false">IF(AND(A212&gt;=Inputs!$B$13,OR(A212&lt;Inputs!$B$19,Inputs!$B$20=1)),D212*Inputs!$B$11/C212,0)</f>
        <v>0</v>
      </c>
      <c r="I212" s="37" t="n">
        <f aca="false">Inputs!$C$9-SUMIFS(Cash_Events!$G$6:$G$20,Cash_Events!$C$6:$C$20,"FHL",Cash_Events!$B$6:$B$20,"&lt;="&amp;A212)</f>
        <v>1500000</v>
      </c>
      <c r="J212" s="38" t="n">
        <f aca="false">VLOOKUP(A212,Inputs!$F$40:$G$48,2,TRUE())</f>
        <v>0.0522223</v>
      </c>
      <c r="K212" s="38" t="n">
        <f aca="false">J212+Inputs!$C$10</f>
        <v>0.1197223</v>
      </c>
      <c r="L212" s="37" t="n">
        <f aca="false">I212*K212/C212</f>
        <v>492.009452054795</v>
      </c>
      <c r="M212" s="37" t="n">
        <f aca="false">IF(AND(A212&gt;=Inputs!$C$13,OR(A212&lt;Inputs!$B$19,Inputs!$B$20=1)),I212*Inputs!$C$11/C212,0)</f>
        <v>0</v>
      </c>
    </row>
    <row r="213" customFormat="false" ht="15" hidden="false" customHeight="false" outlineLevel="0" collapsed="false">
      <c r="A213" s="35" t="n">
        <f aca="false">A212+1</f>
        <v>45020</v>
      </c>
      <c r="B213" s="35" t="n">
        <f aca="false">EOMONTH(A213+1,0)</f>
        <v>45046</v>
      </c>
      <c r="C213" s="36" t="n">
        <f aca="false">IF(MOD(YEAR(A213),4)=0,366,365)</f>
        <v>365</v>
      </c>
      <c r="D213" s="37" t="n">
        <f aca="false">Inputs!$B$9-SUMIFS(Cash_Events!$G$6:$G$20,Cash_Events!$C$6:$C$20,"rAGMF",Cash_Events!$B$6:$B$20,"&lt;="&amp;A213)</f>
        <v>1500000</v>
      </c>
      <c r="E213" s="38" t="n">
        <f aca="false">VLOOKUP(A213,Inputs!$A$40:$B$48,2,TRUE())</f>
        <v>0.0521501</v>
      </c>
      <c r="F213" s="38" t="n">
        <f aca="false">E213+Inputs!$B$10</f>
        <v>0.1196501</v>
      </c>
      <c r="G213" s="37" t="n">
        <f aca="false">D213*F213/C213</f>
        <v>491.712739726027</v>
      </c>
      <c r="H213" s="37" t="n">
        <f aca="false">IF(AND(A213&gt;=Inputs!$B$13,OR(A213&lt;Inputs!$B$19,Inputs!$B$20=1)),D213*Inputs!$B$11/C213,0)</f>
        <v>0</v>
      </c>
      <c r="I213" s="37" t="n">
        <f aca="false">Inputs!$C$9-SUMIFS(Cash_Events!$G$6:$G$20,Cash_Events!$C$6:$C$20,"FHL",Cash_Events!$B$6:$B$20,"&lt;="&amp;A213)</f>
        <v>1500000</v>
      </c>
      <c r="J213" s="38" t="n">
        <f aca="false">VLOOKUP(A213,Inputs!$F$40:$G$48,2,TRUE())</f>
        <v>0.0522223</v>
      </c>
      <c r="K213" s="38" t="n">
        <f aca="false">J213+Inputs!$C$10</f>
        <v>0.1197223</v>
      </c>
      <c r="L213" s="37" t="n">
        <f aca="false">I213*K213/C213</f>
        <v>492.009452054795</v>
      </c>
      <c r="M213" s="37" t="n">
        <f aca="false">IF(AND(A213&gt;=Inputs!$C$13,OR(A213&lt;Inputs!$B$19,Inputs!$B$20=1)),I213*Inputs!$C$11/C213,0)</f>
        <v>0</v>
      </c>
    </row>
    <row r="214" customFormat="false" ht="15" hidden="false" customHeight="false" outlineLevel="0" collapsed="false">
      <c r="A214" s="35" t="n">
        <f aca="false">A213+1</f>
        <v>45021</v>
      </c>
      <c r="B214" s="35" t="n">
        <f aca="false">EOMONTH(A214+1,0)</f>
        <v>45046</v>
      </c>
      <c r="C214" s="36" t="n">
        <f aca="false">IF(MOD(YEAR(A214),4)=0,366,365)</f>
        <v>365</v>
      </c>
      <c r="D214" s="37" t="n">
        <f aca="false">Inputs!$B$9-SUMIFS(Cash_Events!$G$6:$G$20,Cash_Events!$C$6:$C$20,"rAGMF",Cash_Events!$B$6:$B$20,"&lt;="&amp;A214)</f>
        <v>1500000</v>
      </c>
      <c r="E214" s="38" t="n">
        <f aca="false">VLOOKUP(A214,Inputs!$A$40:$B$48,2,TRUE())</f>
        <v>0.0521501</v>
      </c>
      <c r="F214" s="38" t="n">
        <f aca="false">E214+Inputs!$B$10</f>
        <v>0.1196501</v>
      </c>
      <c r="G214" s="37" t="n">
        <f aca="false">D214*F214/C214</f>
        <v>491.712739726027</v>
      </c>
      <c r="H214" s="37" t="n">
        <f aca="false">IF(AND(A214&gt;=Inputs!$B$13,OR(A214&lt;Inputs!$B$19,Inputs!$B$20=1)),D214*Inputs!$B$11/C214,0)</f>
        <v>0</v>
      </c>
      <c r="I214" s="37" t="n">
        <f aca="false">Inputs!$C$9-SUMIFS(Cash_Events!$G$6:$G$20,Cash_Events!$C$6:$C$20,"FHL",Cash_Events!$B$6:$B$20,"&lt;="&amp;A214)</f>
        <v>1500000</v>
      </c>
      <c r="J214" s="38" t="n">
        <f aca="false">VLOOKUP(A214,Inputs!$F$40:$G$48,2,TRUE())</f>
        <v>0.0522223</v>
      </c>
      <c r="K214" s="38" t="n">
        <f aca="false">J214+Inputs!$C$10</f>
        <v>0.1197223</v>
      </c>
      <c r="L214" s="37" t="n">
        <f aca="false">I214*K214/C214</f>
        <v>492.009452054795</v>
      </c>
      <c r="M214" s="37" t="n">
        <f aca="false">IF(AND(A214&gt;=Inputs!$C$13,OR(A214&lt;Inputs!$B$19,Inputs!$B$20=1)),I214*Inputs!$C$11/C214,0)</f>
        <v>0</v>
      </c>
    </row>
    <row r="215" customFormat="false" ht="15" hidden="false" customHeight="false" outlineLevel="0" collapsed="false">
      <c r="A215" s="35" t="n">
        <f aca="false">A214+1</f>
        <v>45022</v>
      </c>
      <c r="B215" s="35" t="n">
        <f aca="false">EOMONTH(A215+1,0)</f>
        <v>45046</v>
      </c>
      <c r="C215" s="36" t="n">
        <f aca="false">IF(MOD(YEAR(A215),4)=0,366,365)</f>
        <v>365</v>
      </c>
      <c r="D215" s="37" t="n">
        <f aca="false">Inputs!$B$9-SUMIFS(Cash_Events!$G$6:$G$20,Cash_Events!$C$6:$C$20,"rAGMF",Cash_Events!$B$6:$B$20,"&lt;="&amp;A215)</f>
        <v>1500000</v>
      </c>
      <c r="E215" s="38" t="n">
        <f aca="false">VLOOKUP(A215,Inputs!$A$40:$B$48,2,TRUE())</f>
        <v>0.0521501</v>
      </c>
      <c r="F215" s="38" t="n">
        <f aca="false">E215+Inputs!$B$10</f>
        <v>0.1196501</v>
      </c>
      <c r="G215" s="37" t="n">
        <f aca="false">D215*F215/C215</f>
        <v>491.712739726027</v>
      </c>
      <c r="H215" s="37" t="n">
        <f aca="false">IF(AND(A215&gt;=Inputs!$B$13,OR(A215&lt;Inputs!$B$19,Inputs!$B$20=1)),D215*Inputs!$B$11/C215,0)</f>
        <v>0</v>
      </c>
      <c r="I215" s="37" t="n">
        <f aca="false">Inputs!$C$9-SUMIFS(Cash_Events!$G$6:$G$20,Cash_Events!$C$6:$C$20,"FHL",Cash_Events!$B$6:$B$20,"&lt;="&amp;A215)</f>
        <v>1500000</v>
      </c>
      <c r="J215" s="38" t="n">
        <f aca="false">VLOOKUP(A215,Inputs!$F$40:$G$48,2,TRUE())</f>
        <v>0.0522223</v>
      </c>
      <c r="K215" s="38" t="n">
        <f aca="false">J215+Inputs!$C$10</f>
        <v>0.1197223</v>
      </c>
      <c r="L215" s="37" t="n">
        <f aca="false">I215*K215/C215</f>
        <v>492.009452054795</v>
      </c>
      <c r="M215" s="37" t="n">
        <f aca="false">IF(AND(A215&gt;=Inputs!$C$13,OR(A215&lt;Inputs!$B$19,Inputs!$B$20=1)),I215*Inputs!$C$11/C215,0)</f>
        <v>0</v>
      </c>
    </row>
    <row r="216" customFormat="false" ht="15" hidden="false" customHeight="false" outlineLevel="0" collapsed="false">
      <c r="A216" s="35" t="n">
        <f aca="false">A215+1</f>
        <v>45023</v>
      </c>
      <c r="B216" s="35" t="n">
        <f aca="false">EOMONTH(A216+1,0)</f>
        <v>45046</v>
      </c>
      <c r="C216" s="36" t="n">
        <f aca="false">IF(MOD(YEAR(A216),4)=0,366,365)</f>
        <v>365</v>
      </c>
      <c r="D216" s="37" t="n">
        <f aca="false">Inputs!$B$9-SUMIFS(Cash_Events!$G$6:$G$20,Cash_Events!$C$6:$C$20,"rAGMF",Cash_Events!$B$6:$B$20,"&lt;="&amp;A216)</f>
        <v>1500000</v>
      </c>
      <c r="E216" s="38" t="n">
        <f aca="false">VLOOKUP(A216,Inputs!$A$40:$B$48,2,TRUE())</f>
        <v>0.0521501</v>
      </c>
      <c r="F216" s="38" t="n">
        <f aca="false">E216+Inputs!$B$10</f>
        <v>0.1196501</v>
      </c>
      <c r="G216" s="37" t="n">
        <f aca="false">D216*F216/C216</f>
        <v>491.712739726027</v>
      </c>
      <c r="H216" s="37" t="n">
        <f aca="false">IF(AND(A216&gt;=Inputs!$B$13,OR(A216&lt;Inputs!$B$19,Inputs!$B$20=1)),D216*Inputs!$B$11/C216,0)</f>
        <v>0</v>
      </c>
      <c r="I216" s="37" t="n">
        <f aca="false">Inputs!$C$9-SUMIFS(Cash_Events!$G$6:$G$20,Cash_Events!$C$6:$C$20,"FHL",Cash_Events!$B$6:$B$20,"&lt;="&amp;A216)</f>
        <v>1500000</v>
      </c>
      <c r="J216" s="38" t="n">
        <f aca="false">VLOOKUP(A216,Inputs!$F$40:$G$48,2,TRUE())</f>
        <v>0.0522223</v>
      </c>
      <c r="K216" s="38" t="n">
        <f aca="false">J216+Inputs!$C$10</f>
        <v>0.1197223</v>
      </c>
      <c r="L216" s="37" t="n">
        <f aca="false">I216*K216/C216</f>
        <v>492.009452054795</v>
      </c>
      <c r="M216" s="37" t="n">
        <f aca="false">IF(AND(A216&gt;=Inputs!$C$13,OR(A216&lt;Inputs!$B$19,Inputs!$B$20=1)),I216*Inputs!$C$11/C216,0)</f>
        <v>0</v>
      </c>
    </row>
    <row r="217" customFormat="false" ht="15" hidden="false" customHeight="false" outlineLevel="0" collapsed="false">
      <c r="A217" s="35" t="n">
        <f aca="false">A216+1</f>
        <v>45024</v>
      </c>
      <c r="B217" s="35" t="n">
        <f aca="false">EOMONTH(A217+1,0)</f>
        <v>45046</v>
      </c>
      <c r="C217" s="36" t="n">
        <f aca="false">IF(MOD(YEAR(A217),4)=0,366,365)</f>
        <v>365</v>
      </c>
      <c r="D217" s="37" t="n">
        <f aca="false">Inputs!$B$9-SUMIFS(Cash_Events!$G$6:$G$20,Cash_Events!$C$6:$C$20,"rAGMF",Cash_Events!$B$6:$B$20,"&lt;="&amp;A217)</f>
        <v>1500000</v>
      </c>
      <c r="E217" s="38" t="n">
        <f aca="false">VLOOKUP(A217,Inputs!$A$40:$B$48,2,TRUE())</f>
        <v>0.0521501</v>
      </c>
      <c r="F217" s="38" t="n">
        <f aca="false">E217+Inputs!$B$10</f>
        <v>0.1196501</v>
      </c>
      <c r="G217" s="37" t="n">
        <f aca="false">D217*F217/C217</f>
        <v>491.712739726027</v>
      </c>
      <c r="H217" s="37" t="n">
        <f aca="false">IF(AND(A217&gt;=Inputs!$B$13,OR(A217&lt;Inputs!$B$19,Inputs!$B$20=1)),D217*Inputs!$B$11/C217,0)</f>
        <v>0</v>
      </c>
      <c r="I217" s="37" t="n">
        <f aca="false">Inputs!$C$9-SUMIFS(Cash_Events!$G$6:$G$20,Cash_Events!$C$6:$C$20,"FHL",Cash_Events!$B$6:$B$20,"&lt;="&amp;A217)</f>
        <v>1500000</v>
      </c>
      <c r="J217" s="38" t="n">
        <f aca="false">VLOOKUP(A217,Inputs!$F$40:$G$48,2,TRUE())</f>
        <v>0.0522223</v>
      </c>
      <c r="K217" s="38" t="n">
        <f aca="false">J217+Inputs!$C$10</f>
        <v>0.1197223</v>
      </c>
      <c r="L217" s="37" t="n">
        <f aca="false">I217*K217/C217</f>
        <v>492.009452054795</v>
      </c>
      <c r="M217" s="37" t="n">
        <f aca="false">IF(AND(A217&gt;=Inputs!$C$13,OR(A217&lt;Inputs!$B$19,Inputs!$B$20=1)),I217*Inputs!$C$11/C217,0)</f>
        <v>0</v>
      </c>
    </row>
    <row r="218" customFormat="false" ht="15" hidden="false" customHeight="false" outlineLevel="0" collapsed="false">
      <c r="A218" s="35" t="n">
        <f aca="false">A217+1</f>
        <v>45025</v>
      </c>
      <c r="B218" s="35" t="n">
        <f aca="false">EOMONTH(A218+1,0)</f>
        <v>45046</v>
      </c>
      <c r="C218" s="36" t="n">
        <f aca="false">IF(MOD(YEAR(A218),4)=0,366,365)</f>
        <v>365</v>
      </c>
      <c r="D218" s="37" t="n">
        <f aca="false">Inputs!$B$9-SUMIFS(Cash_Events!$G$6:$G$20,Cash_Events!$C$6:$C$20,"rAGMF",Cash_Events!$B$6:$B$20,"&lt;="&amp;A218)</f>
        <v>1500000</v>
      </c>
      <c r="E218" s="38" t="n">
        <f aca="false">VLOOKUP(A218,Inputs!$A$40:$B$48,2,TRUE())</f>
        <v>0.0521501</v>
      </c>
      <c r="F218" s="38" t="n">
        <f aca="false">E218+Inputs!$B$10</f>
        <v>0.1196501</v>
      </c>
      <c r="G218" s="37" t="n">
        <f aca="false">D218*F218/C218</f>
        <v>491.712739726027</v>
      </c>
      <c r="H218" s="37" t="n">
        <f aca="false">IF(AND(A218&gt;=Inputs!$B$13,OR(A218&lt;Inputs!$B$19,Inputs!$B$20=1)),D218*Inputs!$B$11/C218,0)</f>
        <v>0</v>
      </c>
      <c r="I218" s="37" t="n">
        <f aca="false">Inputs!$C$9-SUMIFS(Cash_Events!$G$6:$G$20,Cash_Events!$C$6:$C$20,"FHL",Cash_Events!$B$6:$B$20,"&lt;="&amp;A218)</f>
        <v>1500000</v>
      </c>
      <c r="J218" s="38" t="n">
        <f aca="false">VLOOKUP(A218,Inputs!$F$40:$G$48,2,TRUE())</f>
        <v>0.0522223</v>
      </c>
      <c r="K218" s="38" t="n">
        <f aca="false">J218+Inputs!$C$10</f>
        <v>0.1197223</v>
      </c>
      <c r="L218" s="37" t="n">
        <f aca="false">I218*K218/C218</f>
        <v>492.009452054795</v>
      </c>
      <c r="M218" s="37" t="n">
        <f aca="false">IF(AND(A218&gt;=Inputs!$C$13,OR(A218&lt;Inputs!$B$19,Inputs!$B$20=1)),I218*Inputs!$C$11/C218,0)</f>
        <v>0</v>
      </c>
    </row>
    <row r="219" customFormat="false" ht="15" hidden="false" customHeight="false" outlineLevel="0" collapsed="false">
      <c r="A219" s="35" t="n">
        <f aca="false">A218+1</f>
        <v>45026</v>
      </c>
      <c r="B219" s="35" t="n">
        <f aca="false">EOMONTH(A219+1,0)</f>
        <v>45046</v>
      </c>
      <c r="C219" s="36" t="n">
        <f aca="false">IF(MOD(YEAR(A219),4)=0,366,365)</f>
        <v>365</v>
      </c>
      <c r="D219" s="37" t="n">
        <f aca="false">Inputs!$B$9-SUMIFS(Cash_Events!$G$6:$G$20,Cash_Events!$C$6:$C$20,"rAGMF",Cash_Events!$B$6:$B$20,"&lt;="&amp;A219)</f>
        <v>1500000</v>
      </c>
      <c r="E219" s="38" t="n">
        <f aca="false">VLOOKUP(A219,Inputs!$A$40:$B$48,2,TRUE())</f>
        <v>0.0521501</v>
      </c>
      <c r="F219" s="38" t="n">
        <f aca="false">E219+Inputs!$B$10</f>
        <v>0.1196501</v>
      </c>
      <c r="G219" s="37" t="n">
        <f aca="false">D219*F219/C219</f>
        <v>491.712739726027</v>
      </c>
      <c r="H219" s="37" t="n">
        <f aca="false">IF(AND(A219&gt;=Inputs!$B$13,OR(A219&lt;Inputs!$B$19,Inputs!$B$20=1)),D219*Inputs!$B$11/C219,0)</f>
        <v>0</v>
      </c>
      <c r="I219" s="37" t="n">
        <f aca="false">Inputs!$C$9-SUMIFS(Cash_Events!$G$6:$G$20,Cash_Events!$C$6:$C$20,"FHL",Cash_Events!$B$6:$B$20,"&lt;="&amp;A219)</f>
        <v>1500000</v>
      </c>
      <c r="J219" s="38" t="n">
        <f aca="false">VLOOKUP(A219,Inputs!$F$40:$G$48,2,TRUE())</f>
        <v>0.0522223</v>
      </c>
      <c r="K219" s="38" t="n">
        <f aca="false">J219+Inputs!$C$10</f>
        <v>0.1197223</v>
      </c>
      <c r="L219" s="37" t="n">
        <f aca="false">I219*K219/C219</f>
        <v>492.009452054795</v>
      </c>
      <c r="M219" s="37" t="n">
        <f aca="false">IF(AND(A219&gt;=Inputs!$C$13,OR(A219&lt;Inputs!$B$19,Inputs!$B$20=1)),I219*Inputs!$C$11/C219,0)</f>
        <v>0</v>
      </c>
    </row>
    <row r="220" customFormat="false" ht="15" hidden="false" customHeight="false" outlineLevel="0" collapsed="false">
      <c r="A220" s="35" t="n">
        <f aca="false">A219+1</f>
        <v>45027</v>
      </c>
      <c r="B220" s="35" t="n">
        <f aca="false">EOMONTH(A220+1,0)</f>
        <v>45046</v>
      </c>
      <c r="C220" s="36" t="n">
        <f aca="false">IF(MOD(YEAR(A220),4)=0,366,365)</f>
        <v>365</v>
      </c>
      <c r="D220" s="37" t="n">
        <f aca="false">Inputs!$B$9-SUMIFS(Cash_Events!$G$6:$G$20,Cash_Events!$C$6:$C$20,"rAGMF",Cash_Events!$B$6:$B$20,"&lt;="&amp;A220)</f>
        <v>1500000</v>
      </c>
      <c r="E220" s="38" t="n">
        <f aca="false">VLOOKUP(A220,Inputs!$A$40:$B$48,2,TRUE())</f>
        <v>0.0521501</v>
      </c>
      <c r="F220" s="38" t="n">
        <f aca="false">E220+Inputs!$B$10</f>
        <v>0.1196501</v>
      </c>
      <c r="G220" s="37" t="n">
        <f aca="false">D220*F220/C220</f>
        <v>491.712739726027</v>
      </c>
      <c r="H220" s="37" t="n">
        <f aca="false">IF(AND(A220&gt;=Inputs!$B$13,OR(A220&lt;Inputs!$B$19,Inputs!$B$20=1)),D220*Inputs!$B$11/C220,0)</f>
        <v>0</v>
      </c>
      <c r="I220" s="37" t="n">
        <f aca="false">Inputs!$C$9-SUMIFS(Cash_Events!$G$6:$G$20,Cash_Events!$C$6:$C$20,"FHL",Cash_Events!$B$6:$B$20,"&lt;="&amp;A220)</f>
        <v>1500000</v>
      </c>
      <c r="J220" s="38" t="n">
        <f aca="false">VLOOKUP(A220,Inputs!$F$40:$G$48,2,TRUE())</f>
        <v>0.0522223</v>
      </c>
      <c r="K220" s="38" t="n">
        <f aca="false">J220+Inputs!$C$10</f>
        <v>0.1197223</v>
      </c>
      <c r="L220" s="37" t="n">
        <f aca="false">I220*K220/C220</f>
        <v>492.009452054795</v>
      </c>
      <c r="M220" s="37" t="n">
        <f aca="false">IF(AND(A220&gt;=Inputs!$C$13,OR(A220&lt;Inputs!$B$19,Inputs!$B$20=1)),I220*Inputs!$C$11/C220,0)</f>
        <v>0</v>
      </c>
    </row>
    <row r="221" customFormat="false" ht="15" hidden="false" customHeight="false" outlineLevel="0" collapsed="false">
      <c r="A221" s="35" t="n">
        <f aca="false">A220+1</f>
        <v>45028</v>
      </c>
      <c r="B221" s="35" t="n">
        <f aca="false">EOMONTH(A221+1,0)</f>
        <v>45046</v>
      </c>
      <c r="C221" s="36" t="n">
        <f aca="false">IF(MOD(YEAR(A221),4)=0,366,365)</f>
        <v>365</v>
      </c>
      <c r="D221" s="37" t="n">
        <f aca="false">Inputs!$B$9-SUMIFS(Cash_Events!$G$6:$G$20,Cash_Events!$C$6:$C$20,"rAGMF",Cash_Events!$B$6:$B$20,"&lt;="&amp;A221)</f>
        <v>1500000</v>
      </c>
      <c r="E221" s="38" t="n">
        <f aca="false">VLOOKUP(A221,Inputs!$A$40:$B$48,2,TRUE())</f>
        <v>0.0521501</v>
      </c>
      <c r="F221" s="38" t="n">
        <f aca="false">E221+Inputs!$B$10</f>
        <v>0.1196501</v>
      </c>
      <c r="G221" s="37" t="n">
        <f aca="false">D221*F221/C221</f>
        <v>491.712739726027</v>
      </c>
      <c r="H221" s="37" t="n">
        <f aca="false">IF(AND(A221&gt;=Inputs!$B$13,OR(A221&lt;Inputs!$B$19,Inputs!$B$20=1)),D221*Inputs!$B$11/C221,0)</f>
        <v>0</v>
      </c>
      <c r="I221" s="37" t="n">
        <f aca="false">Inputs!$C$9-SUMIFS(Cash_Events!$G$6:$G$20,Cash_Events!$C$6:$C$20,"FHL",Cash_Events!$B$6:$B$20,"&lt;="&amp;A221)</f>
        <v>1500000</v>
      </c>
      <c r="J221" s="38" t="n">
        <f aca="false">VLOOKUP(A221,Inputs!$F$40:$G$48,2,TRUE())</f>
        <v>0.0522223</v>
      </c>
      <c r="K221" s="38" t="n">
        <f aca="false">J221+Inputs!$C$10</f>
        <v>0.1197223</v>
      </c>
      <c r="L221" s="37" t="n">
        <f aca="false">I221*K221/C221</f>
        <v>492.009452054795</v>
      </c>
      <c r="M221" s="37" t="n">
        <f aca="false">IF(AND(A221&gt;=Inputs!$C$13,OR(A221&lt;Inputs!$B$19,Inputs!$B$20=1)),I221*Inputs!$C$11/C221,0)</f>
        <v>0</v>
      </c>
    </row>
    <row r="222" customFormat="false" ht="15" hidden="false" customHeight="false" outlineLevel="0" collapsed="false">
      <c r="A222" s="35" t="n">
        <f aca="false">A221+1</f>
        <v>45029</v>
      </c>
      <c r="B222" s="35" t="n">
        <f aca="false">EOMONTH(A222+1,0)</f>
        <v>45046</v>
      </c>
      <c r="C222" s="36" t="n">
        <f aca="false">IF(MOD(YEAR(A222),4)=0,366,365)</f>
        <v>365</v>
      </c>
      <c r="D222" s="37" t="n">
        <f aca="false">Inputs!$B$9-SUMIFS(Cash_Events!$G$6:$G$20,Cash_Events!$C$6:$C$20,"rAGMF",Cash_Events!$B$6:$B$20,"&lt;="&amp;A222)</f>
        <v>1500000</v>
      </c>
      <c r="E222" s="38" t="n">
        <f aca="false">VLOOKUP(A222,Inputs!$A$40:$B$48,2,TRUE())</f>
        <v>0.0521501</v>
      </c>
      <c r="F222" s="38" t="n">
        <f aca="false">E222+Inputs!$B$10</f>
        <v>0.1196501</v>
      </c>
      <c r="G222" s="37" t="n">
        <f aca="false">D222*F222/C222</f>
        <v>491.712739726027</v>
      </c>
      <c r="H222" s="37" t="n">
        <f aca="false">IF(AND(A222&gt;=Inputs!$B$13,OR(A222&lt;Inputs!$B$19,Inputs!$B$20=1)),D222*Inputs!$B$11/C222,0)</f>
        <v>0</v>
      </c>
      <c r="I222" s="37" t="n">
        <f aca="false">Inputs!$C$9-SUMIFS(Cash_Events!$G$6:$G$20,Cash_Events!$C$6:$C$20,"FHL",Cash_Events!$B$6:$B$20,"&lt;="&amp;A222)</f>
        <v>1500000</v>
      </c>
      <c r="J222" s="38" t="n">
        <f aca="false">VLOOKUP(A222,Inputs!$F$40:$G$48,2,TRUE())</f>
        <v>0.0522223</v>
      </c>
      <c r="K222" s="38" t="n">
        <f aca="false">J222+Inputs!$C$10</f>
        <v>0.1197223</v>
      </c>
      <c r="L222" s="37" t="n">
        <f aca="false">I222*K222/C222</f>
        <v>492.009452054795</v>
      </c>
      <c r="M222" s="37" t="n">
        <f aca="false">IF(AND(A222&gt;=Inputs!$C$13,OR(A222&lt;Inputs!$B$19,Inputs!$B$20=1)),I222*Inputs!$C$11/C222,0)</f>
        <v>0</v>
      </c>
    </row>
    <row r="223" customFormat="false" ht="15" hidden="false" customHeight="false" outlineLevel="0" collapsed="false">
      <c r="A223" s="35" t="n">
        <f aca="false">A222+1</f>
        <v>45030</v>
      </c>
      <c r="B223" s="35" t="n">
        <f aca="false">EOMONTH(A223+1,0)</f>
        <v>45046</v>
      </c>
      <c r="C223" s="36" t="n">
        <f aca="false">IF(MOD(YEAR(A223),4)=0,366,365)</f>
        <v>365</v>
      </c>
      <c r="D223" s="37" t="n">
        <f aca="false">Inputs!$B$9-SUMIFS(Cash_Events!$G$6:$G$20,Cash_Events!$C$6:$C$20,"rAGMF",Cash_Events!$B$6:$B$20,"&lt;="&amp;A223)</f>
        <v>1500000</v>
      </c>
      <c r="E223" s="38" t="n">
        <f aca="false">VLOOKUP(A223,Inputs!$A$40:$B$48,2,TRUE())</f>
        <v>0.0521501</v>
      </c>
      <c r="F223" s="38" t="n">
        <f aca="false">E223+Inputs!$B$10</f>
        <v>0.1196501</v>
      </c>
      <c r="G223" s="37" t="n">
        <f aca="false">D223*F223/C223</f>
        <v>491.712739726027</v>
      </c>
      <c r="H223" s="37" t="n">
        <f aca="false">IF(AND(A223&gt;=Inputs!$B$13,OR(A223&lt;Inputs!$B$19,Inputs!$B$20=1)),D223*Inputs!$B$11/C223,0)</f>
        <v>0</v>
      </c>
      <c r="I223" s="37" t="n">
        <f aca="false">Inputs!$C$9-SUMIFS(Cash_Events!$G$6:$G$20,Cash_Events!$C$6:$C$20,"FHL",Cash_Events!$B$6:$B$20,"&lt;="&amp;A223)</f>
        <v>1500000</v>
      </c>
      <c r="J223" s="38" t="n">
        <f aca="false">VLOOKUP(A223,Inputs!$F$40:$G$48,2,TRUE())</f>
        <v>0.0522223</v>
      </c>
      <c r="K223" s="38" t="n">
        <f aca="false">J223+Inputs!$C$10</f>
        <v>0.1197223</v>
      </c>
      <c r="L223" s="37" t="n">
        <f aca="false">I223*K223/C223</f>
        <v>492.009452054795</v>
      </c>
      <c r="M223" s="37" t="n">
        <f aca="false">IF(AND(A223&gt;=Inputs!$C$13,OR(A223&lt;Inputs!$B$19,Inputs!$B$20=1)),I223*Inputs!$C$11/C223,0)</f>
        <v>0</v>
      </c>
    </row>
    <row r="224" customFormat="false" ht="15" hidden="false" customHeight="false" outlineLevel="0" collapsed="false">
      <c r="A224" s="35" t="n">
        <f aca="false">A223+1</f>
        <v>45031</v>
      </c>
      <c r="B224" s="35" t="n">
        <f aca="false">EOMONTH(A224+1,0)</f>
        <v>45046</v>
      </c>
      <c r="C224" s="36" t="n">
        <f aca="false">IF(MOD(YEAR(A224),4)=0,366,365)</f>
        <v>365</v>
      </c>
      <c r="D224" s="37" t="n">
        <f aca="false">Inputs!$B$9-SUMIFS(Cash_Events!$G$6:$G$20,Cash_Events!$C$6:$C$20,"rAGMF",Cash_Events!$B$6:$B$20,"&lt;="&amp;A224)</f>
        <v>1500000</v>
      </c>
      <c r="E224" s="38" t="n">
        <f aca="false">VLOOKUP(A224,Inputs!$A$40:$B$48,2,TRUE())</f>
        <v>0.0521501</v>
      </c>
      <c r="F224" s="38" t="n">
        <f aca="false">E224+Inputs!$B$10</f>
        <v>0.1196501</v>
      </c>
      <c r="G224" s="37" t="n">
        <f aca="false">D224*F224/C224</f>
        <v>491.712739726027</v>
      </c>
      <c r="H224" s="37" t="n">
        <f aca="false">IF(AND(A224&gt;=Inputs!$B$13,OR(A224&lt;Inputs!$B$19,Inputs!$B$20=1)),D224*Inputs!$B$11/C224,0)</f>
        <v>0</v>
      </c>
      <c r="I224" s="37" t="n">
        <f aca="false">Inputs!$C$9-SUMIFS(Cash_Events!$G$6:$G$20,Cash_Events!$C$6:$C$20,"FHL",Cash_Events!$B$6:$B$20,"&lt;="&amp;A224)</f>
        <v>1500000</v>
      </c>
      <c r="J224" s="38" t="n">
        <f aca="false">VLOOKUP(A224,Inputs!$F$40:$G$48,2,TRUE())</f>
        <v>0.0522223</v>
      </c>
      <c r="K224" s="38" t="n">
        <f aca="false">J224+Inputs!$C$10</f>
        <v>0.1197223</v>
      </c>
      <c r="L224" s="37" t="n">
        <f aca="false">I224*K224/C224</f>
        <v>492.009452054795</v>
      </c>
      <c r="M224" s="37" t="n">
        <f aca="false">IF(AND(A224&gt;=Inputs!$C$13,OR(A224&lt;Inputs!$B$19,Inputs!$B$20=1)),I224*Inputs!$C$11/C224,0)</f>
        <v>0</v>
      </c>
    </row>
    <row r="225" customFormat="false" ht="15" hidden="false" customHeight="false" outlineLevel="0" collapsed="false">
      <c r="A225" s="35" t="n">
        <f aca="false">A224+1</f>
        <v>45032</v>
      </c>
      <c r="B225" s="35" t="n">
        <f aca="false">EOMONTH(A225+1,0)</f>
        <v>45046</v>
      </c>
      <c r="C225" s="36" t="n">
        <f aca="false">IF(MOD(YEAR(A225),4)=0,366,365)</f>
        <v>365</v>
      </c>
      <c r="D225" s="37" t="n">
        <f aca="false">Inputs!$B$9-SUMIFS(Cash_Events!$G$6:$G$20,Cash_Events!$C$6:$C$20,"rAGMF",Cash_Events!$B$6:$B$20,"&lt;="&amp;A225)</f>
        <v>1500000</v>
      </c>
      <c r="E225" s="38" t="n">
        <f aca="false">VLOOKUP(A225,Inputs!$A$40:$B$48,2,TRUE())</f>
        <v>0.0521501</v>
      </c>
      <c r="F225" s="38" t="n">
        <f aca="false">E225+Inputs!$B$10</f>
        <v>0.1196501</v>
      </c>
      <c r="G225" s="37" t="n">
        <f aca="false">D225*F225/C225</f>
        <v>491.712739726027</v>
      </c>
      <c r="H225" s="37" t="n">
        <f aca="false">IF(AND(A225&gt;=Inputs!$B$13,OR(A225&lt;Inputs!$B$19,Inputs!$B$20=1)),D225*Inputs!$B$11/C225,0)</f>
        <v>0</v>
      </c>
      <c r="I225" s="37" t="n">
        <f aca="false">Inputs!$C$9-SUMIFS(Cash_Events!$G$6:$G$20,Cash_Events!$C$6:$C$20,"FHL",Cash_Events!$B$6:$B$20,"&lt;="&amp;A225)</f>
        <v>1500000</v>
      </c>
      <c r="J225" s="38" t="n">
        <f aca="false">VLOOKUP(A225,Inputs!$F$40:$G$48,2,TRUE())</f>
        <v>0.0522223</v>
      </c>
      <c r="K225" s="38" t="n">
        <f aca="false">J225+Inputs!$C$10</f>
        <v>0.1197223</v>
      </c>
      <c r="L225" s="37" t="n">
        <f aca="false">I225*K225/C225</f>
        <v>492.009452054795</v>
      </c>
      <c r="M225" s="37" t="n">
        <f aca="false">IF(AND(A225&gt;=Inputs!$C$13,OR(A225&lt;Inputs!$B$19,Inputs!$B$20=1)),I225*Inputs!$C$11/C225,0)</f>
        <v>0</v>
      </c>
    </row>
    <row r="226" customFormat="false" ht="15" hidden="false" customHeight="false" outlineLevel="0" collapsed="false">
      <c r="A226" s="35" t="n">
        <f aca="false">A225+1</f>
        <v>45033</v>
      </c>
      <c r="B226" s="35" t="n">
        <f aca="false">EOMONTH(A226+1,0)</f>
        <v>45046</v>
      </c>
      <c r="C226" s="36" t="n">
        <f aca="false">IF(MOD(YEAR(A226),4)=0,366,365)</f>
        <v>365</v>
      </c>
      <c r="D226" s="37" t="n">
        <f aca="false">Inputs!$B$9-SUMIFS(Cash_Events!$G$6:$G$20,Cash_Events!$C$6:$C$20,"rAGMF",Cash_Events!$B$6:$B$20,"&lt;="&amp;A226)</f>
        <v>1500000</v>
      </c>
      <c r="E226" s="38" t="n">
        <f aca="false">VLOOKUP(A226,Inputs!$A$40:$B$48,2,TRUE())</f>
        <v>0.0521501</v>
      </c>
      <c r="F226" s="38" t="n">
        <f aca="false">E226+Inputs!$B$10</f>
        <v>0.1196501</v>
      </c>
      <c r="G226" s="37" t="n">
        <f aca="false">D226*F226/C226</f>
        <v>491.712739726027</v>
      </c>
      <c r="H226" s="37" t="n">
        <f aca="false">IF(AND(A226&gt;=Inputs!$B$13,OR(A226&lt;Inputs!$B$19,Inputs!$B$20=1)),D226*Inputs!$B$11/C226,0)</f>
        <v>0</v>
      </c>
      <c r="I226" s="37" t="n">
        <f aca="false">Inputs!$C$9-SUMIFS(Cash_Events!$G$6:$G$20,Cash_Events!$C$6:$C$20,"FHL",Cash_Events!$B$6:$B$20,"&lt;="&amp;A226)</f>
        <v>1500000</v>
      </c>
      <c r="J226" s="38" t="n">
        <f aca="false">VLOOKUP(A226,Inputs!$F$40:$G$48,2,TRUE())</f>
        <v>0.0522223</v>
      </c>
      <c r="K226" s="38" t="n">
        <f aca="false">J226+Inputs!$C$10</f>
        <v>0.1197223</v>
      </c>
      <c r="L226" s="37" t="n">
        <f aca="false">I226*K226/C226</f>
        <v>492.009452054795</v>
      </c>
      <c r="M226" s="37" t="n">
        <f aca="false">IF(AND(A226&gt;=Inputs!$C$13,OR(A226&lt;Inputs!$B$19,Inputs!$B$20=1)),I226*Inputs!$C$11/C226,0)</f>
        <v>0</v>
      </c>
    </row>
    <row r="227" customFormat="false" ht="15" hidden="false" customHeight="false" outlineLevel="0" collapsed="false">
      <c r="A227" s="35" t="n">
        <f aca="false">A226+1</f>
        <v>45034</v>
      </c>
      <c r="B227" s="35" t="n">
        <f aca="false">EOMONTH(A227+1,0)</f>
        <v>45046</v>
      </c>
      <c r="C227" s="36" t="n">
        <f aca="false">IF(MOD(YEAR(A227),4)=0,366,365)</f>
        <v>365</v>
      </c>
      <c r="D227" s="37" t="n">
        <f aca="false">Inputs!$B$9-SUMIFS(Cash_Events!$G$6:$G$20,Cash_Events!$C$6:$C$20,"rAGMF",Cash_Events!$B$6:$B$20,"&lt;="&amp;A227)</f>
        <v>1500000</v>
      </c>
      <c r="E227" s="38" t="n">
        <f aca="false">VLOOKUP(A227,Inputs!$A$40:$B$48,2,TRUE())</f>
        <v>0.0521501</v>
      </c>
      <c r="F227" s="38" t="n">
        <f aca="false">E227+Inputs!$B$10</f>
        <v>0.1196501</v>
      </c>
      <c r="G227" s="37" t="n">
        <f aca="false">D227*F227/C227</f>
        <v>491.712739726027</v>
      </c>
      <c r="H227" s="37" t="n">
        <f aca="false">IF(AND(A227&gt;=Inputs!$B$13,OR(A227&lt;Inputs!$B$19,Inputs!$B$20=1)),D227*Inputs!$B$11/C227,0)</f>
        <v>0</v>
      </c>
      <c r="I227" s="37" t="n">
        <f aca="false">Inputs!$C$9-SUMIFS(Cash_Events!$G$6:$G$20,Cash_Events!$C$6:$C$20,"FHL",Cash_Events!$B$6:$B$20,"&lt;="&amp;A227)</f>
        <v>1500000</v>
      </c>
      <c r="J227" s="38" t="n">
        <f aca="false">VLOOKUP(A227,Inputs!$F$40:$G$48,2,TRUE())</f>
        <v>0.0522223</v>
      </c>
      <c r="K227" s="38" t="n">
        <f aca="false">J227+Inputs!$C$10</f>
        <v>0.1197223</v>
      </c>
      <c r="L227" s="37" t="n">
        <f aca="false">I227*K227/C227</f>
        <v>492.009452054795</v>
      </c>
      <c r="M227" s="37" t="n">
        <f aca="false">IF(AND(A227&gt;=Inputs!$C$13,OR(A227&lt;Inputs!$B$19,Inputs!$B$20=1)),I227*Inputs!$C$11/C227,0)</f>
        <v>0</v>
      </c>
    </row>
    <row r="228" customFormat="false" ht="15" hidden="false" customHeight="false" outlineLevel="0" collapsed="false">
      <c r="A228" s="35" t="n">
        <f aca="false">A227+1</f>
        <v>45035</v>
      </c>
      <c r="B228" s="35" t="n">
        <f aca="false">EOMONTH(A228+1,0)</f>
        <v>45046</v>
      </c>
      <c r="C228" s="36" t="n">
        <f aca="false">IF(MOD(YEAR(A228),4)=0,366,365)</f>
        <v>365</v>
      </c>
      <c r="D228" s="37" t="n">
        <f aca="false">Inputs!$B$9-SUMIFS(Cash_Events!$G$6:$G$20,Cash_Events!$C$6:$C$20,"rAGMF",Cash_Events!$B$6:$B$20,"&lt;="&amp;A228)</f>
        <v>1500000</v>
      </c>
      <c r="E228" s="38" t="n">
        <f aca="false">VLOOKUP(A228,Inputs!$A$40:$B$48,2,TRUE())</f>
        <v>0.0521501</v>
      </c>
      <c r="F228" s="38" t="n">
        <f aca="false">E228+Inputs!$B$10</f>
        <v>0.1196501</v>
      </c>
      <c r="G228" s="37" t="n">
        <f aca="false">D228*F228/C228</f>
        <v>491.712739726027</v>
      </c>
      <c r="H228" s="37" t="n">
        <f aca="false">IF(AND(A228&gt;=Inputs!$B$13,OR(A228&lt;Inputs!$B$19,Inputs!$B$20=1)),D228*Inputs!$B$11/C228,0)</f>
        <v>0</v>
      </c>
      <c r="I228" s="37" t="n">
        <f aca="false">Inputs!$C$9-SUMIFS(Cash_Events!$G$6:$G$20,Cash_Events!$C$6:$C$20,"FHL",Cash_Events!$B$6:$B$20,"&lt;="&amp;A228)</f>
        <v>1500000</v>
      </c>
      <c r="J228" s="38" t="n">
        <f aca="false">VLOOKUP(A228,Inputs!$F$40:$G$48,2,TRUE())</f>
        <v>0.0522223</v>
      </c>
      <c r="K228" s="38" t="n">
        <f aca="false">J228+Inputs!$C$10</f>
        <v>0.1197223</v>
      </c>
      <c r="L228" s="37" t="n">
        <f aca="false">I228*K228/C228</f>
        <v>492.009452054795</v>
      </c>
      <c r="M228" s="37" t="n">
        <f aca="false">IF(AND(A228&gt;=Inputs!$C$13,OR(A228&lt;Inputs!$B$19,Inputs!$B$20=1)),I228*Inputs!$C$11/C228,0)</f>
        <v>0</v>
      </c>
    </row>
    <row r="229" customFormat="false" ht="15" hidden="false" customHeight="false" outlineLevel="0" collapsed="false">
      <c r="A229" s="35" t="n">
        <f aca="false">A228+1</f>
        <v>45036</v>
      </c>
      <c r="B229" s="35" t="n">
        <f aca="false">EOMONTH(A229+1,0)</f>
        <v>45046</v>
      </c>
      <c r="C229" s="36" t="n">
        <f aca="false">IF(MOD(YEAR(A229),4)=0,366,365)</f>
        <v>365</v>
      </c>
      <c r="D229" s="37" t="n">
        <f aca="false">Inputs!$B$9-SUMIFS(Cash_Events!$G$6:$G$20,Cash_Events!$C$6:$C$20,"rAGMF",Cash_Events!$B$6:$B$20,"&lt;="&amp;A229)</f>
        <v>1500000</v>
      </c>
      <c r="E229" s="38" t="n">
        <f aca="false">VLOOKUP(A229,Inputs!$A$40:$B$48,2,TRUE())</f>
        <v>0.0521501</v>
      </c>
      <c r="F229" s="38" t="n">
        <f aca="false">E229+Inputs!$B$10</f>
        <v>0.1196501</v>
      </c>
      <c r="G229" s="37" t="n">
        <f aca="false">D229*F229/C229</f>
        <v>491.712739726027</v>
      </c>
      <c r="H229" s="37" t="n">
        <f aca="false">IF(AND(A229&gt;=Inputs!$B$13,OR(A229&lt;Inputs!$B$19,Inputs!$B$20=1)),D229*Inputs!$B$11/C229,0)</f>
        <v>0</v>
      </c>
      <c r="I229" s="37" t="n">
        <f aca="false">Inputs!$C$9-SUMIFS(Cash_Events!$G$6:$G$20,Cash_Events!$C$6:$C$20,"FHL",Cash_Events!$B$6:$B$20,"&lt;="&amp;A229)</f>
        <v>1500000</v>
      </c>
      <c r="J229" s="38" t="n">
        <f aca="false">VLOOKUP(A229,Inputs!$F$40:$G$48,2,TRUE())</f>
        <v>0.0522223</v>
      </c>
      <c r="K229" s="38" t="n">
        <f aca="false">J229+Inputs!$C$10</f>
        <v>0.1197223</v>
      </c>
      <c r="L229" s="37" t="n">
        <f aca="false">I229*K229/C229</f>
        <v>492.009452054795</v>
      </c>
      <c r="M229" s="37" t="n">
        <f aca="false">IF(AND(A229&gt;=Inputs!$C$13,OR(A229&lt;Inputs!$B$19,Inputs!$B$20=1)),I229*Inputs!$C$11/C229,0)</f>
        <v>0</v>
      </c>
    </row>
    <row r="230" customFormat="false" ht="15" hidden="false" customHeight="false" outlineLevel="0" collapsed="false">
      <c r="A230" s="35" t="n">
        <f aca="false">A229+1</f>
        <v>45037</v>
      </c>
      <c r="B230" s="35" t="n">
        <f aca="false">EOMONTH(A230+1,0)</f>
        <v>45046</v>
      </c>
      <c r="C230" s="36" t="n">
        <f aca="false">IF(MOD(YEAR(A230),4)=0,366,365)</f>
        <v>365</v>
      </c>
      <c r="D230" s="37" t="n">
        <f aca="false">Inputs!$B$9-SUMIFS(Cash_Events!$G$6:$G$20,Cash_Events!$C$6:$C$20,"rAGMF",Cash_Events!$B$6:$B$20,"&lt;="&amp;A230)</f>
        <v>1500000</v>
      </c>
      <c r="E230" s="38" t="n">
        <f aca="false">VLOOKUP(A230,Inputs!$A$40:$B$48,2,TRUE())</f>
        <v>0.0521501</v>
      </c>
      <c r="F230" s="38" t="n">
        <f aca="false">E230+Inputs!$B$10</f>
        <v>0.1196501</v>
      </c>
      <c r="G230" s="37" t="n">
        <f aca="false">D230*F230/C230</f>
        <v>491.712739726027</v>
      </c>
      <c r="H230" s="37" t="n">
        <f aca="false">IF(AND(A230&gt;=Inputs!$B$13,OR(A230&lt;Inputs!$B$19,Inputs!$B$20=1)),D230*Inputs!$B$11/C230,0)</f>
        <v>0</v>
      </c>
      <c r="I230" s="37" t="n">
        <f aca="false">Inputs!$C$9-SUMIFS(Cash_Events!$G$6:$G$20,Cash_Events!$C$6:$C$20,"FHL",Cash_Events!$B$6:$B$20,"&lt;="&amp;A230)</f>
        <v>1500000</v>
      </c>
      <c r="J230" s="38" t="n">
        <f aca="false">VLOOKUP(A230,Inputs!$F$40:$G$48,2,TRUE())</f>
        <v>0.0522223</v>
      </c>
      <c r="K230" s="38" t="n">
        <f aca="false">J230+Inputs!$C$10</f>
        <v>0.1197223</v>
      </c>
      <c r="L230" s="37" t="n">
        <f aca="false">I230*K230/C230</f>
        <v>492.009452054795</v>
      </c>
      <c r="M230" s="37" t="n">
        <f aca="false">IF(AND(A230&gt;=Inputs!$C$13,OR(A230&lt;Inputs!$B$19,Inputs!$B$20=1)),I230*Inputs!$C$11/C230,0)</f>
        <v>0</v>
      </c>
    </row>
    <row r="231" customFormat="false" ht="15" hidden="false" customHeight="false" outlineLevel="0" collapsed="false">
      <c r="A231" s="35" t="n">
        <f aca="false">A230+1</f>
        <v>45038</v>
      </c>
      <c r="B231" s="35" t="n">
        <f aca="false">EOMONTH(A231+1,0)</f>
        <v>45046</v>
      </c>
      <c r="C231" s="36" t="n">
        <f aca="false">IF(MOD(YEAR(A231),4)=0,366,365)</f>
        <v>365</v>
      </c>
      <c r="D231" s="37" t="n">
        <f aca="false">Inputs!$B$9-SUMIFS(Cash_Events!$G$6:$G$20,Cash_Events!$C$6:$C$20,"rAGMF",Cash_Events!$B$6:$B$20,"&lt;="&amp;A231)</f>
        <v>1500000</v>
      </c>
      <c r="E231" s="38" t="n">
        <f aca="false">VLOOKUP(A231,Inputs!$A$40:$B$48,2,TRUE())</f>
        <v>0.0521501</v>
      </c>
      <c r="F231" s="38" t="n">
        <f aca="false">E231+Inputs!$B$10</f>
        <v>0.1196501</v>
      </c>
      <c r="G231" s="37" t="n">
        <f aca="false">D231*F231/C231</f>
        <v>491.712739726027</v>
      </c>
      <c r="H231" s="37" t="n">
        <f aca="false">IF(AND(A231&gt;=Inputs!$B$13,OR(A231&lt;Inputs!$B$19,Inputs!$B$20=1)),D231*Inputs!$B$11/C231,0)</f>
        <v>0</v>
      </c>
      <c r="I231" s="37" t="n">
        <f aca="false">Inputs!$C$9-SUMIFS(Cash_Events!$G$6:$G$20,Cash_Events!$C$6:$C$20,"FHL",Cash_Events!$B$6:$B$20,"&lt;="&amp;A231)</f>
        <v>1500000</v>
      </c>
      <c r="J231" s="38" t="n">
        <f aca="false">VLOOKUP(A231,Inputs!$F$40:$G$48,2,TRUE())</f>
        <v>0.0522223</v>
      </c>
      <c r="K231" s="38" t="n">
        <f aca="false">J231+Inputs!$C$10</f>
        <v>0.1197223</v>
      </c>
      <c r="L231" s="37" t="n">
        <f aca="false">I231*K231/C231</f>
        <v>492.009452054795</v>
      </c>
      <c r="M231" s="37" t="n">
        <f aca="false">IF(AND(A231&gt;=Inputs!$C$13,OR(A231&lt;Inputs!$B$19,Inputs!$B$20=1)),I231*Inputs!$C$11/C231,0)</f>
        <v>0</v>
      </c>
    </row>
    <row r="232" customFormat="false" ht="15" hidden="false" customHeight="false" outlineLevel="0" collapsed="false">
      <c r="A232" s="35" t="n">
        <f aca="false">A231+1</f>
        <v>45039</v>
      </c>
      <c r="B232" s="35" t="n">
        <f aca="false">EOMONTH(A232+1,0)</f>
        <v>45046</v>
      </c>
      <c r="C232" s="36" t="n">
        <f aca="false">IF(MOD(YEAR(A232),4)=0,366,365)</f>
        <v>365</v>
      </c>
      <c r="D232" s="37" t="n">
        <f aca="false">Inputs!$B$9-SUMIFS(Cash_Events!$G$6:$G$20,Cash_Events!$C$6:$C$20,"rAGMF",Cash_Events!$B$6:$B$20,"&lt;="&amp;A232)</f>
        <v>1500000</v>
      </c>
      <c r="E232" s="38" t="n">
        <f aca="false">VLOOKUP(A232,Inputs!$A$40:$B$48,2,TRUE())</f>
        <v>0.0521501</v>
      </c>
      <c r="F232" s="38" t="n">
        <f aca="false">E232+Inputs!$B$10</f>
        <v>0.1196501</v>
      </c>
      <c r="G232" s="37" t="n">
        <f aca="false">D232*F232/C232</f>
        <v>491.712739726027</v>
      </c>
      <c r="H232" s="37" t="n">
        <f aca="false">IF(AND(A232&gt;=Inputs!$B$13,OR(A232&lt;Inputs!$B$19,Inputs!$B$20=1)),D232*Inputs!$B$11/C232,0)</f>
        <v>0</v>
      </c>
      <c r="I232" s="37" t="n">
        <f aca="false">Inputs!$C$9-SUMIFS(Cash_Events!$G$6:$G$20,Cash_Events!$C$6:$C$20,"FHL",Cash_Events!$B$6:$B$20,"&lt;="&amp;A232)</f>
        <v>1500000</v>
      </c>
      <c r="J232" s="38" t="n">
        <f aca="false">VLOOKUP(A232,Inputs!$F$40:$G$48,2,TRUE())</f>
        <v>0.0522223</v>
      </c>
      <c r="K232" s="38" t="n">
        <f aca="false">J232+Inputs!$C$10</f>
        <v>0.1197223</v>
      </c>
      <c r="L232" s="37" t="n">
        <f aca="false">I232*K232/C232</f>
        <v>492.009452054795</v>
      </c>
      <c r="M232" s="37" t="n">
        <f aca="false">IF(AND(A232&gt;=Inputs!$C$13,OR(A232&lt;Inputs!$B$19,Inputs!$B$20=1)),I232*Inputs!$C$11/C232,0)</f>
        <v>0</v>
      </c>
    </row>
    <row r="233" customFormat="false" ht="15" hidden="false" customHeight="false" outlineLevel="0" collapsed="false">
      <c r="A233" s="35" t="n">
        <f aca="false">A232+1</f>
        <v>45040</v>
      </c>
      <c r="B233" s="35" t="n">
        <f aca="false">EOMONTH(A233+1,0)</f>
        <v>45046</v>
      </c>
      <c r="C233" s="36" t="n">
        <f aca="false">IF(MOD(YEAR(A233),4)=0,366,365)</f>
        <v>365</v>
      </c>
      <c r="D233" s="37" t="n">
        <f aca="false">Inputs!$B$9-SUMIFS(Cash_Events!$G$6:$G$20,Cash_Events!$C$6:$C$20,"rAGMF",Cash_Events!$B$6:$B$20,"&lt;="&amp;A233)</f>
        <v>1500000</v>
      </c>
      <c r="E233" s="38" t="n">
        <f aca="false">VLOOKUP(A233,Inputs!$A$40:$B$48,2,TRUE())</f>
        <v>0.0521501</v>
      </c>
      <c r="F233" s="38" t="n">
        <f aca="false">E233+Inputs!$B$10</f>
        <v>0.1196501</v>
      </c>
      <c r="G233" s="37" t="n">
        <f aca="false">D233*F233/C233</f>
        <v>491.712739726027</v>
      </c>
      <c r="H233" s="37" t="n">
        <f aca="false">IF(AND(A233&gt;=Inputs!$B$13,OR(A233&lt;Inputs!$B$19,Inputs!$B$20=1)),D233*Inputs!$B$11/C233,0)</f>
        <v>0</v>
      </c>
      <c r="I233" s="37" t="n">
        <f aca="false">Inputs!$C$9-SUMIFS(Cash_Events!$G$6:$G$20,Cash_Events!$C$6:$C$20,"FHL",Cash_Events!$B$6:$B$20,"&lt;="&amp;A233)</f>
        <v>1500000</v>
      </c>
      <c r="J233" s="38" t="n">
        <f aca="false">VLOOKUP(A233,Inputs!$F$40:$G$48,2,TRUE())</f>
        <v>0.0522223</v>
      </c>
      <c r="K233" s="38" t="n">
        <f aca="false">J233+Inputs!$C$10</f>
        <v>0.1197223</v>
      </c>
      <c r="L233" s="37" t="n">
        <f aca="false">I233*K233/C233</f>
        <v>492.009452054795</v>
      </c>
      <c r="M233" s="37" t="n">
        <f aca="false">IF(AND(A233&gt;=Inputs!$C$13,OR(A233&lt;Inputs!$B$19,Inputs!$B$20=1)),I233*Inputs!$C$11/C233,0)</f>
        <v>0</v>
      </c>
    </row>
    <row r="234" customFormat="false" ht="15" hidden="false" customHeight="false" outlineLevel="0" collapsed="false">
      <c r="A234" s="35" t="n">
        <f aca="false">A233+1</f>
        <v>45041</v>
      </c>
      <c r="B234" s="35" t="n">
        <f aca="false">EOMONTH(A234+1,0)</f>
        <v>45046</v>
      </c>
      <c r="C234" s="36" t="n">
        <f aca="false">IF(MOD(YEAR(A234),4)=0,366,365)</f>
        <v>365</v>
      </c>
      <c r="D234" s="37" t="n">
        <f aca="false">Inputs!$B$9-SUMIFS(Cash_Events!$G$6:$G$20,Cash_Events!$C$6:$C$20,"rAGMF",Cash_Events!$B$6:$B$20,"&lt;="&amp;A234)</f>
        <v>1500000</v>
      </c>
      <c r="E234" s="38" t="n">
        <f aca="false">VLOOKUP(A234,Inputs!$A$40:$B$48,2,TRUE())</f>
        <v>0.0521501</v>
      </c>
      <c r="F234" s="38" t="n">
        <f aca="false">E234+Inputs!$B$10</f>
        <v>0.1196501</v>
      </c>
      <c r="G234" s="37" t="n">
        <f aca="false">D234*F234/C234</f>
        <v>491.712739726027</v>
      </c>
      <c r="H234" s="37" t="n">
        <f aca="false">IF(AND(A234&gt;=Inputs!$B$13,OR(A234&lt;Inputs!$B$19,Inputs!$B$20=1)),D234*Inputs!$B$11/C234,0)</f>
        <v>0</v>
      </c>
      <c r="I234" s="37" t="n">
        <f aca="false">Inputs!$C$9-SUMIFS(Cash_Events!$G$6:$G$20,Cash_Events!$C$6:$C$20,"FHL",Cash_Events!$B$6:$B$20,"&lt;="&amp;A234)</f>
        <v>1500000</v>
      </c>
      <c r="J234" s="38" t="n">
        <f aca="false">VLOOKUP(A234,Inputs!$F$40:$G$48,2,TRUE())</f>
        <v>0.0522223</v>
      </c>
      <c r="K234" s="38" t="n">
        <f aca="false">J234+Inputs!$C$10</f>
        <v>0.1197223</v>
      </c>
      <c r="L234" s="37" t="n">
        <f aca="false">I234*K234/C234</f>
        <v>492.009452054795</v>
      </c>
      <c r="M234" s="37" t="n">
        <f aca="false">IF(AND(A234&gt;=Inputs!$C$13,OR(A234&lt;Inputs!$B$19,Inputs!$B$20=1)),I234*Inputs!$C$11/C234,0)</f>
        <v>0</v>
      </c>
    </row>
    <row r="235" customFormat="false" ht="15" hidden="false" customHeight="false" outlineLevel="0" collapsed="false">
      <c r="A235" s="35" t="n">
        <f aca="false">A234+1</f>
        <v>45042</v>
      </c>
      <c r="B235" s="35" t="n">
        <f aca="false">EOMONTH(A235+1,0)</f>
        <v>45046</v>
      </c>
      <c r="C235" s="36" t="n">
        <f aca="false">IF(MOD(YEAR(A235),4)=0,366,365)</f>
        <v>365</v>
      </c>
      <c r="D235" s="37" t="n">
        <f aca="false">Inputs!$B$9-SUMIFS(Cash_Events!$G$6:$G$20,Cash_Events!$C$6:$C$20,"rAGMF",Cash_Events!$B$6:$B$20,"&lt;="&amp;A235)</f>
        <v>1500000</v>
      </c>
      <c r="E235" s="38" t="n">
        <f aca="false">VLOOKUP(A235,Inputs!$A$40:$B$48,2,TRUE())</f>
        <v>0.0521501</v>
      </c>
      <c r="F235" s="38" t="n">
        <f aca="false">E235+Inputs!$B$10</f>
        <v>0.1196501</v>
      </c>
      <c r="G235" s="37" t="n">
        <f aca="false">D235*F235/C235</f>
        <v>491.712739726027</v>
      </c>
      <c r="H235" s="37" t="n">
        <f aca="false">IF(AND(A235&gt;=Inputs!$B$13,OR(A235&lt;Inputs!$B$19,Inputs!$B$20=1)),D235*Inputs!$B$11/C235,0)</f>
        <v>0</v>
      </c>
      <c r="I235" s="37" t="n">
        <f aca="false">Inputs!$C$9-SUMIFS(Cash_Events!$G$6:$G$20,Cash_Events!$C$6:$C$20,"FHL",Cash_Events!$B$6:$B$20,"&lt;="&amp;A235)</f>
        <v>1500000</v>
      </c>
      <c r="J235" s="38" t="n">
        <f aca="false">VLOOKUP(A235,Inputs!$F$40:$G$48,2,TRUE())</f>
        <v>0.0522223</v>
      </c>
      <c r="K235" s="38" t="n">
        <f aca="false">J235+Inputs!$C$10</f>
        <v>0.1197223</v>
      </c>
      <c r="L235" s="37" t="n">
        <f aca="false">I235*K235/C235</f>
        <v>492.009452054795</v>
      </c>
      <c r="M235" s="37" t="n">
        <f aca="false">IF(AND(A235&gt;=Inputs!$C$13,OR(A235&lt;Inputs!$B$19,Inputs!$B$20=1)),I235*Inputs!$C$11/C235,0)</f>
        <v>0</v>
      </c>
    </row>
    <row r="236" customFormat="false" ht="15" hidden="false" customHeight="false" outlineLevel="0" collapsed="false">
      <c r="A236" s="35" t="n">
        <f aca="false">A235+1</f>
        <v>45043</v>
      </c>
      <c r="B236" s="35" t="n">
        <f aca="false">EOMONTH(A236+1,0)</f>
        <v>45046</v>
      </c>
      <c r="C236" s="36" t="n">
        <f aca="false">IF(MOD(YEAR(A236),4)=0,366,365)</f>
        <v>365</v>
      </c>
      <c r="D236" s="37" t="n">
        <f aca="false">Inputs!$B$9-SUMIFS(Cash_Events!$G$6:$G$20,Cash_Events!$C$6:$C$20,"rAGMF",Cash_Events!$B$6:$B$20,"&lt;="&amp;A236)</f>
        <v>1500000</v>
      </c>
      <c r="E236" s="38" t="n">
        <f aca="false">VLOOKUP(A236,Inputs!$A$40:$B$48,2,TRUE())</f>
        <v>0.0521501</v>
      </c>
      <c r="F236" s="38" t="n">
        <f aca="false">E236+Inputs!$B$10</f>
        <v>0.1196501</v>
      </c>
      <c r="G236" s="37" t="n">
        <f aca="false">D236*F236/C236</f>
        <v>491.712739726027</v>
      </c>
      <c r="H236" s="37" t="n">
        <f aca="false">IF(AND(A236&gt;=Inputs!$B$13,OR(A236&lt;Inputs!$B$19,Inputs!$B$20=1)),D236*Inputs!$B$11/C236,0)</f>
        <v>0</v>
      </c>
      <c r="I236" s="37" t="n">
        <f aca="false">Inputs!$C$9-SUMIFS(Cash_Events!$G$6:$G$20,Cash_Events!$C$6:$C$20,"FHL",Cash_Events!$B$6:$B$20,"&lt;="&amp;A236)</f>
        <v>1500000</v>
      </c>
      <c r="J236" s="38" t="n">
        <f aca="false">VLOOKUP(A236,Inputs!$F$40:$G$48,2,TRUE())</f>
        <v>0.0522223</v>
      </c>
      <c r="K236" s="38" t="n">
        <f aca="false">J236+Inputs!$C$10</f>
        <v>0.1197223</v>
      </c>
      <c r="L236" s="37" t="n">
        <f aca="false">I236*K236/C236</f>
        <v>492.009452054795</v>
      </c>
      <c r="M236" s="37" t="n">
        <f aca="false">IF(AND(A236&gt;=Inputs!$C$13,OR(A236&lt;Inputs!$B$19,Inputs!$B$20=1)),I236*Inputs!$C$11/C236,0)</f>
        <v>0</v>
      </c>
    </row>
    <row r="237" customFormat="false" ht="15" hidden="false" customHeight="false" outlineLevel="0" collapsed="false">
      <c r="A237" s="35" t="n">
        <f aca="false">A236+1</f>
        <v>45044</v>
      </c>
      <c r="B237" s="35" t="n">
        <f aca="false">EOMONTH(A237+1,0)</f>
        <v>45046</v>
      </c>
      <c r="C237" s="36" t="n">
        <f aca="false">IF(MOD(YEAR(A237),4)=0,366,365)</f>
        <v>365</v>
      </c>
      <c r="D237" s="37" t="n">
        <f aca="false">Inputs!$B$9-SUMIFS(Cash_Events!$G$6:$G$20,Cash_Events!$C$6:$C$20,"rAGMF",Cash_Events!$B$6:$B$20,"&lt;="&amp;A237)</f>
        <v>1500000</v>
      </c>
      <c r="E237" s="38" t="n">
        <f aca="false">VLOOKUP(A237,Inputs!$A$40:$B$48,2,TRUE())</f>
        <v>0.0521501</v>
      </c>
      <c r="F237" s="38" t="n">
        <f aca="false">E237+Inputs!$B$10</f>
        <v>0.1196501</v>
      </c>
      <c r="G237" s="37" t="n">
        <f aca="false">D237*F237/C237</f>
        <v>491.712739726027</v>
      </c>
      <c r="H237" s="37" t="n">
        <f aca="false">IF(AND(A237&gt;=Inputs!$B$13,OR(A237&lt;Inputs!$B$19,Inputs!$B$20=1)),D237*Inputs!$B$11/C237,0)</f>
        <v>0</v>
      </c>
      <c r="I237" s="37" t="n">
        <f aca="false">Inputs!$C$9-SUMIFS(Cash_Events!$G$6:$G$20,Cash_Events!$C$6:$C$20,"FHL",Cash_Events!$B$6:$B$20,"&lt;="&amp;A237)</f>
        <v>1500000</v>
      </c>
      <c r="J237" s="38" t="n">
        <f aca="false">VLOOKUP(A237,Inputs!$F$40:$G$48,2,TRUE())</f>
        <v>0.0522223</v>
      </c>
      <c r="K237" s="38" t="n">
        <f aca="false">J237+Inputs!$C$10</f>
        <v>0.1197223</v>
      </c>
      <c r="L237" s="37" t="n">
        <f aca="false">I237*K237/C237</f>
        <v>492.009452054795</v>
      </c>
      <c r="M237" s="37" t="n">
        <f aca="false">IF(AND(A237&gt;=Inputs!$C$13,OR(A237&lt;Inputs!$B$19,Inputs!$B$20=1)),I237*Inputs!$C$11/C237,0)</f>
        <v>0</v>
      </c>
    </row>
    <row r="238" customFormat="false" ht="15" hidden="false" customHeight="false" outlineLevel="0" collapsed="false">
      <c r="A238" s="35" t="n">
        <f aca="false">A237+1</f>
        <v>45045</v>
      </c>
      <c r="B238" s="35" t="n">
        <f aca="false">EOMONTH(A238+1,0)</f>
        <v>45046</v>
      </c>
      <c r="C238" s="36" t="n">
        <f aca="false">IF(MOD(YEAR(A238),4)=0,366,365)</f>
        <v>365</v>
      </c>
      <c r="D238" s="37" t="n">
        <f aca="false">Inputs!$B$9-SUMIFS(Cash_Events!$G$6:$G$20,Cash_Events!$C$6:$C$20,"rAGMF",Cash_Events!$B$6:$B$20,"&lt;="&amp;A238)</f>
        <v>1500000</v>
      </c>
      <c r="E238" s="38" t="n">
        <f aca="false">VLOOKUP(A238,Inputs!$A$40:$B$48,2,TRUE())</f>
        <v>0.0521501</v>
      </c>
      <c r="F238" s="38" t="n">
        <f aca="false">E238+Inputs!$B$10</f>
        <v>0.1196501</v>
      </c>
      <c r="G238" s="37" t="n">
        <f aca="false">D238*F238/C238</f>
        <v>491.712739726027</v>
      </c>
      <c r="H238" s="37" t="n">
        <f aca="false">IF(AND(A238&gt;=Inputs!$B$13,OR(A238&lt;Inputs!$B$19,Inputs!$B$20=1)),D238*Inputs!$B$11/C238,0)</f>
        <v>0</v>
      </c>
      <c r="I238" s="37" t="n">
        <f aca="false">Inputs!$C$9-SUMIFS(Cash_Events!$G$6:$G$20,Cash_Events!$C$6:$C$20,"FHL",Cash_Events!$B$6:$B$20,"&lt;="&amp;A238)</f>
        <v>1500000</v>
      </c>
      <c r="J238" s="38" t="n">
        <f aca="false">VLOOKUP(A238,Inputs!$F$40:$G$48,2,TRUE())</f>
        <v>0.0522223</v>
      </c>
      <c r="K238" s="38" t="n">
        <f aca="false">J238+Inputs!$C$10</f>
        <v>0.1197223</v>
      </c>
      <c r="L238" s="37" t="n">
        <f aca="false">I238*K238/C238</f>
        <v>492.009452054795</v>
      </c>
      <c r="M238" s="37" t="n">
        <f aca="false">IF(AND(A238&gt;=Inputs!$C$13,OR(A238&lt;Inputs!$B$19,Inputs!$B$20=1)),I238*Inputs!$C$11/C238,0)</f>
        <v>0</v>
      </c>
    </row>
    <row r="239" customFormat="false" ht="15" hidden="false" customHeight="false" outlineLevel="0" collapsed="false">
      <c r="A239" s="35" t="n">
        <f aca="false">A238+1</f>
        <v>45046</v>
      </c>
      <c r="B239" s="35" t="n">
        <f aca="false">EOMONTH(A239+1,0)</f>
        <v>45077</v>
      </c>
      <c r="C239" s="36" t="n">
        <f aca="false">IF(MOD(YEAR(A239),4)=0,366,365)</f>
        <v>365</v>
      </c>
      <c r="D239" s="37" t="n">
        <f aca="false">Inputs!$B$9-SUMIFS(Cash_Events!$G$6:$G$20,Cash_Events!$C$6:$C$20,"rAGMF",Cash_Events!$B$6:$B$20,"&lt;="&amp;A239)</f>
        <v>1500000</v>
      </c>
      <c r="E239" s="38" t="n">
        <f aca="false">VLOOKUP(A239,Inputs!$A$40:$B$48,2,TRUE())</f>
        <v>0.0521501</v>
      </c>
      <c r="F239" s="38" t="n">
        <f aca="false">E239+Inputs!$B$10</f>
        <v>0.1196501</v>
      </c>
      <c r="G239" s="37" t="n">
        <f aca="false">D239*F239/C239</f>
        <v>491.712739726027</v>
      </c>
      <c r="H239" s="37" t="n">
        <f aca="false">IF(AND(A239&gt;=Inputs!$B$13,OR(A239&lt;Inputs!$B$19,Inputs!$B$20=1)),D239*Inputs!$B$11/C239,0)</f>
        <v>0</v>
      </c>
      <c r="I239" s="37" t="n">
        <f aca="false">Inputs!$C$9-SUMIFS(Cash_Events!$G$6:$G$20,Cash_Events!$C$6:$C$20,"FHL",Cash_Events!$B$6:$B$20,"&lt;="&amp;A239)</f>
        <v>1500000</v>
      </c>
      <c r="J239" s="38" t="n">
        <f aca="false">VLOOKUP(A239,Inputs!$F$40:$G$48,2,TRUE())</f>
        <v>0.0522223</v>
      </c>
      <c r="K239" s="38" t="n">
        <f aca="false">J239+Inputs!$C$10</f>
        <v>0.1197223</v>
      </c>
      <c r="L239" s="37" t="n">
        <f aca="false">I239*K239/C239</f>
        <v>492.009452054795</v>
      </c>
      <c r="M239" s="37" t="n">
        <f aca="false">IF(AND(A239&gt;=Inputs!$C$13,OR(A239&lt;Inputs!$B$19,Inputs!$B$20=1)),I239*Inputs!$C$11/C239,0)</f>
        <v>0</v>
      </c>
    </row>
    <row r="240" customFormat="false" ht="15" hidden="false" customHeight="false" outlineLevel="0" collapsed="false">
      <c r="A240" s="35" t="n">
        <f aca="false">A239+1</f>
        <v>45047</v>
      </c>
      <c r="B240" s="35" t="n">
        <f aca="false">EOMONTH(A240+1,0)</f>
        <v>45077</v>
      </c>
      <c r="C240" s="36" t="n">
        <f aca="false">IF(MOD(YEAR(A240),4)=0,366,365)</f>
        <v>365</v>
      </c>
      <c r="D240" s="37" t="n">
        <f aca="false">Inputs!$B$9-SUMIFS(Cash_Events!$G$6:$G$20,Cash_Events!$C$6:$C$20,"rAGMF",Cash_Events!$B$6:$B$20,"&lt;="&amp;A240)</f>
        <v>1500000</v>
      </c>
      <c r="E240" s="38" t="n">
        <f aca="false">VLOOKUP(A240,Inputs!$A$40:$B$48,2,TRUE())</f>
        <v>0.0521501</v>
      </c>
      <c r="F240" s="38" t="n">
        <f aca="false">E240+Inputs!$B$10</f>
        <v>0.1196501</v>
      </c>
      <c r="G240" s="37" t="n">
        <f aca="false">D240*F240/C240</f>
        <v>491.712739726027</v>
      </c>
      <c r="H240" s="37" t="n">
        <f aca="false">IF(AND(A240&gt;=Inputs!$B$13,OR(A240&lt;Inputs!$B$19,Inputs!$B$20=1)),D240*Inputs!$B$11/C240,0)</f>
        <v>0</v>
      </c>
      <c r="I240" s="37" t="n">
        <f aca="false">Inputs!$C$9-SUMIFS(Cash_Events!$G$6:$G$20,Cash_Events!$C$6:$C$20,"FHL",Cash_Events!$B$6:$B$20,"&lt;="&amp;A240)</f>
        <v>1500000</v>
      </c>
      <c r="J240" s="38" t="n">
        <f aca="false">VLOOKUP(A240,Inputs!$F$40:$G$48,2,TRUE())</f>
        <v>0.0522223</v>
      </c>
      <c r="K240" s="38" t="n">
        <f aca="false">J240+Inputs!$C$10</f>
        <v>0.1197223</v>
      </c>
      <c r="L240" s="37" t="n">
        <f aca="false">I240*K240/C240</f>
        <v>492.009452054795</v>
      </c>
      <c r="M240" s="37" t="n">
        <f aca="false">IF(AND(A240&gt;=Inputs!$C$13,OR(A240&lt;Inputs!$B$19,Inputs!$B$20=1)),I240*Inputs!$C$11/C240,0)</f>
        <v>0</v>
      </c>
    </row>
    <row r="241" customFormat="false" ht="15" hidden="false" customHeight="false" outlineLevel="0" collapsed="false">
      <c r="A241" s="35" t="n">
        <f aca="false">A240+1</f>
        <v>45048</v>
      </c>
      <c r="B241" s="35" t="n">
        <f aca="false">EOMONTH(A241+1,0)</f>
        <v>45077</v>
      </c>
      <c r="C241" s="36" t="n">
        <f aca="false">IF(MOD(YEAR(A241),4)=0,366,365)</f>
        <v>365</v>
      </c>
      <c r="D241" s="37" t="n">
        <f aca="false">Inputs!$B$9-SUMIFS(Cash_Events!$G$6:$G$20,Cash_Events!$C$6:$C$20,"rAGMF",Cash_Events!$B$6:$B$20,"&lt;="&amp;A241)</f>
        <v>1500000</v>
      </c>
      <c r="E241" s="38" t="n">
        <f aca="false">VLOOKUP(A241,Inputs!$A$40:$B$48,2,TRUE())</f>
        <v>0.0521501</v>
      </c>
      <c r="F241" s="38" t="n">
        <f aca="false">E241+Inputs!$B$10</f>
        <v>0.1196501</v>
      </c>
      <c r="G241" s="37" t="n">
        <f aca="false">D241*F241/C241</f>
        <v>491.712739726027</v>
      </c>
      <c r="H241" s="37" t="n">
        <f aca="false">IF(AND(A241&gt;=Inputs!$B$13,OR(A241&lt;Inputs!$B$19,Inputs!$B$20=1)),D241*Inputs!$B$11/C241,0)</f>
        <v>0</v>
      </c>
      <c r="I241" s="37" t="n">
        <f aca="false">Inputs!$C$9-SUMIFS(Cash_Events!$G$6:$G$20,Cash_Events!$C$6:$C$20,"FHL",Cash_Events!$B$6:$B$20,"&lt;="&amp;A241)</f>
        <v>1500000</v>
      </c>
      <c r="J241" s="38" t="n">
        <f aca="false">VLOOKUP(A241,Inputs!$F$40:$G$48,2,TRUE())</f>
        <v>0.0522223</v>
      </c>
      <c r="K241" s="38" t="n">
        <f aca="false">J241+Inputs!$C$10</f>
        <v>0.1197223</v>
      </c>
      <c r="L241" s="37" t="n">
        <f aca="false">I241*K241/C241</f>
        <v>492.009452054795</v>
      </c>
      <c r="M241" s="37" t="n">
        <f aca="false">IF(AND(A241&gt;=Inputs!$C$13,OR(A241&lt;Inputs!$B$19,Inputs!$B$20=1)),I241*Inputs!$C$11/C241,0)</f>
        <v>0</v>
      </c>
    </row>
    <row r="242" customFormat="false" ht="15" hidden="false" customHeight="false" outlineLevel="0" collapsed="false">
      <c r="A242" s="35" t="n">
        <f aca="false">A241+1</f>
        <v>45049</v>
      </c>
      <c r="B242" s="35" t="n">
        <f aca="false">EOMONTH(A242+1,0)</f>
        <v>45077</v>
      </c>
      <c r="C242" s="36" t="n">
        <f aca="false">IF(MOD(YEAR(A242),4)=0,366,365)</f>
        <v>365</v>
      </c>
      <c r="D242" s="37" t="n">
        <f aca="false">Inputs!$B$9-SUMIFS(Cash_Events!$G$6:$G$20,Cash_Events!$C$6:$C$20,"rAGMF",Cash_Events!$B$6:$B$20,"&lt;="&amp;A242)</f>
        <v>1500000</v>
      </c>
      <c r="E242" s="38" t="n">
        <f aca="false">VLOOKUP(A242,Inputs!$A$40:$B$48,2,TRUE())</f>
        <v>0.0521501</v>
      </c>
      <c r="F242" s="38" t="n">
        <f aca="false">E242+Inputs!$B$10</f>
        <v>0.1196501</v>
      </c>
      <c r="G242" s="37" t="n">
        <f aca="false">D242*F242/C242</f>
        <v>491.712739726027</v>
      </c>
      <c r="H242" s="37" t="n">
        <f aca="false">IF(AND(A242&gt;=Inputs!$B$13,OR(A242&lt;Inputs!$B$19,Inputs!$B$20=1)),D242*Inputs!$B$11/C242,0)</f>
        <v>0</v>
      </c>
      <c r="I242" s="37" t="n">
        <f aca="false">Inputs!$C$9-SUMIFS(Cash_Events!$G$6:$G$20,Cash_Events!$C$6:$C$20,"FHL",Cash_Events!$B$6:$B$20,"&lt;="&amp;A242)</f>
        <v>1500000</v>
      </c>
      <c r="J242" s="38" t="n">
        <f aca="false">VLOOKUP(A242,Inputs!$F$40:$G$48,2,TRUE())</f>
        <v>0.0522223</v>
      </c>
      <c r="K242" s="38" t="n">
        <f aca="false">J242+Inputs!$C$10</f>
        <v>0.1197223</v>
      </c>
      <c r="L242" s="37" t="n">
        <f aca="false">I242*K242/C242</f>
        <v>492.009452054795</v>
      </c>
      <c r="M242" s="37" t="n">
        <f aca="false">IF(AND(A242&gt;=Inputs!$C$13,OR(A242&lt;Inputs!$B$19,Inputs!$B$20=1)),I242*Inputs!$C$11/C242,0)</f>
        <v>0</v>
      </c>
    </row>
    <row r="243" customFormat="false" ht="15" hidden="false" customHeight="false" outlineLevel="0" collapsed="false">
      <c r="A243" s="35" t="n">
        <f aca="false">A242+1</f>
        <v>45050</v>
      </c>
      <c r="B243" s="35" t="n">
        <f aca="false">EOMONTH(A243+1,0)</f>
        <v>45077</v>
      </c>
      <c r="C243" s="36" t="n">
        <f aca="false">IF(MOD(YEAR(A243),4)=0,366,365)</f>
        <v>365</v>
      </c>
      <c r="D243" s="37" t="n">
        <f aca="false">Inputs!$B$9-SUMIFS(Cash_Events!$G$6:$G$20,Cash_Events!$C$6:$C$20,"rAGMF",Cash_Events!$B$6:$B$20,"&lt;="&amp;A243)</f>
        <v>1500000</v>
      </c>
      <c r="E243" s="38" t="n">
        <f aca="false">VLOOKUP(A243,Inputs!$A$40:$B$48,2,TRUE())</f>
        <v>0.0521501</v>
      </c>
      <c r="F243" s="38" t="n">
        <f aca="false">E243+Inputs!$B$10</f>
        <v>0.1196501</v>
      </c>
      <c r="G243" s="37" t="n">
        <f aca="false">D243*F243/C243</f>
        <v>491.712739726027</v>
      </c>
      <c r="H243" s="37" t="n">
        <f aca="false">IF(AND(A243&gt;=Inputs!$B$13,OR(A243&lt;Inputs!$B$19,Inputs!$B$20=1)),D243*Inputs!$B$11/C243,0)</f>
        <v>0</v>
      </c>
      <c r="I243" s="37" t="n">
        <f aca="false">Inputs!$C$9-SUMIFS(Cash_Events!$G$6:$G$20,Cash_Events!$C$6:$C$20,"FHL",Cash_Events!$B$6:$B$20,"&lt;="&amp;A243)</f>
        <v>1500000</v>
      </c>
      <c r="J243" s="38" t="n">
        <f aca="false">VLOOKUP(A243,Inputs!$F$40:$G$48,2,TRUE())</f>
        <v>0.0522223</v>
      </c>
      <c r="K243" s="38" t="n">
        <f aca="false">J243+Inputs!$C$10</f>
        <v>0.1197223</v>
      </c>
      <c r="L243" s="37" t="n">
        <f aca="false">I243*K243/C243</f>
        <v>492.009452054795</v>
      </c>
      <c r="M243" s="37" t="n">
        <f aca="false">IF(AND(A243&gt;=Inputs!$C$13,OR(A243&lt;Inputs!$B$19,Inputs!$B$20=1)),I243*Inputs!$C$11/C243,0)</f>
        <v>0</v>
      </c>
    </row>
    <row r="244" customFormat="false" ht="15" hidden="false" customHeight="false" outlineLevel="0" collapsed="false">
      <c r="A244" s="35" t="n">
        <f aca="false">A243+1</f>
        <v>45051</v>
      </c>
      <c r="B244" s="35" t="n">
        <f aca="false">EOMONTH(A244+1,0)</f>
        <v>45077</v>
      </c>
      <c r="C244" s="36" t="n">
        <f aca="false">IF(MOD(YEAR(A244),4)=0,366,365)</f>
        <v>365</v>
      </c>
      <c r="D244" s="37" t="n">
        <f aca="false">Inputs!$B$9-SUMIFS(Cash_Events!$G$6:$G$20,Cash_Events!$C$6:$C$20,"rAGMF",Cash_Events!$B$6:$B$20,"&lt;="&amp;A244)</f>
        <v>1500000</v>
      </c>
      <c r="E244" s="38" t="n">
        <f aca="false">VLOOKUP(A244,Inputs!$A$40:$B$48,2,TRUE())</f>
        <v>0.0521501</v>
      </c>
      <c r="F244" s="38" t="n">
        <f aca="false">E244+Inputs!$B$10</f>
        <v>0.1196501</v>
      </c>
      <c r="G244" s="37" t="n">
        <f aca="false">D244*F244/C244</f>
        <v>491.712739726027</v>
      </c>
      <c r="H244" s="37" t="n">
        <f aca="false">IF(AND(A244&gt;=Inputs!$B$13,OR(A244&lt;Inputs!$B$19,Inputs!$B$20=1)),D244*Inputs!$B$11/C244,0)</f>
        <v>0</v>
      </c>
      <c r="I244" s="37" t="n">
        <f aca="false">Inputs!$C$9-SUMIFS(Cash_Events!$G$6:$G$20,Cash_Events!$C$6:$C$20,"FHL",Cash_Events!$B$6:$B$20,"&lt;="&amp;A244)</f>
        <v>1500000</v>
      </c>
      <c r="J244" s="38" t="n">
        <f aca="false">VLOOKUP(A244,Inputs!$F$40:$G$48,2,TRUE())</f>
        <v>0.0522223</v>
      </c>
      <c r="K244" s="38" t="n">
        <f aca="false">J244+Inputs!$C$10</f>
        <v>0.1197223</v>
      </c>
      <c r="L244" s="37" t="n">
        <f aca="false">I244*K244/C244</f>
        <v>492.009452054795</v>
      </c>
      <c r="M244" s="37" t="n">
        <f aca="false">IF(AND(A244&gt;=Inputs!$C$13,OR(A244&lt;Inputs!$B$19,Inputs!$B$20=1)),I244*Inputs!$C$11/C244,0)</f>
        <v>0</v>
      </c>
    </row>
    <row r="245" customFormat="false" ht="15" hidden="false" customHeight="false" outlineLevel="0" collapsed="false">
      <c r="A245" s="35" t="n">
        <f aca="false">A244+1</f>
        <v>45052</v>
      </c>
      <c r="B245" s="35" t="n">
        <f aca="false">EOMONTH(A245+1,0)</f>
        <v>45077</v>
      </c>
      <c r="C245" s="36" t="n">
        <f aca="false">IF(MOD(YEAR(A245),4)=0,366,365)</f>
        <v>365</v>
      </c>
      <c r="D245" s="37" t="n">
        <f aca="false">Inputs!$B$9-SUMIFS(Cash_Events!$G$6:$G$20,Cash_Events!$C$6:$C$20,"rAGMF",Cash_Events!$B$6:$B$20,"&lt;="&amp;A245)</f>
        <v>1500000</v>
      </c>
      <c r="E245" s="38" t="n">
        <f aca="false">VLOOKUP(A245,Inputs!$A$40:$B$48,2,TRUE())</f>
        <v>0.0521501</v>
      </c>
      <c r="F245" s="38" t="n">
        <f aca="false">E245+Inputs!$B$10</f>
        <v>0.1196501</v>
      </c>
      <c r="G245" s="37" t="n">
        <f aca="false">D245*F245/C245</f>
        <v>491.712739726027</v>
      </c>
      <c r="H245" s="37" t="n">
        <f aca="false">IF(AND(A245&gt;=Inputs!$B$13,OR(A245&lt;Inputs!$B$19,Inputs!$B$20=1)),D245*Inputs!$B$11/C245,0)</f>
        <v>0</v>
      </c>
      <c r="I245" s="37" t="n">
        <f aca="false">Inputs!$C$9-SUMIFS(Cash_Events!$G$6:$G$20,Cash_Events!$C$6:$C$20,"FHL",Cash_Events!$B$6:$B$20,"&lt;="&amp;A245)</f>
        <v>1500000</v>
      </c>
      <c r="J245" s="38" t="n">
        <f aca="false">VLOOKUP(A245,Inputs!$F$40:$G$48,2,TRUE())</f>
        <v>0.0522223</v>
      </c>
      <c r="K245" s="38" t="n">
        <f aca="false">J245+Inputs!$C$10</f>
        <v>0.1197223</v>
      </c>
      <c r="L245" s="37" t="n">
        <f aca="false">I245*K245/C245</f>
        <v>492.009452054795</v>
      </c>
      <c r="M245" s="37" t="n">
        <f aca="false">IF(AND(A245&gt;=Inputs!$C$13,OR(A245&lt;Inputs!$B$19,Inputs!$B$20=1)),I245*Inputs!$C$11/C245,0)</f>
        <v>0</v>
      </c>
    </row>
    <row r="246" customFormat="false" ht="15" hidden="false" customHeight="false" outlineLevel="0" collapsed="false">
      <c r="A246" s="35" t="n">
        <f aca="false">A245+1</f>
        <v>45053</v>
      </c>
      <c r="B246" s="35" t="n">
        <f aca="false">EOMONTH(A246+1,0)</f>
        <v>45077</v>
      </c>
      <c r="C246" s="36" t="n">
        <f aca="false">IF(MOD(YEAR(A246),4)=0,366,365)</f>
        <v>365</v>
      </c>
      <c r="D246" s="37" t="n">
        <f aca="false">Inputs!$B$9-SUMIFS(Cash_Events!$G$6:$G$20,Cash_Events!$C$6:$C$20,"rAGMF",Cash_Events!$B$6:$B$20,"&lt;="&amp;A246)</f>
        <v>1500000</v>
      </c>
      <c r="E246" s="38" t="n">
        <f aca="false">VLOOKUP(A246,Inputs!$A$40:$B$48,2,TRUE())</f>
        <v>0.0521501</v>
      </c>
      <c r="F246" s="38" t="n">
        <f aca="false">E246+Inputs!$B$10</f>
        <v>0.1196501</v>
      </c>
      <c r="G246" s="37" t="n">
        <f aca="false">D246*F246/C246</f>
        <v>491.712739726027</v>
      </c>
      <c r="H246" s="37" t="n">
        <f aca="false">IF(AND(A246&gt;=Inputs!$B$13,OR(A246&lt;Inputs!$B$19,Inputs!$B$20=1)),D246*Inputs!$B$11/C246,0)</f>
        <v>0</v>
      </c>
      <c r="I246" s="37" t="n">
        <f aca="false">Inputs!$C$9-SUMIFS(Cash_Events!$G$6:$G$20,Cash_Events!$C$6:$C$20,"FHL",Cash_Events!$B$6:$B$20,"&lt;="&amp;A246)</f>
        <v>1500000</v>
      </c>
      <c r="J246" s="38" t="n">
        <f aca="false">VLOOKUP(A246,Inputs!$F$40:$G$48,2,TRUE())</f>
        <v>0.0522223</v>
      </c>
      <c r="K246" s="38" t="n">
        <f aca="false">J246+Inputs!$C$10</f>
        <v>0.1197223</v>
      </c>
      <c r="L246" s="37" t="n">
        <f aca="false">I246*K246/C246</f>
        <v>492.009452054795</v>
      </c>
      <c r="M246" s="37" t="n">
        <f aca="false">IF(AND(A246&gt;=Inputs!$C$13,OR(A246&lt;Inputs!$B$19,Inputs!$B$20=1)),I246*Inputs!$C$11/C246,0)</f>
        <v>0</v>
      </c>
    </row>
    <row r="247" customFormat="false" ht="15" hidden="false" customHeight="false" outlineLevel="0" collapsed="false">
      <c r="A247" s="35" t="n">
        <f aca="false">A246+1</f>
        <v>45054</v>
      </c>
      <c r="B247" s="35" t="n">
        <f aca="false">EOMONTH(A247+1,0)</f>
        <v>45077</v>
      </c>
      <c r="C247" s="36" t="n">
        <f aca="false">IF(MOD(YEAR(A247),4)=0,366,365)</f>
        <v>365</v>
      </c>
      <c r="D247" s="37" t="n">
        <f aca="false">Inputs!$B$9-SUMIFS(Cash_Events!$G$6:$G$20,Cash_Events!$C$6:$C$20,"rAGMF",Cash_Events!$B$6:$B$20,"&lt;="&amp;A247)</f>
        <v>1500000</v>
      </c>
      <c r="E247" s="38" t="n">
        <f aca="false">VLOOKUP(A247,Inputs!$A$40:$B$48,2,TRUE())</f>
        <v>0.0521501</v>
      </c>
      <c r="F247" s="38" t="n">
        <f aca="false">E247+Inputs!$B$10</f>
        <v>0.1196501</v>
      </c>
      <c r="G247" s="37" t="n">
        <f aca="false">D247*F247/C247</f>
        <v>491.712739726027</v>
      </c>
      <c r="H247" s="37" t="n">
        <f aca="false">IF(AND(A247&gt;=Inputs!$B$13,OR(A247&lt;Inputs!$B$19,Inputs!$B$20=1)),D247*Inputs!$B$11/C247,0)</f>
        <v>0</v>
      </c>
      <c r="I247" s="37" t="n">
        <f aca="false">Inputs!$C$9-SUMIFS(Cash_Events!$G$6:$G$20,Cash_Events!$C$6:$C$20,"FHL",Cash_Events!$B$6:$B$20,"&lt;="&amp;A247)</f>
        <v>1500000</v>
      </c>
      <c r="J247" s="38" t="n">
        <f aca="false">VLOOKUP(A247,Inputs!$F$40:$G$48,2,TRUE())</f>
        <v>0.0522223</v>
      </c>
      <c r="K247" s="38" t="n">
        <f aca="false">J247+Inputs!$C$10</f>
        <v>0.1197223</v>
      </c>
      <c r="L247" s="37" t="n">
        <f aca="false">I247*K247/C247</f>
        <v>492.009452054795</v>
      </c>
      <c r="M247" s="37" t="n">
        <f aca="false">IF(AND(A247&gt;=Inputs!$C$13,OR(A247&lt;Inputs!$B$19,Inputs!$B$20=1)),I247*Inputs!$C$11/C247,0)</f>
        <v>0</v>
      </c>
    </row>
    <row r="248" customFormat="false" ht="15" hidden="false" customHeight="false" outlineLevel="0" collapsed="false">
      <c r="A248" s="35" t="n">
        <f aca="false">A247+1</f>
        <v>45055</v>
      </c>
      <c r="B248" s="35" t="n">
        <f aca="false">EOMONTH(A248+1,0)</f>
        <v>45077</v>
      </c>
      <c r="C248" s="36" t="n">
        <f aca="false">IF(MOD(YEAR(A248),4)=0,366,365)</f>
        <v>365</v>
      </c>
      <c r="D248" s="37" t="n">
        <f aca="false">Inputs!$B$9-SUMIFS(Cash_Events!$G$6:$G$20,Cash_Events!$C$6:$C$20,"rAGMF",Cash_Events!$B$6:$B$20,"&lt;="&amp;A248)</f>
        <v>1500000</v>
      </c>
      <c r="E248" s="38" t="n">
        <f aca="false">VLOOKUP(A248,Inputs!$A$40:$B$48,2,TRUE())</f>
        <v>0.0521501</v>
      </c>
      <c r="F248" s="38" t="n">
        <f aca="false">E248+Inputs!$B$10</f>
        <v>0.1196501</v>
      </c>
      <c r="G248" s="37" t="n">
        <f aca="false">D248*F248/C248</f>
        <v>491.712739726027</v>
      </c>
      <c r="H248" s="37" t="n">
        <f aca="false">IF(AND(A248&gt;=Inputs!$B$13,OR(A248&lt;Inputs!$B$19,Inputs!$B$20=1)),D248*Inputs!$B$11/C248,0)</f>
        <v>0</v>
      </c>
      <c r="I248" s="37" t="n">
        <f aca="false">Inputs!$C$9-SUMIFS(Cash_Events!$G$6:$G$20,Cash_Events!$C$6:$C$20,"FHL",Cash_Events!$B$6:$B$20,"&lt;="&amp;A248)</f>
        <v>1500000</v>
      </c>
      <c r="J248" s="38" t="n">
        <f aca="false">VLOOKUP(A248,Inputs!$F$40:$G$48,2,TRUE())</f>
        <v>0.0522223</v>
      </c>
      <c r="K248" s="38" t="n">
        <f aca="false">J248+Inputs!$C$10</f>
        <v>0.1197223</v>
      </c>
      <c r="L248" s="37" t="n">
        <f aca="false">I248*K248/C248</f>
        <v>492.009452054795</v>
      </c>
      <c r="M248" s="37" t="n">
        <f aca="false">IF(AND(A248&gt;=Inputs!$C$13,OR(A248&lt;Inputs!$B$19,Inputs!$B$20=1)),I248*Inputs!$C$11/C248,0)</f>
        <v>0</v>
      </c>
    </row>
    <row r="249" customFormat="false" ht="15" hidden="false" customHeight="false" outlineLevel="0" collapsed="false">
      <c r="A249" s="35" t="n">
        <f aca="false">A248+1</f>
        <v>45056</v>
      </c>
      <c r="B249" s="35" t="n">
        <f aca="false">EOMONTH(A249+1,0)</f>
        <v>45077</v>
      </c>
      <c r="C249" s="36" t="n">
        <f aca="false">IF(MOD(YEAR(A249),4)=0,366,365)</f>
        <v>365</v>
      </c>
      <c r="D249" s="37" t="n">
        <f aca="false">Inputs!$B$9-SUMIFS(Cash_Events!$G$6:$G$20,Cash_Events!$C$6:$C$20,"rAGMF",Cash_Events!$B$6:$B$20,"&lt;="&amp;A249)</f>
        <v>1500000</v>
      </c>
      <c r="E249" s="38" t="n">
        <f aca="false">VLOOKUP(A249,Inputs!$A$40:$B$48,2,TRUE())</f>
        <v>0.0521501</v>
      </c>
      <c r="F249" s="38" t="n">
        <f aca="false">E249+Inputs!$B$10</f>
        <v>0.1196501</v>
      </c>
      <c r="G249" s="37" t="n">
        <f aca="false">D249*F249/C249</f>
        <v>491.712739726027</v>
      </c>
      <c r="H249" s="37" t="n">
        <f aca="false">IF(AND(A249&gt;=Inputs!$B$13,OR(A249&lt;Inputs!$B$19,Inputs!$B$20=1)),D249*Inputs!$B$11/C249,0)</f>
        <v>0</v>
      </c>
      <c r="I249" s="37" t="n">
        <f aca="false">Inputs!$C$9-SUMIFS(Cash_Events!$G$6:$G$20,Cash_Events!$C$6:$C$20,"FHL",Cash_Events!$B$6:$B$20,"&lt;="&amp;A249)</f>
        <v>1500000</v>
      </c>
      <c r="J249" s="38" t="n">
        <f aca="false">VLOOKUP(A249,Inputs!$F$40:$G$48,2,TRUE())</f>
        <v>0.0522223</v>
      </c>
      <c r="K249" s="38" t="n">
        <f aca="false">J249+Inputs!$C$10</f>
        <v>0.1197223</v>
      </c>
      <c r="L249" s="37" t="n">
        <f aca="false">I249*K249/C249</f>
        <v>492.009452054795</v>
      </c>
      <c r="M249" s="37" t="n">
        <f aca="false">IF(AND(A249&gt;=Inputs!$C$13,OR(A249&lt;Inputs!$B$19,Inputs!$B$20=1)),I249*Inputs!$C$11/C249,0)</f>
        <v>0</v>
      </c>
    </row>
    <row r="250" customFormat="false" ht="15" hidden="false" customHeight="false" outlineLevel="0" collapsed="false">
      <c r="A250" s="35" t="n">
        <f aca="false">A249+1</f>
        <v>45057</v>
      </c>
      <c r="B250" s="35" t="n">
        <f aca="false">EOMONTH(A250+1,0)</f>
        <v>45077</v>
      </c>
      <c r="C250" s="36" t="n">
        <f aca="false">IF(MOD(YEAR(A250),4)=0,366,365)</f>
        <v>365</v>
      </c>
      <c r="D250" s="37" t="n">
        <f aca="false">Inputs!$B$9-SUMIFS(Cash_Events!$G$6:$G$20,Cash_Events!$C$6:$C$20,"rAGMF",Cash_Events!$B$6:$B$20,"&lt;="&amp;A250)</f>
        <v>1500000</v>
      </c>
      <c r="E250" s="38" t="n">
        <f aca="false">VLOOKUP(A250,Inputs!$A$40:$B$48,2,TRUE())</f>
        <v>0.0521501</v>
      </c>
      <c r="F250" s="38" t="n">
        <f aca="false">E250+Inputs!$B$10</f>
        <v>0.1196501</v>
      </c>
      <c r="G250" s="37" t="n">
        <f aca="false">D250*F250/C250</f>
        <v>491.712739726027</v>
      </c>
      <c r="H250" s="37" t="n">
        <f aca="false">IF(AND(A250&gt;=Inputs!$B$13,OR(A250&lt;Inputs!$B$19,Inputs!$B$20=1)),D250*Inputs!$B$11/C250,0)</f>
        <v>0</v>
      </c>
      <c r="I250" s="37" t="n">
        <f aca="false">Inputs!$C$9-SUMIFS(Cash_Events!$G$6:$G$20,Cash_Events!$C$6:$C$20,"FHL",Cash_Events!$B$6:$B$20,"&lt;="&amp;A250)</f>
        <v>1500000</v>
      </c>
      <c r="J250" s="38" t="n">
        <f aca="false">VLOOKUP(A250,Inputs!$F$40:$G$48,2,TRUE())</f>
        <v>0.0522223</v>
      </c>
      <c r="K250" s="38" t="n">
        <f aca="false">J250+Inputs!$C$10</f>
        <v>0.1197223</v>
      </c>
      <c r="L250" s="37" t="n">
        <f aca="false">I250*K250/C250</f>
        <v>492.009452054795</v>
      </c>
      <c r="M250" s="37" t="n">
        <f aca="false">IF(AND(A250&gt;=Inputs!$C$13,OR(A250&lt;Inputs!$B$19,Inputs!$B$20=1)),I250*Inputs!$C$11/C250,0)</f>
        <v>0</v>
      </c>
    </row>
    <row r="251" customFormat="false" ht="15" hidden="false" customHeight="false" outlineLevel="0" collapsed="false">
      <c r="A251" s="35" t="n">
        <f aca="false">A250+1</f>
        <v>45058</v>
      </c>
      <c r="B251" s="35" t="n">
        <f aca="false">EOMONTH(A251+1,0)</f>
        <v>45077</v>
      </c>
      <c r="C251" s="36" t="n">
        <f aca="false">IF(MOD(YEAR(A251),4)=0,366,365)</f>
        <v>365</v>
      </c>
      <c r="D251" s="37" t="n">
        <f aca="false">Inputs!$B$9-SUMIFS(Cash_Events!$G$6:$G$20,Cash_Events!$C$6:$C$20,"rAGMF",Cash_Events!$B$6:$B$20,"&lt;="&amp;A251)</f>
        <v>1500000</v>
      </c>
      <c r="E251" s="38" t="n">
        <f aca="false">VLOOKUP(A251,Inputs!$A$40:$B$48,2,TRUE())</f>
        <v>0.0521501</v>
      </c>
      <c r="F251" s="38" t="n">
        <f aca="false">E251+Inputs!$B$10</f>
        <v>0.1196501</v>
      </c>
      <c r="G251" s="37" t="n">
        <f aca="false">D251*F251/C251</f>
        <v>491.712739726027</v>
      </c>
      <c r="H251" s="37" t="n">
        <f aca="false">IF(AND(A251&gt;=Inputs!$B$13,OR(A251&lt;Inputs!$B$19,Inputs!$B$20=1)),D251*Inputs!$B$11/C251,0)</f>
        <v>0</v>
      </c>
      <c r="I251" s="37" t="n">
        <f aca="false">Inputs!$C$9-SUMIFS(Cash_Events!$G$6:$G$20,Cash_Events!$C$6:$C$20,"FHL",Cash_Events!$B$6:$B$20,"&lt;="&amp;A251)</f>
        <v>1500000</v>
      </c>
      <c r="J251" s="38" t="n">
        <f aca="false">VLOOKUP(A251,Inputs!$F$40:$G$48,2,TRUE())</f>
        <v>0.0522223</v>
      </c>
      <c r="K251" s="38" t="n">
        <f aca="false">J251+Inputs!$C$10</f>
        <v>0.1197223</v>
      </c>
      <c r="L251" s="37" t="n">
        <f aca="false">I251*K251/C251</f>
        <v>492.009452054795</v>
      </c>
      <c r="M251" s="37" t="n">
        <f aca="false">IF(AND(A251&gt;=Inputs!$C$13,OR(A251&lt;Inputs!$B$19,Inputs!$B$20=1)),I251*Inputs!$C$11/C251,0)</f>
        <v>0</v>
      </c>
    </row>
    <row r="252" customFormat="false" ht="15" hidden="false" customHeight="false" outlineLevel="0" collapsed="false">
      <c r="A252" s="35" t="n">
        <f aca="false">A251+1</f>
        <v>45059</v>
      </c>
      <c r="B252" s="35" t="n">
        <f aca="false">EOMONTH(A252+1,0)</f>
        <v>45077</v>
      </c>
      <c r="C252" s="36" t="n">
        <f aca="false">IF(MOD(YEAR(A252),4)=0,366,365)</f>
        <v>365</v>
      </c>
      <c r="D252" s="37" t="n">
        <f aca="false">Inputs!$B$9-SUMIFS(Cash_Events!$G$6:$G$20,Cash_Events!$C$6:$C$20,"rAGMF",Cash_Events!$B$6:$B$20,"&lt;="&amp;A252)</f>
        <v>1500000</v>
      </c>
      <c r="E252" s="38" t="n">
        <f aca="false">VLOOKUP(A252,Inputs!$A$40:$B$48,2,TRUE())</f>
        <v>0.0521501</v>
      </c>
      <c r="F252" s="38" t="n">
        <f aca="false">E252+Inputs!$B$10</f>
        <v>0.1196501</v>
      </c>
      <c r="G252" s="37" t="n">
        <f aca="false">D252*F252/C252</f>
        <v>491.712739726027</v>
      </c>
      <c r="H252" s="37" t="n">
        <f aca="false">IF(AND(A252&gt;=Inputs!$B$13,OR(A252&lt;Inputs!$B$19,Inputs!$B$20=1)),D252*Inputs!$B$11/C252,0)</f>
        <v>0</v>
      </c>
      <c r="I252" s="37" t="n">
        <f aca="false">Inputs!$C$9-SUMIFS(Cash_Events!$G$6:$G$20,Cash_Events!$C$6:$C$20,"FHL",Cash_Events!$B$6:$B$20,"&lt;="&amp;A252)</f>
        <v>1500000</v>
      </c>
      <c r="J252" s="38" t="n">
        <f aca="false">VLOOKUP(A252,Inputs!$F$40:$G$48,2,TRUE())</f>
        <v>0.0522223</v>
      </c>
      <c r="K252" s="38" t="n">
        <f aca="false">J252+Inputs!$C$10</f>
        <v>0.1197223</v>
      </c>
      <c r="L252" s="37" t="n">
        <f aca="false">I252*K252/C252</f>
        <v>492.009452054795</v>
      </c>
      <c r="M252" s="37" t="n">
        <f aca="false">IF(AND(A252&gt;=Inputs!$C$13,OR(A252&lt;Inputs!$B$19,Inputs!$B$20=1)),I252*Inputs!$C$11/C252,0)</f>
        <v>0</v>
      </c>
    </row>
    <row r="253" customFormat="false" ht="15" hidden="false" customHeight="false" outlineLevel="0" collapsed="false">
      <c r="A253" s="35" t="n">
        <f aca="false">A252+1</f>
        <v>45060</v>
      </c>
      <c r="B253" s="35" t="n">
        <f aca="false">EOMONTH(A253+1,0)</f>
        <v>45077</v>
      </c>
      <c r="C253" s="36" t="n">
        <f aca="false">IF(MOD(YEAR(A253),4)=0,366,365)</f>
        <v>365</v>
      </c>
      <c r="D253" s="37" t="n">
        <f aca="false">Inputs!$B$9-SUMIFS(Cash_Events!$G$6:$G$20,Cash_Events!$C$6:$C$20,"rAGMF",Cash_Events!$B$6:$B$20,"&lt;="&amp;A253)</f>
        <v>1500000</v>
      </c>
      <c r="E253" s="38" t="n">
        <f aca="false">VLOOKUP(A253,Inputs!$A$40:$B$48,2,TRUE())</f>
        <v>0.0521501</v>
      </c>
      <c r="F253" s="38" t="n">
        <f aca="false">E253+Inputs!$B$10</f>
        <v>0.1196501</v>
      </c>
      <c r="G253" s="37" t="n">
        <f aca="false">D253*F253/C253</f>
        <v>491.712739726027</v>
      </c>
      <c r="H253" s="37" t="n">
        <f aca="false">IF(AND(A253&gt;=Inputs!$B$13,OR(A253&lt;Inputs!$B$19,Inputs!$B$20=1)),D253*Inputs!$B$11/C253,0)</f>
        <v>0</v>
      </c>
      <c r="I253" s="37" t="n">
        <f aca="false">Inputs!$C$9-SUMIFS(Cash_Events!$G$6:$G$20,Cash_Events!$C$6:$C$20,"FHL",Cash_Events!$B$6:$B$20,"&lt;="&amp;A253)</f>
        <v>1500000</v>
      </c>
      <c r="J253" s="38" t="n">
        <f aca="false">VLOOKUP(A253,Inputs!$F$40:$G$48,2,TRUE())</f>
        <v>0.0522223</v>
      </c>
      <c r="K253" s="38" t="n">
        <f aca="false">J253+Inputs!$C$10</f>
        <v>0.1197223</v>
      </c>
      <c r="L253" s="37" t="n">
        <f aca="false">I253*K253/C253</f>
        <v>492.009452054795</v>
      </c>
      <c r="M253" s="37" t="n">
        <f aca="false">IF(AND(A253&gt;=Inputs!$C$13,OR(A253&lt;Inputs!$B$19,Inputs!$B$20=1)),I253*Inputs!$C$11/C253,0)</f>
        <v>0</v>
      </c>
    </row>
    <row r="254" customFormat="false" ht="15" hidden="false" customHeight="false" outlineLevel="0" collapsed="false">
      <c r="A254" s="35" t="n">
        <f aca="false">A253+1</f>
        <v>45061</v>
      </c>
      <c r="B254" s="35" t="n">
        <f aca="false">EOMONTH(A254+1,0)</f>
        <v>45077</v>
      </c>
      <c r="C254" s="36" t="n">
        <f aca="false">IF(MOD(YEAR(A254),4)=0,366,365)</f>
        <v>365</v>
      </c>
      <c r="D254" s="37" t="n">
        <f aca="false">Inputs!$B$9-SUMIFS(Cash_Events!$G$6:$G$20,Cash_Events!$C$6:$C$20,"rAGMF",Cash_Events!$B$6:$B$20,"&lt;="&amp;A254)</f>
        <v>1500000</v>
      </c>
      <c r="E254" s="38" t="n">
        <f aca="false">VLOOKUP(A254,Inputs!$A$40:$B$48,2,TRUE())</f>
        <v>0.0521501</v>
      </c>
      <c r="F254" s="38" t="n">
        <f aca="false">E254+Inputs!$B$10</f>
        <v>0.1196501</v>
      </c>
      <c r="G254" s="37" t="n">
        <f aca="false">D254*F254/C254</f>
        <v>491.712739726027</v>
      </c>
      <c r="H254" s="37" t="n">
        <f aca="false">IF(AND(A254&gt;=Inputs!$B$13,OR(A254&lt;Inputs!$B$19,Inputs!$B$20=1)),D254*Inputs!$B$11/C254,0)</f>
        <v>0</v>
      </c>
      <c r="I254" s="37" t="n">
        <f aca="false">Inputs!$C$9-SUMIFS(Cash_Events!$G$6:$G$20,Cash_Events!$C$6:$C$20,"FHL",Cash_Events!$B$6:$B$20,"&lt;="&amp;A254)</f>
        <v>1500000</v>
      </c>
      <c r="J254" s="38" t="n">
        <f aca="false">VLOOKUP(A254,Inputs!$F$40:$G$48,2,TRUE())</f>
        <v>0.0522223</v>
      </c>
      <c r="K254" s="38" t="n">
        <f aca="false">J254+Inputs!$C$10</f>
        <v>0.1197223</v>
      </c>
      <c r="L254" s="37" t="n">
        <f aca="false">I254*K254/C254</f>
        <v>492.009452054795</v>
      </c>
      <c r="M254" s="37" t="n">
        <f aca="false">IF(AND(A254&gt;=Inputs!$C$13,OR(A254&lt;Inputs!$B$19,Inputs!$B$20=1)),I254*Inputs!$C$11/C254,0)</f>
        <v>0</v>
      </c>
    </row>
    <row r="255" customFormat="false" ht="15" hidden="false" customHeight="false" outlineLevel="0" collapsed="false">
      <c r="A255" s="35" t="n">
        <f aca="false">A254+1</f>
        <v>45062</v>
      </c>
      <c r="B255" s="35" t="n">
        <f aca="false">EOMONTH(A255+1,0)</f>
        <v>45077</v>
      </c>
      <c r="C255" s="36" t="n">
        <f aca="false">IF(MOD(YEAR(A255),4)=0,366,365)</f>
        <v>365</v>
      </c>
      <c r="D255" s="37" t="n">
        <f aca="false">Inputs!$B$9-SUMIFS(Cash_Events!$G$6:$G$20,Cash_Events!$C$6:$C$20,"rAGMF",Cash_Events!$B$6:$B$20,"&lt;="&amp;A255)</f>
        <v>1500000</v>
      </c>
      <c r="E255" s="38" t="n">
        <f aca="false">VLOOKUP(A255,Inputs!$A$40:$B$48,2,TRUE())</f>
        <v>0.0521501</v>
      </c>
      <c r="F255" s="38" t="n">
        <f aca="false">E255+Inputs!$B$10</f>
        <v>0.1196501</v>
      </c>
      <c r="G255" s="37" t="n">
        <f aca="false">D255*F255/C255</f>
        <v>491.712739726027</v>
      </c>
      <c r="H255" s="37" t="n">
        <f aca="false">IF(AND(A255&gt;=Inputs!$B$13,OR(A255&lt;Inputs!$B$19,Inputs!$B$20=1)),D255*Inputs!$B$11/C255,0)</f>
        <v>0</v>
      </c>
      <c r="I255" s="37" t="n">
        <f aca="false">Inputs!$C$9-SUMIFS(Cash_Events!$G$6:$G$20,Cash_Events!$C$6:$C$20,"FHL",Cash_Events!$B$6:$B$20,"&lt;="&amp;A255)</f>
        <v>1500000</v>
      </c>
      <c r="J255" s="38" t="n">
        <f aca="false">VLOOKUP(A255,Inputs!$F$40:$G$48,2,TRUE())</f>
        <v>0.0522223</v>
      </c>
      <c r="K255" s="38" t="n">
        <f aca="false">J255+Inputs!$C$10</f>
        <v>0.1197223</v>
      </c>
      <c r="L255" s="37" t="n">
        <f aca="false">I255*K255/C255</f>
        <v>492.009452054795</v>
      </c>
      <c r="M255" s="37" t="n">
        <f aca="false">IF(AND(A255&gt;=Inputs!$C$13,OR(A255&lt;Inputs!$B$19,Inputs!$B$20=1)),I255*Inputs!$C$11/C255,0)</f>
        <v>0</v>
      </c>
    </row>
    <row r="256" customFormat="false" ht="15" hidden="false" customHeight="false" outlineLevel="0" collapsed="false">
      <c r="A256" s="35" t="n">
        <f aca="false">A255+1</f>
        <v>45063</v>
      </c>
      <c r="B256" s="35" t="n">
        <f aca="false">EOMONTH(A256+1,0)</f>
        <v>45077</v>
      </c>
      <c r="C256" s="36" t="n">
        <f aca="false">IF(MOD(YEAR(A256),4)=0,366,365)</f>
        <v>365</v>
      </c>
      <c r="D256" s="37" t="n">
        <f aca="false">Inputs!$B$9-SUMIFS(Cash_Events!$G$6:$G$20,Cash_Events!$C$6:$C$20,"rAGMF",Cash_Events!$B$6:$B$20,"&lt;="&amp;A256)</f>
        <v>1500000</v>
      </c>
      <c r="E256" s="38" t="n">
        <f aca="false">VLOOKUP(A256,Inputs!$A$40:$B$48,2,TRUE())</f>
        <v>0.0521501</v>
      </c>
      <c r="F256" s="38" t="n">
        <f aca="false">E256+Inputs!$B$10</f>
        <v>0.1196501</v>
      </c>
      <c r="G256" s="37" t="n">
        <f aca="false">D256*F256/C256</f>
        <v>491.712739726027</v>
      </c>
      <c r="H256" s="37" t="n">
        <f aca="false">IF(AND(A256&gt;=Inputs!$B$13,OR(A256&lt;Inputs!$B$19,Inputs!$B$20=1)),D256*Inputs!$B$11/C256,0)</f>
        <v>0</v>
      </c>
      <c r="I256" s="37" t="n">
        <f aca="false">Inputs!$C$9-SUMIFS(Cash_Events!$G$6:$G$20,Cash_Events!$C$6:$C$20,"FHL",Cash_Events!$B$6:$B$20,"&lt;="&amp;A256)</f>
        <v>1500000</v>
      </c>
      <c r="J256" s="38" t="n">
        <f aca="false">VLOOKUP(A256,Inputs!$F$40:$G$48,2,TRUE())</f>
        <v>0.0522223</v>
      </c>
      <c r="K256" s="38" t="n">
        <f aca="false">J256+Inputs!$C$10</f>
        <v>0.1197223</v>
      </c>
      <c r="L256" s="37" t="n">
        <f aca="false">I256*K256/C256</f>
        <v>492.009452054795</v>
      </c>
      <c r="M256" s="37" t="n">
        <f aca="false">IF(AND(A256&gt;=Inputs!$C$13,OR(A256&lt;Inputs!$B$19,Inputs!$B$20=1)),I256*Inputs!$C$11/C256,0)</f>
        <v>0</v>
      </c>
    </row>
    <row r="257" customFormat="false" ht="15" hidden="false" customHeight="false" outlineLevel="0" collapsed="false">
      <c r="A257" s="35" t="n">
        <f aca="false">A256+1</f>
        <v>45064</v>
      </c>
      <c r="B257" s="35" t="n">
        <f aca="false">EOMONTH(A257+1,0)</f>
        <v>45077</v>
      </c>
      <c r="C257" s="36" t="n">
        <f aca="false">IF(MOD(YEAR(A257),4)=0,366,365)</f>
        <v>365</v>
      </c>
      <c r="D257" s="37" t="n">
        <f aca="false">Inputs!$B$9-SUMIFS(Cash_Events!$G$6:$G$20,Cash_Events!$C$6:$C$20,"rAGMF",Cash_Events!$B$6:$B$20,"&lt;="&amp;A257)</f>
        <v>1500000</v>
      </c>
      <c r="E257" s="38" t="n">
        <f aca="false">VLOOKUP(A257,Inputs!$A$40:$B$48,2,TRUE())</f>
        <v>0.0521501</v>
      </c>
      <c r="F257" s="38" t="n">
        <f aca="false">E257+Inputs!$B$10</f>
        <v>0.1196501</v>
      </c>
      <c r="G257" s="37" t="n">
        <f aca="false">D257*F257/C257</f>
        <v>491.712739726027</v>
      </c>
      <c r="H257" s="37" t="n">
        <f aca="false">IF(AND(A257&gt;=Inputs!$B$13,OR(A257&lt;Inputs!$B$19,Inputs!$B$20=1)),D257*Inputs!$B$11/C257,0)</f>
        <v>0</v>
      </c>
      <c r="I257" s="37" t="n">
        <f aca="false">Inputs!$C$9-SUMIFS(Cash_Events!$G$6:$G$20,Cash_Events!$C$6:$C$20,"FHL",Cash_Events!$B$6:$B$20,"&lt;="&amp;A257)</f>
        <v>1500000</v>
      </c>
      <c r="J257" s="38" t="n">
        <f aca="false">VLOOKUP(A257,Inputs!$F$40:$G$48,2,TRUE())</f>
        <v>0.0522223</v>
      </c>
      <c r="K257" s="38" t="n">
        <f aca="false">J257+Inputs!$C$10</f>
        <v>0.1197223</v>
      </c>
      <c r="L257" s="37" t="n">
        <f aca="false">I257*K257/C257</f>
        <v>492.009452054795</v>
      </c>
      <c r="M257" s="37" t="n">
        <f aca="false">IF(AND(A257&gt;=Inputs!$C$13,OR(A257&lt;Inputs!$B$19,Inputs!$B$20=1)),I257*Inputs!$C$11/C257,0)</f>
        <v>0</v>
      </c>
    </row>
    <row r="258" customFormat="false" ht="15" hidden="false" customHeight="false" outlineLevel="0" collapsed="false">
      <c r="A258" s="35" t="n">
        <f aca="false">A257+1</f>
        <v>45065</v>
      </c>
      <c r="B258" s="35" t="n">
        <f aca="false">EOMONTH(A258+1,0)</f>
        <v>45077</v>
      </c>
      <c r="C258" s="36" t="n">
        <f aca="false">IF(MOD(YEAR(A258),4)=0,366,365)</f>
        <v>365</v>
      </c>
      <c r="D258" s="37" t="n">
        <f aca="false">Inputs!$B$9-SUMIFS(Cash_Events!$G$6:$G$20,Cash_Events!$C$6:$C$20,"rAGMF",Cash_Events!$B$6:$B$20,"&lt;="&amp;A258)</f>
        <v>1500000</v>
      </c>
      <c r="E258" s="38" t="n">
        <f aca="false">VLOOKUP(A258,Inputs!$A$40:$B$48,2,TRUE())</f>
        <v>0.0521501</v>
      </c>
      <c r="F258" s="38" t="n">
        <f aca="false">E258+Inputs!$B$10</f>
        <v>0.1196501</v>
      </c>
      <c r="G258" s="37" t="n">
        <f aca="false">D258*F258/C258</f>
        <v>491.712739726027</v>
      </c>
      <c r="H258" s="37" t="n">
        <f aca="false">IF(AND(A258&gt;=Inputs!$B$13,OR(A258&lt;Inputs!$B$19,Inputs!$B$20=1)),D258*Inputs!$B$11/C258,0)</f>
        <v>0</v>
      </c>
      <c r="I258" s="37" t="n">
        <f aca="false">Inputs!$C$9-SUMIFS(Cash_Events!$G$6:$G$20,Cash_Events!$C$6:$C$20,"FHL",Cash_Events!$B$6:$B$20,"&lt;="&amp;A258)</f>
        <v>1500000</v>
      </c>
      <c r="J258" s="38" t="n">
        <f aca="false">VLOOKUP(A258,Inputs!$F$40:$G$48,2,TRUE())</f>
        <v>0.0522223</v>
      </c>
      <c r="K258" s="38" t="n">
        <f aca="false">J258+Inputs!$C$10</f>
        <v>0.1197223</v>
      </c>
      <c r="L258" s="37" t="n">
        <f aca="false">I258*K258/C258</f>
        <v>492.009452054795</v>
      </c>
      <c r="M258" s="37" t="n">
        <f aca="false">IF(AND(A258&gt;=Inputs!$C$13,OR(A258&lt;Inputs!$B$19,Inputs!$B$20=1)),I258*Inputs!$C$11/C258,0)</f>
        <v>0</v>
      </c>
    </row>
    <row r="259" customFormat="false" ht="15" hidden="false" customHeight="false" outlineLevel="0" collapsed="false">
      <c r="A259" s="35" t="n">
        <f aca="false">A258+1</f>
        <v>45066</v>
      </c>
      <c r="B259" s="35" t="n">
        <f aca="false">EOMONTH(A259+1,0)</f>
        <v>45077</v>
      </c>
      <c r="C259" s="36" t="n">
        <f aca="false">IF(MOD(YEAR(A259),4)=0,366,365)</f>
        <v>365</v>
      </c>
      <c r="D259" s="37" t="n">
        <f aca="false">Inputs!$B$9-SUMIFS(Cash_Events!$G$6:$G$20,Cash_Events!$C$6:$C$20,"rAGMF",Cash_Events!$B$6:$B$20,"&lt;="&amp;A259)</f>
        <v>1500000</v>
      </c>
      <c r="E259" s="38" t="n">
        <f aca="false">VLOOKUP(A259,Inputs!$A$40:$B$48,2,TRUE())</f>
        <v>0.0521501</v>
      </c>
      <c r="F259" s="38" t="n">
        <f aca="false">E259+Inputs!$B$10</f>
        <v>0.1196501</v>
      </c>
      <c r="G259" s="37" t="n">
        <f aca="false">D259*F259/C259</f>
        <v>491.712739726027</v>
      </c>
      <c r="H259" s="37" t="n">
        <f aca="false">IF(AND(A259&gt;=Inputs!$B$13,OR(A259&lt;Inputs!$B$19,Inputs!$B$20=1)),D259*Inputs!$B$11/C259,0)</f>
        <v>0</v>
      </c>
      <c r="I259" s="37" t="n">
        <f aca="false">Inputs!$C$9-SUMIFS(Cash_Events!$G$6:$G$20,Cash_Events!$C$6:$C$20,"FHL",Cash_Events!$B$6:$B$20,"&lt;="&amp;A259)</f>
        <v>1500000</v>
      </c>
      <c r="J259" s="38" t="n">
        <f aca="false">VLOOKUP(A259,Inputs!$F$40:$G$48,2,TRUE())</f>
        <v>0.0522223</v>
      </c>
      <c r="K259" s="38" t="n">
        <f aca="false">J259+Inputs!$C$10</f>
        <v>0.1197223</v>
      </c>
      <c r="L259" s="37" t="n">
        <f aca="false">I259*K259/C259</f>
        <v>492.009452054795</v>
      </c>
      <c r="M259" s="37" t="n">
        <f aca="false">IF(AND(A259&gt;=Inputs!$C$13,OR(A259&lt;Inputs!$B$19,Inputs!$B$20=1)),I259*Inputs!$C$11/C259,0)</f>
        <v>0</v>
      </c>
    </row>
    <row r="260" customFormat="false" ht="15" hidden="false" customHeight="false" outlineLevel="0" collapsed="false">
      <c r="A260" s="35" t="n">
        <f aca="false">A259+1</f>
        <v>45067</v>
      </c>
      <c r="B260" s="35" t="n">
        <f aca="false">EOMONTH(A260+1,0)</f>
        <v>45077</v>
      </c>
      <c r="C260" s="36" t="n">
        <f aca="false">IF(MOD(YEAR(A260),4)=0,366,365)</f>
        <v>365</v>
      </c>
      <c r="D260" s="37" t="n">
        <f aca="false">Inputs!$B$9-SUMIFS(Cash_Events!$G$6:$G$20,Cash_Events!$C$6:$C$20,"rAGMF",Cash_Events!$B$6:$B$20,"&lt;="&amp;A260)</f>
        <v>1500000</v>
      </c>
      <c r="E260" s="38" t="n">
        <f aca="false">VLOOKUP(A260,Inputs!$A$40:$B$48,2,TRUE())</f>
        <v>0.0521501</v>
      </c>
      <c r="F260" s="38" t="n">
        <f aca="false">E260+Inputs!$B$10</f>
        <v>0.1196501</v>
      </c>
      <c r="G260" s="37" t="n">
        <f aca="false">D260*F260/C260</f>
        <v>491.712739726027</v>
      </c>
      <c r="H260" s="37" t="n">
        <f aca="false">IF(AND(A260&gt;=Inputs!$B$13,OR(A260&lt;Inputs!$B$19,Inputs!$B$20=1)),D260*Inputs!$B$11/C260,0)</f>
        <v>0</v>
      </c>
      <c r="I260" s="37" t="n">
        <f aca="false">Inputs!$C$9-SUMIFS(Cash_Events!$G$6:$G$20,Cash_Events!$C$6:$C$20,"FHL",Cash_Events!$B$6:$B$20,"&lt;="&amp;A260)</f>
        <v>1500000</v>
      </c>
      <c r="J260" s="38" t="n">
        <f aca="false">VLOOKUP(A260,Inputs!$F$40:$G$48,2,TRUE())</f>
        <v>0.0522223</v>
      </c>
      <c r="K260" s="38" t="n">
        <f aca="false">J260+Inputs!$C$10</f>
        <v>0.1197223</v>
      </c>
      <c r="L260" s="37" t="n">
        <f aca="false">I260*K260/C260</f>
        <v>492.009452054795</v>
      </c>
      <c r="M260" s="37" t="n">
        <f aca="false">IF(AND(A260&gt;=Inputs!$C$13,OR(A260&lt;Inputs!$B$19,Inputs!$B$20=1)),I260*Inputs!$C$11/C260,0)</f>
        <v>0</v>
      </c>
    </row>
    <row r="261" customFormat="false" ht="15" hidden="false" customHeight="false" outlineLevel="0" collapsed="false">
      <c r="A261" s="35" t="n">
        <f aca="false">A260+1</f>
        <v>45068</v>
      </c>
      <c r="B261" s="35" t="n">
        <f aca="false">EOMONTH(A261+1,0)</f>
        <v>45077</v>
      </c>
      <c r="C261" s="36" t="n">
        <f aca="false">IF(MOD(YEAR(A261),4)=0,366,365)</f>
        <v>365</v>
      </c>
      <c r="D261" s="37" t="n">
        <f aca="false">Inputs!$B$9-SUMIFS(Cash_Events!$G$6:$G$20,Cash_Events!$C$6:$C$20,"rAGMF",Cash_Events!$B$6:$B$20,"&lt;="&amp;A261)</f>
        <v>1500000</v>
      </c>
      <c r="E261" s="38" t="n">
        <f aca="false">VLOOKUP(A261,Inputs!$A$40:$B$48,2,TRUE())</f>
        <v>0.0521501</v>
      </c>
      <c r="F261" s="38" t="n">
        <f aca="false">E261+Inputs!$B$10</f>
        <v>0.1196501</v>
      </c>
      <c r="G261" s="37" t="n">
        <f aca="false">D261*F261/C261</f>
        <v>491.712739726027</v>
      </c>
      <c r="H261" s="37" t="n">
        <f aca="false">IF(AND(A261&gt;=Inputs!$B$13,OR(A261&lt;Inputs!$B$19,Inputs!$B$20=1)),D261*Inputs!$B$11/C261,0)</f>
        <v>0</v>
      </c>
      <c r="I261" s="37" t="n">
        <f aca="false">Inputs!$C$9-SUMIFS(Cash_Events!$G$6:$G$20,Cash_Events!$C$6:$C$20,"FHL",Cash_Events!$B$6:$B$20,"&lt;="&amp;A261)</f>
        <v>1500000</v>
      </c>
      <c r="J261" s="38" t="n">
        <f aca="false">VLOOKUP(A261,Inputs!$F$40:$G$48,2,TRUE())</f>
        <v>0.0522223</v>
      </c>
      <c r="K261" s="38" t="n">
        <f aca="false">J261+Inputs!$C$10</f>
        <v>0.1197223</v>
      </c>
      <c r="L261" s="37" t="n">
        <f aca="false">I261*K261/C261</f>
        <v>492.009452054795</v>
      </c>
      <c r="M261" s="37" t="n">
        <f aca="false">IF(AND(A261&gt;=Inputs!$C$13,OR(A261&lt;Inputs!$B$19,Inputs!$B$20=1)),I261*Inputs!$C$11/C261,0)</f>
        <v>0</v>
      </c>
    </row>
    <row r="262" customFormat="false" ht="15" hidden="false" customHeight="false" outlineLevel="0" collapsed="false">
      <c r="A262" s="35" t="n">
        <f aca="false">A261+1</f>
        <v>45069</v>
      </c>
      <c r="B262" s="35" t="n">
        <f aca="false">EOMONTH(A262+1,0)</f>
        <v>45077</v>
      </c>
      <c r="C262" s="36" t="n">
        <f aca="false">IF(MOD(YEAR(A262),4)=0,366,365)</f>
        <v>365</v>
      </c>
      <c r="D262" s="37" t="n">
        <f aca="false">Inputs!$B$9-SUMIFS(Cash_Events!$G$6:$G$20,Cash_Events!$C$6:$C$20,"rAGMF",Cash_Events!$B$6:$B$20,"&lt;="&amp;A262)</f>
        <v>1500000</v>
      </c>
      <c r="E262" s="38" t="n">
        <f aca="false">VLOOKUP(A262,Inputs!$A$40:$B$48,2,TRUE())</f>
        <v>0.0521501</v>
      </c>
      <c r="F262" s="38" t="n">
        <f aca="false">E262+Inputs!$B$10</f>
        <v>0.1196501</v>
      </c>
      <c r="G262" s="37" t="n">
        <f aca="false">D262*F262/C262</f>
        <v>491.712739726027</v>
      </c>
      <c r="H262" s="37" t="n">
        <f aca="false">IF(AND(A262&gt;=Inputs!$B$13,OR(A262&lt;Inputs!$B$19,Inputs!$B$20=1)),D262*Inputs!$B$11/C262,0)</f>
        <v>0</v>
      </c>
      <c r="I262" s="37" t="n">
        <f aca="false">Inputs!$C$9-SUMIFS(Cash_Events!$G$6:$G$20,Cash_Events!$C$6:$C$20,"FHL",Cash_Events!$B$6:$B$20,"&lt;="&amp;A262)</f>
        <v>1500000</v>
      </c>
      <c r="J262" s="38" t="n">
        <f aca="false">VLOOKUP(A262,Inputs!$F$40:$G$48,2,TRUE())</f>
        <v>0.0522223</v>
      </c>
      <c r="K262" s="38" t="n">
        <f aca="false">J262+Inputs!$C$10</f>
        <v>0.1197223</v>
      </c>
      <c r="L262" s="37" t="n">
        <f aca="false">I262*K262/C262</f>
        <v>492.009452054795</v>
      </c>
      <c r="M262" s="37" t="n">
        <f aca="false">IF(AND(A262&gt;=Inputs!$C$13,OR(A262&lt;Inputs!$B$19,Inputs!$B$20=1)),I262*Inputs!$C$11/C262,0)</f>
        <v>0</v>
      </c>
    </row>
    <row r="263" customFormat="false" ht="15" hidden="false" customHeight="false" outlineLevel="0" collapsed="false">
      <c r="A263" s="35" t="n">
        <f aca="false">A262+1</f>
        <v>45070</v>
      </c>
      <c r="B263" s="35" t="n">
        <f aca="false">EOMONTH(A263+1,0)</f>
        <v>45077</v>
      </c>
      <c r="C263" s="36" t="n">
        <f aca="false">IF(MOD(YEAR(A263),4)=0,366,365)</f>
        <v>365</v>
      </c>
      <c r="D263" s="37" t="n">
        <f aca="false">Inputs!$B$9-SUMIFS(Cash_Events!$G$6:$G$20,Cash_Events!$C$6:$C$20,"rAGMF",Cash_Events!$B$6:$B$20,"&lt;="&amp;A263)</f>
        <v>1500000</v>
      </c>
      <c r="E263" s="38" t="n">
        <f aca="false">VLOOKUP(A263,Inputs!$A$40:$B$48,2,TRUE())</f>
        <v>0.0521501</v>
      </c>
      <c r="F263" s="38" t="n">
        <f aca="false">E263+Inputs!$B$10</f>
        <v>0.1196501</v>
      </c>
      <c r="G263" s="37" t="n">
        <f aca="false">D263*F263/C263</f>
        <v>491.712739726027</v>
      </c>
      <c r="H263" s="37" t="n">
        <f aca="false">IF(AND(A263&gt;=Inputs!$B$13,OR(A263&lt;Inputs!$B$19,Inputs!$B$20=1)),D263*Inputs!$B$11/C263,0)</f>
        <v>0</v>
      </c>
      <c r="I263" s="37" t="n">
        <f aca="false">Inputs!$C$9-SUMIFS(Cash_Events!$G$6:$G$20,Cash_Events!$C$6:$C$20,"FHL",Cash_Events!$B$6:$B$20,"&lt;="&amp;A263)</f>
        <v>1500000</v>
      </c>
      <c r="J263" s="38" t="n">
        <f aca="false">VLOOKUP(A263,Inputs!$F$40:$G$48,2,TRUE())</f>
        <v>0.0522223</v>
      </c>
      <c r="K263" s="38" t="n">
        <f aca="false">J263+Inputs!$C$10</f>
        <v>0.1197223</v>
      </c>
      <c r="L263" s="37" t="n">
        <f aca="false">I263*K263/C263</f>
        <v>492.009452054795</v>
      </c>
      <c r="M263" s="37" t="n">
        <f aca="false">IF(AND(A263&gt;=Inputs!$C$13,OR(A263&lt;Inputs!$B$19,Inputs!$B$20=1)),I263*Inputs!$C$11/C263,0)</f>
        <v>0</v>
      </c>
    </row>
    <row r="264" customFormat="false" ht="15" hidden="false" customHeight="false" outlineLevel="0" collapsed="false">
      <c r="A264" s="35" t="n">
        <f aca="false">A263+1</f>
        <v>45071</v>
      </c>
      <c r="B264" s="35" t="n">
        <f aca="false">EOMONTH(A264+1,0)</f>
        <v>45077</v>
      </c>
      <c r="C264" s="36" t="n">
        <f aca="false">IF(MOD(YEAR(A264),4)=0,366,365)</f>
        <v>365</v>
      </c>
      <c r="D264" s="37" t="n">
        <f aca="false">Inputs!$B$9-SUMIFS(Cash_Events!$G$6:$G$20,Cash_Events!$C$6:$C$20,"rAGMF",Cash_Events!$B$6:$B$20,"&lt;="&amp;A264)</f>
        <v>1500000</v>
      </c>
      <c r="E264" s="38" t="n">
        <f aca="false">VLOOKUP(A264,Inputs!$A$40:$B$48,2,TRUE())</f>
        <v>0.0521501</v>
      </c>
      <c r="F264" s="38" t="n">
        <f aca="false">E264+Inputs!$B$10</f>
        <v>0.1196501</v>
      </c>
      <c r="G264" s="37" t="n">
        <f aca="false">D264*F264/C264</f>
        <v>491.712739726027</v>
      </c>
      <c r="H264" s="37" t="n">
        <f aca="false">IF(AND(A264&gt;=Inputs!$B$13,OR(A264&lt;Inputs!$B$19,Inputs!$B$20=1)),D264*Inputs!$B$11/C264,0)</f>
        <v>0</v>
      </c>
      <c r="I264" s="37" t="n">
        <f aca="false">Inputs!$C$9-SUMIFS(Cash_Events!$G$6:$G$20,Cash_Events!$C$6:$C$20,"FHL",Cash_Events!$B$6:$B$20,"&lt;="&amp;A264)</f>
        <v>1500000</v>
      </c>
      <c r="J264" s="38" t="n">
        <f aca="false">VLOOKUP(A264,Inputs!$F$40:$G$48,2,TRUE())</f>
        <v>0.0522223</v>
      </c>
      <c r="K264" s="38" t="n">
        <f aca="false">J264+Inputs!$C$10</f>
        <v>0.1197223</v>
      </c>
      <c r="L264" s="37" t="n">
        <f aca="false">I264*K264/C264</f>
        <v>492.009452054795</v>
      </c>
      <c r="M264" s="37" t="n">
        <f aca="false">IF(AND(A264&gt;=Inputs!$C$13,OR(A264&lt;Inputs!$B$19,Inputs!$B$20=1)),I264*Inputs!$C$11/C264,0)</f>
        <v>0</v>
      </c>
    </row>
    <row r="265" customFormat="false" ht="15" hidden="false" customHeight="false" outlineLevel="0" collapsed="false">
      <c r="A265" s="35" t="n">
        <f aca="false">A264+1</f>
        <v>45072</v>
      </c>
      <c r="B265" s="35" t="n">
        <f aca="false">EOMONTH(A265+1,0)</f>
        <v>45077</v>
      </c>
      <c r="C265" s="36" t="n">
        <f aca="false">IF(MOD(YEAR(A265),4)=0,366,365)</f>
        <v>365</v>
      </c>
      <c r="D265" s="37" t="n">
        <f aca="false">Inputs!$B$9-SUMIFS(Cash_Events!$G$6:$G$20,Cash_Events!$C$6:$C$20,"rAGMF",Cash_Events!$B$6:$B$20,"&lt;="&amp;A265)</f>
        <v>1500000</v>
      </c>
      <c r="E265" s="38" t="n">
        <f aca="false">VLOOKUP(A265,Inputs!$A$40:$B$48,2,TRUE())</f>
        <v>0.0521501</v>
      </c>
      <c r="F265" s="38" t="n">
        <f aca="false">E265+Inputs!$B$10</f>
        <v>0.1196501</v>
      </c>
      <c r="G265" s="37" t="n">
        <f aca="false">D265*F265/C265</f>
        <v>491.712739726027</v>
      </c>
      <c r="H265" s="37" t="n">
        <f aca="false">IF(AND(A265&gt;=Inputs!$B$13,OR(A265&lt;Inputs!$B$19,Inputs!$B$20=1)),D265*Inputs!$B$11/C265,0)</f>
        <v>0</v>
      </c>
      <c r="I265" s="37" t="n">
        <f aca="false">Inputs!$C$9-SUMIFS(Cash_Events!$G$6:$G$20,Cash_Events!$C$6:$C$20,"FHL",Cash_Events!$B$6:$B$20,"&lt;="&amp;A265)</f>
        <v>1500000</v>
      </c>
      <c r="J265" s="38" t="n">
        <f aca="false">VLOOKUP(A265,Inputs!$F$40:$G$48,2,TRUE())</f>
        <v>0.0522223</v>
      </c>
      <c r="K265" s="38" t="n">
        <f aca="false">J265+Inputs!$C$10</f>
        <v>0.1197223</v>
      </c>
      <c r="L265" s="37" t="n">
        <f aca="false">I265*K265/C265</f>
        <v>492.009452054795</v>
      </c>
      <c r="M265" s="37" t="n">
        <f aca="false">IF(AND(A265&gt;=Inputs!$C$13,OR(A265&lt;Inputs!$B$19,Inputs!$B$20=1)),I265*Inputs!$C$11/C265,0)</f>
        <v>0</v>
      </c>
    </row>
    <row r="266" customFormat="false" ht="15" hidden="false" customHeight="false" outlineLevel="0" collapsed="false">
      <c r="A266" s="35" t="n">
        <f aca="false">A265+1</f>
        <v>45073</v>
      </c>
      <c r="B266" s="35" t="n">
        <f aca="false">EOMONTH(A266+1,0)</f>
        <v>45077</v>
      </c>
      <c r="C266" s="36" t="n">
        <f aca="false">IF(MOD(YEAR(A266),4)=0,366,365)</f>
        <v>365</v>
      </c>
      <c r="D266" s="37" t="n">
        <f aca="false">Inputs!$B$9-SUMIFS(Cash_Events!$G$6:$G$20,Cash_Events!$C$6:$C$20,"rAGMF",Cash_Events!$B$6:$B$20,"&lt;="&amp;A266)</f>
        <v>1500000</v>
      </c>
      <c r="E266" s="38" t="n">
        <f aca="false">VLOOKUP(A266,Inputs!$A$40:$B$48,2,TRUE())</f>
        <v>0.0521501</v>
      </c>
      <c r="F266" s="38" t="n">
        <f aca="false">E266+Inputs!$B$10</f>
        <v>0.1196501</v>
      </c>
      <c r="G266" s="37" t="n">
        <f aca="false">D266*F266/C266</f>
        <v>491.712739726027</v>
      </c>
      <c r="H266" s="37" t="n">
        <f aca="false">IF(AND(A266&gt;=Inputs!$B$13,OR(A266&lt;Inputs!$B$19,Inputs!$B$20=1)),D266*Inputs!$B$11/C266,0)</f>
        <v>0</v>
      </c>
      <c r="I266" s="37" t="n">
        <f aca="false">Inputs!$C$9-SUMIFS(Cash_Events!$G$6:$G$20,Cash_Events!$C$6:$C$20,"FHL",Cash_Events!$B$6:$B$20,"&lt;="&amp;A266)</f>
        <v>1500000</v>
      </c>
      <c r="J266" s="38" t="n">
        <f aca="false">VLOOKUP(A266,Inputs!$F$40:$G$48,2,TRUE())</f>
        <v>0.0522223</v>
      </c>
      <c r="K266" s="38" t="n">
        <f aca="false">J266+Inputs!$C$10</f>
        <v>0.1197223</v>
      </c>
      <c r="L266" s="37" t="n">
        <f aca="false">I266*K266/C266</f>
        <v>492.009452054795</v>
      </c>
      <c r="M266" s="37" t="n">
        <f aca="false">IF(AND(A266&gt;=Inputs!$C$13,OR(A266&lt;Inputs!$B$19,Inputs!$B$20=1)),I266*Inputs!$C$11/C266,0)</f>
        <v>0</v>
      </c>
    </row>
    <row r="267" customFormat="false" ht="15" hidden="false" customHeight="false" outlineLevel="0" collapsed="false">
      <c r="A267" s="35" t="n">
        <f aca="false">A266+1</f>
        <v>45074</v>
      </c>
      <c r="B267" s="35" t="n">
        <f aca="false">EOMONTH(A267+1,0)</f>
        <v>45077</v>
      </c>
      <c r="C267" s="36" t="n">
        <f aca="false">IF(MOD(YEAR(A267),4)=0,366,365)</f>
        <v>365</v>
      </c>
      <c r="D267" s="37" t="n">
        <f aca="false">Inputs!$B$9-SUMIFS(Cash_Events!$G$6:$G$20,Cash_Events!$C$6:$C$20,"rAGMF",Cash_Events!$B$6:$B$20,"&lt;="&amp;A267)</f>
        <v>1500000</v>
      </c>
      <c r="E267" s="38" t="n">
        <f aca="false">VLOOKUP(A267,Inputs!$A$40:$B$48,2,TRUE())</f>
        <v>0.0521501</v>
      </c>
      <c r="F267" s="38" t="n">
        <f aca="false">E267+Inputs!$B$10</f>
        <v>0.1196501</v>
      </c>
      <c r="G267" s="37" t="n">
        <f aca="false">D267*F267/C267</f>
        <v>491.712739726027</v>
      </c>
      <c r="H267" s="37" t="n">
        <f aca="false">IF(AND(A267&gt;=Inputs!$B$13,OR(A267&lt;Inputs!$B$19,Inputs!$B$20=1)),D267*Inputs!$B$11/C267,0)</f>
        <v>0</v>
      </c>
      <c r="I267" s="37" t="n">
        <f aca="false">Inputs!$C$9-SUMIFS(Cash_Events!$G$6:$G$20,Cash_Events!$C$6:$C$20,"FHL",Cash_Events!$B$6:$B$20,"&lt;="&amp;A267)</f>
        <v>1500000</v>
      </c>
      <c r="J267" s="38" t="n">
        <f aca="false">VLOOKUP(A267,Inputs!$F$40:$G$48,2,TRUE())</f>
        <v>0.0522223</v>
      </c>
      <c r="K267" s="38" t="n">
        <f aca="false">J267+Inputs!$C$10</f>
        <v>0.1197223</v>
      </c>
      <c r="L267" s="37" t="n">
        <f aca="false">I267*K267/C267</f>
        <v>492.009452054795</v>
      </c>
      <c r="M267" s="37" t="n">
        <f aca="false">IF(AND(A267&gt;=Inputs!$C$13,OR(A267&lt;Inputs!$B$19,Inputs!$B$20=1)),I267*Inputs!$C$11/C267,0)</f>
        <v>0</v>
      </c>
    </row>
    <row r="268" customFormat="false" ht="15" hidden="false" customHeight="false" outlineLevel="0" collapsed="false">
      <c r="A268" s="35" t="n">
        <f aca="false">A267+1</f>
        <v>45075</v>
      </c>
      <c r="B268" s="35" t="n">
        <f aca="false">EOMONTH(A268+1,0)</f>
        <v>45077</v>
      </c>
      <c r="C268" s="36" t="n">
        <f aca="false">IF(MOD(YEAR(A268),4)=0,366,365)</f>
        <v>365</v>
      </c>
      <c r="D268" s="37" t="n">
        <f aca="false">Inputs!$B$9-SUMIFS(Cash_Events!$G$6:$G$20,Cash_Events!$C$6:$C$20,"rAGMF",Cash_Events!$B$6:$B$20,"&lt;="&amp;A268)</f>
        <v>1500000</v>
      </c>
      <c r="E268" s="38" t="n">
        <f aca="false">VLOOKUP(A268,Inputs!$A$40:$B$48,2,TRUE())</f>
        <v>0.0521501</v>
      </c>
      <c r="F268" s="38" t="n">
        <f aca="false">E268+Inputs!$B$10</f>
        <v>0.1196501</v>
      </c>
      <c r="G268" s="37" t="n">
        <f aca="false">D268*F268/C268</f>
        <v>491.712739726027</v>
      </c>
      <c r="H268" s="37" t="n">
        <f aca="false">IF(AND(A268&gt;=Inputs!$B$13,OR(A268&lt;Inputs!$B$19,Inputs!$B$20=1)),D268*Inputs!$B$11/C268,0)</f>
        <v>0</v>
      </c>
      <c r="I268" s="37" t="n">
        <f aca="false">Inputs!$C$9-SUMIFS(Cash_Events!$G$6:$G$20,Cash_Events!$C$6:$C$20,"FHL",Cash_Events!$B$6:$B$20,"&lt;="&amp;A268)</f>
        <v>1500000</v>
      </c>
      <c r="J268" s="38" t="n">
        <f aca="false">VLOOKUP(A268,Inputs!$F$40:$G$48,2,TRUE())</f>
        <v>0.0522223</v>
      </c>
      <c r="K268" s="38" t="n">
        <f aca="false">J268+Inputs!$C$10</f>
        <v>0.1197223</v>
      </c>
      <c r="L268" s="37" t="n">
        <f aca="false">I268*K268/C268</f>
        <v>492.009452054795</v>
      </c>
      <c r="M268" s="37" t="n">
        <f aca="false">IF(AND(A268&gt;=Inputs!$C$13,OR(A268&lt;Inputs!$B$19,Inputs!$B$20=1)),I268*Inputs!$C$11/C268,0)</f>
        <v>0</v>
      </c>
    </row>
    <row r="269" customFormat="false" ht="15" hidden="false" customHeight="false" outlineLevel="0" collapsed="false">
      <c r="A269" s="35" t="n">
        <f aca="false">A268+1</f>
        <v>45076</v>
      </c>
      <c r="B269" s="35" t="n">
        <f aca="false">EOMONTH(A269+1,0)</f>
        <v>45077</v>
      </c>
      <c r="C269" s="36" t="n">
        <f aca="false">IF(MOD(YEAR(A269),4)=0,366,365)</f>
        <v>365</v>
      </c>
      <c r="D269" s="37" t="n">
        <f aca="false">Inputs!$B$9-SUMIFS(Cash_Events!$G$6:$G$20,Cash_Events!$C$6:$C$20,"rAGMF",Cash_Events!$B$6:$B$20,"&lt;="&amp;A269)</f>
        <v>1500000</v>
      </c>
      <c r="E269" s="38" t="n">
        <f aca="false">VLOOKUP(A269,Inputs!$A$40:$B$48,2,TRUE())</f>
        <v>0.0521501</v>
      </c>
      <c r="F269" s="38" t="n">
        <f aca="false">E269+Inputs!$B$10</f>
        <v>0.1196501</v>
      </c>
      <c r="G269" s="37" t="n">
        <f aca="false">D269*F269/C269</f>
        <v>491.712739726027</v>
      </c>
      <c r="H269" s="37" t="n">
        <f aca="false">IF(AND(A269&gt;=Inputs!$B$13,OR(A269&lt;Inputs!$B$19,Inputs!$B$20=1)),D269*Inputs!$B$11/C269,0)</f>
        <v>0</v>
      </c>
      <c r="I269" s="37" t="n">
        <f aca="false">Inputs!$C$9-SUMIFS(Cash_Events!$G$6:$G$20,Cash_Events!$C$6:$C$20,"FHL",Cash_Events!$B$6:$B$20,"&lt;="&amp;A269)</f>
        <v>1500000</v>
      </c>
      <c r="J269" s="38" t="n">
        <f aca="false">VLOOKUP(A269,Inputs!$F$40:$G$48,2,TRUE())</f>
        <v>0.0522223</v>
      </c>
      <c r="K269" s="38" t="n">
        <f aca="false">J269+Inputs!$C$10</f>
        <v>0.1197223</v>
      </c>
      <c r="L269" s="37" t="n">
        <f aca="false">I269*K269/C269</f>
        <v>492.009452054795</v>
      </c>
      <c r="M269" s="37" t="n">
        <f aca="false">IF(AND(A269&gt;=Inputs!$C$13,OR(A269&lt;Inputs!$B$19,Inputs!$B$20=1)),I269*Inputs!$C$11/C269,0)</f>
        <v>0</v>
      </c>
    </row>
    <row r="270" customFormat="false" ht="15" hidden="false" customHeight="false" outlineLevel="0" collapsed="false">
      <c r="A270" s="35" t="n">
        <f aca="false">A269+1</f>
        <v>45077</v>
      </c>
      <c r="B270" s="35" t="n">
        <f aca="false">EOMONTH(A270+1,0)</f>
        <v>45107</v>
      </c>
      <c r="C270" s="36" t="n">
        <f aca="false">IF(MOD(YEAR(A270),4)=0,366,365)</f>
        <v>365</v>
      </c>
      <c r="D270" s="37" t="n">
        <f aca="false">Inputs!$B$9-SUMIFS(Cash_Events!$G$6:$G$20,Cash_Events!$C$6:$C$20,"rAGMF",Cash_Events!$B$6:$B$20,"&lt;="&amp;A270)</f>
        <v>1500000</v>
      </c>
      <c r="E270" s="38" t="n">
        <f aca="false">VLOOKUP(A270,Inputs!$A$40:$B$48,2,TRUE())</f>
        <v>0.0521501</v>
      </c>
      <c r="F270" s="38" t="n">
        <f aca="false">E270+Inputs!$B$10</f>
        <v>0.1196501</v>
      </c>
      <c r="G270" s="37" t="n">
        <f aca="false">D270*F270/C270</f>
        <v>491.712739726027</v>
      </c>
      <c r="H270" s="37" t="n">
        <f aca="false">IF(AND(A270&gt;=Inputs!$B$13,OR(A270&lt;Inputs!$B$19,Inputs!$B$20=1)),D270*Inputs!$B$11/C270,0)</f>
        <v>0</v>
      </c>
      <c r="I270" s="37" t="n">
        <f aca="false">Inputs!$C$9-SUMIFS(Cash_Events!$G$6:$G$20,Cash_Events!$C$6:$C$20,"FHL",Cash_Events!$B$6:$B$20,"&lt;="&amp;A270)</f>
        <v>1500000</v>
      </c>
      <c r="J270" s="38" t="n">
        <f aca="false">VLOOKUP(A270,Inputs!$F$40:$G$48,2,TRUE())</f>
        <v>0.0522223</v>
      </c>
      <c r="K270" s="38" t="n">
        <f aca="false">J270+Inputs!$C$10</f>
        <v>0.1197223</v>
      </c>
      <c r="L270" s="37" t="n">
        <f aca="false">I270*K270/C270</f>
        <v>492.009452054795</v>
      </c>
      <c r="M270" s="37" t="n">
        <f aca="false">IF(AND(A270&gt;=Inputs!$C$13,OR(A270&lt;Inputs!$B$19,Inputs!$B$20=1)),I270*Inputs!$C$11/C270,0)</f>
        <v>0</v>
      </c>
    </row>
    <row r="271" customFormat="false" ht="15" hidden="false" customHeight="false" outlineLevel="0" collapsed="false">
      <c r="A271" s="35" t="n">
        <f aca="false">A270+1</f>
        <v>45078</v>
      </c>
      <c r="B271" s="35" t="n">
        <f aca="false">EOMONTH(A271+1,0)</f>
        <v>45107</v>
      </c>
      <c r="C271" s="36" t="n">
        <f aca="false">IF(MOD(YEAR(A271),4)=0,366,365)</f>
        <v>365</v>
      </c>
      <c r="D271" s="37" t="n">
        <f aca="false">Inputs!$B$9-SUMIFS(Cash_Events!$G$6:$G$20,Cash_Events!$C$6:$C$20,"rAGMF",Cash_Events!$B$6:$B$20,"&lt;="&amp;A271)</f>
        <v>1500000</v>
      </c>
      <c r="E271" s="38" t="n">
        <f aca="false">VLOOKUP(A271,Inputs!$A$40:$B$48,2,TRUE())</f>
        <v>0.0521501</v>
      </c>
      <c r="F271" s="38" t="n">
        <f aca="false">E271+Inputs!$B$10</f>
        <v>0.1196501</v>
      </c>
      <c r="G271" s="37" t="n">
        <f aca="false">D271*F271/C271</f>
        <v>491.712739726027</v>
      </c>
      <c r="H271" s="37" t="n">
        <f aca="false">IF(AND(A271&gt;=Inputs!$B$13,OR(A271&lt;Inputs!$B$19,Inputs!$B$20=1)),D271*Inputs!$B$11/C271,0)</f>
        <v>0</v>
      </c>
      <c r="I271" s="37" t="n">
        <f aca="false">Inputs!$C$9-SUMIFS(Cash_Events!$G$6:$G$20,Cash_Events!$C$6:$C$20,"FHL",Cash_Events!$B$6:$B$20,"&lt;="&amp;A271)</f>
        <v>1500000</v>
      </c>
      <c r="J271" s="38" t="n">
        <f aca="false">VLOOKUP(A271,Inputs!$F$40:$G$48,2,TRUE())</f>
        <v>0.0522223</v>
      </c>
      <c r="K271" s="38" t="n">
        <f aca="false">J271+Inputs!$C$10</f>
        <v>0.1197223</v>
      </c>
      <c r="L271" s="37" t="n">
        <f aca="false">I271*K271/C271</f>
        <v>492.009452054795</v>
      </c>
      <c r="M271" s="37" t="n">
        <f aca="false">IF(AND(A271&gt;=Inputs!$C$13,OR(A271&lt;Inputs!$B$19,Inputs!$B$20=1)),I271*Inputs!$C$11/C271,0)</f>
        <v>0</v>
      </c>
    </row>
    <row r="272" customFormat="false" ht="15" hidden="false" customHeight="false" outlineLevel="0" collapsed="false">
      <c r="A272" s="35" t="n">
        <f aca="false">A271+1</f>
        <v>45079</v>
      </c>
      <c r="B272" s="35" t="n">
        <f aca="false">EOMONTH(A272+1,0)</f>
        <v>45107</v>
      </c>
      <c r="C272" s="36" t="n">
        <f aca="false">IF(MOD(YEAR(A272),4)=0,366,365)</f>
        <v>365</v>
      </c>
      <c r="D272" s="37" t="n">
        <f aca="false">Inputs!$B$9-SUMIFS(Cash_Events!$G$6:$G$20,Cash_Events!$C$6:$C$20,"rAGMF",Cash_Events!$B$6:$B$20,"&lt;="&amp;A272)</f>
        <v>1500000</v>
      </c>
      <c r="E272" s="38" t="n">
        <f aca="false">VLOOKUP(A272,Inputs!$A$40:$B$48,2,TRUE())</f>
        <v>0.0521501</v>
      </c>
      <c r="F272" s="38" t="n">
        <f aca="false">E272+Inputs!$B$10</f>
        <v>0.1196501</v>
      </c>
      <c r="G272" s="37" t="n">
        <f aca="false">D272*F272/C272</f>
        <v>491.712739726027</v>
      </c>
      <c r="H272" s="37" t="n">
        <f aca="false">IF(AND(A272&gt;=Inputs!$B$13,OR(A272&lt;Inputs!$B$19,Inputs!$B$20=1)),D272*Inputs!$B$11/C272,0)</f>
        <v>0</v>
      </c>
      <c r="I272" s="37" t="n">
        <f aca="false">Inputs!$C$9-SUMIFS(Cash_Events!$G$6:$G$20,Cash_Events!$C$6:$C$20,"FHL",Cash_Events!$B$6:$B$20,"&lt;="&amp;A272)</f>
        <v>1500000</v>
      </c>
      <c r="J272" s="38" t="n">
        <f aca="false">VLOOKUP(A272,Inputs!$F$40:$G$48,2,TRUE())</f>
        <v>0.0522223</v>
      </c>
      <c r="K272" s="38" t="n">
        <f aca="false">J272+Inputs!$C$10</f>
        <v>0.1197223</v>
      </c>
      <c r="L272" s="37" t="n">
        <f aca="false">I272*K272/C272</f>
        <v>492.009452054795</v>
      </c>
      <c r="M272" s="37" t="n">
        <f aca="false">IF(AND(A272&gt;=Inputs!$C$13,OR(A272&lt;Inputs!$B$19,Inputs!$B$20=1)),I272*Inputs!$C$11/C272,0)</f>
        <v>0</v>
      </c>
    </row>
    <row r="273" customFormat="false" ht="15" hidden="false" customHeight="false" outlineLevel="0" collapsed="false">
      <c r="A273" s="35" t="n">
        <f aca="false">A272+1</f>
        <v>45080</v>
      </c>
      <c r="B273" s="35" t="n">
        <f aca="false">EOMONTH(A273+1,0)</f>
        <v>45107</v>
      </c>
      <c r="C273" s="36" t="n">
        <f aca="false">IF(MOD(YEAR(A273),4)=0,366,365)</f>
        <v>365</v>
      </c>
      <c r="D273" s="37" t="n">
        <f aca="false">Inputs!$B$9-SUMIFS(Cash_Events!$G$6:$G$20,Cash_Events!$C$6:$C$20,"rAGMF",Cash_Events!$B$6:$B$20,"&lt;="&amp;A273)</f>
        <v>1500000</v>
      </c>
      <c r="E273" s="38" t="n">
        <f aca="false">VLOOKUP(A273,Inputs!$A$40:$B$48,2,TRUE())</f>
        <v>0.0521501</v>
      </c>
      <c r="F273" s="38" t="n">
        <f aca="false">E273+Inputs!$B$10</f>
        <v>0.1196501</v>
      </c>
      <c r="G273" s="37" t="n">
        <f aca="false">D273*F273/C273</f>
        <v>491.712739726027</v>
      </c>
      <c r="H273" s="37" t="n">
        <f aca="false">IF(AND(A273&gt;=Inputs!$B$13,OR(A273&lt;Inputs!$B$19,Inputs!$B$20=1)),D273*Inputs!$B$11/C273,0)</f>
        <v>0</v>
      </c>
      <c r="I273" s="37" t="n">
        <f aca="false">Inputs!$C$9-SUMIFS(Cash_Events!$G$6:$G$20,Cash_Events!$C$6:$C$20,"FHL",Cash_Events!$B$6:$B$20,"&lt;="&amp;A273)</f>
        <v>1500000</v>
      </c>
      <c r="J273" s="38" t="n">
        <f aca="false">VLOOKUP(A273,Inputs!$F$40:$G$48,2,TRUE())</f>
        <v>0.0522223</v>
      </c>
      <c r="K273" s="38" t="n">
        <f aca="false">J273+Inputs!$C$10</f>
        <v>0.1197223</v>
      </c>
      <c r="L273" s="37" t="n">
        <f aca="false">I273*K273/C273</f>
        <v>492.009452054795</v>
      </c>
      <c r="M273" s="37" t="n">
        <f aca="false">IF(AND(A273&gt;=Inputs!$C$13,OR(A273&lt;Inputs!$B$19,Inputs!$B$20=1)),I273*Inputs!$C$11/C273,0)</f>
        <v>0</v>
      </c>
    </row>
    <row r="274" customFormat="false" ht="15" hidden="false" customHeight="false" outlineLevel="0" collapsed="false">
      <c r="A274" s="35" t="n">
        <f aca="false">A273+1</f>
        <v>45081</v>
      </c>
      <c r="B274" s="35" t="n">
        <f aca="false">EOMONTH(A274+1,0)</f>
        <v>45107</v>
      </c>
      <c r="C274" s="36" t="n">
        <f aca="false">IF(MOD(YEAR(A274),4)=0,366,365)</f>
        <v>365</v>
      </c>
      <c r="D274" s="37" t="n">
        <f aca="false">Inputs!$B$9-SUMIFS(Cash_Events!$G$6:$G$20,Cash_Events!$C$6:$C$20,"rAGMF",Cash_Events!$B$6:$B$20,"&lt;="&amp;A274)</f>
        <v>1500000</v>
      </c>
      <c r="E274" s="38" t="n">
        <f aca="false">VLOOKUP(A274,Inputs!$A$40:$B$48,2,TRUE())</f>
        <v>0.0521501</v>
      </c>
      <c r="F274" s="38" t="n">
        <f aca="false">E274+Inputs!$B$10</f>
        <v>0.1196501</v>
      </c>
      <c r="G274" s="37" t="n">
        <f aca="false">D274*F274/C274</f>
        <v>491.712739726027</v>
      </c>
      <c r="H274" s="37" t="n">
        <f aca="false">IF(AND(A274&gt;=Inputs!$B$13,OR(A274&lt;Inputs!$B$19,Inputs!$B$20=1)),D274*Inputs!$B$11/C274,0)</f>
        <v>0</v>
      </c>
      <c r="I274" s="37" t="n">
        <f aca="false">Inputs!$C$9-SUMIFS(Cash_Events!$G$6:$G$20,Cash_Events!$C$6:$C$20,"FHL",Cash_Events!$B$6:$B$20,"&lt;="&amp;A274)</f>
        <v>1500000</v>
      </c>
      <c r="J274" s="38" t="n">
        <f aca="false">VLOOKUP(A274,Inputs!$F$40:$G$48,2,TRUE())</f>
        <v>0.0522223</v>
      </c>
      <c r="K274" s="38" t="n">
        <f aca="false">J274+Inputs!$C$10</f>
        <v>0.1197223</v>
      </c>
      <c r="L274" s="37" t="n">
        <f aca="false">I274*K274/C274</f>
        <v>492.009452054795</v>
      </c>
      <c r="M274" s="37" t="n">
        <f aca="false">IF(AND(A274&gt;=Inputs!$C$13,OR(A274&lt;Inputs!$B$19,Inputs!$B$20=1)),I274*Inputs!$C$11/C274,0)</f>
        <v>0</v>
      </c>
    </row>
    <row r="275" customFormat="false" ht="15" hidden="false" customHeight="false" outlineLevel="0" collapsed="false">
      <c r="A275" s="35" t="n">
        <f aca="false">A274+1</f>
        <v>45082</v>
      </c>
      <c r="B275" s="35" t="n">
        <f aca="false">EOMONTH(A275+1,0)</f>
        <v>45107</v>
      </c>
      <c r="C275" s="36" t="n">
        <f aca="false">IF(MOD(YEAR(A275),4)=0,366,365)</f>
        <v>365</v>
      </c>
      <c r="D275" s="37" t="n">
        <f aca="false">Inputs!$B$9-SUMIFS(Cash_Events!$G$6:$G$20,Cash_Events!$C$6:$C$20,"rAGMF",Cash_Events!$B$6:$B$20,"&lt;="&amp;A275)</f>
        <v>1500000</v>
      </c>
      <c r="E275" s="38" t="n">
        <f aca="false">VLOOKUP(A275,Inputs!$A$40:$B$48,2,TRUE())</f>
        <v>0.0521501</v>
      </c>
      <c r="F275" s="38" t="n">
        <f aca="false">E275+Inputs!$B$10</f>
        <v>0.1196501</v>
      </c>
      <c r="G275" s="37" t="n">
        <f aca="false">D275*F275/C275</f>
        <v>491.712739726027</v>
      </c>
      <c r="H275" s="37" t="n">
        <f aca="false">IF(AND(A275&gt;=Inputs!$B$13,OR(A275&lt;Inputs!$B$19,Inputs!$B$20=1)),D275*Inputs!$B$11/C275,0)</f>
        <v>0</v>
      </c>
      <c r="I275" s="37" t="n">
        <f aca="false">Inputs!$C$9-SUMIFS(Cash_Events!$G$6:$G$20,Cash_Events!$C$6:$C$20,"FHL",Cash_Events!$B$6:$B$20,"&lt;="&amp;A275)</f>
        <v>1500000</v>
      </c>
      <c r="J275" s="38" t="n">
        <f aca="false">VLOOKUP(A275,Inputs!$F$40:$G$48,2,TRUE())</f>
        <v>0.0522223</v>
      </c>
      <c r="K275" s="38" t="n">
        <f aca="false">J275+Inputs!$C$10</f>
        <v>0.1197223</v>
      </c>
      <c r="L275" s="37" t="n">
        <f aca="false">I275*K275/C275</f>
        <v>492.009452054795</v>
      </c>
      <c r="M275" s="37" t="n">
        <f aca="false">IF(AND(A275&gt;=Inputs!$C$13,OR(A275&lt;Inputs!$B$19,Inputs!$B$20=1)),I275*Inputs!$C$11/C275,0)</f>
        <v>0</v>
      </c>
    </row>
    <row r="276" customFormat="false" ht="15" hidden="false" customHeight="false" outlineLevel="0" collapsed="false">
      <c r="A276" s="35" t="n">
        <f aca="false">A275+1</f>
        <v>45083</v>
      </c>
      <c r="B276" s="35" t="n">
        <f aca="false">EOMONTH(A276+1,0)</f>
        <v>45107</v>
      </c>
      <c r="C276" s="36" t="n">
        <f aca="false">IF(MOD(YEAR(A276),4)=0,366,365)</f>
        <v>365</v>
      </c>
      <c r="D276" s="37" t="n">
        <f aca="false">Inputs!$B$9-SUMIFS(Cash_Events!$G$6:$G$20,Cash_Events!$C$6:$C$20,"rAGMF",Cash_Events!$B$6:$B$20,"&lt;="&amp;A276)</f>
        <v>1500000</v>
      </c>
      <c r="E276" s="38" t="n">
        <f aca="false">VLOOKUP(A276,Inputs!$A$40:$B$48,2,TRUE())</f>
        <v>0.0521501</v>
      </c>
      <c r="F276" s="38" t="n">
        <f aca="false">E276+Inputs!$B$10</f>
        <v>0.1196501</v>
      </c>
      <c r="G276" s="37" t="n">
        <f aca="false">D276*F276/C276</f>
        <v>491.712739726027</v>
      </c>
      <c r="H276" s="37" t="n">
        <f aca="false">IF(AND(A276&gt;=Inputs!$B$13,OR(A276&lt;Inputs!$B$19,Inputs!$B$20=1)),D276*Inputs!$B$11/C276,0)</f>
        <v>0</v>
      </c>
      <c r="I276" s="37" t="n">
        <f aca="false">Inputs!$C$9-SUMIFS(Cash_Events!$G$6:$G$20,Cash_Events!$C$6:$C$20,"FHL",Cash_Events!$B$6:$B$20,"&lt;="&amp;A276)</f>
        <v>1500000</v>
      </c>
      <c r="J276" s="38" t="n">
        <f aca="false">VLOOKUP(A276,Inputs!$F$40:$G$48,2,TRUE())</f>
        <v>0.0522223</v>
      </c>
      <c r="K276" s="38" t="n">
        <f aca="false">J276+Inputs!$C$10</f>
        <v>0.1197223</v>
      </c>
      <c r="L276" s="37" t="n">
        <f aca="false">I276*K276/C276</f>
        <v>492.009452054795</v>
      </c>
      <c r="M276" s="37" t="n">
        <f aca="false">IF(AND(A276&gt;=Inputs!$C$13,OR(A276&lt;Inputs!$B$19,Inputs!$B$20=1)),I276*Inputs!$C$11/C276,0)</f>
        <v>0</v>
      </c>
    </row>
    <row r="277" customFormat="false" ht="15" hidden="false" customHeight="false" outlineLevel="0" collapsed="false">
      <c r="A277" s="35" t="n">
        <f aca="false">A276+1</f>
        <v>45084</v>
      </c>
      <c r="B277" s="35" t="n">
        <f aca="false">EOMONTH(A277+1,0)</f>
        <v>45107</v>
      </c>
      <c r="C277" s="36" t="n">
        <f aca="false">IF(MOD(YEAR(A277),4)=0,366,365)</f>
        <v>365</v>
      </c>
      <c r="D277" s="37" t="n">
        <f aca="false">Inputs!$B$9-SUMIFS(Cash_Events!$G$6:$G$20,Cash_Events!$C$6:$C$20,"rAGMF",Cash_Events!$B$6:$B$20,"&lt;="&amp;A277)</f>
        <v>1500000</v>
      </c>
      <c r="E277" s="38" t="n">
        <f aca="false">VLOOKUP(A277,Inputs!$A$40:$B$48,2,TRUE())</f>
        <v>0.0521501</v>
      </c>
      <c r="F277" s="38" t="n">
        <f aca="false">E277+Inputs!$B$10</f>
        <v>0.1196501</v>
      </c>
      <c r="G277" s="37" t="n">
        <f aca="false">D277*F277/C277</f>
        <v>491.712739726027</v>
      </c>
      <c r="H277" s="37" t="n">
        <f aca="false">IF(AND(A277&gt;=Inputs!$B$13,OR(A277&lt;Inputs!$B$19,Inputs!$B$20=1)),D277*Inputs!$B$11/C277,0)</f>
        <v>0</v>
      </c>
      <c r="I277" s="37" t="n">
        <f aca="false">Inputs!$C$9-SUMIFS(Cash_Events!$G$6:$G$20,Cash_Events!$C$6:$C$20,"FHL",Cash_Events!$B$6:$B$20,"&lt;="&amp;A277)</f>
        <v>1500000</v>
      </c>
      <c r="J277" s="38" t="n">
        <f aca="false">VLOOKUP(A277,Inputs!$F$40:$G$48,2,TRUE())</f>
        <v>0.0522223</v>
      </c>
      <c r="K277" s="38" t="n">
        <f aca="false">J277+Inputs!$C$10</f>
        <v>0.1197223</v>
      </c>
      <c r="L277" s="37" t="n">
        <f aca="false">I277*K277/C277</f>
        <v>492.009452054795</v>
      </c>
      <c r="M277" s="37" t="n">
        <f aca="false">IF(AND(A277&gt;=Inputs!$C$13,OR(A277&lt;Inputs!$B$19,Inputs!$B$20=1)),I277*Inputs!$C$11/C277,0)</f>
        <v>0</v>
      </c>
    </row>
    <row r="278" customFormat="false" ht="15" hidden="false" customHeight="false" outlineLevel="0" collapsed="false">
      <c r="A278" s="35" t="n">
        <f aca="false">A277+1</f>
        <v>45085</v>
      </c>
      <c r="B278" s="35" t="n">
        <f aca="false">EOMONTH(A278+1,0)</f>
        <v>45107</v>
      </c>
      <c r="C278" s="36" t="n">
        <f aca="false">IF(MOD(YEAR(A278),4)=0,366,365)</f>
        <v>365</v>
      </c>
      <c r="D278" s="37" t="n">
        <f aca="false">Inputs!$B$9-SUMIFS(Cash_Events!$G$6:$G$20,Cash_Events!$C$6:$C$20,"rAGMF",Cash_Events!$B$6:$B$20,"&lt;="&amp;A278)</f>
        <v>1500000</v>
      </c>
      <c r="E278" s="38" t="n">
        <f aca="false">VLOOKUP(A278,Inputs!$A$40:$B$48,2,TRUE())</f>
        <v>0.0521501</v>
      </c>
      <c r="F278" s="38" t="n">
        <f aca="false">E278+Inputs!$B$10</f>
        <v>0.1196501</v>
      </c>
      <c r="G278" s="37" t="n">
        <f aca="false">D278*F278/C278</f>
        <v>491.712739726027</v>
      </c>
      <c r="H278" s="37" t="n">
        <f aca="false">IF(AND(A278&gt;=Inputs!$B$13,OR(A278&lt;Inputs!$B$19,Inputs!$B$20=1)),D278*Inputs!$B$11/C278,0)</f>
        <v>0</v>
      </c>
      <c r="I278" s="37" t="n">
        <f aca="false">Inputs!$C$9-SUMIFS(Cash_Events!$G$6:$G$20,Cash_Events!$C$6:$C$20,"FHL",Cash_Events!$B$6:$B$20,"&lt;="&amp;A278)</f>
        <v>1500000</v>
      </c>
      <c r="J278" s="38" t="n">
        <f aca="false">VLOOKUP(A278,Inputs!$F$40:$G$48,2,TRUE())</f>
        <v>0.0522223</v>
      </c>
      <c r="K278" s="38" t="n">
        <f aca="false">J278+Inputs!$C$10</f>
        <v>0.1197223</v>
      </c>
      <c r="L278" s="37" t="n">
        <f aca="false">I278*K278/C278</f>
        <v>492.009452054795</v>
      </c>
      <c r="M278" s="37" t="n">
        <f aca="false">IF(AND(A278&gt;=Inputs!$C$13,OR(A278&lt;Inputs!$B$19,Inputs!$B$20=1)),I278*Inputs!$C$11/C278,0)</f>
        <v>0</v>
      </c>
    </row>
    <row r="279" customFormat="false" ht="15" hidden="false" customHeight="false" outlineLevel="0" collapsed="false">
      <c r="A279" s="35" t="n">
        <f aca="false">A278+1</f>
        <v>45086</v>
      </c>
      <c r="B279" s="35" t="n">
        <f aca="false">EOMONTH(A279+1,0)</f>
        <v>45107</v>
      </c>
      <c r="C279" s="36" t="n">
        <f aca="false">IF(MOD(YEAR(A279),4)=0,366,365)</f>
        <v>365</v>
      </c>
      <c r="D279" s="37" t="n">
        <f aca="false">Inputs!$B$9-SUMIFS(Cash_Events!$G$6:$G$20,Cash_Events!$C$6:$C$20,"rAGMF",Cash_Events!$B$6:$B$20,"&lt;="&amp;A279)</f>
        <v>1500000</v>
      </c>
      <c r="E279" s="38" t="n">
        <f aca="false">VLOOKUP(A279,Inputs!$A$40:$B$48,2,TRUE())</f>
        <v>0.0521501</v>
      </c>
      <c r="F279" s="38" t="n">
        <f aca="false">E279+Inputs!$B$10</f>
        <v>0.1196501</v>
      </c>
      <c r="G279" s="37" t="n">
        <f aca="false">D279*F279/C279</f>
        <v>491.712739726027</v>
      </c>
      <c r="H279" s="37" t="n">
        <f aca="false">IF(AND(A279&gt;=Inputs!$B$13,OR(A279&lt;Inputs!$B$19,Inputs!$B$20=1)),D279*Inputs!$B$11/C279,0)</f>
        <v>0</v>
      </c>
      <c r="I279" s="37" t="n">
        <f aca="false">Inputs!$C$9-SUMIFS(Cash_Events!$G$6:$G$20,Cash_Events!$C$6:$C$20,"FHL",Cash_Events!$B$6:$B$20,"&lt;="&amp;A279)</f>
        <v>1500000</v>
      </c>
      <c r="J279" s="38" t="n">
        <f aca="false">VLOOKUP(A279,Inputs!$F$40:$G$48,2,TRUE())</f>
        <v>0.0522223</v>
      </c>
      <c r="K279" s="38" t="n">
        <f aca="false">J279+Inputs!$C$10</f>
        <v>0.1197223</v>
      </c>
      <c r="L279" s="37" t="n">
        <f aca="false">I279*K279/C279</f>
        <v>492.009452054795</v>
      </c>
      <c r="M279" s="37" t="n">
        <f aca="false">IF(AND(A279&gt;=Inputs!$C$13,OR(A279&lt;Inputs!$B$19,Inputs!$B$20=1)),I279*Inputs!$C$11/C279,0)</f>
        <v>0</v>
      </c>
    </row>
    <row r="280" customFormat="false" ht="15" hidden="false" customHeight="false" outlineLevel="0" collapsed="false">
      <c r="A280" s="35" t="n">
        <f aca="false">A279+1</f>
        <v>45087</v>
      </c>
      <c r="B280" s="35" t="n">
        <f aca="false">EOMONTH(A280+1,0)</f>
        <v>45107</v>
      </c>
      <c r="C280" s="36" t="n">
        <f aca="false">IF(MOD(YEAR(A280),4)=0,366,365)</f>
        <v>365</v>
      </c>
      <c r="D280" s="37" t="n">
        <f aca="false">Inputs!$B$9-SUMIFS(Cash_Events!$G$6:$G$20,Cash_Events!$C$6:$C$20,"rAGMF",Cash_Events!$B$6:$B$20,"&lt;="&amp;A280)</f>
        <v>1500000</v>
      </c>
      <c r="E280" s="38" t="n">
        <f aca="false">VLOOKUP(A280,Inputs!$A$40:$B$48,2,TRUE())</f>
        <v>0.0521501</v>
      </c>
      <c r="F280" s="38" t="n">
        <f aca="false">E280+Inputs!$B$10</f>
        <v>0.1196501</v>
      </c>
      <c r="G280" s="37" t="n">
        <f aca="false">D280*F280/C280</f>
        <v>491.712739726027</v>
      </c>
      <c r="H280" s="37" t="n">
        <f aca="false">IF(AND(A280&gt;=Inputs!$B$13,OR(A280&lt;Inputs!$B$19,Inputs!$B$20=1)),D280*Inputs!$B$11/C280,0)</f>
        <v>0</v>
      </c>
      <c r="I280" s="37" t="n">
        <f aca="false">Inputs!$C$9-SUMIFS(Cash_Events!$G$6:$G$20,Cash_Events!$C$6:$C$20,"FHL",Cash_Events!$B$6:$B$20,"&lt;="&amp;A280)</f>
        <v>1500000</v>
      </c>
      <c r="J280" s="38" t="n">
        <f aca="false">VLOOKUP(A280,Inputs!$F$40:$G$48,2,TRUE())</f>
        <v>0.0522223</v>
      </c>
      <c r="K280" s="38" t="n">
        <f aca="false">J280+Inputs!$C$10</f>
        <v>0.1197223</v>
      </c>
      <c r="L280" s="37" t="n">
        <f aca="false">I280*K280/C280</f>
        <v>492.009452054795</v>
      </c>
      <c r="M280" s="37" t="n">
        <f aca="false">IF(AND(A280&gt;=Inputs!$C$13,OR(A280&lt;Inputs!$B$19,Inputs!$B$20=1)),I280*Inputs!$C$11/C280,0)</f>
        <v>0</v>
      </c>
    </row>
    <row r="281" customFormat="false" ht="15" hidden="false" customHeight="false" outlineLevel="0" collapsed="false">
      <c r="A281" s="35" t="n">
        <f aca="false">A280+1</f>
        <v>45088</v>
      </c>
      <c r="B281" s="35" t="n">
        <f aca="false">EOMONTH(A281+1,0)</f>
        <v>45107</v>
      </c>
      <c r="C281" s="36" t="n">
        <f aca="false">IF(MOD(YEAR(A281),4)=0,366,365)</f>
        <v>365</v>
      </c>
      <c r="D281" s="37" t="n">
        <f aca="false">Inputs!$B$9-SUMIFS(Cash_Events!$G$6:$G$20,Cash_Events!$C$6:$C$20,"rAGMF",Cash_Events!$B$6:$B$20,"&lt;="&amp;A281)</f>
        <v>1500000</v>
      </c>
      <c r="E281" s="38" t="n">
        <f aca="false">VLOOKUP(A281,Inputs!$A$40:$B$48,2,TRUE())</f>
        <v>0.0521501</v>
      </c>
      <c r="F281" s="38" t="n">
        <f aca="false">E281+Inputs!$B$10</f>
        <v>0.1196501</v>
      </c>
      <c r="G281" s="37" t="n">
        <f aca="false">D281*F281/C281</f>
        <v>491.712739726027</v>
      </c>
      <c r="H281" s="37" t="n">
        <f aca="false">IF(AND(A281&gt;=Inputs!$B$13,OR(A281&lt;Inputs!$B$19,Inputs!$B$20=1)),D281*Inputs!$B$11/C281,0)</f>
        <v>0</v>
      </c>
      <c r="I281" s="37" t="n">
        <f aca="false">Inputs!$C$9-SUMIFS(Cash_Events!$G$6:$G$20,Cash_Events!$C$6:$C$20,"FHL",Cash_Events!$B$6:$B$20,"&lt;="&amp;A281)</f>
        <v>1500000</v>
      </c>
      <c r="J281" s="38" t="n">
        <f aca="false">VLOOKUP(A281,Inputs!$F$40:$G$48,2,TRUE())</f>
        <v>0.0522223</v>
      </c>
      <c r="K281" s="38" t="n">
        <f aca="false">J281+Inputs!$C$10</f>
        <v>0.1197223</v>
      </c>
      <c r="L281" s="37" t="n">
        <f aca="false">I281*K281/C281</f>
        <v>492.009452054795</v>
      </c>
      <c r="M281" s="37" t="n">
        <f aca="false">IF(AND(A281&gt;=Inputs!$C$13,OR(A281&lt;Inputs!$B$19,Inputs!$B$20=1)),I281*Inputs!$C$11/C281,0)</f>
        <v>0</v>
      </c>
    </row>
    <row r="282" customFormat="false" ht="15" hidden="false" customHeight="false" outlineLevel="0" collapsed="false">
      <c r="A282" s="35" t="n">
        <f aca="false">A281+1</f>
        <v>45089</v>
      </c>
      <c r="B282" s="35" t="n">
        <f aca="false">EOMONTH(A282+1,0)</f>
        <v>45107</v>
      </c>
      <c r="C282" s="36" t="n">
        <f aca="false">IF(MOD(YEAR(A282),4)=0,366,365)</f>
        <v>365</v>
      </c>
      <c r="D282" s="37" t="n">
        <f aca="false">Inputs!$B$9-SUMIFS(Cash_Events!$G$6:$G$20,Cash_Events!$C$6:$C$20,"rAGMF",Cash_Events!$B$6:$B$20,"&lt;="&amp;A282)</f>
        <v>1500000</v>
      </c>
      <c r="E282" s="38" t="n">
        <f aca="false">VLOOKUP(A282,Inputs!$A$40:$B$48,2,TRUE())</f>
        <v>0.0521501</v>
      </c>
      <c r="F282" s="38" t="n">
        <f aca="false">E282+Inputs!$B$10</f>
        <v>0.1196501</v>
      </c>
      <c r="G282" s="37" t="n">
        <f aca="false">D282*F282/C282</f>
        <v>491.712739726027</v>
      </c>
      <c r="H282" s="37" t="n">
        <f aca="false">IF(AND(A282&gt;=Inputs!$B$13,OR(A282&lt;Inputs!$B$19,Inputs!$B$20=1)),D282*Inputs!$B$11/C282,0)</f>
        <v>0</v>
      </c>
      <c r="I282" s="37" t="n">
        <f aca="false">Inputs!$C$9-SUMIFS(Cash_Events!$G$6:$G$20,Cash_Events!$C$6:$C$20,"FHL",Cash_Events!$B$6:$B$20,"&lt;="&amp;A282)</f>
        <v>1500000</v>
      </c>
      <c r="J282" s="38" t="n">
        <f aca="false">VLOOKUP(A282,Inputs!$F$40:$G$48,2,TRUE())</f>
        <v>0.0522223</v>
      </c>
      <c r="K282" s="38" t="n">
        <f aca="false">J282+Inputs!$C$10</f>
        <v>0.1197223</v>
      </c>
      <c r="L282" s="37" t="n">
        <f aca="false">I282*K282/C282</f>
        <v>492.009452054795</v>
      </c>
      <c r="M282" s="37" t="n">
        <f aca="false">IF(AND(A282&gt;=Inputs!$C$13,OR(A282&lt;Inputs!$B$19,Inputs!$B$20=1)),I282*Inputs!$C$11/C282,0)</f>
        <v>0</v>
      </c>
    </row>
    <row r="283" customFormat="false" ht="15" hidden="false" customHeight="false" outlineLevel="0" collapsed="false">
      <c r="A283" s="35" t="n">
        <f aca="false">A282+1</f>
        <v>45090</v>
      </c>
      <c r="B283" s="35" t="n">
        <f aca="false">EOMONTH(A283+1,0)</f>
        <v>45107</v>
      </c>
      <c r="C283" s="36" t="n">
        <f aca="false">IF(MOD(YEAR(A283),4)=0,366,365)</f>
        <v>365</v>
      </c>
      <c r="D283" s="37" t="n">
        <f aca="false">Inputs!$B$9-SUMIFS(Cash_Events!$G$6:$G$20,Cash_Events!$C$6:$C$20,"rAGMF",Cash_Events!$B$6:$B$20,"&lt;="&amp;A283)</f>
        <v>1500000</v>
      </c>
      <c r="E283" s="38" t="n">
        <f aca="false">VLOOKUP(A283,Inputs!$A$40:$B$48,2,TRUE())</f>
        <v>0.0521501</v>
      </c>
      <c r="F283" s="38" t="n">
        <f aca="false">E283+Inputs!$B$10</f>
        <v>0.1196501</v>
      </c>
      <c r="G283" s="37" t="n">
        <f aca="false">D283*F283/C283</f>
        <v>491.712739726027</v>
      </c>
      <c r="H283" s="37" t="n">
        <f aca="false">IF(AND(A283&gt;=Inputs!$B$13,OR(A283&lt;Inputs!$B$19,Inputs!$B$20=1)),D283*Inputs!$B$11/C283,0)</f>
        <v>0</v>
      </c>
      <c r="I283" s="37" t="n">
        <f aca="false">Inputs!$C$9-SUMIFS(Cash_Events!$G$6:$G$20,Cash_Events!$C$6:$C$20,"FHL",Cash_Events!$B$6:$B$20,"&lt;="&amp;A283)</f>
        <v>1500000</v>
      </c>
      <c r="J283" s="38" t="n">
        <f aca="false">VLOOKUP(A283,Inputs!$F$40:$G$48,2,TRUE())</f>
        <v>0.0522223</v>
      </c>
      <c r="K283" s="38" t="n">
        <f aca="false">J283+Inputs!$C$10</f>
        <v>0.1197223</v>
      </c>
      <c r="L283" s="37" t="n">
        <f aca="false">I283*K283/C283</f>
        <v>492.009452054795</v>
      </c>
      <c r="M283" s="37" t="n">
        <f aca="false">IF(AND(A283&gt;=Inputs!$C$13,OR(A283&lt;Inputs!$B$19,Inputs!$B$20=1)),I283*Inputs!$C$11/C283,0)</f>
        <v>0</v>
      </c>
    </row>
    <row r="284" customFormat="false" ht="15" hidden="false" customHeight="false" outlineLevel="0" collapsed="false">
      <c r="A284" s="35" t="n">
        <f aca="false">A283+1</f>
        <v>45091</v>
      </c>
      <c r="B284" s="35" t="n">
        <f aca="false">EOMONTH(A284+1,0)</f>
        <v>45107</v>
      </c>
      <c r="C284" s="36" t="n">
        <f aca="false">IF(MOD(YEAR(A284),4)=0,366,365)</f>
        <v>365</v>
      </c>
      <c r="D284" s="37" t="n">
        <f aca="false">Inputs!$B$9-SUMIFS(Cash_Events!$G$6:$G$20,Cash_Events!$C$6:$C$20,"rAGMF",Cash_Events!$B$6:$B$20,"&lt;="&amp;A284)</f>
        <v>1500000</v>
      </c>
      <c r="E284" s="38" t="n">
        <f aca="false">VLOOKUP(A284,Inputs!$A$40:$B$48,2,TRUE())</f>
        <v>0.0521501</v>
      </c>
      <c r="F284" s="38" t="n">
        <f aca="false">E284+Inputs!$B$10</f>
        <v>0.1196501</v>
      </c>
      <c r="G284" s="37" t="n">
        <f aca="false">D284*F284/C284</f>
        <v>491.712739726027</v>
      </c>
      <c r="H284" s="37" t="n">
        <f aca="false">IF(AND(A284&gt;=Inputs!$B$13,OR(A284&lt;Inputs!$B$19,Inputs!$B$20=1)),D284*Inputs!$B$11/C284,0)</f>
        <v>0</v>
      </c>
      <c r="I284" s="37" t="n">
        <f aca="false">Inputs!$C$9-SUMIFS(Cash_Events!$G$6:$G$20,Cash_Events!$C$6:$C$20,"FHL",Cash_Events!$B$6:$B$20,"&lt;="&amp;A284)</f>
        <v>1500000</v>
      </c>
      <c r="J284" s="38" t="n">
        <f aca="false">VLOOKUP(A284,Inputs!$F$40:$G$48,2,TRUE())</f>
        <v>0.0522223</v>
      </c>
      <c r="K284" s="38" t="n">
        <f aca="false">J284+Inputs!$C$10</f>
        <v>0.1197223</v>
      </c>
      <c r="L284" s="37" t="n">
        <f aca="false">I284*K284/C284</f>
        <v>492.009452054795</v>
      </c>
      <c r="M284" s="37" t="n">
        <f aca="false">IF(AND(A284&gt;=Inputs!$C$13,OR(A284&lt;Inputs!$B$19,Inputs!$B$20=1)),I284*Inputs!$C$11/C284,0)</f>
        <v>0</v>
      </c>
    </row>
    <row r="285" customFormat="false" ht="15" hidden="false" customHeight="false" outlineLevel="0" collapsed="false">
      <c r="A285" s="35" t="n">
        <f aca="false">A284+1</f>
        <v>45092</v>
      </c>
      <c r="B285" s="35" t="n">
        <f aca="false">EOMONTH(A285+1,0)</f>
        <v>45107</v>
      </c>
      <c r="C285" s="36" t="n">
        <f aca="false">IF(MOD(YEAR(A285),4)=0,366,365)</f>
        <v>365</v>
      </c>
      <c r="D285" s="37" t="n">
        <f aca="false">Inputs!$B$9-SUMIFS(Cash_Events!$G$6:$G$20,Cash_Events!$C$6:$C$20,"rAGMF",Cash_Events!$B$6:$B$20,"&lt;="&amp;A285)</f>
        <v>1500000</v>
      </c>
      <c r="E285" s="38" t="n">
        <f aca="false">VLOOKUP(A285,Inputs!$A$40:$B$48,2,TRUE())</f>
        <v>0.0521501</v>
      </c>
      <c r="F285" s="38" t="n">
        <f aca="false">E285+Inputs!$B$10</f>
        <v>0.1196501</v>
      </c>
      <c r="G285" s="37" t="n">
        <f aca="false">D285*F285/C285</f>
        <v>491.712739726027</v>
      </c>
      <c r="H285" s="37" t="n">
        <f aca="false">IF(AND(A285&gt;=Inputs!$B$13,OR(A285&lt;Inputs!$B$19,Inputs!$B$20=1)),D285*Inputs!$B$11/C285,0)</f>
        <v>0</v>
      </c>
      <c r="I285" s="37" t="n">
        <f aca="false">Inputs!$C$9-SUMIFS(Cash_Events!$G$6:$G$20,Cash_Events!$C$6:$C$20,"FHL",Cash_Events!$B$6:$B$20,"&lt;="&amp;A285)</f>
        <v>1500000</v>
      </c>
      <c r="J285" s="38" t="n">
        <f aca="false">VLOOKUP(A285,Inputs!$F$40:$G$48,2,TRUE())</f>
        <v>0.0522223</v>
      </c>
      <c r="K285" s="38" t="n">
        <f aca="false">J285+Inputs!$C$10</f>
        <v>0.1197223</v>
      </c>
      <c r="L285" s="37" t="n">
        <f aca="false">I285*K285/C285</f>
        <v>492.009452054795</v>
      </c>
      <c r="M285" s="37" t="n">
        <f aca="false">IF(AND(A285&gt;=Inputs!$C$13,OR(A285&lt;Inputs!$B$19,Inputs!$B$20=1)),I285*Inputs!$C$11/C285,0)</f>
        <v>0</v>
      </c>
    </row>
    <row r="286" customFormat="false" ht="15" hidden="false" customHeight="false" outlineLevel="0" collapsed="false">
      <c r="A286" s="35" t="n">
        <f aca="false">A285+1</f>
        <v>45093</v>
      </c>
      <c r="B286" s="35" t="n">
        <f aca="false">EOMONTH(A286+1,0)</f>
        <v>45107</v>
      </c>
      <c r="C286" s="36" t="n">
        <f aca="false">IF(MOD(YEAR(A286),4)=0,366,365)</f>
        <v>365</v>
      </c>
      <c r="D286" s="37" t="n">
        <f aca="false">Inputs!$B$9-SUMIFS(Cash_Events!$G$6:$G$20,Cash_Events!$C$6:$C$20,"rAGMF",Cash_Events!$B$6:$B$20,"&lt;="&amp;A286)</f>
        <v>1500000</v>
      </c>
      <c r="E286" s="38" t="n">
        <f aca="false">VLOOKUP(A286,Inputs!$A$40:$B$48,2,TRUE())</f>
        <v>0.0521501</v>
      </c>
      <c r="F286" s="38" t="n">
        <f aca="false">E286+Inputs!$B$10</f>
        <v>0.1196501</v>
      </c>
      <c r="G286" s="37" t="n">
        <f aca="false">D286*F286/C286</f>
        <v>491.712739726027</v>
      </c>
      <c r="H286" s="37" t="n">
        <f aca="false">IF(AND(A286&gt;=Inputs!$B$13,OR(A286&lt;Inputs!$B$19,Inputs!$B$20=1)),D286*Inputs!$B$11/C286,0)</f>
        <v>0</v>
      </c>
      <c r="I286" s="37" t="n">
        <f aca="false">Inputs!$C$9-SUMIFS(Cash_Events!$G$6:$G$20,Cash_Events!$C$6:$C$20,"FHL",Cash_Events!$B$6:$B$20,"&lt;="&amp;A286)</f>
        <v>1500000</v>
      </c>
      <c r="J286" s="38" t="n">
        <f aca="false">VLOOKUP(A286,Inputs!$F$40:$G$48,2,TRUE())</f>
        <v>0.0522223</v>
      </c>
      <c r="K286" s="38" t="n">
        <f aca="false">J286+Inputs!$C$10</f>
        <v>0.1197223</v>
      </c>
      <c r="L286" s="37" t="n">
        <f aca="false">I286*K286/C286</f>
        <v>492.009452054795</v>
      </c>
      <c r="M286" s="37" t="n">
        <f aca="false">IF(AND(A286&gt;=Inputs!$C$13,OR(A286&lt;Inputs!$B$19,Inputs!$B$20=1)),I286*Inputs!$C$11/C286,0)</f>
        <v>0</v>
      </c>
    </row>
    <row r="287" customFormat="false" ht="15" hidden="false" customHeight="false" outlineLevel="0" collapsed="false">
      <c r="A287" s="35" t="n">
        <f aca="false">A286+1</f>
        <v>45094</v>
      </c>
      <c r="B287" s="35" t="n">
        <f aca="false">EOMONTH(A287+1,0)</f>
        <v>45107</v>
      </c>
      <c r="C287" s="36" t="n">
        <f aca="false">IF(MOD(YEAR(A287),4)=0,366,365)</f>
        <v>365</v>
      </c>
      <c r="D287" s="37" t="n">
        <f aca="false">Inputs!$B$9-SUMIFS(Cash_Events!$G$6:$G$20,Cash_Events!$C$6:$C$20,"rAGMF",Cash_Events!$B$6:$B$20,"&lt;="&amp;A287)</f>
        <v>1500000</v>
      </c>
      <c r="E287" s="38" t="n">
        <f aca="false">VLOOKUP(A287,Inputs!$A$40:$B$48,2,TRUE())</f>
        <v>0.0521501</v>
      </c>
      <c r="F287" s="38" t="n">
        <f aca="false">E287+Inputs!$B$10</f>
        <v>0.1196501</v>
      </c>
      <c r="G287" s="37" t="n">
        <f aca="false">D287*F287/C287</f>
        <v>491.712739726027</v>
      </c>
      <c r="H287" s="37" t="n">
        <f aca="false">IF(AND(A287&gt;=Inputs!$B$13,OR(A287&lt;Inputs!$B$19,Inputs!$B$20=1)),D287*Inputs!$B$11/C287,0)</f>
        <v>0</v>
      </c>
      <c r="I287" s="37" t="n">
        <f aca="false">Inputs!$C$9-SUMIFS(Cash_Events!$G$6:$G$20,Cash_Events!$C$6:$C$20,"FHL",Cash_Events!$B$6:$B$20,"&lt;="&amp;A287)</f>
        <v>1500000</v>
      </c>
      <c r="J287" s="38" t="n">
        <f aca="false">VLOOKUP(A287,Inputs!$F$40:$G$48,2,TRUE())</f>
        <v>0.0522223</v>
      </c>
      <c r="K287" s="38" t="n">
        <f aca="false">J287+Inputs!$C$10</f>
        <v>0.1197223</v>
      </c>
      <c r="L287" s="37" t="n">
        <f aca="false">I287*K287/C287</f>
        <v>492.009452054795</v>
      </c>
      <c r="M287" s="37" t="n">
        <f aca="false">IF(AND(A287&gt;=Inputs!$C$13,OR(A287&lt;Inputs!$B$19,Inputs!$B$20=1)),I287*Inputs!$C$11/C287,0)</f>
        <v>0</v>
      </c>
    </row>
    <row r="288" customFormat="false" ht="15" hidden="false" customHeight="false" outlineLevel="0" collapsed="false">
      <c r="A288" s="35" t="n">
        <f aca="false">A287+1</f>
        <v>45095</v>
      </c>
      <c r="B288" s="35" t="n">
        <f aca="false">EOMONTH(A288+1,0)</f>
        <v>45107</v>
      </c>
      <c r="C288" s="36" t="n">
        <f aca="false">IF(MOD(YEAR(A288),4)=0,366,365)</f>
        <v>365</v>
      </c>
      <c r="D288" s="37" t="n">
        <f aca="false">Inputs!$B$9-SUMIFS(Cash_Events!$G$6:$G$20,Cash_Events!$C$6:$C$20,"rAGMF",Cash_Events!$B$6:$B$20,"&lt;="&amp;A288)</f>
        <v>1500000</v>
      </c>
      <c r="E288" s="38" t="n">
        <f aca="false">VLOOKUP(A288,Inputs!$A$40:$B$48,2,TRUE())</f>
        <v>0.0521501</v>
      </c>
      <c r="F288" s="38" t="n">
        <f aca="false">E288+Inputs!$B$10</f>
        <v>0.1196501</v>
      </c>
      <c r="G288" s="37" t="n">
        <f aca="false">D288*F288/C288</f>
        <v>491.712739726027</v>
      </c>
      <c r="H288" s="37" t="n">
        <f aca="false">IF(AND(A288&gt;=Inputs!$B$13,OR(A288&lt;Inputs!$B$19,Inputs!$B$20=1)),D288*Inputs!$B$11/C288,0)</f>
        <v>0</v>
      </c>
      <c r="I288" s="37" t="n">
        <f aca="false">Inputs!$C$9-SUMIFS(Cash_Events!$G$6:$G$20,Cash_Events!$C$6:$C$20,"FHL",Cash_Events!$B$6:$B$20,"&lt;="&amp;A288)</f>
        <v>1500000</v>
      </c>
      <c r="J288" s="38" t="n">
        <f aca="false">VLOOKUP(A288,Inputs!$F$40:$G$48,2,TRUE())</f>
        <v>0.0522223</v>
      </c>
      <c r="K288" s="38" t="n">
        <f aca="false">J288+Inputs!$C$10</f>
        <v>0.1197223</v>
      </c>
      <c r="L288" s="37" t="n">
        <f aca="false">I288*K288/C288</f>
        <v>492.009452054795</v>
      </c>
      <c r="M288" s="37" t="n">
        <f aca="false">IF(AND(A288&gt;=Inputs!$C$13,OR(A288&lt;Inputs!$B$19,Inputs!$B$20=1)),I288*Inputs!$C$11/C288,0)</f>
        <v>0</v>
      </c>
    </row>
    <row r="289" customFormat="false" ht="15" hidden="false" customHeight="false" outlineLevel="0" collapsed="false">
      <c r="A289" s="35" t="n">
        <f aca="false">A288+1</f>
        <v>45096</v>
      </c>
      <c r="B289" s="35" t="n">
        <f aca="false">EOMONTH(A289+1,0)</f>
        <v>45107</v>
      </c>
      <c r="C289" s="36" t="n">
        <f aca="false">IF(MOD(YEAR(A289),4)=0,366,365)</f>
        <v>365</v>
      </c>
      <c r="D289" s="37" t="n">
        <f aca="false">Inputs!$B$9-SUMIFS(Cash_Events!$G$6:$G$20,Cash_Events!$C$6:$C$20,"rAGMF",Cash_Events!$B$6:$B$20,"&lt;="&amp;A289)</f>
        <v>1500000</v>
      </c>
      <c r="E289" s="38" t="n">
        <f aca="false">VLOOKUP(A289,Inputs!$A$40:$B$48,2,TRUE())</f>
        <v>0.0521501</v>
      </c>
      <c r="F289" s="38" t="n">
        <f aca="false">E289+Inputs!$B$10</f>
        <v>0.1196501</v>
      </c>
      <c r="G289" s="37" t="n">
        <f aca="false">D289*F289/C289</f>
        <v>491.712739726027</v>
      </c>
      <c r="H289" s="37" t="n">
        <f aca="false">IF(AND(A289&gt;=Inputs!$B$13,OR(A289&lt;Inputs!$B$19,Inputs!$B$20=1)),D289*Inputs!$B$11/C289,0)</f>
        <v>0</v>
      </c>
      <c r="I289" s="37" t="n">
        <f aca="false">Inputs!$C$9-SUMIFS(Cash_Events!$G$6:$G$20,Cash_Events!$C$6:$C$20,"FHL",Cash_Events!$B$6:$B$20,"&lt;="&amp;A289)</f>
        <v>1500000</v>
      </c>
      <c r="J289" s="38" t="n">
        <f aca="false">VLOOKUP(A289,Inputs!$F$40:$G$48,2,TRUE())</f>
        <v>0.0522223</v>
      </c>
      <c r="K289" s="38" t="n">
        <f aca="false">J289+Inputs!$C$10</f>
        <v>0.1197223</v>
      </c>
      <c r="L289" s="37" t="n">
        <f aca="false">I289*K289/C289</f>
        <v>492.009452054795</v>
      </c>
      <c r="M289" s="37" t="n">
        <f aca="false">IF(AND(A289&gt;=Inputs!$C$13,OR(A289&lt;Inputs!$B$19,Inputs!$B$20=1)),I289*Inputs!$C$11/C289,0)</f>
        <v>0</v>
      </c>
    </row>
    <row r="290" customFormat="false" ht="15" hidden="false" customHeight="false" outlineLevel="0" collapsed="false">
      <c r="A290" s="35" t="n">
        <f aca="false">A289+1</f>
        <v>45097</v>
      </c>
      <c r="B290" s="35" t="n">
        <f aca="false">EOMONTH(A290+1,0)</f>
        <v>45107</v>
      </c>
      <c r="C290" s="36" t="n">
        <f aca="false">IF(MOD(YEAR(A290),4)=0,366,365)</f>
        <v>365</v>
      </c>
      <c r="D290" s="37" t="n">
        <f aca="false">Inputs!$B$9-SUMIFS(Cash_Events!$G$6:$G$20,Cash_Events!$C$6:$C$20,"rAGMF",Cash_Events!$B$6:$B$20,"&lt;="&amp;A290)</f>
        <v>1500000</v>
      </c>
      <c r="E290" s="38" t="n">
        <f aca="false">VLOOKUP(A290,Inputs!$A$40:$B$48,2,TRUE())</f>
        <v>0.0521501</v>
      </c>
      <c r="F290" s="38" t="n">
        <f aca="false">E290+Inputs!$B$10</f>
        <v>0.1196501</v>
      </c>
      <c r="G290" s="37" t="n">
        <f aca="false">D290*F290/C290</f>
        <v>491.712739726027</v>
      </c>
      <c r="H290" s="37" t="n">
        <f aca="false">IF(AND(A290&gt;=Inputs!$B$13,OR(A290&lt;Inputs!$B$19,Inputs!$B$20=1)),D290*Inputs!$B$11/C290,0)</f>
        <v>0</v>
      </c>
      <c r="I290" s="37" t="n">
        <f aca="false">Inputs!$C$9-SUMIFS(Cash_Events!$G$6:$G$20,Cash_Events!$C$6:$C$20,"FHL",Cash_Events!$B$6:$B$20,"&lt;="&amp;A290)</f>
        <v>1500000</v>
      </c>
      <c r="J290" s="38" t="n">
        <f aca="false">VLOOKUP(A290,Inputs!$F$40:$G$48,2,TRUE())</f>
        <v>0.0522223</v>
      </c>
      <c r="K290" s="38" t="n">
        <f aca="false">J290+Inputs!$C$10</f>
        <v>0.1197223</v>
      </c>
      <c r="L290" s="37" t="n">
        <f aca="false">I290*K290/C290</f>
        <v>492.009452054795</v>
      </c>
      <c r="M290" s="37" t="n">
        <f aca="false">IF(AND(A290&gt;=Inputs!$C$13,OR(A290&lt;Inputs!$B$19,Inputs!$B$20=1)),I290*Inputs!$C$11/C290,0)</f>
        <v>0</v>
      </c>
    </row>
    <row r="291" customFormat="false" ht="15" hidden="false" customHeight="false" outlineLevel="0" collapsed="false">
      <c r="A291" s="35" t="n">
        <f aca="false">A290+1</f>
        <v>45098</v>
      </c>
      <c r="B291" s="35" t="n">
        <f aca="false">EOMONTH(A291+1,0)</f>
        <v>45107</v>
      </c>
      <c r="C291" s="36" t="n">
        <f aca="false">IF(MOD(YEAR(A291),4)=0,366,365)</f>
        <v>365</v>
      </c>
      <c r="D291" s="37" t="n">
        <f aca="false">Inputs!$B$9-SUMIFS(Cash_Events!$G$6:$G$20,Cash_Events!$C$6:$C$20,"rAGMF",Cash_Events!$B$6:$B$20,"&lt;="&amp;A291)</f>
        <v>1500000</v>
      </c>
      <c r="E291" s="38" t="n">
        <f aca="false">VLOOKUP(A291,Inputs!$A$40:$B$48,2,TRUE())</f>
        <v>0.0521501</v>
      </c>
      <c r="F291" s="38" t="n">
        <f aca="false">E291+Inputs!$B$10</f>
        <v>0.1196501</v>
      </c>
      <c r="G291" s="37" t="n">
        <f aca="false">D291*F291/C291</f>
        <v>491.712739726027</v>
      </c>
      <c r="H291" s="37" t="n">
        <f aca="false">IF(AND(A291&gt;=Inputs!$B$13,OR(A291&lt;Inputs!$B$19,Inputs!$B$20=1)),D291*Inputs!$B$11/C291,0)</f>
        <v>0</v>
      </c>
      <c r="I291" s="37" t="n">
        <f aca="false">Inputs!$C$9-SUMIFS(Cash_Events!$G$6:$G$20,Cash_Events!$C$6:$C$20,"FHL",Cash_Events!$B$6:$B$20,"&lt;="&amp;A291)</f>
        <v>1500000</v>
      </c>
      <c r="J291" s="38" t="n">
        <f aca="false">VLOOKUP(A291,Inputs!$F$40:$G$48,2,TRUE())</f>
        <v>0.0522223</v>
      </c>
      <c r="K291" s="38" t="n">
        <f aca="false">J291+Inputs!$C$10</f>
        <v>0.1197223</v>
      </c>
      <c r="L291" s="37" t="n">
        <f aca="false">I291*K291/C291</f>
        <v>492.009452054795</v>
      </c>
      <c r="M291" s="37" t="n">
        <f aca="false">IF(AND(A291&gt;=Inputs!$C$13,OR(A291&lt;Inputs!$B$19,Inputs!$B$20=1)),I291*Inputs!$C$11/C291,0)</f>
        <v>0</v>
      </c>
    </row>
    <row r="292" customFormat="false" ht="15" hidden="false" customHeight="false" outlineLevel="0" collapsed="false">
      <c r="A292" s="35" t="n">
        <f aca="false">A291+1</f>
        <v>45099</v>
      </c>
      <c r="B292" s="35" t="n">
        <f aca="false">EOMONTH(A292+1,0)</f>
        <v>45107</v>
      </c>
      <c r="C292" s="36" t="n">
        <f aca="false">IF(MOD(YEAR(A292),4)=0,366,365)</f>
        <v>365</v>
      </c>
      <c r="D292" s="37" t="n">
        <f aca="false">Inputs!$B$9-SUMIFS(Cash_Events!$G$6:$G$20,Cash_Events!$C$6:$C$20,"rAGMF",Cash_Events!$B$6:$B$20,"&lt;="&amp;A292)</f>
        <v>1500000</v>
      </c>
      <c r="E292" s="38" t="n">
        <f aca="false">VLOOKUP(A292,Inputs!$A$40:$B$48,2,TRUE())</f>
        <v>0.0521501</v>
      </c>
      <c r="F292" s="38" t="n">
        <f aca="false">E292+Inputs!$B$10</f>
        <v>0.1196501</v>
      </c>
      <c r="G292" s="37" t="n">
        <f aca="false">D292*F292/C292</f>
        <v>491.712739726027</v>
      </c>
      <c r="H292" s="37" t="n">
        <f aca="false">IF(AND(A292&gt;=Inputs!$B$13,OR(A292&lt;Inputs!$B$19,Inputs!$B$20=1)),D292*Inputs!$B$11/C292,0)</f>
        <v>0</v>
      </c>
      <c r="I292" s="37" t="n">
        <f aca="false">Inputs!$C$9-SUMIFS(Cash_Events!$G$6:$G$20,Cash_Events!$C$6:$C$20,"FHL",Cash_Events!$B$6:$B$20,"&lt;="&amp;A292)</f>
        <v>1500000</v>
      </c>
      <c r="J292" s="38" t="n">
        <f aca="false">VLOOKUP(A292,Inputs!$F$40:$G$48,2,TRUE())</f>
        <v>0.0522223</v>
      </c>
      <c r="K292" s="38" t="n">
        <f aca="false">J292+Inputs!$C$10</f>
        <v>0.1197223</v>
      </c>
      <c r="L292" s="37" t="n">
        <f aca="false">I292*K292/C292</f>
        <v>492.009452054795</v>
      </c>
      <c r="M292" s="37" t="n">
        <f aca="false">IF(AND(A292&gt;=Inputs!$C$13,OR(A292&lt;Inputs!$B$19,Inputs!$B$20=1)),I292*Inputs!$C$11/C292,0)</f>
        <v>0</v>
      </c>
    </row>
    <row r="293" customFormat="false" ht="15" hidden="false" customHeight="false" outlineLevel="0" collapsed="false">
      <c r="A293" s="35" t="n">
        <f aca="false">A292+1</f>
        <v>45100</v>
      </c>
      <c r="B293" s="35" t="n">
        <f aca="false">EOMONTH(A293+1,0)</f>
        <v>45107</v>
      </c>
      <c r="C293" s="36" t="n">
        <f aca="false">IF(MOD(YEAR(A293),4)=0,366,365)</f>
        <v>365</v>
      </c>
      <c r="D293" s="37" t="n">
        <f aca="false">Inputs!$B$9-SUMIFS(Cash_Events!$G$6:$G$20,Cash_Events!$C$6:$C$20,"rAGMF",Cash_Events!$B$6:$B$20,"&lt;="&amp;A293)</f>
        <v>1500000</v>
      </c>
      <c r="E293" s="38" t="n">
        <f aca="false">VLOOKUP(A293,Inputs!$A$40:$B$48,2,TRUE())</f>
        <v>0.0521501</v>
      </c>
      <c r="F293" s="38" t="n">
        <f aca="false">E293+Inputs!$B$10</f>
        <v>0.1196501</v>
      </c>
      <c r="G293" s="37" t="n">
        <f aca="false">D293*F293/C293</f>
        <v>491.712739726027</v>
      </c>
      <c r="H293" s="37" t="n">
        <f aca="false">IF(AND(A293&gt;=Inputs!$B$13,OR(A293&lt;Inputs!$B$19,Inputs!$B$20=1)),D293*Inputs!$B$11/C293,0)</f>
        <v>0</v>
      </c>
      <c r="I293" s="37" t="n">
        <f aca="false">Inputs!$C$9-SUMIFS(Cash_Events!$G$6:$G$20,Cash_Events!$C$6:$C$20,"FHL",Cash_Events!$B$6:$B$20,"&lt;="&amp;A293)</f>
        <v>1500000</v>
      </c>
      <c r="J293" s="38" t="n">
        <f aca="false">VLOOKUP(A293,Inputs!$F$40:$G$48,2,TRUE())</f>
        <v>0.0522223</v>
      </c>
      <c r="K293" s="38" t="n">
        <f aca="false">J293+Inputs!$C$10</f>
        <v>0.1197223</v>
      </c>
      <c r="L293" s="37" t="n">
        <f aca="false">I293*K293/C293</f>
        <v>492.009452054795</v>
      </c>
      <c r="M293" s="37" t="n">
        <f aca="false">IF(AND(A293&gt;=Inputs!$C$13,OR(A293&lt;Inputs!$B$19,Inputs!$B$20=1)),I293*Inputs!$C$11/C293,0)</f>
        <v>0</v>
      </c>
    </row>
    <row r="294" customFormat="false" ht="15" hidden="false" customHeight="false" outlineLevel="0" collapsed="false">
      <c r="A294" s="35" t="n">
        <f aca="false">A293+1</f>
        <v>45101</v>
      </c>
      <c r="B294" s="35" t="n">
        <f aca="false">EOMONTH(A294+1,0)</f>
        <v>45107</v>
      </c>
      <c r="C294" s="36" t="n">
        <f aca="false">IF(MOD(YEAR(A294),4)=0,366,365)</f>
        <v>365</v>
      </c>
      <c r="D294" s="37" t="n">
        <f aca="false">Inputs!$B$9-SUMIFS(Cash_Events!$G$6:$G$20,Cash_Events!$C$6:$C$20,"rAGMF",Cash_Events!$B$6:$B$20,"&lt;="&amp;A294)</f>
        <v>1500000</v>
      </c>
      <c r="E294" s="38" t="n">
        <f aca="false">VLOOKUP(A294,Inputs!$A$40:$B$48,2,TRUE())</f>
        <v>0.0521501</v>
      </c>
      <c r="F294" s="38" t="n">
        <f aca="false">E294+Inputs!$B$10</f>
        <v>0.1196501</v>
      </c>
      <c r="G294" s="37" t="n">
        <f aca="false">D294*F294/C294</f>
        <v>491.712739726027</v>
      </c>
      <c r="H294" s="37" t="n">
        <f aca="false">IF(AND(A294&gt;=Inputs!$B$13,OR(A294&lt;Inputs!$B$19,Inputs!$B$20=1)),D294*Inputs!$B$11/C294,0)</f>
        <v>0</v>
      </c>
      <c r="I294" s="37" t="n">
        <f aca="false">Inputs!$C$9-SUMIFS(Cash_Events!$G$6:$G$20,Cash_Events!$C$6:$C$20,"FHL",Cash_Events!$B$6:$B$20,"&lt;="&amp;A294)</f>
        <v>1500000</v>
      </c>
      <c r="J294" s="38" t="n">
        <f aca="false">VLOOKUP(A294,Inputs!$F$40:$G$48,2,TRUE())</f>
        <v>0.0522223</v>
      </c>
      <c r="K294" s="38" t="n">
        <f aca="false">J294+Inputs!$C$10</f>
        <v>0.1197223</v>
      </c>
      <c r="L294" s="37" t="n">
        <f aca="false">I294*K294/C294</f>
        <v>492.009452054795</v>
      </c>
      <c r="M294" s="37" t="n">
        <f aca="false">IF(AND(A294&gt;=Inputs!$C$13,OR(A294&lt;Inputs!$B$19,Inputs!$B$20=1)),I294*Inputs!$C$11/C294,0)</f>
        <v>0</v>
      </c>
    </row>
    <row r="295" customFormat="false" ht="15" hidden="false" customHeight="false" outlineLevel="0" collapsed="false">
      <c r="A295" s="35" t="n">
        <f aca="false">A294+1</f>
        <v>45102</v>
      </c>
      <c r="B295" s="35" t="n">
        <f aca="false">EOMONTH(A295+1,0)</f>
        <v>45107</v>
      </c>
      <c r="C295" s="36" t="n">
        <f aca="false">IF(MOD(YEAR(A295),4)=0,366,365)</f>
        <v>365</v>
      </c>
      <c r="D295" s="37" t="n">
        <f aca="false">Inputs!$B$9-SUMIFS(Cash_Events!$G$6:$G$20,Cash_Events!$C$6:$C$20,"rAGMF",Cash_Events!$B$6:$B$20,"&lt;="&amp;A295)</f>
        <v>1500000</v>
      </c>
      <c r="E295" s="38" t="n">
        <f aca="false">VLOOKUP(A295,Inputs!$A$40:$B$48,2,TRUE())</f>
        <v>0.0521501</v>
      </c>
      <c r="F295" s="38" t="n">
        <f aca="false">E295+Inputs!$B$10</f>
        <v>0.1196501</v>
      </c>
      <c r="G295" s="37" t="n">
        <f aca="false">D295*F295/C295</f>
        <v>491.712739726027</v>
      </c>
      <c r="H295" s="37" t="n">
        <f aca="false">IF(AND(A295&gt;=Inputs!$B$13,OR(A295&lt;Inputs!$B$19,Inputs!$B$20=1)),D295*Inputs!$B$11/C295,0)</f>
        <v>0</v>
      </c>
      <c r="I295" s="37" t="n">
        <f aca="false">Inputs!$C$9-SUMIFS(Cash_Events!$G$6:$G$20,Cash_Events!$C$6:$C$20,"FHL",Cash_Events!$B$6:$B$20,"&lt;="&amp;A295)</f>
        <v>1500000</v>
      </c>
      <c r="J295" s="38" t="n">
        <f aca="false">VLOOKUP(A295,Inputs!$F$40:$G$48,2,TRUE())</f>
        <v>0.0522223</v>
      </c>
      <c r="K295" s="38" t="n">
        <f aca="false">J295+Inputs!$C$10</f>
        <v>0.1197223</v>
      </c>
      <c r="L295" s="37" t="n">
        <f aca="false">I295*K295/C295</f>
        <v>492.009452054795</v>
      </c>
      <c r="M295" s="37" t="n">
        <f aca="false">IF(AND(A295&gt;=Inputs!$C$13,OR(A295&lt;Inputs!$B$19,Inputs!$B$20=1)),I295*Inputs!$C$11/C295,0)</f>
        <v>0</v>
      </c>
    </row>
    <row r="296" customFormat="false" ht="15" hidden="false" customHeight="false" outlineLevel="0" collapsed="false">
      <c r="A296" s="35" t="n">
        <f aca="false">A295+1</f>
        <v>45103</v>
      </c>
      <c r="B296" s="35" t="n">
        <f aca="false">EOMONTH(A296+1,0)</f>
        <v>45107</v>
      </c>
      <c r="C296" s="36" t="n">
        <f aca="false">IF(MOD(YEAR(A296),4)=0,366,365)</f>
        <v>365</v>
      </c>
      <c r="D296" s="37" t="n">
        <f aca="false">Inputs!$B$9-SUMIFS(Cash_Events!$G$6:$G$20,Cash_Events!$C$6:$C$20,"rAGMF",Cash_Events!$B$6:$B$20,"&lt;="&amp;A296)</f>
        <v>1500000</v>
      </c>
      <c r="E296" s="38" t="n">
        <f aca="false">VLOOKUP(A296,Inputs!$A$40:$B$48,2,TRUE())</f>
        <v>0.0521501</v>
      </c>
      <c r="F296" s="38" t="n">
        <f aca="false">E296+Inputs!$B$10</f>
        <v>0.1196501</v>
      </c>
      <c r="G296" s="37" t="n">
        <f aca="false">D296*F296/C296</f>
        <v>491.712739726027</v>
      </c>
      <c r="H296" s="37" t="n">
        <f aca="false">IF(AND(A296&gt;=Inputs!$B$13,OR(A296&lt;Inputs!$B$19,Inputs!$B$20=1)),D296*Inputs!$B$11/C296,0)</f>
        <v>0</v>
      </c>
      <c r="I296" s="37" t="n">
        <f aca="false">Inputs!$C$9-SUMIFS(Cash_Events!$G$6:$G$20,Cash_Events!$C$6:$C$20,"FHL",Cash_Events!$B$6:$B$20,"&lt;="&amp;A296)</f>
        <v>1500000</v>
      </c>
      <c r="J296" s="38" t="n">
        <f aca="false">VLOOKUP(A296,Inputs!$F$40:$G$48,2,TRUE())</f>
        <v>0.0522223</v>
      </c>
      <c r="K296" s="38" t="n">
        <f aca="false">J296+Inputs!$C$10</f>
        <v>0.1197223</v>
      </c>
      <c r="L296" s="37" t="n">
        <f aca="false">I296*K296/C296</f>
        <v>492.009452054795</v>
      </c>
      <c r="M296" s="37" t="n">
        <f aca="false">IF(AND(A296&gt;=Inputs!$C$13,OR(A296&lt;Inputs!$B$19,Inputs!$B$20=1)),I296*Inputs!$C$11/C296,0)</f>
        <v>0</v>
      </c>
    </row>
    <row r="297" customFormat="false" ht="15" hidden="false" customHeight="false" outlineLevel="0" collapsed="false">
      <c r="A297" s="35" t="n">
        <f aca="false">A296+1</f>
        <v>45104</v>
      </c>
      <c r="B297" s="35" t="n">
        <f aca="false">EOMONTH(A297+1,0)</f>
        <v>45107</v>
      </c>
      <c r="C297" s="36" t="n">
        <f aca="false">IF(MOD(YEAR(A297),4)=0,366,365)</f>
        <v>365</v>
      </c>
      <c r="D297" s="37" t="n">
        <f aca="false">Inputs!$B$9-SUMIFS(Cash_Events!$G$6:$G$20,Cash_Events!$C$6:$C$20,"rAGMF",Cash_Events!$B$6:$B$20,"&lt;="&amp;A297)</f>
        <v>1500000</v>
      </c>
      <c r="E297" s="38" t="n">
        <f aca="false">VLOOKUP(A297,Inputs!$A$40:$B$48,2,TRUE())</f>
        <v>0.0521501</v>
      </c>
      <c r="F297" s="38" t="n">
        <f aca="false">E297+Inputs!$B$10</f>
        <v>0.1196501</v>
      </c>
      <c r="G297" s="37" t="n">
        <f aca="false">D297*F297/C297</f>
        <v>491.712739726027</v>
      </c>
      <c r="H297" s="37" t="n">
        <f aca="false">IF(AND(A297&gt;=Inputs!$B$13,OR(A297&lt;Inputs!$B$19,Inputs!$B$20=1)),D297*Inputs!$B$11/C297,0)</f>
        <v>0</v>
      </c>
      <c r="I297" s="37" t="n">
        <f aca="false">Inputs!$C$9-SUMIFS(Cash_Events!$G$6:$G$20,Cash_Events!$C$6:$C$20,"FHL",Cash_Events!$B$6:$B$20,"&lt;="&amp;A297)</f>
        <v>1500000</v>
      </c>
      <c r="J297" s="38" t="n">
        <f aca="false">VLOOKUP(A297,Inputs!$F$40:$G$48,2,TRUE())</f>
        <v>0.0522223</v>
      </c>
      <c r="K297" s="38" t="n">
        <f aca="false">J297+Inputs!$C$10</f>
        <v>0.1197223</v>
      </c>
      <c r="L297" s="37" t="n">
        <f aca="false">I297*K297/C297</f>
        <v>492.009452054795</v>
      </c>
      <c r="M297" s="37" t="n">
        <f aca="false">IF(AND(A297&gt;=Inputs!$C$13,OR(A297&lt;Inputs!$B$19,Inputs!$B$20=1)),I297*Inputs!$C$11/C297,0)</f>
        <v>0</v>
      </c>
    </row>
    <row r="298" customFormat="false" ht="15" hidden="false" customHeight="false" outlineLevel="0" collapsed="false">
      <c r="A298" s="35" t="n">
        <f aca="false">A297+1</f>
        <v>45105</v>
      </c>
      <c r="B298" s="35" t="n">
        <f aca="false">EOMONTH(A298+1,0)</f>
        <v>45107</v>
      </c>
      <c r="C298" s="36" t="n">
        <f aca="false">IF(MOD(YEAR(A298),4)=0,366,365)</f>
        <v>365</v>
      </c>
      <c r="D298" s="37" t="n">
        <f aca="false">Inputs!$B$9-SUMIFS(Cash_Events!$G$6:$G$20,Cash_Events!$C$6:$C$20,"rAGMF",Cash_Events!$B$6:$B$20,"&lt;="&amp;A298)</f>
        <v>1500000</v>
      </c>
      <c r="E298" s="38" t="n">
        <f aca="false">VLOOKUP(A298,Inputs!$A$40:$B$48,2,TRUE())</f>
        <v>0.0521501</v>
      </c>
      <c r="F298" s="38" t="n">
        <f aca="false">E298+Inputs!$B$10</f>
        <v>0.1196501</v>
      </c>
      <c r="G298" s="37" t="n">
        <f aca="false">D298*F298/C298</f>
        <v>491.712739726027</v>
      </c>
      <c r="H298" s="37" t="n">
        <f aca="false">IF(AND(A298&gt;=Inputs!$B$13,OR(A298&lt;Inputs!$B$19,Inputs!$B$20=1)),D298*Inputs!$B$11/C298,0)</f>
        <v>0</v>
      </c>
      <c r="I298" s="37" t="n">
        <f aca="false">Inputs!$C$9-SUMIFS(Cash_Events!$G$6:$G$20,Cash_Events!$C$6:$C$20,"FHL",Cash_Events!$B$6:$B$20,"&lt;="&amp;A298)</f>
        <v>1500000</v>
      </c>
      <c r="J298" s="38" t="n">
        <f aca="false">VLOOKUP(A298,Inputs!$F$40:$G$48,2,TRUE())</f>
        <v>0.0522223</v>
      </c>
      <c r="K298" s="38" t="n">
        <f aca="false">J298+Inputs!$C$10</f>
        <v>0.1197223</v>
      </c>
      <c r="L298" s="37" t="n">
        <f aca="false">I298*K298/C298</f>
        <v>492.009452054795</v>
      </c>
      <c r="M298" s="37" t="n">
        <f aca="false">IF(AND(A298&gt;=Inputs!$C$13,OR(A298&lt;Inputs!$B$19,Inputs!$B$20=1)),I298*Inputs!$C$11/C298,0)</f>
        <v>0</v>
      </c>
    </row>
    <row r="299" customFormat="false" ht="15" hidden="false" customHeight="false" outlineLevel="0" collapsed="false">
      <c r="A299" s="35" t="n">
        <f aca="false">A298+1</f>
        <v>45106</v>
      </c>
      <c r="B299" s="35" t="n">
        <f aca="false">EOMONTH(A299+1,0)</f>
        <v>45107</v>
      </c>
      <c r="C299" s="36" t="n">
        <f aca="false">IF(MOD(YEAR(A299),4)=0,366,365)</f>
        <v>365</v>
      </c>
      <c r="D299" s="37" t="n">
        <f aca="false">Inputs!$B$9-SUMIFS(Cash_Events!$G$6:$G$20,Cash_Events!$C$6:$C$20,"rAGMF",Cash_Events!$B$6:$B$20,"&lt;="&amp;A299)</f>
        <v>1500000</v>
      </c>
      <c r="E299" s="38" t="n">
        <f aca="false">VLOOKUP(A299,Inputs!$A$40:$B$48,2,TRUE())</f>
        <v>0.0521501</v>
      </c>
      <c r="F299" s="38" t="n">
        <f aca="false">E299+Inputs!$B$10</f>
        <v>0.1196501</v>
      </c>
      <c r="G299" s="37" t="n">
        <f aca="false">D299*F299/C299</f>
        <v>491.712739726027</v>
      </c>
      <c r="H299" s="37" t="n">
        <f aca="false">IF(AND(A299&gt;=Inputs!$B$13,OR(A299&lt;Inputs!$B$19,Inputs!$B$20=1)),D299*Inputs!$B$11/C299,0)</f>
        <v>0</v>
      </c>
      <c r="I299" s="37" t="n">
        <f aca="false">Inputs!$C$9-SUMIFS(Cash_Events!$G$6:$G$20,Cash_Events!$C$6:$C$20,"FHL",Cash_Events!$B$6:$B$20,"&lt;="&amp;A299)</f>
        <v>1500000</v>
      </c>
      <c r="J299" s="38" t="n">
        <f aca="false">VLOOKUP(A299,Inputs!$F$40:$G$48,2,TRUE())</f>
        <v>0.0522223</v>
      </c>
      <c r="K299" s="38" t="n">
        <f aca="false">J299+Inputs!$C$10</f>
        <v>0.1197223</v>
      </c>
      <c r="L299" s="37" t="n">
        <f aca="false">I299*K299/C299</f>
        <v>492.009452054795</v>
      </c>
      <c r="M299" s="37" t="n">
        <f aca="false">IF(AND(A299&gt;=Inputs!$C$13,OR(A299&lt;Inputs!$B$19,Inputs!$B$20=1)),I299*Inputs!$C$11/C299,0)</f>
        <v>0</v>
      </c>
    </row>
    <row r="300" customFormat="false" ht="15" hidden="false" customHeight="false" outlineLevel="0" collapsed="false">
      <c r="A300" s="35" t="n">
        <f aca="false">A299+1</f>
        <v>45107</v>
      </c>
      <c r="B300" s="35" t="n">
        <f aca="false">EOMONTH(A300+1,0)</f>
        <v>45138</v>
      </c>
      <c r="C300" s="36" t="n">
        <f aca="false">IF(MOD(YEAR(A300),4)=0,366,365)</f>
        <v>365</v>
      </c>
      <c r="D300" s="37" t="n">
        <f aca="false">Inputs!$B$9-SUMIFS(Cash_Events!$G$6:$G$20,Cash_Events!$C$6:$C$20,"rAGMF",Cash_Events!$B$6:$B$20,"&lt;="&amp;A300)</f>
        <v>1500000</v>
      </c>
      <c r="E300" s="38" t="n">
        <f aca="false">VLOOKUP(A300,Inputs!$A$40:$B$48,2,TRUE())</f>
        <v>0.0521501</v>
      </c>
      <c r="F300" s="38" t="n">
        <f aca="false">E300+Inputs!$B$10</f>
        <v>0.1196501</v>
      </c>
      <c r="G300" s="37" t="n">
        <f aca="false">D300*F300/C300</f>
        <v>491.712739726027</v>
      </c>
      <c r="H300" s="37" t="n">
        <f aca="false">IF(AND(A300&gt;=Inputs!$B$13,OR(A300&lt;Inputs!$B$19,Inputs!$B$20=1)),D300*Inputs!$B$11/C300,0)</f>
        <v>0</v>
      </c>
      <c r="I300" s="37" t="n">
        <f aca="false">Inputs!$C$9-SUMIFS(Cash_Events!$G$6:$G$20,Cash_Events!$C$6:$C$20,"FHL",Cash_Events!$B$6:$B$20,"&lt;="&amp;A300)</f>
        <v>1500000</v>
      </c>
      <c r="J300" s="38" t="n">
        <f aca="false">VLOOKUP(A300,Inputs!$F$40:$G$48,2,TRUE())</f>
        <v>0.0522223</v>
      </c>
      <c r="K300" s="38" t="n">
        <f aca="false">J300+Inputs!$C$10</f>
        <v>0.1197223</v>
      </c>
      <c r="L300" s="37" t="n">
        <f aca="false">I300*K300/C300</f>
        <v>492.009452054795</v>
      </c>
      <c r="M300" s="37" t="n">
        <f aca="false">IF(AND(A300&gt;=Inputs!$C$13,OR(A300&lt;Inputs!$B$19,Inputs!$B$20=1)),I300*Inputs!$C$11/C300,0)</f>
        <v>0</v>
      </c>
    </row>
    <row r="301" customFormat="false" ht="15" hidden="false" customHeight="false" outlineLevel="0" collapsed="false">
      <c r="A301" s="35" t="n">
        <f aca="false">A300+1</f>
        <v>45108</v>
      </c>
      <c r="B301" s="35" t="n">
        <f aca="false">EOMONTH(A301+1,0)</f>
        <v>45138</v>
      </c>
      <c r="C301" s="36" t="n">
        <f aca="false">IF(MOD(YEAR(A301),4)=0,366,365)</f>
        <v>365</v>
      </c>
      <c r="D301" s="37" t="n">
        <f aca="false">Inputs!$B$9-SUMIFS(Cash_Events!$G$6:$G$20,Cash_Events!$C$6:$C$20,"rAGMF",Cash_Events!$B$6:$B$20,"&lt;="&amp;A301)</f>
        <v>1500000</v>
      </c>
      <c r="E301" s="38" t="n">
        <f aca="false">VLOOKUP(A301,Inputs!$A$40:$B$48,2,TRUE())</f>
        <v>0.0521501</v>
      </c>
      <c r="F301" s="38" t="n">
        <f aca="false">E301+Inputs!$B$10</f>
        <v>0.1196501</v>
      </c>
      <c r="G301" s="37" t="n">
        <f aca="false">D301*F301/C301</f>
        <v>491.712739726027</v>
      </c>
      <c r="H301" s="37" t="n">
        <f aca="false">IF(AND(A301&gt;=Inputs!$B$13,OR(A301&lt;Inputs!$B$19,Inputs!$B$20=1)),D301*Inputs!$B$11/C301,0)</f>
        <v>0</v>
      </c>
      <c r="I301" s="37" t="n">
        <f aca="false">Inputs!$C$9-SUMIFS(Cash_Events!$G$6:$G$20,Cash_Events!$C$6:$C$20,"FHL",Cash_Events!$B$6:$B$20,"&lt;="&amp;A301)</f>
        <v>1500000</v>
      </c>
      <c r="J301" s="38" t="n">
        <f aca="false">VLOOKUP(A301,Inputs!$F$40:$G$48,2,TRUE())</f>
        <v>0.0522223</v>
      </c>
      <c r="K301" s="38" t="n">
        <f aca="false">J301+Inputs!$C$10</f>
        <v>0.1197223</v>
      </c>
      <c r="L301" s="37" t="n">
        <f aca="false">I301*K301/C301</f>
        <v>492.009452054795</v>
      </c>
      <c r="M301" s="37" t="n">
        <f aca="false">IF(AND(A301&gt;=Inputs!$C$13,OR(A301&lt;Inputs!$B$19,Inputs!$B$20=1)),I301*Inputs!$C$11/C301,0)</f>
        <v>0</v>
      </c>
    </row>
    <row r="302" customFormat="false" ht="15" hidden="false" customHeight="false" outlineLevel="0" collapsed="false">
      <c r="A302" s="35" t="n">
        <f aca="false">A301+1</f>
        <v>45109</v>
      </c>
      <c r="B302" s="35" t="n">
        <f aca="false">EOMONTH(A302+1,0)</f>
        <v>45138</v>
      </c>
      <c r="C302" s="36" t="n">
        <f aca="false">IF(MOD(YEAR(A302),4)=0,366,365)</f>
        <v>365</v>
      </c>
      <c r="D302" s="37" t="n">
        <f aca="false">Inputs!$B$9-SUMIFS(Cash_Events!$G$6:$G$20,Cash_Events!$C$6:$C$20,"rAGMF",Cash_Events!$B$6:$B$20,"&lt;="&amp;A302)</f>
        <v>1500000</v>
      </c>
      <c r="E302" s="38" t="n">
        <f aca="false">VLOOKUP(A302,Inputs!$A$40:$B$48,2,TRUE())</f>
        <v>0.0521501</v>
      </c>
      <c r="F302" s="38" t="n">
        <f aca="false">E302+Inputs!$B$10</f>
        <v>0.1196501</v>
      </c>
      <c r="G302" s="37" t="n">
        <f aca="false">D302*F302/C302</f>
        <v>491.712739726027</v>
      </c>
      <c r="H302" s="37" t="n">
        <f aca="false">IF(AND(A302&gt;=Inputs!$B$13,OR(A302&lt;Inputs!$B$19,Inputs!$B$20=1)),D302*Inputs!$B$11/C302,0)</f>
        <v>0</v>
      </c>
      <c r="I302" s="37" t="n">
        <f aca="false">Inputs!$C$9-SUMIFS(Cash_Events!$G$6:$G$20,Cash_Events!$C$6:$C$20,"FHL",Cash_Events!$B$6:$B$20,"&lt;="&amp;A302)</f>
        <v>1500000</v>
      </c>
      <c r="J302" s="38" t="n">
        <f aca="false">VLOOKUP(A302,Inputs!$F$40:$G$48,2,TRUE())</f>
        <v>0.0522223</v>
      </c>
      <c r="K302" s="38" t="n">
        <f aca="false">J302+Inputs!$C$10</f>
        <v>0.1197223</v>
      </c>
      <c r="L302" s="37" t="n">
        <f aca="false">I302*K302/C302</f>
        <v>492.009452054795</v>
      </c>
      <c r="M302" s="37" t="n">
        <f aca="false">IF(AND(A302&gt;=Inputs!$C$13,OR(A302&lt;Inputs!$B$19,Inputs!$B$20=1)),I302*Inputs!$C$11/C302,0)</f>
        <v>0</v>
      </c>
    </row>
    <row r="303" customFormat="false" ht="15" hidden="false" customHeight="false" outlineLevel="0" collapsed="false">
      <c r="A303" s="35" t="n">
        <f aca="false">A302+1</f>
        <v>45110</v>
      </c>
      <c r="B303" s="35" t="n">
        <f aca="false">EOMONTH(A303+1,0)</f>
        <v>45138</v>
      </c>
      <c r="C303" s="36" t="n">
        <f aca="false">IF(MOD(YEAR(A303),4)=0,366,365)</f>
        <v>365</v>
      </c>
      <c r="D303" s="37" t="n">
        <f aca="false">Inputs!$B$9-SUMIFS(Cash_Events!$G$6:$G$20,Cash_Events!$C$6:$C$20,"rAGMF",Cash_Events!$B$6:$B$20,"&lt;="&amp;A303)</f>
        <v>1500000</v>
      </c>
      <c r="E303" s="38" t="n">
        <f aca="false">VLOOKUP(A303,Inputs!$A$40:$B$48,2,TRUE())</f>
        <v>0.0521501</v>
      </c>
      <c r="F303" s="38" t="n">
        <f aca="false">E303+Inputs!$B$10</f>
        <v>0.1196501</v>
      </c>
      <c r="G303" s="37" t="n">
        <f aca="false">D303*F303/C303</f>
        <v>491.712739726027</v>
      </c>
      <c r="H303" s="37" t="n">
        <f aca="false">IF(AND(A303&gt;=Inputs!$B$13,OR(A303&lt;Inputs!$B$19,Inputs!$B$20=1)),D303*Inputs!$B$11/C303,0)</f>
        <v>0</v>
      </c>
      <c r="I303" s="37" t="n">
        <f aca="false">Inputs!$C$9-SUMIFS(Cash_Events!$G$6:$G$20,Cash_Events!$C$6:$C$20,"FHL",Cash_Events!$B$6:$B$20,"&lt;="&amp;A303)</f>
        <v>1500000</v>
      </c>
      <c r="J303" s="38" t="n">
        <f aca="false">VLOOKUP(A303,Inputs!$F$40:$G$48,2,TRUE())</f>
        <v>0.0522223</v>
      </c>
      <c r="K303" s="38" t="n">
        <f aca="false">J303+Inputs!$C$10</f>
        <v>0.1197223</v>
      </c>
      <c r="L303" s="37" t="n">
        <f aca="false">I303*K303/C303</f>
        <v>492.009452054795</v>
      </c>
      <c r="M303" s="37" t="n">
        <f aca="false">IF(AND(A303&gt;=Inputs!$C$13,OR(A303&lt;Inputs!$B$19,Inputs!$B$20=1)),I303*Inputs!$C$11/C303,0)</f>
        <v>0</v>
      </c>
    </row>
    <row r="304" customFormat="false" ht="15" hidden="false" customHeight="false" outlineLevel="0" collapsed="false">
      <c r="A304" s="35" t="n">
        <f aca="false">A303+1</f>
        <v>45111</v>
      </c>
      <c r="B304" s="35" t="n">
        <f aca="false">EOMONTH(A304+1,0)</f>
        <v>45138</v>
      </c>
      <c r="C304" s="36" t="n">
        <f aca="false">IF(MOD(YEAR(A304),4)=0,366,365)</f>
        <v>365</v>
      </c>
      <c r="D304" s="37" t="n">
        <f aca="false">Inputs!$B$9-SUMIFS(Cash_Events!$G$6:$G$20,Cash_Events!$C$6:$C$20,"rAGMF",Cash_Events!$B$6:$B$20,"&lt;="&amp;A304)</f>
        <v>1500000</v>
      </c>
      <c r="E304" s="38" t="n">
        <f aca="false">VLOOKUP(A304,Inputs!$A$40:$B$48,2,TRUE())</f>
        <v>0.0521501</v>
      </c>
      <c r="F304" s="38" t="n">
        <f aca="false">E304+Inputs!$B$10</f>
        <v>0.1196501</v>
      </c>
      <c r="G304" s="37" t="n">
        <f aca="false">D304*F304/C304</f>
        <v>491.712739726027</v>
      </c>
      <c r="H304" s="37" t="n">
        <f aca="false">IF(AND(A304&gt;=Inputs!$B$13,OR(A304&lt;Inputs!$B$19,Inputs!$B$20=1)),D304*Inputs!$B$11/C304,0)</f>
        <v>0</v>
      </c>
      <c r="I304" s="37" t="n">
        <f aca="false">Inputs!$C$9-SUMIFS(Cash_Events!$G$6:$G$20,Cash_Events!$C$6:$C$20,"FHL",Cash_Events!$B$6:$B$20,"&lt;="&amp;A304)</f>
        <v>1500000</v>
      </c>
      <c r="J304" s="38" t="n">
        <f aca="false">VLOOKUP(A304,Inputs!$F$40:$G$48,2,TRUE())</f>
        <v>0.0522223</v>
      </c>
      <c r="K304" s="38" t="n">
        <f aca="false">J304+Inputs!$C$10</f>
        <v>0.1197223</v>
      </c>
      <c r="L304" s="37" t="n">
        <f aca="false">I304*K304/C304</f>
        <v>492.009452054795</v>
      </c>
      <c r="M304" s="37" t="n">
        <f aca="false">IF(AND(A304&gt;=Inputs!$C$13,OR(A304&lt;Inputs!$B$19,Inputs!$B$20=1)),I304*Inputs!$C$11/C304,0)</f>
        <v>0</v>
      </c>
    </row>
    <row r="305" customFormat="false" ht="15" hidden="false" customHeight="false" outlineLevel="0" collapsed="false">
      <c r="A305" s="35" t="n">
        <f aca="false">A304+1</f>
        <v>45112</v>
      </c>
      <c r="B305" s="35" t="n">
        <f aca="false">EOMONTH(A305+1,0)</f>
        <v>45138</v>
      </c>
      <c r="C305" s="36" t="n">
        <f aca="false">IF(MOD(YEAR(A305),4)=0,366,365)</f>
        <v>365</v>
      </c>
      <c r="D305" s="37" t="n">
        <f aca="false">Inputs!$B$9-SUMIFS(Cash_Events!$G$6:$G$20,Cash_Events!$C$6:$C$20,"rAGMF",Cash_Events!$B$6:$B$20,"&lt;="&amp;A305)</f>
        <v>1500000</v>
      </c>
      <c r="E305" s="38" t="n">
        <f aca="false">VLOOKUP(A305,Inputs!$A$40:$B$48,2,TRUE())</f>
        <v>0.0521501</v>
      </c>
      <c r="F305" s="38" t="n">
        <f aca="false">E305+Inputs!$B$10</f>
        <v>0.1196501</v>
      </c>
      <c r="G305" s="37" t="n">
        <f aca="false">D305*F305/C305</f>
        <v>491.712739726027</v>
      </c>
      <c r="H305" s="37" t="n">
        <f aca="false">IF(AND(A305&gt;=Inputs!$B$13,OR(A305&lt;Inputs!$B$19,Inputs!$B$20=1)),D305*Inputs!$B$11/C305,0)</f>
        <v>0</v>
      </c>
      <c r="I305" s="37" t="n">
        <f aca="false">Inputs!$C$9-SUMIFS(Cash_Events!$G$6:$G$20,Cash_Events!$C$6:$C$20,"FHL",Cash_Events!$B$6:$B$20,"&lt;="&amp;A305)</f>
        <v>1500000</v>
      </c>
      <c r="J305" s="38" t="n">
        <f aca="false">VLOOKUP(A305,Inputs!$F$40:$G$48,2,TRUE())</f>
        <v>0.0522223</v>
      </c>
      <c r="K305" s="38" t="n">
        <f aca="false">J305+Inputs!$C$10</f>
        <v>0.1197223</v>
      </c>
      <c r="L305" s="37" t="n">
        <f aca="false">I305*K305/C305</f>
        <v>492.009452054795</v>
      </c>
      <c r="M305" s="37" t="n">
        <f aca="false">IF(AND(A305&gt;=Inputs!$C$13,OR(A305&lt;Inputs!$B$19,Inputs!$B$20=1)),I305*Inputs!$C$11/C305,0)</f>
        <v>0</v>
      </c>
    </row>
    <row r="306" customFormat="false" ht="15" hidden="false" customHeight="false" outlineLevel="0" collapsed="false">
      <c r="A306" s="35" t="n">
        <f aca="false">A305+1</f>
        <v>45113</v>
      </c>
      <c r="B306" s="35" t="n">
        <f aca="false">EOMONTH(A306+1,0)</f>
        <v>45138</v>
      </c>
      <c r="C306" s="36" t="n">
        <f aca="false">IF(MOD(YEAR(A306),4)=0,366,365)</f>
        <v>365</v>
      </c>
      <c r="D306" s="37" t="n">
        <f aca="false">Inputs!$B$9-SUMIFS(Cash_Events!$G$6:$G$20,Cash_Events!$C$6:$C$20,"rAGMF",Cash_Events!$B$6:$B$20,"&lt;="&amp;A306)</f>
        <v>1500000</v>
      </c>
      <c r="E306" s="38" t="n">
        <f aca="false">VLOOKUP(A306,Inputs!$A$40:$B$48,2,TRUE())</f>
        <v>0.0521501</v>
      </c>
      <c r="F306" s="38" t="n">
        <f aca="false">E306+Inputs!$B$10</f>
        <v>0.1196501</v>
      </c>
      <c r="G306" s="37" t="n">
        <f aca="false">D306*F306/C306</f>
        <v>491.712739726027</v>
      </c>
      <c r="H306" s="37" t="n">
        <f aca="false">IF(AND(A306&gt;=Inputs!$B$13,OR(A306&lt;Inputs!$B$19,Inputs!$B$20=1)),D306*Inputs!$B$11/C306,0)</f>
        <v>0</v>
      </c>
      <c r="I306" s="37" t="n">
        <f aca="false">Inputs!$C$9-SUMIFS(Cash_Events!$G$6:$G$20,Cash_Events!$C$6:$C$20,"FHL",Cash_Events!$B$6:$B$20,"&lt;="&amp;A306)</f>
        <v>1500000</v>
      </c>
      <c r="J306" s="38" t="n">
        <f aca="false">VLOOKUP(A306,Inputs!$F$40:$G$48,2,TRUE())</f>
        <v>0.0522223</v>
      </c>
      <c r="K306" s="38" t="n">
        <f aca="false">J306+Inputs!$C$10</f>
        <v>0.1197223</v>
      </c>
      <c r="L306" s="37" t="n">
        <f aca="false">I306*K306/C306</f>
        <v>492.009452054795</v>
      </c>
      <c r="M306" s="37" t="n">
        <f aca="false">IF(AND(A306&gt;=Inputs!$C$13,OR(A306&lt;Inputs!$B$19,Inputs!$B$20=1)),I306*Inputs!$C$11/C306,0)</f>
        <v>0</v>
      </c>
    </row>
    <row r="307" customFormat="false" ht="15" hidden="false" customHeight="false" outlineLevel="0" collapsed="false">
      <c r="A307" s="35" t="n">
        <f aca="false">A306+1</f>
        <v>45114</v>
      </c>
      <c r="B307" s="35" t="n">
        <f aca="false">EOMONTH(A307+1,0)</f>
        <v>45138</v>
      </c>
      <c r="C307" s="36" t="n">
        <f aca="false">IF(MOD(YEAR(A307),4)=0,366,365)</f>
        <v>365</v>
      </c>
      <c r="D307" s="37" t="n">
        <f aca="false">Inputs!$B$9-SUMIFS(Cash_Events!$G$6:$G$20,Cash_Events!$C$6:$C$20,"rAGMF",Cash_Events!$B$6:$B$20,"&lt;="&amp;A307)</f>
        <v>1500000</v>
      </c>
      <c r="E307" s="38" t="n">
        <f aca="false">VLOOKUP(A307,Inputs!$A$40:$B$48,2,TRUE())</f>
        <v>0.0521501</v>
      </c>
      <c r="F307" s="38" t="n">
        <f aca="false">E307+Inputs!$B$10</f>
        <v>0.1196501</v>
      </c>
      <c r="G307" s="37" t="n">
        <f aca="false">D307*F307/C307</f>
        <v>491.712739726027</v>
      </c>
      <c r="H307" s="37" t="n">
        <f aca="false">IF(AND(A307&gt;=Inputs!$B$13,OR(A307&lt;Inputs!$B$19,Inputs!$B$20=1)),D307*Inputs!$B$11/C307,0)</f>
        <v>0</v>
      </c>
      <c r="I307" s="37" t="n">
        <f aca="false">Inputs!$C$9-SUMIFS(Cash_Events!$G$6:$G$20,Cash_Events!$C$6:$C$20,"FHL",Cash_Events!$B$6:$B$20,"&lt;="&amp;A307)</f>
        <v>1500000</v>
      </c>
      <c r="J307" s="38" t="n">
        <f aca="false">VLOOKUP(A307,Inputs!$F$40:$G$48,2,TRUE())</f>
        <v>0.0522223</v>
      </c>
      <c r="K307" s="38" t="n">
        <f aca="false">J307+Inputs!$C$10</f>
        <v>0.1197223</v>
      </c>
      <c r="L307" s="37" t="n">
        <f aca="false">I307*K307/C307</f>
        <v>492.009452054795</v>
      </c>
      <c r="M307" s="37" t="n">
        <f aca="false">IF(AND(A307&gt;=Inputs!$C$13,OR(A307&lt;Inputs!$B$19,Inputs!$B$20=1)),I307*Inputs!$C$11/C307,0)</f>
        <v>0</v>
      </c>
    </row>
    <row r="308" customFormat="false" ht="15" hidden="false" customHeight="false" outlineLevel="0" collapsed="false">
      <c r="A308" s="35" t="n">
        <f aca="false">A307+1</f>
        <v>45115</v>
      </c>
      <c r="B308" s="35" t="n">
        <f aca="false">EOMONTH(A308+1,0)</f>
        <v>45138</v>
      </c>
      <c r="C308" s="36" t="n">
        <f aca="false">IF(MOD(YEAR(A308),4)=0,366,365)</f>
        <v>365</v>
      </c>
      <c r="D308" s="37" t="n">
        <f aca="false">Inputs!$B$9-SUMIFS(Cash_Events!$G$6:$G$20,Cash_Events!$C$6:$C$20,"rAGMF",Cash_Events!$B$6:$B$20,"&lt;="&amp;A308)</f>
        <v>1500000</v>
      </c>
      <c r="E308" s="38" t="n">
        <f aca="false">VLOOKUP(A308,Inputs!$A$40:$B$48,2,TRUE())</f>
        <v>0.0521501</v>
      </c>
      <c r="F308" s="38" t="n">
        <f aca="false">E308+Inputs!$B$10</f>
        <v>0.1196501</v>
      </c>
      <c r="G308" s="37" t="n">
        <f aca="false">D308*F308/C308</f>
        <v>491.712739726027</v>
      </c>
      <c r="H308" s="37" t="n">
        <f aca="false">IF(AND(A308&gt;=Inputs!$B$13,OR(A308&lt;Inputs!$B$19,Inputs!$B$20=1)),D308*Inputs!$B$11/C308,0)</f>
        <v>0</v>
      </c>
      <c r="I308" s="37" t="n">
        <f aca="false">Inputs!$C$9-SUMIFS(Cash_Events!$G$6:$G$20,Cash_Events!$C$6:$C$20,"FHL",Cash_Events!$B$6:$B$20,"&lt;="&amp;A308)</f>
        <v>1500000</v>
      </c>
      <c r="J308" s="38" t="n">
        <f aca="false">VLOOKUP(A308,Inputs!$F$40:$G$48,2,TRUE())</f>
        <v>0.0522223</v>
      </c>
      <c r="K308" s="38" t="n">
        <f aca="false">J308+Inputs!$C$10</f>
        <v>0.1197223</v>
      </c>
      <c r="L308" s="37" t="n">
        <f aca="false">I308*K308/C308</f>
        <v>492.009452054795</v>
      </c>
      <c r="M308" s="37" t="n">
        <f aca="false">IF(AND(A308&gt;=Inputs!$C$13,OR(A308&lt;Inputs!$B$19,Inputs!$B$20=1)),I308*Inputs!$C$11/C308,0)</f>
        <v>0</v>
      </c>
    </row>
    <row r="309" customFormat="false" ht="15" hidden="false" customHeight="false" outlineLevel="0" collapsed="false">
      <c r="A309" s="35" t="n">
        <f aca="false">A308+1</f>
        <v>45116</v>
      </c>
      <c r="B309" s="35" t="n">
        <f aca="false">EOMONTH(A309+1,0)</f>
        <v>45138</v>
      </c>
      <c r="C309" s="36" t="n">
        <f aca="false">IF(MOD(YEAR(A309),4)=0,366,365)</f>
        <v>365</v>
      </c>
      <c r="D309" s="37" t="n">
        <f aca="false">Inputs!$B$9-SUMIFS(Cash_Events!$G$6:$G$20,Cash_Events!$C$6:$C$20,"rAGMF",Cash_Events!$B$6:$B$20,"&lt;="&amp;A309)</f>
        <v>1500000</v>
      </c>
      <c r="E309" s="38" t="n">
        <f aca="false">VLOOKUP(A309,Inputs!$A$40:$B$48,2,TRUE())</f>
        <v>0.0521501</v>
      </c>
      <c r="F309" s="38" t="n">
        <f aca="false">E309+Inputs!$B$10</f>
        <v>0.1196501</v>
      </c>
      <c r="G309" s="37" t="n">
        <f aca="false">D309*F309/C309</f>
        <v>491.712739726027</v>
      </c>
      <c r="H309" s="37" t="n">
        <f aca="false">IF(AND(A309&gt;=Inputs!$B$13,OR(A309&lt;Inputs!$B$19,Inputs!$B$20=1)),D309*Inputs!$B$11/C309,0)</f>
        <v>0</v>
      </c>
      <c r="I309" s="37" t="n">
        <f aca="false">Inputs!$C$9-SUMIFS(Cash_Events!$G$6:$G$20,Cash_Events!$C$6:$C$20,"FHL",Cash_Events!$B$6:$B$20,"&lt;="&amp;A309)</f>
        <v>1500000</v>
      </c>
      <c r="J309" s="38" t="n">
        <f aca="false">VLOOKUP(A309,Inputs!$F$40:$G$48,2,TRUE())</f>
        <v>0.0522223</v>
      </c>
      <c r="K309" s="38" t="n">
        <f aca="false">J309+Inputs!$C$10</f>
        <v>0.1197223</v>
      </c>
      <c r="L309" s="37" t="n">
        <f aca="false">I309*K309/C309</f>
        <v>492.009452054795</v>
      </c>
      <c r="M309" s="37" t="n">
        <f aca="false">IF(AND(A309&gt;=Inputs!$C$13,OR(A309&lt;Inputs!$B$19,Inputs!$B$20=1)),I309*Inputs!$C$11/C309,0)</f>
        <v>0</v>
      </c>
    </row>
    <row r="310" customFormat="false" ht="15" hidden="false" customHeight="false" outlineLevel="0" collapsed="false">
      <c r="A310" s="35" t="n">
        <f aca="false">A309+1</f>
        <v>45117</v>
      </c>
      <c r="B310" s="35" t="n">
        <f aca="false">EOMONTH(A310+1,0)</f>
        <v>45138</v>
      </c>
      <c r="C310" s="36" t="n">
        <f aca="false">IF(MOD(YEAR(A310),4)=0,366,365)</f>
        <v>365</v>
      </c>
      <c r="D310" s="37" t="n">
        <f aca="false">Inputs!$B$9-SUMIFS(Cash_Events!$G$6:$G$20,Cash_Events!$C$6:$C$20,"rAGMF",Cash_Events!$B$6:$B$20,"&lt;="&amp;A310)</f>
        <v>1500000</v>
      </c>
      <c r="E310" s="38" t="n">
        <f aca="false">VLOOKUP(A310,Inputs!$A$40:$B$48,2,TRUE())</f>
        <v>0.0521501</v>
      </c>
      <c r="F310" s="38" t="n">
        <f aca="false">E310+Inputs!$B$10</f>
        <v>0.1196501</v>
      </c>
      <c r="G310" s="37" t="n">
        <f aca="false">D310*F310/C310</f>
        <v>491.712739726027</v>
      </c>
      <c r="H310" s="37" t="n">
        <f aca="false">IF(AND(A310&gt;=Inputs!$B$13,OR(A310&lt;Inputs!$B$19,Inputs!$B$20=1)),D310*Inputs!$B$11/C310,0)</f>
        <v>0</v>
      </c>
      <c r="I310" s="37" t="n">
        <f aca="false">Inputs!$C$9-SUMIFS(Cash_Events!$G$6:$G$20,Cash_Events!$C$6:$C$20,"FHL",Cash_Events!$B$6:$B$20,"&lt;="&amp;A310)</f>
        <v>1500000</v>
      </c>
      <c r="J310" s="38" t="n">
        <f aca="false">VLOOKUP(A310,Inputs!$F$40:$G$48,2,TRUE())</f>
        <v>0.0522223</v>
      </c>
      <c r="K310" s="38" t="n">
        <f aca="false">J310+Inputs!$C$10</f>
        <v>0.1197223</v>
      </c>
      <c r="L310" s="37" t="n">
        <f aca="false">I310*K310/C310</f>
        <v>492.009452054795</v>
      </c>
      <c r="M310" s="37" t="n">
        <f aca="false">IF(AND(A310&gt;=Inputs!$C$13,OR(A310&lt;Inputs!$B$19,Inputs!$B$20=1)),I310*Inputs!$C$11/C310,0)</f>
        <v>0</v>
      </c>
    </row>
    <row r="311" customFormat="false" ht="15" hidden="false" customHeight="false" outlineLevel="0" collapsed="false">
      <c r="A311" s="35" t="n">
        <f aca="false">A310+1</f>
        <v>45118</v>
      </c>
      <c r="B311" s="35" t="n">
        <f aca="false">EOMONTH(A311+1,0)</f>
        <v>45138</v>
      </c>
      <c r="C311" s="36" t="n">
        <f aca="false">IF(MOD(YEAR(A311),4)=0,366,365)</f>
        <v>365</v>
      </c>
      <c r="D311" s="37" t="n">
        <f aca="false">Inputs!$B$9-SUMIFS(Cash_Events!$G$6:$G$20,Cash_Events!$C$6:$C$20,"rAGMF",Cash_Events!$B$6:$B$20,"&lt;="&amp;A311)</f>
        <v>1500000</v>
      </c>
      <c r="E311" s="38" t="n">
        <f aca="false">VLOOKUP(A311,Inputs!$A$40:$B$48,2,TRUE())</f>
        <v>0.0521501</v>
      </c>
      <c r="F311" s="38" t="n">
        <f aca="false">E311+Inputs!$B$10</f>
        <v>0.1196501</v>
      </c>
      <c r="G311" s="37" t="n">
        <f aca="false">D311*F311/C311</f>
        <v>491.712739726027</v>
      </c>
      <c r="H311" s="37" t="n">
        <f aca="false">IF(AND(A311&gt;=Inputs!$B$13,OR(A311&lt;Inputs!$B$19,Inputs!$B$20=1)),D311*Inputs!$B$11/C311,0)</f>
        <v>0</v>
      </c>
      <c r="I311" s="37" t="n">
        <f aca="false">Inputs!$C$9-SUMIFS(Cash_Events!$G$6:$G$20,Cash_Events!$C$6:$C$20,"FHL",Cash_Events!$B$6:$B$20,"&lt;="&amp;A311)</f>
        <v>1500000</v>
      </c>
      <c r="J311" s="38" t="n">
        <f aca="false">VLOOKUP(A311,Inputs!$F$40:$G$48,2,TRUE())</f>
        <v>0.0522223</v>
      </c>
      <c r="K311" s="38" t="n">
        <f aca="false">J311+Inputs!$C$10</f>
        <v>0.1197223</v>
      </c>
      <c r="L311" s="37" t="n">
        <f aca="false">I311*K311/C311</f>
        <v>492.009452054795</v>
      </c>
      <c r="M311" s="37" t="n">
        <f aca="false">IF(AND(A311&gt;=Inputs!$C$13,OR(A311&lt;Inputs!$B$19,Inputs!$B$20=1)),I311*Inputs!$C$11/C311,0)</f>
        <v>0</v>
      </c>
    </row>
    <row r="312" customFormat="false" ht="15" hidden="false" customHeight="false" outlineLevel="0" collapsed="false">
      <c r="A312" s="35" t="n">
        <f aca="false">A311+1</f>
        <v>45119</v>
      </c>
      <c r="B312" s="35" t="n">
        <f aca="false">EOMONTH(A312+1,0)</f>
        <v>45138</v>
      </c>
      <c r="C312" s="36" t="n">
        <f aca="false">IF(MOD(YEAR(A312),4)=0,366,365)</f>
        <v>365</v>
      </c>
      <c r="D312" s="37" t="n">
        <f aca="false">Inputs!$B$9-SUMIFS(Cash_Events!$G$6:$G$20,Cash_Events!$C$6:$C$20,"rAGMF",Cash_Events!$B$6:$B$20,"&lt;="&amp;A312)</f>
        <v>1500000</v>
      </c>
      <c r="E312" s="38" t="n">
        <f aca="false">VLOOKUP(A312,Inputs!$A$40:$B$48,2,TRUE())</f>
        <v>0.0521501</v>
      </c>
      <c r="F312" s="38" t="n">
        <f aca="false">E312+Inputs!$B$10</f>
        <v>0.1196501</v>
      </c>
      <c r="G312" s="37" t="n">
        <f aca="false">D312*F312/C312</f>
        <v>491.712739726027</v>
      </c>
      <c r="H312" s="37" t="n">
        <f aca="false">IF(AND(A312&gt;=Inputs!$B$13,OR(A312&lt;Inputs!$B$19,Inputs!$B$20=1)),D312*Inputs!$B$11/C312,0)</f>
        <v>0</v>
      </c>
      <c r="I312" s="37" t="n">
        <f aca="false">Inputs!$C$9-SUMIFS(Cash_Events!$G$6:$G$20,Cash_Events!$C$6:$C$20,"FHL",Cash_Events!$B$6:$B$20,"&lt;="&amp;A312)</f>
        <v>1500000</v>
      </c>
      <c r="J312" s="38" t="n">
        <f aca="false">VLOOKUP(A312,Inputs!$F$40:$G$48,2,TRUE())</f>
        <v>0.0522223</v>
      </c>
      <c r="K312" s="38" t="n">
        <f aca="false">J312+Inputs!$C$10</f>
        <v>0.1197223</v>
      </c>
      <c r="L312" s="37" t="n">
        <f aca="false">I312*K312/C312</f>
        <v>492.009452054795</v>
      </c>
      <c r="M312" s="37" t="n">
        <f aca="false">IF(AND(A312&gt;=Inputs!$C$13,OR(A312&lt;Inputs!$B$19,Inputs!$B$20=1)),I312*Inputs!$C$11/C312,0)</f>
        <v>0</v>
      </c>
    </row>
    <row r="313" customFormat="false" ht="15" hidden="false" customHeight="false" outlineLevel="0" collapsed="false">
      <c r="A313" s="35" t="n">
        <f aca="false">A312+1</f>
        <v>45120</v>
      </c>
      <c r="B313" s="35" t="n">
        <f aca="false">EOMONTH(A313+1,0)</f>
        <v>45138</v>
      </c>
      <c r="C313" s="36" t="n">
        <f aca="false">IF(MOD(YEAR(A313),4)=0,366,365)</f>
        <v>365</v>
      </c>
      <c r="D313" s="37" t="n">
        <f aca="false">Inputs!$B$9-SUMIFS(Cash_Events!$G$6:$G$20,Cash_Events!$C$6:$C$20,"rAGMF",Cash_Events!$B$6:$B$20,"&lt;="&amp;A313)</f>
        <v>1500000</v>
      </c>
      <c r="E313" s="38" t="n">
        <f aca="false">VLOOKUP(A313,Inputs!$A$40:$B$48,2,TRUE())</f>
        <v>0.0521501</v>
      </c>
      <c r="F313" s="38" t="n">
        <f aca="false">E313+Inputs!$B$10</f>
        <v>0.1196501</v>
      </c>
      <c r="G313" s="37" t="n">
        <f aca="false">D313*F313/C313</f>
        <v>491.712739726027</v>
      </c>
      <c r="H313" s="37" t="n">
        <f aca="false">IF(AND(A313&gt;=Inputs!$B$13,OR(A313&lt;Inputs!$B$19,Inputs!$B$20=1)),D313*Inputs!$B$11/C313,0)</f>
        <v>0</v>
      </c>
      <c r="I313" s="37" t="n">
        <f aca="false">Inputs!$C$9-SUMIFS(Cash_Events!$G$6:$G$20,Cash_Events!$C$6:$C$20,"FHL",Cash_Events!$B$6:$B$20,"&lt;="&amp;A313)</f>
        <v>1500000</v>
      </c>
      <c r="J313" s="38" t="n">
        <f aca="false">VLOOKUP(A313,Inputs!$F$40:$G$48,2,TRUE())</f>
        <v>0.0522223</v>
      </c>
      <c r="K313" s="38" t="n">
        <f aca="false">J313+Inputs!$C$10</f>
        <v>0.1197223</v>
      </c>
      <c r="L313" s="37" t="n">
        <f aca="false">I313*K313/C313</f>
        <v>492.009452054795</v>
      </c>
      <c r="M313" s="37" t="n">
        <f aca="false">IF(AND(A313&gt;=Inputs!$C$13,OR(A313&lt;Inputs!$B$19,Inputs!$B$20=1)),I313*Inputs!$C$11/C313,0)</f>
        <v>0</v>
      </c>
    </row>
    <row r="314" customFormat="false" ht="15" hidden="false" customHeight="false" outlineLevel="0" collapsed="false">
      <c r="A314" s="35" t="n">
        <f aca="false">A313+1</f>
        <v>45121</v>
      </c>
      <c r="B314" s="35" t="n">
        <f aca="false">EOMONTH(A314+1,0)</f>
        <v>45138</v>
      </c>
      <c r="C314" s="36" t="n">
        <f aca="false">IF(MOD(YEAR(A314),4)=0,366,365)</f>
        <v>365</v>
      </c>
      <c r="D314" s="37" t="n">
        <f aca="false">Inputs!$B$9-SUMIFS(Cash_Events!$G$6:$G$20,Cash_Events!$C$6:$C$20,"rAGMF",Cash_Events!$B$6:$B$20,"&lt;="&amp;A314)</f>
        <v>1500000</v>
      </c>
      <c r="E314" s="38" t="n">
        <f aca="false">VLOOKUP(A314,Inputs!$A$40:$B$48,2,TRUE())</f>
        <v>0.0521501</v>
      </c>
      <c r="F314" s="38" t="n">
        <f aca="false">E314+Inputs!$B$10</f>
        <v>0.1196501</v>
      </c>
      <c r="G314" s="37" t="n">
        <f aca="false">D314*F314/C314</f>
        <v>491.712739726027</v>
      </c>
      <c r="H314" s="37" t="n">
        <f aca="false">IF(AND(A314&gt;=Inputs!$B$13,OR(A314&lt;Inputs!$B$19,Inputs!$B$20=1)),D314*Inputs!$B$11/C314,0)</f>
        <v>0</v>
      </c>
      <c r="I314" s="37" t="n">
        <f aca="false">Inputs!$C$9-SUMIFS(Cash_Events!$G$6:$G$20,Cash_Events!$C$6:$C$20,"FHL",Cash_Events!$B$6:$B$20,"&lt;="&amp;A314)</f>
        <v>1500000</v>
      </c>
      <c r="J314" s="38" t="n">
        <f aca="false">VLOOKUP(A314,Inputs!$F$40:$G$48,2,TRUE())</f>
        <v>0.0522223</v>
      </c>
      <c r="K314" s="38" t="n">
        <f aca="false">J314+Inputs!$C$10</f>
        <v>0.1197223</v>
      </c>
      <c r="L314" s="37" t="n">
        <f aca="false">I314*K314/C314</f>
        <v>492.009452054795</v>
      </c>
      <c r="M314" s="37" t="n">
        <f aca="false">IF(AND(A314&gt;=Inputs!$C$13,OR(A314&lt;Inputs!$B$19,Inputs!$B$20=1)),I314*Inputs!$C$11/C314,0)</f>
        <v>0</v>
      </c>
    </row>
    <row r="315" customFormat="false" ht="15" hidden="false" customHeight="false" outlineLevel="0" collapsed="false">
      <c r="A315" s="35" t="n">
        <f aca="false">A314+1</f>
        <v>45122</v>
      </c>
      <c r="B315" s="35" t="n">
        <f aca="false">EOMONTH(A315+1,0)</f>
        <v>45138</v>
      </c>
      <c r="C315" s="36" t="n">
        <f aca="false">IF(MOD(YEAR(A315),4)=0,366,365)</f>
        <v>365</v>
      </c>
      <c r="D315" s="37" t="n">
        <f aca="false">Inputs!$B$9-SUMIFS(Cash_Events!$G$6:$G$20,Cash_Events!$C$6:$C$20,"rAGMF",Cash_Events!$B$6:$B$20,"&lt;="&amp;A315)</f>
        <v>1500000</v>
      </c>
      <c r="E315" s="38" t="n">
        <f aca="false">VLOOKUP(A315,Inputs!$A$40:$B$48,2,TRUE())</f>
        <v>0.0521501</v>
      </c>
      <c r="F315" s="38" t="n">
        <f aca="false">E315+Inputs!$B$10</f>
        <v>0.1196501</v>
      </c>
      <c r="G315" s="37" t="n">
        <f aca="false">D315*F315/C315</f>
        <v>491.712739726027</v>
      </c>
      <c r="H315" s="37" t="n">
        <f aca="false">IF(AND(A315&gt;=Inputs!$B$13,OR(A315&lt;Inputs!$B$19,Inputs!$B$20=1)),D315*Inputs!$B$11/C315,0)</f>
        <v>0</v>
      </c>
      <c r="I315" s="37" t="n">
        <f aca="false">Inputs!$C$9-SUMIFS(Cash_Events!$G$6:$G$20,Cash_Events!$C$6:$C$20,"FHL",Cash_Events!$B$6:$B$20,"&lt;="&amp;A315)</f>
        <v>1500000</v>
      </c>
      <c r="J315" s="38" t="n">
        <f aca="false">VLOOKUP(A315,Inputs!$F$40:$G$48,2,TRUE())</f>
        <v>0.0522223</v>
      </c>
      <c r="K315" s="38" t="n">
        <f aca="false">J315+Inputs!$C$10</f>
        <v>0.1197223</v>
      </c>
      <c r="L315" s="37" t="n">
        <f aca="false">I315*K315/C315</f>
        <v>492.009452054795</v>
      </c>
      <c r="M315" s="37" t="n">
        <f aca="false">IF(AND(A315&gt;=Inputs!$C$13,OR(A315&lt;Inputs!$B$19,Inputs!$B$20=1)),I315*Inputs!$C$11/C315,0)</f>
        <v>0</v>
      </c>
    </row>
    <row r="316" customFormat="false" ht="15" hidden="false" customHeight="false" outlineLevel="0" collapsed="false">
      <c r="A316" s="35" t="n">
        <f aca="false">A315+1</f>
        <v>45123</v>
      </c>
      <c r="B316" s="35" t="n">
        <f aca="false">EOMONTH(A316+1,0)</f>
        <v>45138</v>
      </c>
      <c r="C316" s="36" t="n">
        <f aca="false">IF(MOD(YEAR(A316),4)=0,366,365)</f>
        <v>365</v>
      </c>
      <c r="D316" s="37" t="n">
        <f aca="false">Inputs!$B$9-SUMIFS(Cash_Events!$G$6:$G$20,Cash_Events!$C$6:$C$20,"rAGMF",Cash_Events!$B$6:$B$20,"&lt;="&amp;A316)</f>
        <v>1500000</v>
      </c>
      <c r="E316" s="38" t="n">
        <f aca="false">VLOOKUP(A316,Inputs!$A$40:$B$48,2,TRUE())</f>
        <v>0.0521501</v>
      </c>
      <c r="F316" s="38" t="n">
        <f aca="false">E316+Inputs!$B$10</f>
        <v>0.1196501</v>
      </c>
      <c r="G316" s="37" t="n">
        <f aca="false">D316*F316/C316</f>
        <v>491.712739726027</v>
      </c>
      <c r="H316" s="37" t="n">
        <f aca="false">IF(AND(A316&gt;=Inputs!$B$13,OR(A316&lt;Inputs!$B$19,Inputs!$B$20=1)),D316*Inputs!$B$11/C316,0)</f>
        <v>0</v>
      </c>
      <c r="I316" s="37" t="n">
        <f aca="false">Inputs!$C$9-SUMIFS(Cash_Events!$G$6:$G$20,Cash_Events!$C$6:$C$20,"FHL",Cash_Events!$B$6:$B$20,"&lt;="&amp;A316)</f>
        <v>1500000</v>
      </c>
      <c r="J316" s="38" t="n">
        <f aca="false">VLOOKUP(A316,Inputs!$F$40:$G$48,2,TRUE())</f>
        <v>0.0522223</v>
      </c>
      <c r="K316" s="38" t="n">
        <f aca="false">J316+Inputs!$C$10</f>
        <v>0.1197223</v>
      </c>
      <c r="L316" s="37" t="n">
        <f aca="false">I316*K316/C316</f>
        <v>492.009452054795</v>
      </c>
      <c r="M316" s="37" t="n">
        <f aca="false">IF(AND(A316&gt;=Inputs!$C$13,OR(A316&lt;Inputs!$B$19,Inputs!$B$20=1)),I316*Inputs!$C$11/C316,0)</f>
        <v>0</v>
      </c>
    </row>
    <row r="317" customFormat="false" ht="15" hidden="false" customHeight="false" outlineLevel="0" collapsed="false">
      <c r="A317" s="35" t="n">
        <f aca="false">A316+1</f>
        <v>45124</v>
      </c>
      <c r="B317" s="35" t="n">
        <f aca="false">EOMONTH(A317+1,0)</f>
        <v>45138</v>
      </c>
      <c r="C317" s="36" t="n">
        <f aca="false">IF(MOD(YEAR(A317),4)=0,366,365)</f>
        <v>365</v>
      </c>
      <c r="D317" s="37" t="n">
        <f aca="false">Inputs!$B$9-SUMIFS(Cash_Events!$G$6:$G$20,Cash_Events!$C$6:$C$20,"rAGMF",Cash_Events!$B$6:$B$20,"&lt;="&amp;A317)</f>
        <v>1500000</v>
      </c>
      <c r="E317" s="38" t="n">
        <f aca="false">VLOOKUP(A317,Inputs!$A$40:$B$48,2,TRUE())</f>
        <v>0.0521501</v>
      </c>
      <c r="F317" s="38" t="n">
        <f aca="false">E317+Inputs!$B$10</f>
        <v>0.1196501</v>
      </c>
      <c r="G317" s="37" t="n">
        <f aca="false">D317*F317/C317</f>
        <v>491.712739726027</v>
      </c>
      <c r="H317" s="37" t="n">
        <f aca="false">IF(AND(A317&gt;=Inputs!$B$13,OR(A317&lt;Inputs!$B$19,Inputs!$B$20=1)),D317*Inputs!$B$11/C317,0)</f>
        <v>0</v>
      </c>
      <c r="I317" s="37" t="n">
        <f aca="false">Inputs!$C$9-SUMIFS(Cash_Events!$G$6:$G$20,Cash_Events!$C$6:$C$20,"FHL",Cash_Events!$B$6:$B$20,"&lt;="&amp;A317)</f>
        <v>1500000</v>
      </c>
      <c r="J317" s="38" t="n">
        <f aca="false">VLOOKUP(A317,Inputs!$F$40:$G$48,2,TRUE())</f>
        <v>0.0522223</v>
      </c>
      <c r="K317" s="38" t="n">
        <f aca="false">J317+Inputs!$C$10</f>
        <v>0.1197223</v>
      </c>
      <c r="L317" s="37" t="n">
        <f aca="false">I317*K317/C317</f>
        <v>492.009452054795</v>
      </c>
      <c r="M317" s="37" t="n">
        <f aca="false">IF(AND(A317&gt;=Inputs!$C$13,OR(A317&lt;Inputs!$B$19,Inputs!$B$20=1)),I317*Inputs!$C$11/C317,0)</f>
        <v>0</v>
      </c>
    </row>
    <row r="318" customFormat="false" ht="15" hidden="false" customHeight="false" outlineLevel="0" collapsed="false">
      <c r="A318" s="35" t="n">
        <f aca="false">A317+1</f>
        <v>45125</v>
      </c>
      <c r="B318" s="35" t="n">
        <f aca="false">EOMONTH(A318+1,0)</f>
        <v>45138</v>
      </c>
      <c r="C318" s="36" t="n">
        <f aca="false">IF(MOD(YEAR(A318),4)=0,366,365)</f>
        <v>365</v>
      </c>
      <c r="D318" s="37" t="n">
        <f aca="false">Inputs!$B$9-SUMIFS(Cash_Events!$G$6:$G$20,Cash_Events!$C$6:$C$20,"rAGMF",Cash_Events!$B$6:$B$20,"&lt;="&amp;A318)</f>
        <v>1500000</v>
      </c>
      <c r="E318" s="38" t="n">
        <f aca="false">VLOOKUP(A318,Inputs!$A$40:$B$48,2,TRUE())</f>
        <v>0.0521501</v>
      </c>
      <c r="F318" s="38" t="n">
        <f aca="false">E318+Inputs!$B$10</f>
        <v>0.1196501</v>
      </c>
      <c r="G318" s="37" t="n">
        <f aca="false">D318*F318/C318</f>
        <v>491.712739726027</v>
      </c>
      <c r="H318" s="37" t="n">
        <f aca="false">IF(AND(A318&gt;=Inputs!$B$13,OR(A318&lt;Inputs!$B$19,Inputs!$B$20=1)),D318*Inputs!$B$11/C318,0)</f>
        <v>0</v>
      </c>
      <c r="I318" s="37" t="n">
        <f aca="false">Inputs!$C$9-SUMIFS(Cash_Events!$G$6:$G$20,Cash_Events!$C$6:$C$20,"FHL",Cash_Events!$B$6:$B$20,"&lt;="&amp;A318)</f>
        <v>1500000</v>
      </c>
      <c r="J318" s="38" t="n">
        <f aca="false">VLOOKUP(A318,Inputs!$F$40:$G$48,2,TRUE())</f>
        <v>0.0522223</v>
      </c>
      <c r="K318" s="38" t="n">
        <f aca="false">J318+Inputs!$C$10</f>
        <v>0.1197223</v>
      </c>
      <c r="L318" s="37" t="n">
        <f aca="false">I318*K318/C318</f>
        <v>492.009452054795</v>
      </c>
      <c r="M318" s="37" t="n">
        <f aca="false">IF(AND(A318&gt;=Inputs!$C$13,OR(A318&lt;Inputs!$B$19,Inputs!$B$20=1)),I318*Inputs!$C$11/C318,0)</f>
        <v>0</v>
      </c>
    </row>
    <row r="319" customFormat="false" ht="15" hidden="false" customHeight="false" outlineLevel="0" collapsed="false">
      <c r="A319" s="35" t="n">
        <f aca="false">A318+1</f>
        <v>45126</v>
      </c>
      <c r="B319" s="35" t="n">
        <f aca="false">EOMONTH(A319+1,0)</f>
        <v>45138</v>
      </c>
      <c r="C319" s="36" t="n">
        <f aca="false">IF(MOD(YEAR(A319),4)=0,366,365)</f>
        <v>365</v>
      </c>
      <c r="D319" s="37" t="n">
        <f aca="false">Inputs!$B$9-SUMIFS(Cash_Events!$G$6:$G$20,Cash_Events!$C$6:$C$20,"rAGMF",Cash_Events!$B$6:$B$20,"&lt;="&amp;A319)</f>
        <v>1500000</v>
      </c>
      <c r="E319" s="38" t="n">
        <f aca="false">VLOOKUP(A319,Inputs!$A$40:$B$48,2,TRUE())</f>
        <v>0.0521501</v>
      </c>
      <c r="F319" s="38" t="n">
        <f aca="false">E319+Inputs!$B$10</f>
        <v>0.1196501</v>
      </c>
      <c r="G319" s="37" t="n">
        <f aca="false">D319*F319/C319</f>
        <v>491.712739726027</v>
      </c>
      <c r="H319" s="37" t="n">
        <f aca="false">IF(AND(A319&gt;=Inputs!$B$13,OR(A319&lt;Inputs!$B$19,Inputs!$B$20=1)),D319*Inputs!$B$11/C319,0)</f>
        <v>0</v>
      </c>
      <c r="I319" s="37" t="n">
        <f aca="false">Inputs!$C$9-SUMIFS(Cash_Events!$G$6:$G$20,Cash_Events!$C$6:$C$20,"FHL",Cash_Events!$B$6:$B$20,"&lt;="&amp;A319)</f>
        <v>1500000</v>
      </c>
      <c r="J319" s="38" t="n">
        <f aca="false">VLOOKUP(A319,Inputs!$F$40:$G$48,2,TRUE())</f>
        <v>0.0522223</v>
      </c>
      <c r="K319" s="38" t="n">
        <f aca="false">J319+Inputs!$C$10</f>
        <v>0.1197223</v>
      </c>
      <c r="L319" s="37" t="n">
        <f aca="false">I319*K319/C319</f>
        <v>492.009452054795</v>
      </c>
      <c r="M319" s="37" t="n">
        <f aca="false">IF(AND(A319&gt;=Inputs!$C$13,OR(A319&lt;Inputs!$B$19,Inputs!$B$20=1)),I319*Inputs!$C$11/C319,0)</f>
        <v>0</v>
      </c>
    </row>
    <row r="320" customFormat="false" ht="15" hidden="false" customHeight="false" outlineLevel="0" collapsed="false">
      <c r="A320" s="35" t="n">
        <f aca="false">A319+1</f>
        <v>45127</v>
      </c>
      <c r="B320" s="35" t="n">
        <f aca="false">EOMONTH(A320+1,0)</f>
        <v>45138</v>
      </c>
      <c r="C320" s="36" t="n">
        <f aca="false">IF(MOD(YEAR(A320),4)=0,366,365)</f>
        <v>365</v>
      </c>
      <c r="D320" s="37" t="n">
        <f aca="false">Inputs!$B$9-SUMIFS(Cash_Events!$G$6:$G$20,Cash_Events!$C$6:$C$20,"rAGMF",Cash_Events!$B$6:$B$20,"&lt;="&amp;A320)</f>
        <v>1500000</v>
      </c>
      <c r="E320" s="38" t="n">
        <f aca="false">VLOOKUP(A320,Inputs!$A$40:$B$48,2,TRUE())</f>
        <v>0.0521501</v>
      </c>
      <c r="F320" s="38" t="n">
        <f aca="false">E320+Inputs!$B$10</f>
        <v>0.1196501</v>
      </c>
      <c r="G320" s="37" t="n">
        <f aca="false">D320*F320/C320</f>
        <v>491.712739726027</v>
      </c>
      <c r="H320" s="37" t="n">
        <f aca="false">IF(AND(A320&gt;=Inputs!$B$13,OR(A320&lt;Inputs!$B$19,Inputs!$B$20=1)),D320*Inputs!$B$11/C320,0)</f>
        <v>0</v>
      </c>
      <c r="I320" s="37" t="n">
        <f aca="false">Inputs!$C$9-SUMIFS(Cash_Events!$G$6:$G$20,Cash_Events!$C$6:$C$20,"FHL",Cash_Events!$B$6:$B$20,"&lt;="&amp;A320)</f>
        <v>1500000</v>
      </c>
      <c r="J320" s="38" t="n">
        <f aca="false">VLOOKUP(A320,Inputs!$F$40:$G$48,2,TRUE())</f>
        <v>0.0522223</v>
      </c>
      <c r="K320" s="38" t="n">
        <f aca="false">J320+Inputs!$C$10</f>
        <v>0.1197223</v>
      </c>
      <c r="L320" s="37" t="n">
        <f aca="false">I320*K320/C320</f>
        <v>492.009452054795</v>
      </c>
      <c r="M320" s="37" t="n">
        <f aca="false">IF(AND(A320&gt;=Inputs!$C$13,OR(A320&lt;Inputs!$B$19,Inputs!$B$20=1)),I320*Inputs!$C$11/C320,0)</f>
        <v>0</v>
      </c>
    </row>
    <row r="321" customFormat="false" ht="15" hidden="false" customHeight="false" outlineLevel="0" collapsed="false">
      <c r="A321" s="35" t="n">
        <f aca="false">A320+1</f>
        <v>45128</v>
      </c>
      <c r="B321" s="35" t="n">
        <f aca="false">EOMONTH(A321+1,0)</f>
        <v>45138</v>
      </c>
      <c r="C321" s="36" t="n">
        <f aca="false">IF(MOD(YEAR(A321),4)=0,366,365)</f>
        <v>365</v>
      </c>
      <c r="D321" s="37" t="n">
        <f aca="false">Inputs!$B$9-SUMIFS(Cash_Events!$G$6:$G$20,Cash_Events!$C$6:$C$20,"rAGMF",Cash_Events!$B$6:$B$20,"&lt;="&amp;A321)</f>
        <v>1500000</v>
      </c>
      <c r="E321" s="38" t="n">
        <f aca="false">VLOOKUP(A321,Inputs!$A$40:$B$48,2,TRUE())</f>
        <v>0.0521501</v>
      </c>
      <c r="F321" s="38" t="n">
        <f aca="false">E321+Inputs!$B$10</f>
        <v>0.1196501</v>
      </c>
      <c r="G321" s="37" t="n">
        <f aca="false">D321*F321/C321</f>
        <v>491.712739726027</v>
      </c>
      <c r="H321" s="37" t="n">
        <f aca="false">IF(AND(A321&gt;=Inputs!$B$13,OR(A321&lt;Inputs!$B$19,Inputs!$B$20=1)),D321*Inputs!$B$11/C321,0)</f>
        <v>0</v>
      </c>
      <c r="I321" s="37" t="n">
        <f aca="false">Inputs!$C$9-SUMIFS(Cash_Events!$G$6:$G$20,Cash_Events!$C$6:$C$20,"FHL",Cash_Events!$B$6:$B$20,"&lt;="&amp;A321)</f>
        <v>1500000</v>
      </c>
      <c r="J321" s="38" t="n">
        <f aca="false">VLOOKUP(A321,Inputs!$F$40:$G$48,2,TRUE())</f>
        <v>0.0522223</v>
      </c>
      <c r="K321" s="38" t="n">
        <f aca="false">J321+Inputs!$C$10</f>
        <v>0.1197223</v>
      </c>
      <c r="L321" s="37" t="n">
        <f aca="false">I321*K321/C321</f>
        <v>492.009452054795</v>
      </c>
      <c r="M321" s="37" t="n">
        <f aca="false">IF(AND(A321&gt;=Inputs!$C$13,OR(A321&lt;Inputs!$B$19,Inputs!$B$20=1)),I321*Inputs!$C$11/C321,0)</f>
        <v>0</v>
      </c>
    </row>
    <row r="322" customFormat="false" ht="15" hidden="false" customHeight="false" outlineLevel="0" collapsed="false">
      <c r="A322" s="35" t="n">
        <f aca="false">A321+1</f>
        <v>45129</v>
      </c>
      <c r="B322" s="35" t="n">
        <f aca="false">EOMONTH(A322+1,0)</f>
        <v>45138</v>
      </c>
      <c r="C322" s="36" t="n">
        <f aca="false">IF(MOD(YEAR(A322),4)=0,366,365)</f>
        <v>365</v>
      </c>
      <c r="D322" s="37" t="n">
        <f aca="false">Inputs!$B$9-SUMIFS(Cash_Events!$G$6:$G$20,Cash_Events!$C$6:$C$20,"rAGMF",Cash_Events!$B$6:$B$20,"&lt;="&amp;A322)</f>
        <v>1500000</v>
      </c>
      <c r="E322" s="38" t="n">
        <f aca="false">VLOOKUP(A322,Inputs!$A$40:$B$48,2,TRUE())</f>
        <v>0.0521501</v>
      </c>
      <c r="F322" s="38" t="n">
        <f aca="false">E322+Inputs!$B$10</f>
        <v>0.1196501</v>
      </c>
      <c r="G322" s="37" t="n">
        <f aca="false">D322*F322/C322</f>
        <v>491.712739726027</v>
      </c>
      <c r="H322" s="37" t="n">
        <f aca="false">IF(AND(A322&gt;=Inputs!$B$13,OR(A322&lt;Inputs!$B$19,Inputs!$B$20=1)),D322*Inputs!$B$11/C322,0)</f>
        <v>0</v>
      </c>
      <c r="I322" s="37" t="n">
        <f aca="false">Inputs!$C$9-SUMIFS(Cash_Events!$G$6:$G$20,Cash_Events!$C$6:$C$20,"FHL",Cash_Events!$B$6:$B$20,"&lt;="&amp;A322)</f>
        <v>1500000</v>
      </c>
      <c r="J322" s="38" t="n">
        <f aca="false">VLOOKUP(A322,Inputs!$F$40:$G$48,2,TRUE())</f>
        <v>0.0522223</v>
      </c>
      <c r="K322" s="38" t="n">
        <f aca="false">J322+Inputs!$C$10</f>
        <v>0.1197223</v>
      </c>
      <c r="L322" s="37" t="n">
        <f aca="false">I322*K322/C322</f>
        <v>492.009452054795</v>
      </c>
      <c r="M322" s="37" t="n">
        <f aca="false">IF(AND(A322&gt;=Inputs!$C$13,OR(A322&lt;Inputs!$B$19,Inputs!$B$20=1)),I322*Inputs!$C$11/C322,0)</f>
        <v>0</v>
      </c>
    </row>
    <row r="323" customFormat="false" ht="15" hidden="false" customHeight="false" outlineLevel="0" collapsed="false">
      <c r="A323" s="35" t="n">
        <f aca="false">A322+1</f>
        <v>45130</v>
      </c>
      <c r="B323" s="35" t="n">
        <f aca="false">EOMONTH(A323+1,0)</f>
        <v>45138</v>
      </c>
      <c r="C323" s="36" t="n">
        <f aca="false">IF(MOD(YEAR(A323),4)=0,366,365)</f>
        <v>365</v>
      </c>
      <c r="D323" s="37" t="n">
        <f aca="false">Inputs!$B$9-SUMIFS(Cash_Events!$G$6:$G$20,Cash_Events!$C$6:$C$20,"rAGMF",Cash_Events!$B$6:$B$20,"&lt;="&amp;A323)</f>
        <v>1500000</v>
      </c>
      <c r="E323" s="38" t="n">
        <f aca="false">VLOOKUP(A323,Inputs!$A$40:$B$48,2,TRUE())</f>
        <v>0.0521501</v>
      </c>
      <c r="F323" s="38" t="n">
        <f aca="false">E323+Inputs!$B$10</f>
        <v>0.1196501</v>
      </c>
      <c r="G323" s="37" t="n">
        <f aca="false">D323*F323/C323</f>
        <v>491.712739726027</v>
      </c>
      <c r="H323" s="37" t="n">
        <f aca="false">IF(AND(A323&gt;=Inputs!$B$13,OR(A323&lt;Inputs!$B$19,Inputs!$B$20=1)),D323*Inputs!$B$11/C323,0)</f>
        <v>0</v>
      </c>
      <c r="I323" s="37" t="n">
        <f aca="false">Inputs!$C$9-SUMIFS(Cash_Events!$G$6:$G$20,Cash_Events!$C$6:$C$20,"FHL",Cash_Events!$B$6:$B$20,"&lt;="&amp;A323)</f>
        <v>1500000</v>
      </c>
      <c r="J323" s="38" t="n">
        <f aca="false">VLOOKUP(A323,Inputs!$F$40:$G$48,2,TRUE())</f>
        <v>0.0522223</v>
      </c>
      <c r="K323" s="38" t="n">
        <f aca="false">J323+Inputs!$C$10</f>
        <v>0.1197223</v>
      </c>
      <c r="L323" s="37" t="n">
        <f aca="false">I323*K323/C323</f>
        <v>492.009452054795</v>
      </c>
      <c r="M323" s="37" t="n">
        <f aca="false">IF(AND(A323&gt;=Inputs!$C$13,OR(A323&lt;Inputs!$B$19,Inputs!$B$20=1)),I323*Inputs!$C$11/C323,0)</f>
        <v>0</v>
      </c>
    </row>
    <row r="324" customFormat="false" ht="15" hidden="false" customHeight="false" outlineLevel="0" collapsed="false">
      <c r="A324" s="35" t="n">
        <f aca="false">A323+1</f>
        <v>45131</v>
      </c>
      <c r="B324" s="35" t="n">
        <f aca="false">EOMONTH(A324+1,0)</f>
        <v>45138</v>
      </c>
      <c r="C324" s="36" t="n">
        <f aca="false">IF(MOD(YEAR(A324),4)=0,366,365)</f>
        <v>365</v>
      </c>
      <c r="D324" s="37" t="n">
        <f aca="false">Inputs!$B$9-SUMIFS(Cash_Events!$G$6:$G$20,Cash_Events!$C$6:$C$20,"rAGMF",Cash_Events!$B$6:$B$20,"&lt;="&amp;A324)</f>
        <v>1500000</v>
      </c>
      <c r="E324" s="38" t="n">
        <f aca="false">VLOOKUP(A324,Inputs!$A$40:$B$48,2,TRUE())</f>
        <v>0.0521501</v>
      </c>
      <c r="F324" s="38" t="n">
        <f aca="false">E324+Inputs!$B$10</f>
        <v>0.1196501</v>
      </c>
      <c r="G324" s="37" t="n">
        <f aca="false">D324*F324/C324</f>
        <v>491.712739726027</v>
      </c>
      <c r="H324" s="37" t="n">
        <f aca="false">IF(AND(A324&gt;=Inputs!$B$13,OR(A324&lt;Inputs!$B$19,Inputs!$B$20=1)),D324*Inputs!$B$11/C324,0)</f>
        <v>0</v>
      </c>
      <c r="I324" s="37" t="n">
        <f aca="false">Inputs!$C$9-SUMIFS(Cash_Events!$G$6:$G$20,Cash_Events!$C$6:$C$20,"FHL",Cash_Events!$B$6:$B$20,"&lt;="&amp;A324)</f>
        <v>1500000</v>
      </c>
      <c r="J324" s="38" t="n">
        <f aca="false">VLOOKUP(A324,Inputs!$F$40:$G$48,2,TRUE())</f>
        <v>0.0522223</v>
      </c>
      <c r="K324" s="38" t="n">
        <f aca="false">J324+Inputs!$C$10</f>
        <v>0.1197223</v>
      </c>
      <c r="L324" s="37" t="n">
        <f aca="false">I324*K324/C324</f>
        <v>492.009452054795</v>
      </c>
      <c r="M324" s="37" t="n">
        <f aca="false">IF(AND(A324&gt;=Inputs!$C$13,OR(A324&lt;Inputs!$B$19,Inputs!$B$20=1)),I324*Inputs!$C$11/C324,0)</f>
        <v>0</v>
      </c>
    </row>
    <row r="325" customFormat="false" ht="15" hidden="false" customHeight="false" outlineLevel="0" collapsed="false">
      <c r="A325" s="35" t="n">
        <f aca="false">A324+1</f>
        <v>45132</v>
      </c>
      <c r="B325" s="35" t="n">
        <f aca="false">EOMONTH(A325+1,0)</f>
        <v>45138</v>
      </c>
      <c r="C325" s="36" t="n">
        <f aca="false">IF(MOD(YEAR(A325),4)=0,366,365)</f>
        <v>365</v>
      </c>
      <c r="D325" s="37" t="n">
        <f aca="false">Inputs!$B$9-SUMIFS(Cash_Events!$G$6:$G$20,Cash_Events!$C$6:$C$20,"rAGMF",Cash_Events!$B$6:$B$20,"&lt;="&amp;A325)</f>
        <v>1500000</v>
      </c>
      <c r="E325" s="38" t="n">
        <f aca="false">VLOOKUP(A325,Inputs!$A$40:$B$48,2,TRUE())</f>
        <v>0.0521501</v>
      </c>
      <c r="F325" s="38" t="n">
        <f aca="false">E325+Inputs!$B$10</f>
        <v>0.1196501</v>
      </c>
      <c r="G325" s="37" t="n">
        <f aca="false">D325*F325/C325</f>
        <v>491.712739726027</v>
      </c>
      <c r="H325" s="37" t="n">
        <f aca="false">IF(AND(A325&gt;=Inputs!$B$13,OR(A325&lt;Inputs!$B$19,Inputs!$B$20=1)),D325*Inputs!$B$11/C325,0)</f>
        <v>0</v>
      </c>
      <c r="I325" s="37" t="n">
        <f aca="false">Inputs!$C$9-SUMIFS(Cash_Events!$G$6:$G$20,Cash_Events!$C$6:$C$20,"FHL",Cash_Events!$B$6:$B$20,"&lt;="&amp;A325)</f>
        <v>1500000</v>
      </c>
      <c r="J325" s="38" t="n">
        <f aca="false">VLOOKUP(A325,Inputs!$F$40:$G$48,2,TRUE())</f>
        <v>0.0522223</v>
      </c>
      <c r="K325" s="38" t="n">
        <f aca="false">J325+Inputs!$C$10</f>
        <v>0.1197223</v>
      </c>
      <c r="L325" s="37" t="n">
        <f aca="false">I325*K325/C325</f>
        <v>492.009452054795</v>
      </c>
      <c r="M325" s="37" t="n">
        <f aca="false">IF(AND(A325&gt;=Inputs!$C$13,OR(A325&lt;Inputs!$B$19,Inputs!$B$20=1)),I325*Inputs!$C$11/C325,0)</f>
        <v>0</v>
      </c>
    </row>
    <row r="326" customFormat="false" ht="15" hidden="false" customHeight="false" outlineLevel="0" collapsed="false">
      <c r="A326" s="35" t="n">
        <f aca="false">A325+1</f>
        <v>45133</v>
      </c>
      <c r="B326" s="35" t="n">
        <f aca="false">EOMONTH(A326+1,0)</f>
        <v>45138</v>
      </c>
      <c r="C326" s="36" t="n">
        <f aca="false">IF(MOD(YEAR(A326),4)=0,366,365)</f>
        <v>365</v>
      </c>
      <c r="D326" s="37" t="n">
        <f aca="false">Inputs!$B$9-SUMIFS(Cash_Events!$G$6:$G$20,Cash_Events!$C$6:$C$20,"rAGMF",Cash_Events!$B$6:$B$20,"&lt;="&amp;A326)</f>
        <v>1500000</v>
      </c>
      <c r="E326" s="38" t="n">
        <f aca="false">VLOOKUP(A326,Inputs!$A$40:$B$48,2,TRUE())</f>
        <v>0.0521501</v>
      </c>
      <c r="F326" s="38" t="n">
        <f aca="false">E326+Inputs!$B$10</f>
        <v>0.1196501</v>
      </c>
      <c r="G326" s="37" t="n">
        <f aca="false">D326*F326/C326</f>
        <v>491.712739726027</v>
      </c>
      <c r="H326" s="37" t="n">
        <f aca="false">IF(AND(A326&gt;=Inputs!$B$13,OR(A326&lt;Inputs!$B$19,Inputs!$B$20=1)),D326*Inputs!$B$11/C326,0)</f>
        <v>0</v>
      </c>
      <c r="I326" s="37" t="n">
        <f aca="false">Inputs!$C$9-SUMIFS(Cash_Events!$G$6:$G$20,Cash_Events!$C$6:$C$20,"FHL",Cash_Events!$B$6:$B$20,"&lt;="&amp;A326)</f>
        <v>1500000</v>
      </c>
      <c r="J326" s="38" t="n">
        <f aca="false">VLOOKUP(A326,Inputs!$F$40:$G$48,2,TRUE())</f>
        <v>0.0522223</v>
      </c>
      <c r="K326" s="38" t="n">
        <f aca="false">J326+Inputs!$C$10</f>
        <v>0.1197223</v>
      </c>
      <c r="L326" s="37" t="n">
        <f aca="false">I326*K326/C326</f>
        <v>492.009452054795</v>
      </c>
      <c r="M326" s="37" t="n">
        <f aca="false">IF(AND(A326&gt;=Inputs!$C$13,OR(A326&lt;Inputs!$B$19,Inputs!$B$20=1)),I326*Inputs!$C$11/C326,0)</f>
        <v>0</v>
      </c>
    </row>
    <row r="327" customFormat="false" ht="15" hidden="false" customHeight="false" outlineLevel="0" collapsed="false">
      <c r="A327" s="35" t="n">
        <f aca="false">A326+1</f>
        <v>45134</v>
      </c>
      <c r="B327" s="35" t="n">
        <f aca="false">EOMONTH(A327+1,0)</f>
        <v>45138</v>
      </c>
      <c r="C327" s="36" t="n">
        <f aca="false">IF(MOD(YEAR(A327),4)=0,366,365)</f>
        <v>365</v>
      </c>
      <c r="D327" s="37" t="n">
        <f aca="false">Inputs!$B$9-SUMIFS(Cash_Events!$G$6:$G$20,Cash_Events!$C$6:$C$20,"rAGMF",Cash_Events!$B$6:$B$20,"&lt;="&amp;A327)</f>
        <v>1500000</v>
      </c>
      <c r="E327" s="38" t="n">
        <f aca="false">VLOOKUP(A327,Inputs!$A$40:$B$48,2,TRUE())</f>
        <v>0.0521501</v>
      </c>
      <c r="F327" s="38" t="n">
        <f aca="false">E327+Inputs!$B$10</f>
        <v>0.1196501</v>
      </c>
      <c r="G327" s="37" t="n">
        <f aca="false">D327*F327/C327</f>
        <v>491.712739726027</v>
      </c>
      <c r="H327" s="37" t="n">
        <f aca="false">IF(AND(A327&gt;=Inputs!$B$13,OR(A327&lt;Inputs!$B$19,Inputs!$B$20=1)),D327*Inputs!$B$11/C327,0)</f>
        <v>0</v>
      </c>
      <c r="I327" s="37" t="n">
        <f aca="false">Inputs!$C$9-SUMIFS(Cash_Events!$G$6:$G$20,Cash_Events!$C$6:$C$20,"FHL",Cash_Events!$B$6:$B$20,"&lt;="&amp;A327)</f>
        <v>1500000</v>
      </c>
      <c r="J327" s="38" t="n">
        <f aca="false">VLOOKUP(A327,Inputs!$F$40:$G$48,2,TRUE())</f>
        <v>0.0522223</v>
      </c>
      <c r="K327" s="38" t="n">
        <f aca="false">J327+Inputs!$C$10</f>
        <v>0.1197223</v>
      </c>
      <c r="L327" s="37" t="n">
        <f aca="false">I327*K327/C327</f>
        <v>492.009452054795</v>
      </c>
      <c r="M327" s="37" t="n">
        <f aca="false">IF(AND(A327&gt;=Inputs!$C$13,OR(A327&lt;Inputs!$B$19,Inputs!$B$20=1)),I327*Inputs!$C$11/C327,0)</f>
        <v>0</v>
      </c>
    </row>
    <row r="328" customFormat="false" ht="15" hidden="false" customHeight="false" outlineLevel="0" collapsed="false">
      <c r="A328" s="35" t="n">
        <f aca="false">A327+1</f>
        <v>45135</v>
      </c>
      <c r="B328" s="35" t="n">
        <f aca="false">EOMONTH(A328+1,0)</f>
        <v>45138</v>
      </c>
      <c r="C328" s="36" t="n">
        <f aca="false">IF(MOD(YEAR(A328),4)=0,366,365)</f>
        <v>365</v>
      </c>
      <c r="D328" s="37" t="n">
        <f aca="false">Inputs!$B$9-SUMIFS(Cash_Events!$G$6:$G$20,Cash_Events!$C$6:$C$20,"rAGMF",Cash_Events!$B$6:$B$20,"&lt;="&amp;A328)</f>
        <v>1500000</v>
      </c>
      <c r="E328" s="38" t="n">
        <f aca="false">VLOOKUP(A328,Inputs!$A$40:$B$48,2,TRUE())</f>
        <v>0.0521501</v>
      </c>
      <c r="F328" s="38" t="n">
        <f aca="false">E328+Inputs!$B$10</f>
        <v>0.1196501</v>
      </c>
      <c r="G328" s="37" t="n">
        <f aca="false">D328*F328/C328</f>
        <v>491.712739726027</v>
      </c>
      <c r="H328" s="37" t="n">
        <f aca="false">IF(AND(A328&gt;=Inputs!$B$13,OR(A328&lt;Inputs!$B$19,Inputs!$B$20=1)),D328*Inputs!$B$11/C328,0)</f>
        <v>0</v>
      </c>
      <c r="I328" s="37" t="n">
        <f aca="false">Inputs!$C$9-SUMIFS(Cash_Events!$G$6:$G$20,Cash_Events!$C$6:$C$20,"FHL",Cash_Events!$B$6:$B$20,"&lt;="&amp;A328)</f>
        <v>1500000</v>
      </c>
      <c r="J328" s="38" t="n">
        <f aca="false">VLOOKUP(A328,Inputs!$F$40:$G$48,2,TRUE())</f>
        <v>0.0522223</v>
      </c>
      <c r="K328" s="38" t="n">
        <f aca="false">J328+Inputs!$C$10</f>
        <v>0.1197223</v>
      </c>
      <c r="L328" s="37" t="n">
        <f aca="false">I328*K328/C328</f>
        <v>492.009452054795</v>
      </c>
      <c r="M328" s="37" t="n">
        <f aca="false">IF(AND(A328&gt;=Inputs!$C$13,OR(A328&lt;Inputs!$B$19,Inputs!$B$20=1)),I328*Inputs!$C$11/C328,0)</f>
        <v>0</v>
      </c>
    </row>
    <row r="329" customFormat="false" ht="15" hidden="false" customHeight="false" outlineLevel="0" collapsed="false">
      <c r="A329" s="35" t="n">
        <f aca="false">A328+1</f>
        <v>45136</v>
      </c>
      <c r="B329" s="35" t="n">
        <f aca="false">EOMONTH(A329+1,0)</f>
        <v>45138</v>
      </c>
      <c r="C329" s="36" t="n">
        <f aca="false">IF(MOD(YEAR(A329),4)=0,366,365)</f>
        <v>365</v>
      </c>
      <c r="D329" s="37" t="n">
        <f aca="false">Inputs!$B$9-SUMIFS(Cash_Events!$G$6:$G$20,Cash_Events!$C$6:$C$20,"rAGMF",Cash_Events!$B$6:$B$20,"&lt;="&amp;A329)</f>
        <v>1500000</v>
      </c>
      <c r="E329" s="38" t="n">
        <f aca="false">VLOOKUP(A329,Inputs!$A$40:$B$48,2,TRUE())</f>
        <v>0.0521501</v>
      </c>
      <c r="F329" s="38" t="n">
        <f aca="false">E329+Inputs!$B$10</f>
        <v>0.1196501</v>
      </c>
      <c r="G329" s="37" t="n">
        <f aca="false">D329*F329/C329</f>
        <v>491.712739726027</v>
      </c>
      <c r="H329" s="37" t="n">
        <f aca="false">IF(AND(A329&gt;=Inputs!$B$13,OR(A329&lt;Inputs!$B$19,Inputs!$B$20=1)),D329*Inputs!$B$11/C329,0)</f>
        <v>0</v>
      </c>
      <c r="I329" s="37" t="n">
        <f aca="false">Inputs!$C$9-SUMIFS(Cash_Events!$G$6:$G$20,Cash_Events!$C$6:$C$20,"FHL",Cash_Events!$B$6:$B$20,"&lt;="&amp;A329)</f>
        <v>1500000</v>
      </c>
      <c r="J329" s="38" t="n">
        <f aca="false">VLOOKUP(A329,Inputs!$F$40:$G$48,2,TRUE())</f>
        <v>0.0522223</v>
      </c>
      <c r="K329" s="38" t="n">
        <f aca="false">J329+Inputs!$C$10</f>
        <v>0.1197223</v>
      </c>
      <c r="L329" s="37" t="n">
        <f aca="false">I329*K329/C329</f>
        <v>492.009452054795</v>
      </c>
      <c r="M329" s="37" t="n">
        <f aca="false">IF(AND(A329&gt;=Inputs!$C$13,OR(A329&lt;Inputs!$B$19,Inputs!$B$20=1)),I329*Inputs!$C$11/C329,0)</f>
        <v>0</v>
      </c>
    </row>
    <row r="330" customFormat="false" ht="15" hidden="false" customHeight="false" outlineLevel="0" collapsed="false">
      <c r="A330" s="35" t="n">
        <f aca="false">A329+1</f>
        <v>45137</v>
      </c>
      <c r="B330" s="35" t="n">
        <f aca="false">EOMONTH(A330+1,0)</f>
        <v>45138</v>
      </c>
      <c r="C330" s="36" t="n">
        <f aca="false">IF(MOD(YEAR(A330),4)=0,366,365)</f>
        <v>365</v>
      </c>
      <c r="D330" s="37" t="n">
        <f aca="false">Inputs!$B$9-SUMIFS(Cash_Events!$G$6:$G$20,Cash_Events!$C$6:$C$20,"rAGMF",Cash_Events!$B$6:$B$20,"&lt;="&amp;A330)</f>
        <v>1500000</v>
      </c>
      <c r="E330" s="38" t="n">
        <f aca="false">VLOOKUP(A330,Inputs!$A$40:$B$48,2,TRUE())</f>
        <v>0.0521501</v>
      </c>
      <c r="F330" s="38" t="n">
        <f aca="false">E330+Inputs!$B$10</f>
        <v>0.1196501</v>
      </c>
      <c r="G330" s="37" t="n">
        <f aca="false">D330*F330/C330</f>
        <v>491.712739726027</v>
      </c>
      <c r="H330" s="37" t="n">
        <f aca="false">IF(AND(A330&gt;=Inputs!$B$13,OR(A330&lt;Inputs!$B$19,Inputs!$B$20=1)),D330*Inputs!$B$11/C330,0)</f>
        <v>0</v>
      </c>
      <c r="I330" s="37" t="n">
        <f aca="false">Inputs!$C$9-SUMIFS(Cash_Events!$G$6:$G$20,Cash_Events!$C$6:$C$20,"FHL",Cash_Events!$B$6:$B$20,"&lt;="&amp;A330)</f>
        <v>1500000</v>
      </c>
      <c r="J330" s="38" t="n">
        <f aca="false">VLOOKUP(A330,Inputs!$F$40:$G$48,2,TRUE())</f>
        <v>0.0522223</v>
      </c>
      <c r="K330" s="38" t="n">
        <f aca="false">J330+Inputs!$C$10</f>
        <v>0.1197223</v>
      </c>
      <c r="L330" s="37" t="n">
        <f aca="false">I330*K330/C330</f>
        <v>492.009452054795</v>
      </c>
      <c r="M330" s="37" t="n">
        <f aca="false">IF(AND(A330&gt;=Inputs!$C$13,OR(A330&lt;Inputs!$B$19,Inputs!$B$20=1)),I330*Inputs!$C$11/C330,0)</f>
        <v>0</v>
      </c>
    </row>
    <row r="331" customFormat="false" ht="15" hidden="false" customHeight="false" outlineLevel="0" collapsed="false">
      <c r="A331" s="35" t="n">
        <f aca="false">A330+1</f>
        <v>45138</v>
      </c>
      <c r="B331" s="35" t="n">
        <f aca="false">EOMONTH(A331+1,0)</f>
        <v>45169</v>
      </c>
      <c r="C331" s="36" t="n">
        <f aca="false">IF(MOD(YEAR(A331),4)=0,366,365)</f>
        <v>365</v>
      </c>
      <c r="D331" s="37" t="n">
        <f aca="false">Inputs!$B$9-SUMIFS(Cash_Events!$G$6:$G$20,Cash_Events!$C$6:$C$20,"rAGMF",Cash_Events!$B$6:$B$20,"&lt;="&amp;A331)</f>
        <v>1500000</v>
      </c>
      <c r="E331" s="38" t="n">
        <f aca="false">VLOOKUP(A331,Inputs!$A$40:$B$48,2,TRUE())</f>
        <v>0.0521501</v>
      </c>
      <c r="F331" s="38" t="n">
        <f aca="false">E331+Inputs!$B$10</f>
        <v>0.1196501</v>
      </c>
      <c r="G331" s="37" t="n">
        <f aca="false">D331*F331/C331</f>
        <v>491.712739726027</v>
      </c>
      <c r="H331" s="37" t="n">
        <f aca="false">IF(AND(A331&gt;=Inputs!$B$13,OR(A331&lt;Inputs!$B$19,Inputs!$B$20=1)),D331*Inputs!$B$11/C331,0)</f>
        <v>0</v>
      </c>
      <c r="I331" s="37" t="n">
        <f aca="false">Inputs!$C$9-SUMIFS(Cash_Events!$G$6:$G$20,Cash_Events!$C$6:$C$20,"FHL",Cash_Events!$B$6:$B$20,"&lt;="&amp;A331)</f>
        <v>1500000</v>
      </c>
      <c r="J331" s="38" t="n">
        <f aca="false">VLOOKUP(A331,Inputs!$F$40:$G$48,2,TRUE())</f>
        <v>0.0522223</v>
      </c>
      <c r="K331" s="38" t="n">
        <f aca="false">J331+Inputs!$C$10</f>
        <v>0.1197223</v>
      </c>
      <c r="L331" s="37" t="n">
        <f aca="false">I331*K331/C331</f>
        <v>492.009452054795</v>
      </c>
      <c r="M331" s="37" t="n">
        <f aca="false">IF(AND(A331&gt;=Inputs!$C$13,OR(A331&lt;Inputs!$B$19,Inputs!$B$20=1)),I331*Inputs!$C$11/C331,0)</f>
        <v>0</v>
      </c>
    </row>
    <row r="332" customFormat="false" ht="15" hidden="false" customHeight="false" outlineLevel="0" collapsed="false">
      <c r="A332" s="35" t="n">
        <f aca="false">A331+1</f>
        <v>45139</v>
      </c>
      <c r="B332" s="35" t="n">
        <f aca="false">EOMONTH(A332+1,0)</f>
        <v>45169</v>
      </c>
      <c r="C332" s="36" t="n">
        <f aca="false">IF(MOD(YEAR(A332),4)=0,366,365)</f>
        <v>365</v>
      </c>
      <c r="D332" s="37" t="n">
        <f aca="false">Inputs!$B$9-SUMIFS(Cash_Events!$G$6:$G$20,Cash_Events!$C$6:$C$20,"rAGMF",Cash_Events!$B$6:$B$20,"&lt;="&amp;A332)</f>
        <v>1500000</v>
      </c>
      <c r="E332" s="38" t="n">
        <f aca="false">VLOOKUP(A332,Inputs!$A$40:$B$48,2,TRUE())</f>
        <v>0.0521501</v>
      </c>
      <c r="F332" s="38" t="n">
        <f aca="false">E332+Inputs!$B$10</f>
        <v>0.1196501</v>
      </c>
      <c r="G332" s="37" t="n">
        <f aca="false">D332*F332/C332</f>
        <v>491.712739726027</v>
      </c>
      <c r="H332" s="37" t="n">
        <f aca="false">IF(AND(A332&gt;=Inputs!$B$13,OR(A332&lt;Inputs!$B$19,Inputs!$B$20=1)),D332*Inputs!$B$11/C332,0)</f>
        <v>0</v>
      </c>
      <c r="I332" s="37" t="n">
        <f aca="false">Inputs!$C$9-SUMIFS(Cash_Events!$G$6:$G$20,Cash_Events!$C$6:$C$20,"FHL",Cash_Events!$B$6:$B$20,"&lt;="&amp;A332)</f>
        <v>1500000</v>
      </c>
      <c r="J332" s="38" t="n">
        <f aca="false">VLOOKUP(A332,Inputs!$F$40:$G$48,2,TRUE())</f>
        <v>0.0522223</v>
      </c>
      <c r="K332" s="38" t="n">
        <f aca="false">J332+Inputs!$C$10</f>
        <v>0.1197223</v>
      </c>
      <c r="L332" s="37" t="n">
        <f aca="false">I332*K332/C332</f>
        <v>492.009452054795</v>
      </c>
      <c r="M332" s="37" t="n">
        <f aca="false">IF(AND(A332&gt;=Inputs!$C$13,OR(A332&lt;Inputs!$B$19,Inputs!$B$20=1)),I332*Inputs!$C$11/C332,0)</f>
        <v>0</v>
      </c>
    </row>
    <row r="333" customFormat="false" ht="15" hidden="false" customHeight="false" outlineLevel="0" collapsed="false">
      <c r="A333" s="35" t="n">
        <f aca="false">A332+1</f>
        <v>45140</v>
      </c>
      <c r="B333" s="35" t="n">
        <f aca="false">EOMONTH(A333+1,0)</f>
        <v>45169</v>
      </c>
      <c r="C333" s="36" t="n">
        <f aca="false">IF(MOD(YEAR(A333),4)=0,366,365)</f>
        <v>365</v>
      </c>
      <c r="D333" s="37" t="n">
        <f aca="false">Inputs!$B$9-SUMIFS(Cash_Events!$G$6:$G$20,Cash_Events!$C$6:$C$20,"rAGMF",Cash_Events!$B$6:$B$20,"&lt;="&amp;A333)</f>
        <v>1500000</v>
      </c>
      <c r="E333" s="38" t="n">
        <f aca="false">VLOOKUP(A333,Inputs!$A$40:$B$48,2,TRUE())</f>
        <v>0.0521501</v>
      </c>
      <c r="F333" s="38" t="n">
        <f aca="false">E333+Inputs!$B$10</f>
        <v>0.1196501</v>
      </c>
      <c r="G333" s="37" t="n">
        <f aca="false">D333*F333/C333</f>
        <v>491.712739726027</v>
      </c>
      <c r="H333" s="37" t="n">
        <f aca="false">IF(AND(A333&gt;=Inputs!$B$13,OR(A333&lt;Inputs!$B$19,Inputs!$B$20=1)),D333*Inputs!$B$11/C333,0)</f>
        <v>0</v>
      </c>
      <c r="I333" s="37" t="n">
        <f aca="false">Inputs!$C$9-SUMIFS(Cash_Events!$G$6:$G$20,Cash_Events!$C$6:$C$20,"FHL",Cash_Events!$B$6:$B$20,"&lt;="&amp;A333)</f>
        <v>1500000</v>
      </c>
      <c r="J333" s="38" t="n">
        <f aca="false">VLOOKUP(A333,Inputs!$F$40:$G$48,2,TRUE())</f>
        <v>0.0522223</v>
      </c>
      <c r="K333" s="38" t="n">
        <f aca="false">J333+Inputs!$C$10</f>
        <v>0.1197223</v>
      </c>
      <c r="L333" s="37" t="n">
        <f aca="false">I333*K333/C333</f>
        <v>492.009452054795</v>
      </c>
      <c r="M333" s="37" t="n">
        <f aca="false">IF(AND(A333&gt;=Inputs!$C$13,OR(A333&lt;Inputs!$B$19,Inputs!$B$20=1)),I333*Inputs!$C$11/C333,0)</f>
        <v>0</v>
      </c>
    </row>
    <row r="334" customFormat="false" ht="15" hidden="false" customHeight="false" outlineLevel="0" collapsed="false">
      <c r="A334" s="35" t="n">
        <f aca="false">A333+1</f>
        <v>45141</v>
      </c>
      <c r="B334" s="35" t="n">
        <f aca="false">EOMONTH(A334+1,0)</f>
        <v>45169</v>
      </c>
      <c r="C334" s="36" t="n">
        <f aca="false">IF(MOD(YEAR(A334),4)=0,366,365)</f>
        <v>365</v>
      </c>
      <c r="D334" s="37" t="n">
        <f aca="false">Inputs!$B$9-SUMIFS(Cash_Events!$G$6:$G$20,Cash_Events!$C$6:$C$20,"rAGMF",Cash_Events!$B$6:$B$20,"&lt;="&amp;A334)</f>
        <v>1500000</v>
      </c>
      <c r="E334" s="38" t="n">
        <f aca="false">VLOOKUP(A334,Inputs!$A$40:$B$48,2,TRUE())</f>
        <v>0.0521501</v>
      </c>
      <c r="F334" s="38" t="n">
        <f aca="false">E334+Inputs!$B$10</f>
        <v>0.1196501</v>
      </c>
      <c r="G334" s="37" t="n">
        <f aca="false">D334*F334/C334</f>
        <v>491.712739726027</v>
      </c>
      <c r="H334" s="37" t="n">
        <f aca="false">IF(AND(A334&gt;=Inputs!$B$13,OR(A334&lt;Inputs!$B$19,Inputs!$B$20=1)),D334*Inputs!$B$11/C334,0)</f>
        <v>0</v>
      </c>
      <c r="I334" s="37" t="n">
        <f aca="false">Inputs!$C$9-SUMIFS(Cash_Events!$G$6:$G$20,Cash_Events!$C$6:$C$20,"FHL",Cash_Events!$B$6:$B$20,"&lt;="&amp;A334)</f>
        <v>1500000</v>
      </c>
      <c r="J334" s="38" t="n">
        <f aca="false">VLOOKUP(A334,Inputs!$F$40:$G$48,2,TRUE())</f>
        <v>0.0522223</v>
      </c>
      <c r="K334" s="38" t="n">
        <f aca="false">J334+Inputs!$C$10</f>
        <v>0.1197223</v>
      </c>
      <c r="L334" s="37" t="n">
        <f aca="false">I334*K334/C334</f>
        <v>492.009452054795</v>
      </c>
      <c r="M334" s="37" t="n">
        <f aca="false">IF(AND(A334&gt;=Inputs!$C$13,OR(A334&lt;Inputs!$B$19,Inputs!$B$20=1)),I334*Inputs!$C$11/C334,0)</f>
        <v>0</v>
      </c>
    </row>
    <row r="335" customFormat="false" ht="15" hidden="false" customHeight="false" outlineLevel="0" collapsed="false">
      <c r="A335" s="35" t="n">
        <f aca="false">A334+1</f>
        <v>45142</v>
      </c>
      <c r="B335" s="35" t="n">
        <f aca="false">EOMONTH(A335+1,0)</f>
        <v>45169</v>
      </c>
      <c r="C335" s="36" t="n">
        <f aca="false">IF(MOD(YEAR(A335),4)=0,366,365)</f>
        <v>365</v>
      </c>
      <c r="D335" s="37" t="n">
        <f aca="false">Inputs!$B$9-SUMIFS(Cash_Events!$G$6:$G$20,Cash_Events!$C$6:$C$20,"rAGMF",Cash_Events!$B$6:$B$20,"&lt;="&amp;A335)</f>
        <v>1500000</v>
      </c>
      <c r="E335" s="38" t="n">
        <f aca="false">VLOOKUP(A335,Inputs!$A$40:$B$48,2,TRUE())</f>
        <v>0.0521501</v>
      </c>
      <c r="F335" s="38" t="n">
        <f aca="false">E335+Inputs!$B$10</f>
        <v>0.1196501</v>
      </c>
      <c r="G335" s="37" t="n">
        <f aca="false">D335*F335/C335</f>
        <v>491.712739726027</v>
      </c>
      <c r="H335" s="37" t="n">
        <f aca="false">IF(AND(A335&gt;=Inputs!$B$13,OR(A335&lt;Inputs!$B$19,Inputs!$B$20=1)),D335*Inputs!$B$11/C335,0)</f>
        <v>0</v>
      </c>
      <c r="I335" s="37" t="n">
        <f aca="false">Inputs!$C$9-SUMIFS(Cash_Events!$G$6:$G$20,Cash_Events!$C$6:$C$20,"FHL",Cash_Events!$B$6:$B$20,"&lt;="&amp;A335)</f>
        <v>1500000</v>
      </c>
      <c r="J335" s="38" t="n">
        <f aca="false">VLOOKUP(A335,Inputs!$F$40:$G$48,2,TRUE())</f>
        <v>0.0522223</v>
      </c>
      <c r="K335" s="38" t="n">
        <f aca="false">J335+Inputs!$C$10</f>
        <v>0.1197223</v>
      </c>
      <c r="L335" s="37" t="n">
        <f aca="false">I335*K335/C335</f>
        <v>492.009452054795</v>
      </c>
      <c r="M335" s="37" t="n">
        <f aca="false">IF(AND(A335&gt;=Inputs!$C$13,OR(A335&lt;Inputs!$B$19,Inputs!$B$20=1)),I335*Inputs!$C$11/C335,0)</f>
        <v>0</v>
      </c>
    </row>
    <row r="336" customFormat="false" ht="15" hidden="false" customHeight="false" outlineLevel="0" collapsed="false">
      <c r="A336" s="35" t="n">
        <f aca="false">A335+1</f>
        <v>45143</v>
      </c>
      <c r="B336" s="35" t="n">
        <f aca="false">EOMONTH(A336+1,0)</f>
        <v>45169</v>
      </c>
      <c r="C336" s="36" t="n">
        <f aca="false">IF(MOD(YEAR(A336),4)=0,366,365)</f>
        <v>365</v>
      </c>
      <c r="D336" s="37" t="n">
        <f aca="false">Inputs!$B$9-SUMIFS(Cash_Events!$G$6:$G$20,Cash_Events!$C$6:$C$20,"rAGMF",Cash_Events!$B$6:$B$20,"&lt;="&amp;A336)</f>
        <v>1500000</v>
      </c>
      <c r="E336" s="38" t="n">
        <f aca="false">VLOOKUP(A336,Inputs!$A$40:$B$48,2,TRUE())</f>
        <v>0.0521501</v>
      </c>
      <c r="F336" s="38" t="n">
        <f aca="false">E336+Inputs!$B$10</f>
        <v>0.1196501</v>
      </c>
      <c r="G336" s="37" t="n">
        <f aca="false">D336*F336/C336</f>
        <v>491.712739726027</v>
      </c>
      <c r="H336" s="37" t="n">
        <f aca="false">IF(AND(A336&gt;=Inputs!$B$13,OR(A336&lt;Inputs!$B$19,Inputs!$B$20=1)),D336*Inputs!$B$11/C336,0)</f>
        <v>0</v>
      </c>
      <c r="I336" s="37" t="n">
        <f aca="false">Inputs!$C$9-SUMIFS(Cash_Events!$G$6:$G$20,Cash_Events!$C$6:$C$20,"FHL",Cash_Events!$B$6:$B$20,"&lt;="&amp;A336)</f>
        <v>1500000</v>
      </c>
      <c r="J336" s="38" t="n">
        <f aca="false">VLOOKUP(A336,Inputs!$F$40:$G$48,2,TRUE())</f>
        <v>0.0522223</v>
      </c>
      <c r="K336" s="38" t="n">
        <f aca="false">J336+Inputs!$C$10</f>
        <v>0.1197223</v>
      </c>
      <c r="L336" s="37" t="n">
        <f aca="false">I336*K336/C336</f>
        <v>492.009452054795</v>
      </c>
      <c r="M336" s="37" t="n">
        <f aca="false">IF(AND(A336&gt;=Inputs!$C$13,OR(A336&lt;Inputs!$B$19,Inputs!$B$20=1)),I336*Inputs!$C$11/C336,0)</f>
        <v>0</v>
      </c>
    </row>
    <row r="337" customFormat="false" ht="15" hidden="false" customHeight="false" outlineLevel="0" collapsed="false">
      <c r="A337" s="35" t="n">
        <f aca="false">A336+1</f>
        <v>45144</v>
      </c>
      <c r="B337" s="35" t="n">
        <f aca="false">EOMONTH(A337+1,0)</f>
        <v>45169</v>
      </c>
      <c r="C337" s="36" t="n">
        <f aca="false">IF(MOD(YEAR(A337),4)=0,366,365)</f>
        <v>365</v>
      </c>
      <c r="D337" s="37" t="n">
        <f aca="false">Inputs!$B$9-SUMIFS(Cash_Events!$G$6:$G$20,Cash_Events!$C$6:$C$20,"rAGMF",Cash_Events!$B$6:$B$20,"&lt;="&amp;A337)</f>
        <v>1500000</v>
      </c>
      <c r="E337" s="38" t="n">
        <f aca="false">VLOOKUP(A337,Inputs!$A$40:$B$48,2,TRUE())</f>
        <v>0.0521501</v>
      </c>
      <c r="F337" s="38" t="n">
        <f aca="false">E337+Inputs!$B$10</f>
        <v>0.1196501</v>
      </c>
      <c r="G337" s="37" t="n">
        <f aca="false">D337*F337/C337</f>
        <v>491.712739726027</v>
      </c>
      <c r="H337" s="37" t="n">
        <f aca="false">IF(AND(A337&gt;=Inputs!$B$13,OR(A337&lt;Inputs!$B$19,Inputs!$B$20=1)),D337*Inputs!$B$11/C337,0)</f>
        <v>0</v>
      </c>
      <c r="I337" s="37" t="n">
        <f aca="false">Inputs!$C$9-SUMIFS(Cash_Events!$G$6:$G$20,Cash_Events!$C$6:$C$20,"FHL",Cash_Events!$B$6:$B$20,"&lt;="&amp;A337)</f>
        <v>1500000</v>
      </c>
      <c r="J337" s="38" t="n">
        <f aca="false">VLOOKUP(A337,Inputs!$F$40:$G$48,2,TRUE())</f>
        <v>0.0522223</v>
      </c>
      <c r="K337" s="38" t="n">
        <f aca="false">J337+Inputs!$C$10</f>
        <v>0.1197223</v>
      </c>
      <c r="L337" s="37" t="n">
        <f aca="false">I337*K337/C337</f>
        <v>492.009452054795</v>
      </c>
      <c r="M337" s="37" t="n">
        <f aca="false">IF(AND(A337&gt;=Inputs!$C$13,OR(A337&lt;Inputs!$B$19,Inputs!$B$20=1)),I337*Inputs!$C$11/C337,0)</f>
        <v>0</v>
      </c>
    </row>
    <row r="338" customFormat="false" ht="15" hidden="false" customHeight="false" outlineLevel="0" collapsed="false">
      <c r="A338" s="35" t="n">
        <f aca="false">A337+1</f>
        <v>45145</v>
      </c>
      <c r="B338" s="35" t="n">
        <f aca="false">EOMONTH(A338+1,0)</f>
        <v>45169</v>
      </c>
      <c r="C338" s="36" t="n">
        <f aca="false">IF(MOD(YEAR(A338),4)=0,366,365)</f>
        <v>365</v>
      </c>
      <c r="D338" s="37" t="n">
        <f aca="false">Inputs!$B$9-SUMIFS(Cash_Events!$G$6:$G$20,Cash_Events!$C$6:$C$20,"rAGMF",Cash_Events!$B$6:$B$20,"&lt;="&amp;A338)</f>
        <v>1500000</v>
      </c>
      <c r="E338" s="38" t="n">
        <f aca="false">VLOOKUP(A338,Inputs!$A$40:$B$48,2,TRUE())</f>
        <v>0.0521501</v>
      </c>
      <c r="F338" s="38" t="n">
        <f aca="false">E338+Inputs!$B$10</f>
        <v>0.1196501</v>
      </c>
      <c r="G338" s="37" t="n">
        <f aca="false">D338*F338/C338</f>
        <v>491.712739726027</v>
      </c>
      <c r="H338" s="37" t="n">
        <f aca="false">IF(AND(A338&gt;=Inputs!$B$13,OR(A338&lt;Inputs!$B$19,Inputs!$B$20=1)),D338*Inputs!$B$11/C338,0)</f>
        <v>0</v>
      </c>
      <c r="I338" s="37" t="n">
        <f aca="false">Inputs!$C$9-SUMIFS(Cash_Events!$G$6:$G$20,Cash_Events!$C$6:$C$20,"FHL",Cash_Events!$B$6:$B$20,"&lt;="&amp;A338)</f>
        <v>1500000</v>
      </c>
      <c r="J338" s="38" t="n">
        <f aca="false">VLOOKUP(A338,Inputs!$F$40:$G$48,2,TRUE())</f>
        <v>0.0522223</v>
      </c>
      <c r="K338" s="38" t="n">
        <f aca="false">J338+Inputs!$C$10</f>
        <v>0.1197223</v>
      </c>
      <c r="L338" s="37" t="n">
        <f aca="false">I338*K338/C338</f>
        <v>492.009452054795</v>
      </c>
      <c r="M338" s="37" t="n">
        <f aca="false">IF(AND(A338&gt;=Inputs!$C$13,OR(A338&lt;Inputs!$B$19,Inputs!$B$20=1)),I338*Inputs!$C$11/C338,0)</f>
        <v>0</v>
      </c>
    </row>
    <row r="339" customFormat="false" ht="15" hidden="false" customHeight="false" outlineLevel="0" collapsed="false">
      <c r="A339" s="35" t="n">
        <f aca="false">A338+1</f>
        <v>45146</v>
      </c>
      <c r="B339" s="35" t="n">
        <f aca="false">EOMONTH(A339+1,0)</f>
        <v>45169</v>
      </c>
      <c r="C339" s="36" t="n">
        <f aca="false">IF(MOD(YEAR(A339),4)=0,366,365)</f>
        <v>365</v>
      </c>
      <c r="D339" s="37" t="n">
        <f aca="false">Inputs!$B$9-SUMIFS(Cash_Events!$G$6:$G$20,Cash_Events!$C$6:$C$20,"rAGMF",Cash_Events!$B$6:$B$20,"&lt;="&amp;A339)</f>
        <v>1500000</v>
      </c>
      <c r="E339" s="38" t="n">
        <f aca="false">VLOOKUP(A339,Inputs!$A$40:$B$48,2,TRUE())</f>
        <v>0.0521501</v>
      </c>
      <c r="F339" s="38" t="n">
        <f aca="false">E339+Inputs!$B$10</f>
        <v>0.1196501</v>
      </c>
      <c r="G339" s="37" t="n">
        <f aca="false">D339*F339/C339</f>
        <v>491.712739726027</v>
      </c>
      <c r="H339" s="37" t="n">
        <f aca="false">IF(AND(A339&gt;=Inputs!$B$13,OR(A339&lt;Inputs!$B$19,Inputs!$B$20=1)),D339*Inputs!$B$11/C339,0)</f>
        <v>0</v>
      </c>
      <c r="I339" s="37" t="n">
        <f aca="false">Inputs!$C$9-SUMIFS(Cash_Events!$G$6:$G$20,Cash_Events!$C$6:$C$20,"FHL",Cash_Events!$B$6:$B$20,"&lt;="&amp;A339)</f>
        <v>1500000</v>
      </c>
      <c r="J339" s="38" t="n">
        <f aca="false">VLOOKUP(A339,Inputs!$F$40:$G$48,2,TRUE())</f>
        <v>0.0522223</v>
      </c>
      <c r="K339" s="38" t="n">
        <f aca="false">J339+Inputs!$C$10</f>
        <v>0.1197223</v>
      </c>
      <c r="L339" s="37" t="n">
        <f aca="false">I339*K339/C339</f>
        <v>492.009452054795</v>
      </c>
      <c r="M339" s="37" t="n">
        <f aca="false">IF(AND(A339&gt;=Inputs!$C$13,OR(A339&lt;Inputs!$B$19,Inputs!$B$20=1)),I339*Inputs!$C$11/C339,0)</f>
        <v>0</v>
      </c>
    </row>
    <row r="340" customFormat="false" ht="15" hidden="false" customHeight="false" outlineLevel="0" collapsed="false">
      <c r="A340" s="35" t="n">
        <f aca="false">A339+1</f>
        <v>45147</v>
      </c>
      <c r="B340" s="35" t="n">
        <f aca="false">EOMONTH(A340+1,0)</f>
        <v>45169</v>
      </c>
      <c r="C340" s="36" t="n">
        <f aca="false">IF(MOD(YEAR(A340),4)=0,366,365)</f>
        <v>365</v>
      </c>
      <c r="D340" s="37" t="n">
        <f aca="false">Inputs!$B$9-SUMIFS(Cash_Events!$G$6:$G$20,Cash_Events!$C$6:$C$20,"rAGMF",Cash_Events!$B$6:$B$20,"&lt;="&amp;A340)</f>
        <v>1500000</v>
      </c>
      <c r="E340" s="38" t="n">
        <f aca="false">VLOOKUP(A340,Inputs!$A$40:$B$48,2,TRUE())</f>
        <v>0.0521501</v>
      </c>
      <c r="F340" s="38" t="n">
        <f aca="false">E340+Inputs!$B$10</f>
        <v>0.1196501</v>
      </c>
      <c r="G340" s="37" t="n">
        <f aca="false">D340*F340/C340</f>
        <v>491.712739726027</v>
      </c>
      <c r="H340" s="37" t="n">
        <f aca="false">IF(AND(A340&gt;=Inputs!$B$13,OR(A340&lt;Inputs!$B$19,Inputs!$B$20=1)),D340*Inputs!$B$11/C340,0)</f>
        <v>0</v>
      </c>
      <c r="I340" s="37" t="n">
        <f aca="false">Inputs!$C$9-SUMIFS(Cash_Events!$G$6:$G$20,Cash_Events!$C$6:$C$20,"FHL",Cash_Events!$B$6:$B$20,"&lt;="&amp;A340)</f>
        <v>1500000</v>
      </c>
      <c r="J340" s="38" t="n">
        <f aca="false">VLOOKUP(A340,Inputs!$F$40:$G$48,2,TRUE())</f>
        <v>0.0522223</v>
      </c>
      <c r="K340" s="38" t="n">
        <f aca="false">J340+Inputs!$C$10</f>
        <v>0.1197223</v>
      </c>
      <c r="L340" s="37" t="n">
        <f aca="false">I340*K340/C340</f>
        <v>492.009452054795</v>
      </c>
      <c r="M340" s="37" t="n">
        <f aca="false">IF(AND(A340&gt;=Inputs!$C$13,OR(A340&lt;Inputs!$B$19,Inputs!$B$20=1)),I340*Inputs!$C$11/C340,0)</f>
        <v>0</v>
      </c>
    </row>
    <row r="341" customFormat="false" ht="15" hidden="false" customHeight="false" outlineLevel="0" collapsed="false">
      <c r="A341" s="35" t="n">
        <f aca="false">A340+1</f>
        <v>45148</v>
      </c>
      <c r="B341" s="35" t="n">
        <f aca="false">EOMONTH(A341+1,0)</f>
        <v>45169</v>
      </c>
      <c r="C341" s="36" t="n">
        <f aca="false">IF(MOD(YEAR(A341),4)=0,366,365)</f>
        <v>365</v>
      </c>
      <c r="D341" s="37" t="n">
        <f aca="false">Inputs!$B$9-SUMIFS(Cash_Events!$G$6:$G$20,Cash_Events!$C$6:$C$20,"rAGMF",Cash_Events!$B$6:$B$20,"&lt;="&amp;A341)</f>
        <v>1500000</v>
      </c>
      <c r="E341" s="38" t="n">
        <f aca="false">VLOOKUP(A341,Inputs!$A$40:$B$48,2,TRUE())</f>
        <v>0.0521501</v>
      </c>
      <c r="F341" s="38" t="n">
        <f aca="false">E341+Inputs!$B$10</f>
        <v>0.1196501</v>
      </c>
      <c r="G341" s="37" t="n">
        <f aca="false">D341*F341/C341</f>
        <v>491.712739726027</v>
      </c>
      <c r="H341" s="37" t="n">
        <f aca="false">IF(AND(A341&gt;=Inputs!$B$13,OR(A341&lt;Inputs!$B$19,Inputs!$B$20=1)),D341*Inputs!$B$11/C341,0)</f>
        <v>0</v>
      </c>
      <c r="I341" s="37" t="n">
        <f aca="false">Inputs!$C$9-SUMIFS(Cash_Events!$G$6:$G$20,Cash_Events!$C$6:$C$20,"FHL",Cash_Events!$B$6:$B$20,"&lt;="&amp;A341)</f>
        <v>1500000</v>
      </c>
      <c r="J341" s="38" t="n">
        <f aca="false">VLOOKUP(A341,Inputs!$F$40:$G$48,2,TRUE())</f>
        <v>0.0522223</v>
      </c>
      <c r="K341" s="38" t="n">
        <f aca="false">J341+Inputs!$C$10</f>
        <v>0.1197223</v>
      </c>
      <c r="L341" s="37" t="n">
        <f aca="false">I341*K341/C341</f>
        <v>492.009452054795</v>
      </c>
      <c r="M341" s="37" t="n">
        <f aca="false">IF(AND(A341&gt;=Inputs!$C$13,OR(A341&lt;Inputs!$B$19,Inputs!$B$20=1)),I341*Inputs!$C$11/C341,0)</f>
        <v>0</v>
      </c>
    </row>
    <row r="342" customFormat="false" ht="15" hidden="false" customHeight="false" outlineLevel="0" collapsed="false">
      <c r="A342" s="35" t="n">
        <f aca="false">A341+1</f>
        <v>45149</v>
      </c>
      <c r="B342" s="35" t="n">
        <f aca="false">EOMONTH(A342+1,0)</f>
        <v>45169</v>
      </c>
      <c r="C342" s="36" t="n">
        <f aca="false">IF(MOD(YEAR(A342),4)=0,366,365)</f>
        <v>365</v>
      </c>
      <c r="D342" s="37" t="n">
        <f aca="false">Inputs!$B$9-SUMIFS(Cash_Events!$G$6:$G$20,Cash_Events!$C$6:$C$20,"rAGMF",Cash_Events!$B$6:$B$20,"&lt;="&amp;A342)</f>
        <v>1500000</v>
      </c>
      <c r="E342" s="38" t="n">
        <f aca="false">VLOOKUP(A342,Inputs!$A$40:$B$48,2,TRUE())</f>
        <v>0.0521501</v>
      </c>
      <c r="F342" s="38" t="n">
        <f aca="false">E342+Inputs!$B$10</f>
        <v>0.1196501</v>
      </c>
      <c r="G342" s="37" t="n">
        <f aca="false">D342*F342/C342</f>
        <v>491.712739726027</v>
      </c>
      <c r="H342" s="37" t="n">
        <f aca="false">IF(AND(A342&gt;=Inputs!$B$13,OR(A342&lt;Inputs!$B$19,Inputs!$B$20=1)),D342*Inputs!$B$11/C342,0)</f>
        <v>0</v>
      </c>
      <c r="I342" s="37" t="n">
        <f aca="false">Inputs!$C$9-SUMIFS(Cash_Events!$G$6:$G$20,Cash_Events!$C$6:$C$20,"FHL",Cash_Events!$B$6:$B$20,"&lt;="&amp;A342)</f>
        <v>1500000</v>
      </c>
      <c r="J342" s="38" t="n">
        <f aca="false">VLOOKUP(A342,Inputs!$F$40:$G$48,2,TRUE())</f>
        <v>0.0522223</v>
      </c>
      <c r="K342" s="38" t="n">
        <f aca="false">J342+Inputs!$C$10</f>
        <v>0.1197223</v>
      </c>
      <c r="L342" s="37" t="n">
        <f aca="false">I342*K342/C342</f>
        <v>492.009452054795</v>
      </c>
      <c r="M342" s="37" t="n">
        <f aca="false">IF(AND(A342&gt;=Inputs!$C$13,OR(A342&lt;Inputs!$B$19,Inputs!$B$20=1)),I342*Inputs!$C$11/C342,0)</f>
        <v>0</v>
      </c>
    </row>
    <row r="343" customFormat="false" ht="15" hidden="false" customHeight="false" outlineLevel="0" collapsed="false">
      <c r="A343" s="35" t="n">
        <f aca="false">A342+1</f>
        <v>45150</v>
      </c>
      <c r="B343" s="35" t="n">
        <f aca="false">EOMONTH(A343+1,0)</f>
        <v>45169</v>
      </c>
      <c r="C343" s="36" t="n">
        <f aca="false">IF(MOD(YEAR(A343),4)=0,366,365)</f>
        <v>365</v>
      </c>
      <c r="D343" s="37" t="n">
        <f aca="false">Inputs!$B$9-SUMIFS(Cash_Events!$G$6:$G$20,Cash_Events!$C$6:$C$20,"rAGMF",Cash_Events!$B$6:$B$20,"&lt;="&amp;A343)</f>
        <v>1500000</v>
      </c>
      <c r="E343" s="38" t="n">
        <f aca="false">VLOOKUP(A343,Inputs!$A$40:$B$48,2,TRUE())</f>
        <v>0.0521501</v>
      </c>
      <c r="F343" s="38" t="n">
        <f aca="false">E343+Inputs!$B$10</f>
        <v>0.1196501</v>
      </c>
      <c r="G343" s="37" t="n">
        <f aca="false">D343*F343/C343</f>
        <v>491.712739726027</v>
      </c>
      <c r="H343" s="37" t="n">
        <f aca="false">IF(AND(A343&gt;=Inputs!$B$13,OR(A343&lt;Inputs!$B$19,Inputs!$B$20=1)),D343*Inputs!$B$11/C343,0)</f>
        <v>0</v>
      </c>
      <c r="I343" s="37" t="n">
        <f aca="false">Inputs!$C$9-SUMIFS(Cash_Events!$G$6:$G$20,Cash_Events!$C$6:$C$20,"FHL",Cash_Events!$B$6:$B$20,"&lt;="&amp;A343)</f>
        <v>1500000</v>
      </c>
      <c r="J343" s="38" t="n">
        <f aca="false">VLOOKUP(A343,Inputs!$F$40:$G$48,2,TRUE())</f>
        <v>0.0522223</v>
      </c>
      <c r="K343" s="38" t="n">
        <f aca="false">J343+Inputs!$C$10</f>
        <v>0.1197223</v>
      </c>
      <c r="L343" s="37" t="n">
        <f aca="false">I343*K343/C343</f>
        <v>492.009452054795</v>
      </c>
      <c r="M343" s="37" t="n">
        <f aca="false">IF(AND(A343&gt;=Inputs!$C$13,OR(A343&lt;Inputs!$B$19,Inputs!$B$20=1)),I343*Inputs!$C$11/C343,0)</f>
        <v>0</v>
      </c>
    </row>
    <row r="344" customFormat="false" ht="15" hidden="false" customHeight="false" outlineLevel="0" collapsed="false">
      <c r="A344" s="35" t="n">
        <f aca="false">A343+1</f>
        <v>45151</v>
      </c>
      <c r="B344" s="35" t="n">
        <f aca="false">EOMONTH(A344+1,0)</f>
        <v>45169</v>
      </c>
      <c r="C344" s="36" t="n">
        <f aca="false">IF(MOD(YEAR(A344),4)=0,366,365)</f>
        <v>365</v>
      </c>
      <c r="D344" s="37" t="n">
        <f aca="false">Inputs!$B$9-SUMIFS(Cash_Events!$G$6:$G$20,Cash_Events!$C$6:$C$20,"rAGMF",Cash_Events!$B$6:$B$20,"&lt;="&amp;A344)</f>
        <v>1500000</v>
      </c>
      <c r="E344" s="38" t="n">
        <f aca="false">VLOOKUP(A344,Inputs!$A$40:$B$48,2,TRUE())</f>
        <v>0.0521501</v>
      </c>
      <c r="F344" s="38" t="n">
        <f aca="false">E344+Inputs!$B$10</f>
        <v>0.1196501</v>
      </c>
      <c r="G344" s="37" t="n">
        <f aca="false">D344*F344/C344</f>
        <v>491.712739726027</v>
      </c>
      <c r="H344" s="37" t="n">
        <f aca="false">IF(AND(A344&gt;=Inputs!$B$13,OR(A344&lt;Inputs!$B$19,Inputs!$B$20=1)),D344*Inputs!$B$11/C344,0)</f>
        <v>0</v>
      </c>
      <c r="I344" s="37" t="n">
        <f aca="false">Inputs!$C$9-SUMIFS(Cash_Events!$G$6:$G$20,Cash_Events!$C$6:$C$20,"FHL",Cash_Events!$B$6:$B$20,"&lt;="&amp;A344)</f>
        <v>1500000</v>
      </c>
      <c r="J344" s="38" t="n">
        <f aca="false">VLOOKUP(A344,Inputs!$F$40:$G$48,2,TRUE())</f>
        <v>0.0522223</v>
      </c>
      <c r="K344" s="38" t="n">
        <f aca="false">J344+Inputs!$C$10</f>
        <v>0.1197223</v>
      </c>
      <c r="L344" s="37" t="n">
        <f aca="false">I344*K344/C344</f>
        <v>492.009452054795</v>
      </c>
      <c r="M344" s="37" t="n">
        <f aca="false">IF(AND(A344&gt;=Inputs!$C$13,OR(A344&lt;Inputs!$B$19,Inputs!$B$20=1)),I344*Inputs!$C$11/C344,0)</f>
        <v>0</v>
      </c>
    </row>
    <row r="345" customFormat="false" ht="15" hidden="false" customHeight="false" outlineLevel="0" collapsed="false">
      <c r="A345" s="35" t="n">
        <f aca="false">A344+1</f>
        <v>45152</v>
      </c>
      <c r="B345" s="35" t="n">
        <f aca="false">EOMONTH(A345+1,0)</f>
        <v>45169</v>
      </c>
      <c r="C345" s="36" t="n">
        <f aca="false">IF(MOD(YEAR(A345),4)=0,366,365)</f>
        <v>365</v>
      </c>
      <c r="D345" s="37" t="n">
        <f aca="false">Inputs!$B$9-SUMIFS(Cash_Events!$G$6:$G$20,Cash_Events!$C$6:$C$20,"rAGMF",Cash_Events!$B$6:$B$20,"&lt;="&amp;A345)</f>
        <v>1500000</v>
      </c>
      <c r="E345" s="38" t="n">
        <f aca="false">VLOOKUP(A345,Inputs!$A$40:$B$48,2,TRUE())</f>
        <v>0.0521501</v>
      </c>
      <c r="F345" s="38" t="n">
        <f aca="false">E345+Inputs!$B$10</f>
        <v>0.1196501</v>
      </c>
      <c r="G345" s="37" t="n">
        <f aca="false">D345*F345/C345</f>
        <v>491.712739726027</v>
      </c>
      <c r="H345" s="37" t="n">
        <f aca="false">IF(AND(A345&gt;=Inputs!$B$13,OR(A345&lt;Inputs!$B$19,Inputs!$B$20=1)),D345*Inputs!$B$11/C345,0)</f>
        <v>0</v>
      </c>
      <c r="I345" s="37" t="n">
        <f aca="false">Inputs!$C$9-SUMIFS(Cash_Events!$G$6:$G$20,Cash_Events!$C$6:$C$20,"FHL",Cash_Events!$B$6:$B$20,"&lt;="&amp;A345)</f>
        <v>1500000</v>
      </c>
      <c r="J345" s="38" t="n">
        <f aca="false">VLOOKUP(A345,Inputs!$F$40:$G$48,2,TRUE())</f>
        <v>0.0522223</v>
      </c>
      <c r="K345" s="38" t="n">
        <f aca="false">J345+Inputs!$C$10</f>
        <v>0.1197223</v>
      </c>
      <c r="L345" s="37" t="n">
        <f aca="false">I345*K345/C345</f>
        <v>492.009452054795</v>
      </c>
      <c r="M345" s="37" t="n">
        <f aca="false">IF(AND(A345&gt;=Inputs!$C$13,OR(A345&lt;Inputs!$B$19,Inputs!$B$20=1)),I345*Inputs!$C$11/C345,0)</f>
        <v>0</v>
      </c>
    </row>
    <row r="346" customFormat="false" ht="15" hidden="false" customHeight="false" outlineLevel="0" collapsed="false">
      <c r="A346" s="35" t="n">
        <f aca="false">A345+1</f>
        <v>45153</v>
      </c>
      <c r="B346" s="35" t="n">
        <f aca="false">EOMONTH(A346+1,0)</f>
        <v>45169</v>
      </c>
      <c r="C346" s="36" t="n">
        <f aca="false">IF(MOD(YEAR(A346),4)=0,366,365)</f>
        <v>365</v>
      </c>
      <c r="D346" s="37" t="n">
        <f aca="false">Inputs!$B$9-SUMIFS(Cash_Events!$G$6:$G$20,Cash_Events!$C$6:$C$20,"rAGMF",Cash_Events!$B$6:$B$20,"&lt;="&amp;A346)</f>
        <v>1500000</v>
      </c>
      <c r="E346" s="38" t="n">
        <f aca="false">VLOOKUP(A346,Inputs!$A$40:$B$48,2,TRUE())</f>
        <v>0.0521501</v>
      </c>
      <c r="F346" s="38" t="n">
        <f aca="false">E346+Inputs!$B$10</f>
        <v>0.1196501</v>
      </c>
      <c r="G346" s="37" t="n">
        <f aca="false">D346*F346/C346</f>
        <v>491.712739726027</v>
      </c>
      <c r="H346" s="37" t="n">
        <f aca="false">IF(AND(A346&gt;=Inputs!$B$13,OR(A346&lt;Inputs!$B$19,Inputs!$B$20=1)),D346*Inputs!$B$11/C346,0)</f>
        <v>0</v>
      </c>
      <c r="I346" s="37" t="n">
        <f aca="false">Inputs!$C$9-SUMIFS(Cash_Events!$G$6:$G$20,Cash_Events!$C$6:$C$20,"FHL",Cash_Events!$B$6:$B$20,"&lt;="&amp;A346)</f>
        <v>1500000</v>
      </c>
      <c r="J346" s="38" t="n">
        <f aca="false">VLOOKUP(A346,Inputs!$F$40:$G$48,2,TRUE())</f>
        <v>0.0522223</v>
      </c>
      <c r="K346" s="38" t="n">
        <f aca="false">J346+Inputs!$C$10</f>
        <v>0.1197223</v>
      </c>
      <c r="L346" s="37" t="n">
        <f aca="false">I346*K346/C346</f>
        <v>492.009452054795</v>
      </c>
      <c r="M346" s="37" t="n">
        <f aca="false">IF(AND(A346&gt;=Inputs!$C$13,OR(A346&lt;Inputs!$B$19,Inputs!$B$20=1)),I346*Inputs!$C$11/C346,0)</f>
        <v>0</v>
      </c>
    </row>
    <row r="347" customFormat="false" ht="15" hidden="false" customHeight="false" outlineLevel="0" collapsed="false">
      <c r="A347" s="35" t="n">
        <f aca="false">A346+1</f>
        <v>45154</v>
      </c>
      <c r="B347" s="35" t="n">
        <f aca="false">EOMONTH(A347+1,0)</f>
        <v>45169</v>
      </c>
      <c r="C347" s="36" t="n">
        <f aca="false">IF(MOD(YEAR(A347),4)=0,366,365)</f>
        <v>365</v>
      </c>
      <c r="D347" s="37" t="n">
        <f aca="false">Inputs!$B$9-SUMIFS(Cash_Events!$G$6:$G$20,Cash_Events!$C$6:$C$20,"rAGMF",Cash_Events!$B$6:$B$20,"&lt;="&amp;A347)</f>
        <v>1500000</v>
      </c>
      <c r="E347" s="38" t="n">
        <f aca="false">VLOOKUP(A347,Inputs!$A$40:$B$48,2,TRUE())</f>
        <v>0.0521501</v>
      </c>
      <c r="F347" s="38" t="n">
        <f aca="false">E347+Inputs!$B$10</f>
        <v>0.1196501</v>
      </c>
      <c r="G347" s="37" t="n">
        <f aca="false">D347*F347/C347</f>
        <v>491.712739726027</v>
      </c>
      <c r="H347" s="37" t="n">
        <f aca="false">IF(AND(A347&gt;=Inputs!$B$13,OR(A347&lt;Inputs!$B$19,Inputs!$B$20=1)),D347*Inputs!$B$11/C347,0)</f>
        <v>0</v>
      </c>
      <c r="I347" s="37" t="n">
        <f aca="false">Inputs!$C$9-SUMIFS(Cash_Events!$G$6:$G$20,Cash_Events!$C$6:$C$20,"FHL",Cash_Events!$B$6:$B$20,"&lt;="&amp;A347)</f>
        <v>1500000</v>
      </c>
      <c r="J347" s="38" t="n">
        <f aca="false">VLOOKUP(A347,Inputs!$F$40:$G$48,2,TRUE())</f>
        <v>0.0522223</v>
      </c>
      <c r="K347" s="38" t="n">
        <f aca="false">J347+Inputs!$C$10</f>
        <v>0.1197223</v>
      </c>
      <c r="L347" s="37" t="n">
        <f aca="false">I347*K347/C347</f>
        <v>492.009452054795</v>
      </c>
      <c r="M347" s="37" t="n">
        <f aca="false">IF(AND(A347&gt;=Inputs!$C$13,OR(A347&lt;Inputs!$B$19,Inputs!$B$20=1)),I347*Inputs!$C$11/C347,0)</f>
        <v>0</v>
      </c>
    </row>
    <row r="348" customFormat="false" ht="15" hidden="false" customHeight="false" outlineLevel="0" collapsed="false">
      <c r="A348" s="35" t="n">
        <f aca="false">A347+1</f>
        <v>45155</v>
      </c>
      <c r="B348" s="35" t="n">
        <f aca="false">EOMONTH(A348+1,0)</f>
        <v>45169</v>
      </c>
      <c r="C348" s="36" t="n">
        <f aca="false">IF(MOD(YEAR(A348),4)=0,366,365)</f>
        <v>365</v>
      </c>
      <c r="D348" s="37" t="n">
        <f aca="false">Inputs!$B$9-SUMIFS(Cash_Events!$G$6:$G$20,Cash_Events!$C$6:$C$20,"rAGMF",Cash_Events!$B$6:$B$20,"&lt;="&amp;A348)</f>
        <v>1500000</v>
      </c>
      <c r="E348" s="38" t="n">
        <f aca="false">VLOOKUP(A348,Inputs!$A$40:$B$48,2,TRUE())</f>
        <v>0.0521501</v>
      </c>
      <c r="F348" s="38" t="n">
        <f aca="false">E348+Inputs!$B$10</f>
        <v>0.1196501</v>
      </c>
      <c r="G348" s="37" t="n">
        <f aca="false">D348*F348/C348</f>
        <v>491.712739726027</v>
      </c>
      <c r="H348" s="37" t="n">
        <f aca="false">IF(AND(A348&gt;=Inputs!$B$13,OR(A348&lt;Inputs!$B$19,Inputs!$B$20=1)),D348*Inputs!$B$11/C348,0)</f>
        <v>0</v>
      </c>
      <c r="I348" s="37" t="n">
        <f aca="false">Inputs!$C$9-SUMIFS(Cash_Events!$G$6:$G$20,Cash_Events!$C$6:$C$20,"FHL",Cash_Events!$B$6:$B$20,"&lt;="&amp;A348)</f>
        <v>1500000</v>
      </c>
      <c r="J348" s="38" t="n">
        <f aca="false">VLOOKUP(A348,Inputs!$F$40:$G$48,2,TRUE())</f>
        <v>0.0522223</v>
      </c>
      <c r="K348" s="38" t="n">
        <f aca="false">J348+Inputs!$C$10</f>
        <v>0.1197223</v>
      </c>
      <c r="L348" s="37" t="n">
        <f aca="false">I348*K348/C348</f>
        <v>492.009452054795</v>
      </c>
      <c r="M348" s="37" t="n">
        <f aca="false">IF(AND(A348&gt;=Inputs!$C$13,OR(A348&lt;Inputs!$B$19,Inputs!$B$20=1)),I348*Inputs!$C$11/C348,0)</f>
        <v>0</v>
      </c>
    </row>
    <row r="349" customFormat="false" ht="15" hidden="false" customHeight="false" outlineLevel="0" collapsed="false">
      <c r="A349" s="35" t="n">
        <f aca="false">A348+1</f>
        <v>45156</v>
      </c>
      <c r="B349" s="35" t="n">
        <f aca="false">EOMONTH(A349+1,0)</f>
        <v>45169</v>
      </c>
      <c r="C349" s="36" t="n">
        <f aca="false">IF(MOD(YEAR(A349),4)=0,366,365)</f>
        <v>365</v>
      </c>
      <c r="D349" s="37" t="n">
        <f aca="false">Inputs!$B$9-SUMIFS(Cash_Events!$G$6:$G$20,Cash_Events!$C$6:$C$20,"rAGMF",Cash_Events!$B$6:$B$20,"&lt;="&amp;A349)</f>
        <v>1500000</v>
      </c>
      <c r="E349" s="38" t="n">
        <f aca="false">VLOOKUP(A349,Inputs!$A$40:$B$48,2,TRUE())</f>
        <v>0.0521501</v>
      </c>
      <c r="F349" s="38" t="n">
        <f aca="false">E349+Inputs!$B$10</f>
        <v>0.1196501</v>
      </c>
      <c r="G349" s="37" t="n">
        <f aca="false">D349*F349/C349</f>
        <v>491.712739726027</v>
      </c>
      <c r="H349" s="37" t="n">
        <f aca="false">IF(AND(A349&gt;=Inputs!$B$13,OR(A349&lt;Inputs!$B$19,Inputs!$B$20=1)),D349*Inputs!$B$11/C349,0)</f>
        <v>0</v>
      </c>
      <c r="I349" s="37" t="n">
        <f aca="false">Inputs!$C$9-SUMIFS(Cash_Events!$G$6:$G$20,Cash_Events!$C$6:$C$20,"FHL",Cash_Events!$B$6:$B$20,"&lt;="&amp;A349)</f>
        <v>1500000</v>
      </c>
      <c r="J349" s="38" t="n">
        <f aca="false">VLOOKUP(A349,Inputs!$F$40:$G$48,2,TRUE())</f>
        <v>0.0522223</v>
      </c>
      <c r="K349" s="38" t="n">
        <f aca="false">J349+Inputs!$C$10</f>
        <v>0.1197223</v>
      </c>
      <c r="L349" s="37" t="n">
        <f aca="false">I349*K349/C349</f>
        <v>492.009452054795</v>
      </c>
      <c r="M349" s="37" t="n">
        <f aca="false">IF(AND(A349&gt;=Inputs!$C$13,OR(A349&lt;Inputs!$B$19,Inputs!$B$20=1)),I349*Inputs!$C$11/C349,0)</f>
        <v>0</v>
      </c>
    </row>
    <row r="350" customFormat="false" ht="15" hidden="false" customHeight="false" outlineLevel="0" collapsed="false">
      <c r="A350" s="35" t="n">
        <f aca="false">A349+1</f>
        <v>45157</v>
      </c>
      <c r="B350" s="35" t="n">
        <f aca="false">EOMONTH(A350+1,0)</f>
        <v>45169</v>
      </c>
      <c r="C350" s="36" t="n">
        <f aca="false">IF(MOD(YEAR(A350),4)=0,366,365)</f>
        <v>365</v>
      </c>
      <c r="D350" s="37" t="n">
        <f aca="false">Inputs!$B$9-SUMIFS(Cash_Events!$G$6:$G$20,Cash_Events!$C$6:$C$20,"rAGMF",Cash_Events!$B$6:$B$20,"&lt;="&amp;A350)</f>
        <v>1500000</v>
      </c>
      <c r="E350" s="38" t="n">
        <f aca="false">VLOOKUP(A350,Inputs!$A$40:$B$48,2,TRUE())</f>
        <v>0.0521501</v>
      </c>
      <c r="F350" s="38" t="n">
        <f aca="false">E350+Inputs!$B$10</f>
        <v>0.1196501</v>
      </c>
      <c r="G350" s="37" t="n">
        <f aca="false">D350*F350/C350</f>
        <v>491.712739726027</v>
      </c>
      <c r="H350" s="37" t="n">
        <f aca="false">IF(AND(A350&gt;=Inputs!$B$13,OR(A350&lt;Inputs!$B$19,Inputs!$B$20=1)),D350*Inputs!$B$11/C350,0)</f>
        <v>0</v>
      </c>
      <c r="I350" s="37" t="n">
        <f aca="false">Inputs!$C$9-SUMIFS(Cash_Events!$G$6:$G$20,Cash_Events!$C$6:$C$20,"FHL",Cash_Events!$B$6:$B$20,"&lt;="&amp;A350)</f>
        <v>1500000</v>
      </c>
      <c r="J350" s="38" t="n">
        <f aca="false">VLOOKUP(A350,Inputs!$F$40:$G$48,2,TRUE())</f>
        <v>0.0522223</v>
      </c>
      <c r="K350" s="38" t="n">
        <f aca="false">J350+Inputs!$C$10</f>
        <v>0.1197223</v>
      </c>
      <c r="L350" s="37" t="n">
        <f aca="false">I350*K350/C350</f>
        <v>492.009452054795</v>
      </c>
      <c r="M350" s="37" t="n">
        <f aca="false">IF(AND(A350&gt;=Inputs!$C$13,OR(A350&lt;Inputs!$B$19,Inputs!$B$20=1)),I350*Inputs!$C$11/C350,0)</f>
        <v>0</v>
      </c>
    </row>
    <row r="351" customFormat="false" ht="15" hidden="false" customHeight="false" outlineLevel="0" collapsed="false">
      <c r="A351" s="35" t="n">
        <f aca="false">A350+1</f>
        <v>45158</v>
      </c>
      <c r="B351" s="35" t="n">
        <f aca="false">EOMONTH(A351+1,0)</f>
        <v>45169</v>
      </c>
      <c r="C351" s="36" t="n">
        <f aca="false">IF(MOD(YEAR(A351),4)=0,366,365)</f>
        <v>365</v>
      </c>
      <c r="D351" s="37" t="n">
        <f aca="false">Inputs!$B$9-SUMIFS(Cash_Events!$G$6:$G$20,Cash_Events!$C$6:$C$20,"rAGMF",Cash_Events!$B$6:$B$20,"&lt;="&amp;A351)</f>
        <v>1500000</v>
      </c>
      <c r="E351" s="38" t="n">
        <f aca="false">VLOOKUP(A351,Inputs!$A$40:$B$48,2,TRUE())</f>
        <v>0.0521501</v>
      </c>
      <c r="F351" s="38" t="n">
        <f aca="false">E351+Inputs!$B$10</f>
        <v>0.1196501</v>
      </c>
      <c r="G351" s="37" t="n">
        <f aca="false">D351*F351/C351</f>
        <v>491.712739726027</v>
      </c>
      <c r="H351" s="37" t="n">
        <f aca="false">IF(AND(A351&gt;=Inputs!$B$13,OR(A351&lt;Inputs!$B$19,Inputs!$B$20=1)),D351*Inputs!$B$11/C351,0)</f>
        <v>0</v>
      </c>
      <c r="I351" s="37" t="n">
        <f aca="false">Inputs!$C$9-SUMIFS(Cash_Events!$G$6:$G$20,Cash_Events!$C$6:$C$20,"FHL",Cash_Events!$B$6:$B$20,"&lt;="&amp;A351)</f>
        <v>1500000</v>
      </c>
      <c r="J351" s="38" t="n">
        <f aca="false">VLOOKUP(A351,Inputs!$F$40:$G$48,2,TRUE())</f>
        <v>0.0522223</v>
      </c>
      <c r="K351" s="38" t="n">
        <f aca="false">J351+Inputs!$C$10</f>
        <v>0.1197223</v>
      </c>
      <c r="L351" s="37" t="n">
        <f aca="false">I351*K351/C351</f>
        <v>492.009452054795</v>
      </c>
      <c r="M351" s="37" t="n">
        <f aca="false">IF(AND(A351&gt;=Inputs!$C$13,OR(A351&lt;Inputs!$B$19,Inputs!$B$20=1)),I351*Inputs!$C$11/C351,0)</f>
        <v>0</v>
      </c>
    </row>
    <row r="352" customFormat="false" ht="15" hidden="false" customHeight="false" outlineLevel="0" collapsed="false">
      <c r="A352" s="35" t="n">
        <f aca="false">A351+1</f>
        <v>45159</v>
      </c>
      <c r="B352" s="35" t="n">
        <f aca="false">EOMONTH(A352+1,0)</f>
        <v>45169</v>
      </c>
      <c r="C352" s="36" t="n">
        <f aca="false">IF(MOD(YEAR(A352),4)=0,366,365)</f>
        <v>365</v>
      </c>
      <c r="D352" s="37" t="n">
        <f aca="false">Inputs!$B$9-SUMIFS(Cash_Events!$G$6:$G$20,Cash_Events!$C$6:$C$20,"rAGMF",Cash_Events!$B$6:$B$20,"&lt;="&amp;A352)</f>
        <v>1500000</v>
      </c>
      <c r="E352" s="38" t="n">
        <f aca="false">VLOOKUP(A352,Inputs!$A$40:$B$48,2,TRUE())</f>
        <v>0.0521501</v>
      </c>
      <c r="F352" s="38" t="n">
        <f aca="false">E352+Inputs!$B$10</f>
        <v>0.1196501</v>
      </c>
      <c r="G352" s="37" t="n">
        <f aca="false">D352*F352/C352</f>
        <v>491.712739726027</v>
      </c>
      <c r="H352" s="37" t="n">
        <f aca="false">IF(AND(A352&gt;=Inputs!$B$13,OR(A352&lt;Inputs!$B$19,Inputs!$B$20=1)),D352*Inputs!$B$11/C352,0)</f>
        <v>0</v>
      </c>
      <c r="I352" s="37" t="n">
        <f aca="false">Inputs!$C$9-SUMIFS(Cash_Events!$G$6:$G$20,Cash_Events!$C$6:$C$20,"FHL",Cash_Events!$B$6:$B$20,"&lt;="&amp;A352)</f>
        <v>1500000</v>
      </c>
      <c r="J352" s="38" t="n">
        <f aca="false">VLOOKUP(A352,Inputs!$F$40:$G$48,2,TRUE())</f>
        <v>0.0522223</v>
      </c>
      <c r="K352" s="38" t="n">
        <f aca="false">J352+Inputs!$C$10</f>
        <v>0.1197223</v>
      </c>
      <c r="L352" s="37" t="n">
        <f aca="false">I352*K352/C352</f>
        <v>492.009452054795</v>
      </c>
      <c r="M352" s="37" t="n">
        <f aca="false">IF(AND(A352&gt;=Inputs!$C$13,OR(A352&lt;Inputs!$B$19,Inputs!$B$20=1)),I352*Inputs!$C$11/C352,0)</f>
        <v>0</v>
      </c>
    </row>
    <row r="353" customFormat="false" ht="15" hidden="false" customHeight="false" outlineLevel="0" collapsed="false">
      <c r="A353" s="35" t="n">
        <f aca="false">A352+1</f>
        <v>45160</v>
      </c>
      <c r="B353" s="35" t="n">
        <f aca="false">EOMONTH(A353+1,0)</f>
        <v>45169</v>
      </c>
      <c r="C353" s="36" t="n">
        <f aca="false">IF(MOD(YEAR(A353),4)=0,366,365)</f>
        <v>365</v>
      </c>
      <c r="D353" s="37" t="n">
        <f aca="false">Inputs!$B$9-SUMIFS(Cash_Events!$G$6:$G$20,Cash_Events!$C$6:$C$20,"rAGMF",Cash_Events!$B$6:$B$20,"&lt;="&amp;A353)</f>
        <v>1500000</v>
      </c>
      <c r="E353" s="38" t="n">
        <f aca="false">VLOOKUP(A353,Inputs!$A$40:$B$48,2,TRUE())</f>
        <v>0.0521501</v>
      </c>
      <c r="F353" s="38" t="n">
        <f aca="false">E353+Inputs!$B$10</f>
        <v>0.1196501</v>
      </c>
      <c r="G353" s="37" t="n">
        <f aca="false">D353*F353/C353</f>
        <v>491.712739726027</v>
      </c>
      <c r="H353" s="37" t="n">
        <f aca="false">IF(AND(A353&gt;=Inputs!$B$13,OR(A353&lt;Inputs!$B$19,Inputs!$B$20=1)),D353*Inputs!$B$11/C353,0)</f>
        <v>0</v>
      </c>
      <c r="I353" s="37" t="n">
        <f aca="false">Inputs!$C$9-SUMIFS(Cash_Events!$G$6:$G$20,Cash_Events!$C$6:$C$20,"FHL",Cash_Events!$B$6:$B$20,"&lt;="&amp;A353)</f>
        <v>1500000</v>
      </c>
      <c r="J353" s="38" t="n">
        <f aca="false">VLOOKUP(A353,Inputs!$F$40:$G$48,2,TRUE())</f>
        <v>0.0522223</v>
      </c>
      <c r="K353" s="38" t="n">
        <f aca="false">J353+Inputs!$C$10</f>
        <v>0.1197223</v>
      </c>
      <c r="L353" s="37" t="n">
        <f aca="false">I353*K353/C353</f>
        <v>492.009452054795</v>
      </c>
      <c r="M353" s="37" t="n">
        <f aca="false">IF(AND(A353&gt;=Inputs!$C$13,OR(A353&lt;Inputs!$B$19,Inputs!$B$20=1)),I353*Inputs!$C$11/C353,0)</f>
        <v>0</v>
      </c>
    </row>
    <row r="354" customFormat="false" ht="15" hidden="false" customHeight="false" outlineLevel="0" collapsed="false">
      <c r="A354" s="35" t="n">
        <f aca="false">A353+1</f>
        <v>45161</v>
      </c>
      <c r="B354" s="35" t="n">
        <f aca="false">EOMONTH(A354+1,0)</f>
        <v>45169</v>
      </c>
      <c r="C354" s="36" t="n">
        <f aca="false">IF(MOD(YEAR(A354),4)=0,366,365)</f>
        <v>365</v>
      </c>
      <c r="D354" s="37" t="n">
        <f aca="false">Inputs!$B$9-SUMIFS(Cash_Events!$G$6:$G$20,Cash_Events!$C$6:$C$20,"rAGMF",Cash_Events!$B$6:$B$20,"&lt;="&amp;A354)</f>
        <v>1500000</v>
      </c>
      <c r="E354" s="38" t="n">
        <f aca="false">VLOOKUP(A354,Inputs!$A$40:$B$48,2,TRUE())</f>
        <v>0.0521501</v>
      </c>
      <c r="F354" s="38" t="n">
        <f aca="false">E354+Inputs!$B$10</f>
        <v>0.1196501</v>
      </c>
      <c r="G354" s="37" t="n">
        <f aca="false">D354*F354/C354</f>
        <v>491.712739726027</v>
      </c>
      <c r="H354" s="37" t="n">
        <f aca="false">IF(AND(A354&gt;=Inputs!$B$13,OR(A354&lt;Inputs!$B$19,Inputs!$B$20=1)),D354*Inputs!$B$11/C354,0)</f>
        <v>0</v>
      </c>
      <c r="I354" s="37" t="n">
        <f aca="false">Inputs!$C$9-SUMIFS(Cash_Events!$G$6:$G$20,Cash_Events!$C$6:$C$20,"FHL",Cash_Events!$B$6:$B$20,"&lt;="&amp;A354)</f>
        <v>1500000</v>
      </c>
      <c r="J354" s="38" t="n">
        <f aca="false">VLOOKUP(A354,Inputs!$F$40:$G$48,2,TRUE())</f>
        <v>0.0522223</v>
      </c>
      <c r="K354" s="38" t="n">
        <f aca="false">J354+Inputs!$C$10</f>
        <v>0.1197223</v>
      </c>
      <c r="L354" s="37" t="n">
        <f aca="false">I354*K354/C354</f>
        <v>492.009452054795</v>
      </c>
      <c r="M354" s="37" t="n">
        <f aca="false">IF(AND(A354&gt;=Inputs!$C$13,OR(A354&lt;Inputs!$B$19,Inputs!$B$20=1)),I354*Inputs!$C$11/C354,0)</f>
        <v>0</v>
      </c>
    </row>
    <row r="355" customFormat="false" ht="15" hidden="false" customHeight="false" outlineLevel="0" collapsed="false">
      <c r="A355" s="35" t="n">
        <f aca="false">A354+1</f>
        <v>45162</v>
      </c>
      <c r="B355" s="35" t="n">
        <f aca="false">EOMONTH(A355+1,0)</f>
        <v>45169</v>
      </c>
      <c r="C355" s="36" t="n">
        <f aca="false">IF(MOD(YEAR(A355),4)=0,366,365)</f>
        <v>365</v>
      </c>
      <c r="D355" s="37" t="n">
        <f aca="false">Inputs!$B$9-SUMIFS(Cash_Events!$G$6:$G$20,Cash_Events!$C$6:$C$20,"rAGMF",Cash_Events!$B$6:$B$20,"&lt;="&amp;A355)</f>
        <v>1500000</v>
      </c>
      <c r="E355" s="38" t="n">
        <f aca="false">VLOOKUP(A355,Inputs!$A$40:$B$48,2,TRUE())</f>
        <v>0.0521501</v>
      </c>
      <c r="F355" s="38" t="n">
        <f aca="false">E355+Inputs!$B$10</f>
        <v>0.1196501</v>
      </c>
      <c r="G355" s="37" t="n">
        <f aca="false">D355*F355/C355</f>
        <v>491.712739726027</v>
      </c>
      <c r="H355" s="37" t="n">
        <f aca="false">IF(AND(A355&gt;=Inputs!$B$13,OR(A355&lt;Inputs!$B$19,Inputs!$B$20=1)),D355*Inputs!$B$11/C355,0)</f>
        <v>0</v>
      </c>
      <c r="I355" s="37" t="n">
        <f aca="false">Inputs!$C$9-SUMIFS(Cash_Events!$G$6:$G$20,Cash_Events!$C$6:$C$20,"FHL",Cash_Events!$B$6:$B$20,"&lt;="&amp;A355)</f>
        <v>1500000</v>
      </c>
      <c r="J355" s="38" t="n">
        <f aca="false">VLOOKUP(A355,Inputs!$F$40:$G$48,2,TRUE())</f>
        <v>0.0522223</v>
      </c>
      <c r="K355" s="38" t="n">
        <f aca="false">J355+Inputs!$C$10</f>
        <v>0.1197223</v>
      </c>
      <c r="L355" s="37" t="n">
        <f aca="false">I355*K355/C355</f>
        <v>492.009452054795</v>
      </c>
      <c r="M355" s="37" t="n">
        <f aca="false">IF(AND(A355&gt;=Inputs!$C$13,OR(A355&lt;Inputs!$B$19,Inputs!$B$20=1)),I355*Inputs!$C$11/C355,0)</f>
        <v>0</v>
      </c>
    </row>
    <row r="356" customFormat="false" ht="15" hidden="false" customHeight="false" outlineLevel="0" collapsed="false">
      <c r="A356" s="35" t="n">
        <f aca="false">A355+1</f>
        <v>45163</v>
      </c>
      <c r="B356" s="35" t="n">
        <f aca="false">EOMONTH(A356+1,0)</f>
        <v>45169</v>
      </c>
      <c r="C356" s="36" t="n">
        <f aca="false">IF(MOD(YEAR(A356),4)=0,366,365)</f>
        <v>365</v>
      </c>
      <c r="D356" s="37" t="n">
        <f aca="false">Inputs!$B$9-SUMIFS(Cash_Events!$G$6:$G$20,Cash_Events!$C$6:$C$20,"rAGMF",Cash_Events!$B$6:$B$20,"&lt;="&amp;A356)</f>
        <v>1500000</v>
      </c>
      <c r="E356" s="38" t="n">
        <f aca="false">VLOOKUP(A356,Inputs!$A$40:$B$48,2,TRUE())</f>
        <v>0.0521501</v>
      </c>
      <c r="F356" s="38" t="n">
        <f aca="false">E356+Inputs!$B$10</f>
        <v>0.1196501</v>
      </c>
      <c r="G356" s="37" t="n">
        <f aca="false">D356*F356/C356</f>
        <v>491.712739726027</v>
      </c>
      <c r="H356" s="37" t="n">
        <f aca="false">IF(AND(A356&gt;=Inputs!$B$13,OR(A356&lt;Inputs!$B$19,Inputs!$B$20=1)),D356*Inputs!$B$11/C356,0)</f>
        <v>0</v>
      </c>
      <c r="I356" s="37" t="n">
        <f aca="false">Inputs!$C$9-SUMIFS(Cash_Events!$G$6:$G$20,Cash_Events!$C$6:$C$20,"FHL",Cash_Events!$B$6:$B$20,"&lt;="&amp;A356)</f>
        <v>1500000</v>
      </c>
      <c r="J356" s="38" t="n">
        <f aca="false">VLOOKUP(A356,Inputs!$F$40:$G$48,2,TRUE())</f>
        <v>0.0522223</v>
      </c>
      <c r="K356" s="38" t="n">
        <f aca="false">J356+Inputs!$C$10</f>
        <v>0.1197223</v>
      </c>
      <c r="L356" s="37" t="n">
        <f aca="false">I356*K356/C356</f>
        <v>492.009452054795</v>
      </c>
      <c r="M356" s="37" t="n">
        <f aca="false">IF(AND(A356&gt;=Inputs!$C$13,OR(A356&lt;Inputs!$B$19,Inputs!$B$20=1)),I356*Inputs!$C$11/C356,0)</f>
        <v>0</v>
      </c>
    </row>
    <row r="357" customFormat="false" ht="15" hidden="false" customHeight="false" outlineLevel="0" collapsed="false">
      <c r="A357" s="35" t="n">
        <f aca="false">A356+1</f>
        <v>45164</v>
      </c>
      <c r="B357" s="35" t="n">
        <f aca="false">EOMONTH(A357+1,0)</f>
        <v>45169</v>
      </c>
      <c r="C357" s="36" t="n">
        <f aca="false">IF(MOD(YEAR(A357),4)=0,366,365)</f>
        <v>365</v>
      </c>
      <c r="D357" s="37" t="n">
        <f aca="false">Inputs!$B$9-SUMIFS(Cash_Events!$G$6:$G$20,Cash_Events!$C$6:$C$20,"rAGMF",Cash_Events!$B$6:$B$20,"&lt;="&amp;A357)</f>
        <v>1500000</v>
      </c>
      <c r="E357" s="38" t="n">
        <f aca="false">VLOOKUP(A357,Inputs!$A$40:$B$48,2,TRUE())</f>
        <v>0.0521501</v>
      </c>
      <c r="F357" s="38" t="n">
        <f aca="false">E357+Inputs!$B$10</f>
        <v>0.1196501</v>
      </c>
      <c r="G357" s="37" t="n">
        <f aca="false">D357*F357/C357</f>
        <v>491.712739726027</v>
      </c>
      <c r="H357" s="37" t="n">
        <f aca="false">IF(AND(A357&gt;=Inputs!$B$13,OR(A357&lt;Inputs!$B$19,Inputs!$B$20=1)),D357*Inputs!$B$11/C357,0)</f>
        <v>0</v>
      </c>
      <c r="I357" s="37" t="n">
        <f aca="false">Inputs!$C$9-SUMIFS(Cash_Events!$G$6:$G$20,Cash_Events!$C$6:$C$20,"FHL",Cash_Events!$B$6:$B$20,"&lt;="&amp;A357)</f>
        <v>1500000</v>
      </c>
      <c r="J357" s="38" t="n">
        <f aca="false">VLOOKUP(A357,Inputs!$F$40:$G$48,2,TRUE())</f>
        <v>0.0522223</v>
      </c>
      <c r="K357" s="38" t="n">
        <f aca="false">J357+Inputs!$C$10</f>
        <v>0.1197223</v>
      </c>
      <c r="L357" s="37" t="n">
        <f aca="false">I357*K357/C357</f>
        <v>492.009452054795</v>
      </c>
      <c r="M357" s="37" t="n">
        <f aca="false">IF(AND(A357&gt;=Inputs!$C$13,OR(A357&lt;Inputs!$B$19,Inputs!$B$20=1)),I357*Inputs!$C$11/C357,0)</f>
        <v>0</v>
      </c>
    </row>
    <row r="358" customFormat="false" ht="15" hidden="false" customHeight="false" outlineLevel="0" collapsed="false">
      <c r="A358" s="35" t="n">
        <f aca="false">A357+1</f>
        <v>45165</v>
      </c>
      <c r="B358" s="35" t="n">
        <f aca="false">EOMONTH(A358+1,0)</f>
        <v>45169</v>
      </c>
      <c r="C358" s="36" t="n">
        <f aca="false">IF(MOD(YEAR(A358),4)=0,366,365)</f>
        <v>365</v>
      </c>
      <c r="D358" s="37" t="n">
        <f aca="false">Inputs!$B$9-SUMIFS(Cash_Events!$G$6:$G$20,Cash_Events!$C$6:$C$20,"rAGMF",Cash_Events!$B$6:$B$20,"&lt;="&amp;A358)</f>
        <v>1500000</v>
      </c>
      <c r="E358" s="38" t="n">
        <f aca="false">VLOOKUP(A358,Inputs!$A$40:$B$48,2,TRUE())</f>
        <v>0.0521501</v>
      </c>
      <c r="F358" s="38" t="n">
        <f aca="false">E358+Inputs!$B$10</f>
        <v>0.1196501</v>
      </c>
      <c r="G358" s="37" t="n">
        <f aca="false">D358*F358/C358</f>
        <v>491.712739726027</v>
      </c>
      <c r="H358" s="37" t="n">
        <f aca="false">IF(AND(A358&gt;=Inputs!$B$13,OR(A358&lt;Inputs!$B$19,Inputs!$B$20=1)),D358*Inputs!$B$11/C358,0)</f>
        <v>0</v>
      </c>
      <c r="I358" s="37" t="n">
        <f aca="false">Inputs!$C$9-SUMIFS(Cash_Events!$G$6:$G$20,Cash_Events!$C$6:$C$20,"FHL",Cash_Events!$B$6:$B$20,"&lt;="&amp;A358)</f>
        <v>1500000</v>
      </c>
      <c r="J358" s="38" t="n">
        <f aca="false">VLOOKUP(A358,Inputs!$F$40:$G$48,2,TRUE())</f>
        <v>0.0522223</v>
      </c>
      <c r="K358" s="38" t="n">
        <f aca="false">J358+Inputs!$C$10</f>
        <v>0.1197223</v>
      </c>
      <c r="L358" s="37" t="n">
        <f aca="false">I358*K358/C358</f>
        <v>492.009452054795</v>
      </c>
      <c r="M358" s="37" t="n">
        <f aca="false">IF(AND(A358&gt;=Inputs!$C$13,OR(A358&lt;Inputs!$B$19,Inputs!$B$20=1)),I358*Inputs!$C$11/C358,0)</f>
        <v>0</v>
      </c>
    </row>
    <row r="359" customFormat="false" ht="15" hidden="false" customHeight="false" outlineLevel="0" collapsed="false">
      <c r="A359" s="35" t="n">
        <f aca="false">A358+1</f>
        <v>45166</v>
      </c>
      <c r="B359" s="35" t="n">
        <f aca="false">EOMONTH(A359+1,0)</f>
        <v>45169</v>
      </c>
      <c r="C359" s="36" t="n">
        <f aca="false">IF(MOD(YEAR(A359),4)=0,366,365)</f>
        <v>365</v>
      </c>
      <c r="D359" s="37" t="n">
        <f aca="false">Inputs!$B$9-SUMIFS(Cash_Events!$G$6:$G$20,Cash_Events!$C$6:$C$20,"rAGMF",Cash_Events!$B$6:$B$20,"&lt;="&amp;A359)</f>
        <v>1500000</v>
      </c>
      <c r="E359" s="38" t="n">
        <f aca="false">VLOOKUP(A359,Inputs!$A$40:$B$48,2,TRUE())</f>
        <v>0.0521501</v>
      </c>
      <c r="F359" s="38" t="n">
        <f aca="false">E359+Inputs!$B$10</f>
        <v>0.1196501</v>
      </c>
      <c r="G359" s="37" t="n">
        <f aca="false">D359*F359/C359</f>
        <v>491.712739726027</v>
      </c>
      <c r="H359" s="37" t="n">
        <f aca="false">IF(AND(A359&gt;=Inputs!$B$13,OR(A359&lt;Inputs!$B$19,Inputs!$B$20=1)),D359*Inputs!$B$11/C359,0)</f>
        <v>0</v>
      </c>
      <c r="I359" s="37" t="n">
        <f aca="false">Inputs!$C$9-SUMIFS(Cash_Events!$G$6:$G$20,Cash_Events!$C$6:$C$20,"FHL",Cash_Events!$B$6:$B$20,"&lt;="&amp;A359)</f>
        <v>1500000</v>
      </c>
      <c r="J359" s="38" t="n">
        <f aca="false">VLOOKUP(A359,Inputs!$F$40:$G$48,2,TRUE())</f>
        <v>0.0522223</v>
      </c>
      <c r="K359" s="38" t="n">
        <f aca="false">J359+Inputs!$C$10</f>
        <v>0.1197223</v>
      </c>
      <c r="L359" s="37" t="n">
        <f aca="false">I359*K359/C359</f>
        <v>492.009452054795</v>
      </c>
      <c r="M359" s="37" t="n">
        <f aca="false">IF(AND(A359&gt;=Inputs!$C$13,OR(A359&lt;Inputs!$B$19,Inputs!$B$20=1)),I359*Inputs!$C$11/C359,0)</f>
        <v>0</v>
      </c>
    </row>
    <row r="360" customFormat="false" ht="15" hidden="false" customHeight="false" outlineLevel="0" collapsed="false">
      <c r="A360" s="35" t="n">
        <f aca="false">A359+1</f>
        <v>45167</v>
      </c>
      <c r="B360" s="35" t="n">
        <f aca="false">EOMONTH(A360+1,0)</f>
        <v>45169</v>
      </c>
      <c r="C360" s="36" t="n">
        <f aca="false">IF(MOD(YEAR(A360),4)=0,366,365)</f>
        <v>365</v>
      </c>
      <c r="D360" s="37" t="n">
        <f aca="false">Inputs!$B$9-SUMIFS(Cash_Events!$G$6:$G$20,Cash_Events!$C$6:$C$20,"rAGMF",Cash_Events!$B$6:$B$20,"&lt;="&amp;A360)</f>
        <v>1500000</v>
      </c>
      <c r="E360" s="38" t="n">
        <f aca="false">VLOOKUP(A360,Inputs!$A$40:$B$48,2,TRUE())</f>
        <v>0.0521501</v>
      </c>
      <c r="F360" s="38" t="n">
        <f aca="false">E360+Inputs!$B$10</f>
        <v>0.1196501</v>
      </c>
      <c r="G360" s="37" t="n">
        <f aca="false">D360*F360/C360</f>
        <v>491.712739726027</v>
      </c>
      <c r="H360" s="37" t="n">
        <f aca="false">IF(AND(A360&gt;=Inputs!$B$13,OR(A360&lt;Inputs!$B$19,Inputs!$B$20=1)),D360*Inputs!$B$11/C360,0)</f>
        <v>0</v>
      </c>
      <c r="I360" s="37" t="n">
        <f aca="false">Inputs!$C$9-SUMIFS(Cash_Events!$G$6:$G$20,Cash_Events!$C$6:$C$20,"FHL",Cash_Events!$B$6:$B$20,"&lt;="&amp;A360)</f>
        <v>1500000</v>
      </c>
      <c r="J360" s="38" t="n">
        <f aca="false">VLOOKUP(A360,Inputs!$F$40:$G$48,2,TRUE())</f>
        <v>0.0522223</v>
      </c>
      <c r="K360" s="38" t="n">
        <f aca="false">J360+Inputs!$C$10</f>
        <v>0.1197223</v>
      </c>
      <c r="L360" s="37" t="n">
        <f aca="false">I360*K360/C360</f>
        <v>492.009452054795</v>
      </c>
      <c r="M360" s="37" t="n">
        <f aca="false">IF(AND(A360&gt;=Inputs!$C$13,OR(A360&lt;Inputs!$B$19,Inputs!$B$20=1)),I360*Inputs!$C$11/C360,0)</f>
        <v>0</v>
      </c>
    </row>
    <row r="361" customFormat="false" ht="15" hidden="false" customHeight="false" outlineLevel="0" collapsed="false">
      <c r="A361" s="35" t="n">
        <f aca="false">A360+1</f>
        <v>45168</v>
      </c>
      <c r="B361" s="35" t="n">
        <f aca="false">EOMONTH(A361+1,0)</f>
        <v>45169</v>
      </c>
      <c r="C361" s="36" t="n">
        <f aca="false">IF(MOD(YEAR(A361),4)=0,366,365)</f>
        <v>365</v>
      </c>
      <c r="D361" s="37" t="n">
        <f aca="false">Inputs!$B$9-SUMIFS(Cash_Events!$G$6:$G$20,Cash_Events!$C$6:$C$20,"rAGMF",Cash_Events!$B$6:$B$20,"&lt;="&amp;A361)</f>
        <v>1500000</v>
      </c>
      <c r="E361" s="38" t="n">
        <f aca="false">VLOOKUP(A361,Inputs!$A$40:$B$48,2,TRUE())</f>
        <v>0.0521501</v>
      </c>
      <c r="F361" s="38" t="n">
        <f aca="false">E361+Inputs!$B$10</f>
        <v>0.1196501</v>
      </c>
      <c r="G361" s="37" t="n">
        <f aca="false">D361*F361/C361</f>
        <v>491.712739726027</v>
      </c>
      <c r="H361" s="37" t="n">
        <f aca="false">IF(AND(A361&gt;=Inputs!$B$13,OR(A361&lt;Inputs!$B$19,Inputs!$B$20=1)),D361*Inputs!$B$11/C361,0)</f>
        <v>0</v>
      </c>
      <c r="I361" s="37" t="n">
        <f aca="false">Inputs!$C$9-SUMIFS(Cash_Events!$G$6:$G$20,Cash_Events!$C$6:$C$20,"FHL",Cash_Events!$B$6:$B$20,"&lt;="&amp;A361)</f>
        <v>1500000</v>
      </c>
      <c r="J361" s="38" t="n">
        <f aca="false">VLOOKUP(A361,Inputs!$F$40:$G$48,2,TRUE())</f>
        <v>0.0522223</v>
      </c>
      <c r="K361" s="38" t="n">
        <f aca="false">J361+Inputs!$C$10</f>
        <v>0.1197223</v>
      </c>
      <c r="L361" s="37" t="n">
        <f aca="false">I361*K361/C361</f>
        <v>492.009452054795</v>
      </c>
      <c r="M361" s="37" t="n">
        <f aca="false">IF(AND(A361&gt;=Inputs!$C$13,OR(A361&lt;Inputs!$B$19,Inputs!$B$20=1)),I361*Inputs!$C$11/C361,0)</f>
        <v>0</v>
      </c>
    </row>
    <row r="362" customFormat="false" ht="15" hidden="false" customHeight="false" outlineLevel="0" collapsed="false">
      <c r="A362" s="35" t="n">
        <f aca="false">A361+1</f>
        <v>45169</v>
      </c>
      <c r="B362" s="35" t="n">
        <f aca="false">EOMONTH(A362+1,0)</f>
        <v>45199</v>
      </c>
      <c r="C362" s="36" t="n">
        <f aca="false">IF(MOD(YEAR(A362),4)=0,366,365)</f>
        <v>365</v>
      </c>
      <c r="D362" s="37" t="n">
        <f aca="false">Inputs!$B$9-SUMIFS(Cash_Events!$G$6:$G$20,Cash_Events!$C$6:$C$20,"rAGMF",Cash_Events!$B$6:$B$20,"&lt;="&amp;A362)</f>
        <v>1500000</v>
      </c>
      <c r="E362" s="38" t="n">
        <f aca="false">VLOOKUP(A362,Inputs!$A$40:$B$48,2,TRUE())</f>
        <v>0.0521501</v>
      </c>
      <c r="F362" s="38" t="n">
        <f aca="false">E362+Inputs!$B$10</f>
        <v>0.1196501</v>
      </c>
      <c r="G362" s="37" t="n">
        <f aca="false">D362*F362/C362</f>
        <v>491.712739726027</v>
      </c>
      <c r="H362" s="37" t="n">
        <f aca="false">IF(AND(A362&gt;=Inputs!$B$13,OR(A362&lt;Inputs!$B$19,Inputs!$B$20=1)),D362*Inputs!$B$11/C362,0)</f>
        <v>0</v>
      </c>
      <c r="I362" s="37" t="n">
        <f aca="false">Inputs!$C$9-SUMIFS(Cash_Events!$G$6:$G$20,Cash_Events!$C$6:$C$20,"FHL",Cash_Events!$B$6:$B$20,"&lt;="&amp;A362)</f>
        <v>1500000</v>
      </c>
      <c r="J362" s="38" t="n">
        <f aca="false">VLOOKUP(A362,Inputs!$F$40:$G$48,2,TRUE())</f>
        <v>0.0522223</v>
      </c>
      <c r="K362" s="38" t="n">
        <f aca="false">J362+Inputs!$C$10</f>
        <v>0.1197223</v>
      </c>
      <c r="L362" s="37" t="n">
        <f aca="false">I362*K362/C362</f>
        <v>492.009452054795</v>
      </c>
      <c r="M362" s="37" t="n">
        <f aca="false">IF(AND(A362&gt;=Inputs!$C$13,OR(A362&lt;Inputs!$B$19,Inputs!$B$20=1)),I362*Inputs!$C$11/C362,0)</f>
        <v>0</v>
      </c>
    </row>
    <row r="363" customFormat="false" ht="15" hidden="false" customHeight="false" outlineLevel="0" collapsed="false">
      <c r="A363" s="35" t="n">
        <f aca="false">A362+1</f>
        <v>45170</v>
      </c>
      <c r="B363" s="35" t="n">
        <f aca="false">EOMONTH(A363+1,0)</f>
        <v>45199</v>
      </c>
      <c r="C363" s="36" t="n">
        <f aca="false">IF(MOD(YEAR(A363),4)=0,366,365)</f>
        <v>365</v>
      </c>
      <c r="D363" s="37" t="n">
        <f aca="false">Inputs!$B$9-SUMIFS(Cash_Events!$G$6:$G$20,Cash_Events!$C$6:$C$20,"rAGMF",Cash_Events!$B$6:$B$20,"&lt;="&amp;A363)</f>
        <v>1500000</v>
      </c>
      <c r="E363" s="38" t="n">
        <f aca="false">VLOOKUP(A363,Inputs!$A$40:$B$48,2,TRUE())</f>
        <v>0.0521501</v>
      </c>
      <c r="F363" s="38" t="n">
        <f aca="false">E363+Inputs!$B$10</f>
        <v>0.1196501</v>
      </c>
      <c r="G363" s="37" t="n">
        <f aca="false">D363*F363/C363</f>
        <v>491.712739726027</v>
      </c>
      <c r="H363" s="37" t="n">
        <f aca="false">IF(AND(A363&gt;=Inputs!$B$13,OR(A363&lt;Inputs!$B$19,Inputs!$B$20=1)),D363*Inputs!$B$11/C363,0)</f>
        <v>0</v>
      </c>
      <c r="I363" s="37" t="n">
        <f aca="false">Inputs!$C$9-SUMIFS(Cash_Events!$G$6:$G$20,Cash_Events!$C$6:$C$20,"FHL",Cash_Events!$B$6:$B$20,"&lt;="&amp;A363)</f>
        <v>1500000</v>
      </c>
      <c r="J363" s="38" t="n">
        <f aca="false">VLOOKUP(A363,Inputs!$F$40:$G$48,2,TRUE())</f>
        <v>0.0522223</v>
      </c>
      <c r="K363" s="38" t="n">
        <f aca="false">J363+Inputs!$C$10</f>
        <v>0.1197223</v>
      </c>
      <c r="L363" s="37" t="n">
        <f aca="false">I363*K363/C363</f>
        <v>492.009452054795</v>
      </c>
      <c r="M363" s="37" t="n">
        <f aca="false">IF(AND(A363&gt;=Inputs!$C$13,OR(A363&lt;Inputs!$B$19,Inputs!$B$20=1)),I363*Inputs!$C$11/C363,0)</f>
        <v>0</v>
      </c>
    </row>
    <row r="364" customFormat="false" ht="15" hidden="false" customHeight="false" outlineLevel="0" collapsed="false">
      <c r="A364" s="35" t="n">
        <f aca="false">A363+1</f>
        <v>45171</v>
      </c>
      <c r="B364" s="35" t="n">
        <f aca="false">EOMONTH(A364+1,0)</f>
        <v>45199</v>
      </c>
      <c r="C364" s="36" t="n">
        <f aca="false">IF(MOD(YEAR(A364),4)=0,366,365)</f>
        <v>365</v>
      </c>
      <c r="D364" s="37" t="n">
        <f aca="false">Inputs!$B$9-SUMIFS(Cash_Events!$G$6:$G$20,Cash_Events!$C$6:$C$20,"rAGMF",Cash_Events!$B$6:$B$20,"&lt;="&amp;A364)</f>
        <v>1500000</v>
      </c>
      <c r="E364" s="38" t="n">
        <f aca="false">VLOOKUP(A364,Inputs!$A$40:$B$48,2,TRUE())</f>
        <v>0.0521501</v>
      </c>
      <c r="F364" s="38" t="n">
        <f aca="false">E364+Inputs!$B$10</f>
        <v>0.1196501</v>
      </c>
      <c r="G364" s="37" t="n">
        <f aca="false">D364*F364/C364</f>
        <v>491.712739726027</v>
      </c>
      <c r="H364" s="37" t="n">
        <f aca="false">IF(AND(A364&gt;=Inputs!$B$13,OR(A364&lt;Inputs!$B$19,Inputs!$B$20=1)),D364*Inputs!$B$11/C364,0)</f>
        <v>0</v>
      </c>
      <c r="I364" s="37" t="n">
        <f aca="false">Inputs!$C$9-SUMIFS(Cash_Events!$G$6:$G$20,Cash_Events!$C$6:$C$20,"FHL",Cash_Events!$B$6:$B$20,"&lt;="&amp;A364)</f>
        <v>1500000</v>
      </c>
      <c r="J364" s="38" t="n">
        <f aca="false">VLOOKUP(A364,Inputs!$F$40:$G$48,2,TRUE())</f>
        <v>0.0522223</v>
      </c>
      <c r="K364" s="38" t="n">
        <f aca="false">J364+Inputs!$C$10</f>
        <v>0.1197223</v>
      </c>
      <c r="L364" s="37" t="n">
        <f aca="false">I364*K364/C364</f>
        <v>492.009452054795</v>
      </c>
      <c r="M364" s="37" t="n">
        <f aca="false">IF(AND(A364&gt;=Inputs!$C$13,OR(A364&lt;Inputs!$B$19,Inputs!$B$20=1)),I364*Inputs!$C$11/C364,0)</f>
        <v>0</v>
      </c>
    </row>
    <row r="365" customFormat="false" ht="15" hidden="false" customHeight="false" outlineLevel="0" collapsed="false">
      <c r="A365" s="35" t="n">
        <f aca="false">A364+1</f>
        <v>45172</v>
      </c>
      <c r="B365" s="35" t="n">
        <f aca="false">EOMONTH(A365+1,0)</f>
        <v>45199</v>
      </c>
      <c r="C365" s="36" t="n">
        <f aca="false">IF(MOD(YEAR(A365),4)=0,366,365)</f>
        <v>365</v>
      </c>
      <c r="D365" s="37" t="n">
        <f aca="false">Inputs!$B$9-SUMIFS(Cash_Events!$G$6:$G$20,Cash_Events!$C$6:$C$20,"rAGMF",Cash_Events!$B$6:$B$20,"&lt;="&amp;A365)</f>
        <v>1500000</v>
      </c>
      <c r="E365" s="38" t="n">
        <f aca="false">VLOOKUP(A365,Inputs!$A$40:$B$48,2,TRUE())</f>
        <v>0.0521501</v>
      </c>
      <c r="F365" s="38" t="n">
        <f aca="false">E365+Inputs!$B$10</f>
        <v>0.1196501</v>
      </c>
      <c r="G365" s="37" t="n">
        <f aca="false">D365*F365/C365</f>
        <v>491.712739726027</v>
      </c>
      <c r="H365" s="37" t="n">
        <f aca="false">IF(AND(A365&gt;=Inputs!$B$13,OR(A365&lt;Inputs!$B$19,Inputs!$B$20=1)),D365*Inputs!$B$11/C365,0)</f>
        <v>0</v>
      </c>
      <c r="I365" s="37" t="n">
        <f aca="false">Inputs!$C$9-SUMIFS(Cash_Events!$G$6:$G$20,Cash_Events!$C$6:$C$20,"FHL",Cash_Events!$B$6:$B$20,"&lt;="&amp;A365)</f>
        <v>1500000</v>
      </c>
      <c r="J365" s="38" t="n">
        <f aca="false">VLOOKUP(A365,Inputs!$F$40:$G$48,2,TRUE())</f>
        <v>0.0522223</v>
      </c>
      <c r="K365" s="38" t="n">
        <f aca="false">J365+Inputs!$C$10</f>
        <v>0.1197223</v>
      </c>
      <c r="L365" s="37" t="n">
        <f aca="false">I365*K365/C365</f>
        <v>492.009452054795</v>
      </c>
      <c r="M365" s="37" t="n">
        <f aca="false">IF(AND(A365&gt;=Inputs!$C$13,OR(A365&lt;Inputs!$B$19,Inputs!$B$20=1)),I365*Inputs!$C$11/C365,0)</f>
        <v>0</v>
      </c>
    </row>
    <row r="366" customFormat="false" ht="15" hidden="false" customHeight="false" outlineLevel="0" collapsed="false">
      <c r="A366" s="35" t="n">
        <f aca="false">A365+1</f>
        <v>45173</v>
      </c>
      <c r="B366" s="35" t="n">
        <f aca="false">EOMONTH(A366+1,0)</f>
        <v>45199</v>
      </c>
      <c r="C366" s="36" t="n">
        <f aca="false">IF(MOD(YEAR(A366),4)=0,366,365)</f>
        <v>365</v>
      </c>
      <c r="D366" s="37" t="n">
        <f aca="false">Inputs!$B$9-SUMIFS(Cash_Events!$G$6:$G$20,Cash_Events!$C$6:$C$20,"rAGMF",Cash_Events!$B$6:$B$20,"&lt;="&amp;A366)</f>
        <v>1500000</v>
      </c>
      <c r="E366" s="38" t="n">
        <f aca="false">VLOOKUP(A366,Inputs!$A$40:$B$48,2,TRUE())</f>
        <v>0.0521501</v>
      </c>
      <c r="F366" s="38" t="n">
        <f aca="false">E366+Inputs!$B$10</f>
        <v>0.1196501</v>
      </c>
      <c r="G366" s="37" t="n">
        <f aca="false">D366*F366/C366</f>
        <v>491.712739726027</v>
      </c>
      <c r="H366" s="37" t="n">
        <f aca="false">IF(AND(A366&gt;=Inputs!$B$13,OR(A366&lt;Inputs!$B$19,Inputs!$B$20=1)),D366*Inputs!$B$11/C366,0)</f>
        <v>0</v>
      </c>
      <c r="I366" s="37" t="n">
        <f aca="false">Inputs!$C$9-SUMIFS(Cash_Events!$G$6:$G$20,Cash_Events!$C$6:$C$20,"FHL",Cash_Events!$B$6:$B$20,"&lt;="&amp;A366)</f>
        <v>1500000</v>
      </c>
      <c r="J366" s="38" t="n">
        <f aca="false">VLOOKUP(A366,Inputs!$F$40:$G$48,2,TRUE())</f>
        <v>0.0522223</v>
      </c>
      <c r="K366" s="38" t="n">
        <f aca="false">J366+Inputs!$C$10</f>
        <v>0.1197223</v>
      </c>
      <c r="L366" s="37" t="n">
        <f aca="false">I366*K366/C366</f>
        <v>492.009452054795</v>
      </c>
      <c r="M366" s="37" t="n">
        <f aca="false">IF(AND(A366&gt;=Inputs!$C$13,OR(A366&lt;Inputs!$B$19,Inputs!$B$20=1)),I366*Inputs!$C$11/C366,0)</f>
        <v>0</v>
      </c>
    </row>
    <row r="367" customFormat="false" ht="15" hidden="false" customHeight="false" outlineLevel="0" collapsed="false">
      <c r="A367" s="35" t="n">
        <f aca="false">A366+1</f>
        <v>45174</v>
      </c>
      <c r="B367" s="35" t="n">
        <f aca="false">EOMONTH(A367+1,0)</f>
        <v>45199</v>
      </c>
      <c r="C367" s="36" t="n">
        <f aca="false">IF(MOD(YEAR(A367),4)=0,366,365)</f>
        <v>365</v>
      </c>
      <c r="D367" s="37" t="n">
        <f aca="false">Inputs!$B$9-SUMIFS(Cash_Events!$G$6:$G$20,Cash_Events!$C$6:$C$20,"rAGMF",Cash_Events!$B$6:$B$20,"&lt;="&amp;A367)</f>
        <v>1500000</v>
      </c>
      <c r="E367" s="38" t="n">
        <f aca="false">VLOOKUP(A367,Inputs!$A$40:$B$48,2,TRUE())</f>
        <v>0.0521501</v>
      </c>
      <c r="F367" s="38" t="n">
        <f aca="false">E367+Inputs!$B$10</f>
        <v>0.1196501</v>
      </c>
      <c r="G367" s="37" t="n">
        <f aca="false">D367*F367/C367</f>
        <v>491.712739726027</v>
      </c>
      <c r="H367" s="37" t="n">
        <f aca="false">IF(AND(A367&gt;=Inputs!$B$13,OR(A367&lt;Inputs!$B$19,Inputs!$B$20=1)),D367*Inputs!$B$11/C367,0)</f>
        <v>0</v>
      </c>
      <c r="I367" s="37" t="n">
        <f aca="false">Inputs!$C$9-SUMIFS(Cash_Events!$G$6:$G$20,Cash_Events!$C$6:$C$20,"FHL",Cash_Events!$B$6:$B$20,"&lt;="&amp;A367)</f>
        <v>1500000</v>
      </c>
      <c r="J367" s="38" t="n">
        <f aca="false">VLOOKUP(A367,Inputs!$F$40:$G$48,2,TRUE())</f>
        <v>0.0522223</v>
      </c>
      <c r="K367" s="38" t="n">
        <f aca="false">J367+Inputs!$C$10</f>
        <v>0.1197223</v>
      </c>
      <c r="L367" s="37" t="n">
        <f aca="false">I367*K367/C367</f>
        <v>492.009452054795</v>
      </c>
      <c r="M367" s="37" t="n">
        <f aca="false">IF(AND(A367&gt;=Inputs!$C$13,OR(A367&lt;Inputs!$B$19,Inputs!$B$20=1)),I367*Inputs!$C$11/C367,0)</f>
        <v>0</v>
      </c>
    </row>
    <row r="368" customFormat="false" ht="15" hidden="false" customHeight="false" outlineLevel="0" collapsed="false">
      <c r="A368" s="35" t="n">
        <f aca="false">A367+1</f>
        <v>45175</v>
      </c>
      <c r="B368" s="35" t="n">
        <f aca="false">EOMONTH(A368+1,0)</f>
        <v>45199</v>
      </c>
      <c r="C368" s="36" t="n">
        <f aca="false">IF(MOD(YEAR(A368),4)=0,366,365)</f>
        <v>365</v>
      </c>
      <c r="D368" s="37" t="n">
        <f aca="false">Inputs!$B$9-SUMIFS(Cash_Events!$G$6:$G$20,Cash_Events!$C$6:$C$20,"rAGMF",Cash_Events!$B$6:$B$20,"&lt;="&amp;A368)</f>
        <v>1500000</v>
      </c>
      <c r="E368" s="38" t="n">
        <f aca="false">VLOOKUP(A368,Inputs!$A$40:$B$48,2,TRUE())</f>
        <v>0.0521501</v>
      </c>
      <c r="F368" s="38" t="n">
        <f aca="false">E368+Inputs!$B$10</f>
        <v>0.1196501</v>
      </c>
      <c r="G368" s="37" t="n">
        <f aca="false">D368*F368/C368</f>
        <v>491.712739726027</v>
      </c>
      <c r="H368" s="37" t="n">
        <f aca="false">IF(AND(A368&gt;=Inputs!$B$13,OR(A368&lt;Inputs!$B$19,Inputs!$B$20=1)),D368*Inputs!$B$11/C368,0)</f>
        <v>0</v>
      </c>
      <c r="I368" s="37" t="n">
        <f aca="false">Inputs!$C$9-SUMIFS(Cash_Events!$G$6:$G$20,Cash_Events!$C$6:$C$20,"FHL",Cash_Events!$B$6:$B$20,"&lt;="&amp;A368)</f>
        <v>1500000</v>
      </c>
      <c r="J368" s="38" t="n">
        <f aca="false">VLOOKUP(A368,Inputs!$F$40:$G$48,2,TRUE())</f>
        <v>0.0522223</v>
      </c>
      <c r="K368" s="38" t="n">
        <f aca="false">J368+Inputs!$C$10</f>
        <v>0.1197223</v>
      </c>
      <c r="L368" s="37" t="n">
        <f aca="false">I368*K368/C368</f>
        <v>492.009452054795</v>
      </c>
      <c r="M368" s="37" t="n">
        <f aca="false">IF(AND(A368&gt;=Inputs!$C$13,OR(A368&lt;Inputs!$B$19,Inputs!$B$20=1)),I368*Inputs!$C$11/C368,0)</f>
        <v>0</v>
      </c>
    </row>
    <row r="369" customFormat="false" ht="15" hidden="false" customHeight="false" outlineLevel="0" collapsed="false">
      <c r="A369" s="35" t="n">
        <f aca="false">A368+1</f>
        <v>45176</v>
      </c>
      <c r="B369" s="35" t="n">
        <f aca="false">EOMONTH(A369+1,0)</f>
        <v>45199</v>
      </c>
      <c r="C369" s="36" t="n">
        <f aca="false">IF(MOD(YEAR(A369),4)=0,366,365)</f>
        <v>365</v>
      </c>
      <c r="D369" s="37" t="n">
        <f aca="false">Inputs!$B$9-SUMIFS(Cash_Events!$G$6:$G$20,Cash_Events!$C$6:$C$20,"rAGMF",Cash_Events!$B$6:$B$20,"&lt;="&amp;A369)</f>
        <v>1500000</v>
      </c>
      <c r="E369" s="38" t="n">
        <f aca="false">VLOOKUP(A369,Inputs!$A$40:$B$48,2,TRUE())</f>
        <v>0.0521501</v>
      </c>
      <c r="F369" s="38" t="n">
        <f aca="false">E369+Inputs!$B$10</f>
        <v>0.1196501</v>
      </c>
      <c r="G369" s="37" t="n">
        <f aca="false">D369*F369/C369</f>
        <v>491.712739726027</v>
      </c>
      <c r="H369" s="37" t="n">
        <f aca="false">IF(AND(A369&gt;=Inputs!$B$13,OR(A369&lt;Inputs!$B$19,Inputs!$B$20=1)),D369*Inputs!$B$11/C369,0)</f>
        <v>0</v>
      </c>
      <c r="I369" s="37" t="n">
        <f aca="false">Inputs!$C$9-SUMIFS(Cash_Events!$G$6:$G$20,Cash_Events!$C$6:$C$20,"FHL",Cash_Events!$B$6:$B$20,"&lt;="&amp;A369)</f>
        <v>1500000</v>
      </c>
      <c r="J369" s="38" t="n">
        <f aca="false">VLOOKUP(A369,Inputs!$F$40:$G$48,2,TRUE())</f>
        <v>0.0522223</v>
      </c>
      <c r="K369" s="38" t="n">
        <f aca="false">J369+Inputs!$C$10</f>
        <v>0.1197223</v>
      </c>
      <c r="L369" s="37" t="n">
        <f aca="false">I369*K369/C369</f>
        <v>492.009452054795</v>
      </c>
      <c r="M369" s="37" t="n">
        <f aca="false">IF(AND(A369&gt;=Inputs!$C$13,OR(A369&lt;Inputs!$B$19,Inputs!$B$20=1)),I369*Inputs!$C$11/C369,0)</f>
        <v>0</v>
      </c>
    </row>
    <row r="370" customFormat="false" ht="15" hidden="false" customHeight="false" outlineLevel="0" collapsed="false">
      <c r="A370" s="35" t="n">
        <f aca="false">A369+1</f>
        <v>45177</v>
      </c>
      <c r="B370" s="35" t="n">
        <f aca="false">EOMONTH(A370+1,0)</f>
        <v>45199</v>
      </c>
      <c r="C370" s="36" t="n">
        <f aca="false">IF(MOD(YEAR(A370),4)=0,366,365)</f>
        <v>365</v>
      </c>
      <c r="D370" s="37" t="n">
        <f aca="false">Inputs!$B$9-SUMIFS(Cash_Events!$G$6:$G$20,Cash_Events!$C$6:$C$20,"rAGMF",Cash_Events!$B$6:$B$20,"&lt;="&amp;A370)</f>
        <v>1500000</v>
      </c>
      <c r="E370" s="38" t="n">
        <f aca="false">VLOOKUP(A370,Inputs!$A$40:$B$48,2,TRUE())</f>
        <v>0.0521501</v>
      </c>
      <c r="F370" s="38" t="n">
        <f aca="false">E370+Inputs!$B$10</f>
        <v>0.1196501</v>
      </c>
      <c r="G370" s="37" t="n">
        <f aca="false">D370*F370/C370</f>
        <v>491.712739726027</v>
      </c>
      <c r="H370" s="37" t="n">
        <f aca="false">IF(AND(A370&gt;=Inputs!$B$13,OR(A370&lt;Inputs!$B$19,Inputs!$B$20=1)),D370*Inputs!$B$11/C370,0)</f>
        <v>0</v>
      </c>
      <c r="I370" s="37" t="n">
        <f aca="false">Inputs!$C$9-SUMIFS(Cash_Events!$G$6:$G$20,Cash_Events!$C$6:$C$20,"FHL",Cash_Events!$B$6:$B$20,"&lt;="&amp;A370)</f>
        <v>1500000</v>
      </c>
      <c r="J370" s="38" t="n">
        <f aca="false">VLOOKUP(A370,Inputs!$F$40:$G$48,2,TRUE())</f>
        <v>0.0522223</v>
      </c>
      <c r="K370" s="38" t="n">
        <f aca="false">J370+Inputs!$C$10</f>
        <v>0.1197223</v>
      </c>
      <c r="L370" s="37" t="n">
        <f aca="false">I370*K370/C370</f>
        <v>492.009452054795</v>
      </c>
      <c r="M370" s="37" t="n">
        <f aca="false">IF(AND(A370&gt;=Inputs!$C$13,OR(A370&lt;Inputs!$B$19,Inputs!$B$20=1)),I370*Inputs!$C$11/C370,0)</f>
        <v>0</v>
      </c>
    </row>
    <row r="371" customFormat="false" ht="15" hidden="false" customHeight="false" outlineLevel="0" collapsed="false">
      <c r="A371" s="35" t="n">
        <f aca="false">A370+1</f>
        <v>45178</v>
      </c>
      <c r="B371" s="35" t="n">
        <f aca="false">EOMONTH(A371+1,0)</f>
        <v>45199</v>
      </c>
      <c r="C371" s="36" t="n">
        <f aca="false">IF(MOD(YEAR(A371),4)=0,366,365)</f>
        <v>365</v>
      </c>
      <c r="D371" s="37" t="n">
        <f aca="false">Inputs!$B$9-SUMIFS(Cash_Events!$G$6:$G$20,Cash_Events!$C$6:$C$20,"rAGMF",Cash_Events!$B$6:$B$20,"&lt;="&amp;A371)</f>
        <v>1500000</v>
      </c>
      <c r="E371" s="38" t="n">
        <f aca="false">VLOOKUP(A371,Inputs!$A$40:$B$48,2,TRUE())</f>
        <v>0.0521501</v>
      </c>
      <c r="F371" s="38" t="n">
        <f aca="false">E371+Inputs!$B$10</f>
        <v>0.1196501</v>
      </c>
      <c r="G371" s="37" t="n">
        <f aca="false">D371*F371/C371</f>
        <v>491.712739726027</v>
      </c>
      <c r="H371" s="37" t="n">
        <f aca="false">IF(AND(A371&gt;=Inputs!$B$13,OR(A371&lt;Inputs!$B$19,Inputs!$B$20=1)),D371*Inputs!$B$11/C371,0)</f>
        <v>0</v>
      </c>
      <c r="I371" s="37" t="n">
        <f aca="false">Inputs!$C$9-SUMIFS(Cash_Events!$G$6:$G$20,Cash_Events!$C$6:$C$20,"FHL",Cash_Events!$B$6:$B$20,"&lt;="&amp;A371)</f>
        <v>1500000</v>
      </c>
      <c r="J371" s="38" t="n">
        <f aca="false">VLOOKUP(A371,Inputs!$F$40:$G$48,2,TRUE())</f>
        <v>0.0522223</v>
      </c>
      <c r="K371" s="38" t="n">
        <f aca="false">J371+Inputs!$C$10</f>
        <v>0.1197223</v>
      </c>
      <c r="L371" s="37" t="n">
        <f aca="false">I371*K371/C371</f>
        <v>492.009452054795</v>
      </c>
      <c r="M371" s="37" t="n">
        <f aca="false">IF(AND(A371&gt;=Inputs!$C$13,OR(A371&lt;Inputs!$B$19,Inputs!$B$20=1)),I371*Inputs!$C$11/C371,0)</f>
        <v>0</v>
      </c>
    </row>
    <row r="372" customFormat="false" ht="15" hidden="false" customHeight="false" outlineLevel="0" collapsed="false">
      <c r="A372" s="35" t="n">
        <f aca="false">A371+1</f>
        <v>45179</v>
      </c>
      <c r="B372" s="35" t="n">
        <f aca="false">EOMONTH(A372+1,0)</f>
        <v>45199</v>
      </c>
      <c r="C372" s="36" t="n">
        <f aca="false">IF(MOD(YEAR(A372),4)=0,366,365)</f>
        <v>365</v>
      </c>
      <c r="D372" s="37" t="n">
        <f aca="false">Inputs!$B$9-SUMIFS(Cash_Events!$G$6:$G$20,Cash_Events!$C$6:$C$20,"rAGMF",Cash_Events!$B$6:$B$20,"&lt;="&amp;A372)</f>
        <v>1500000</v>
      </c>
      <c r="E372" s="38" t="n">
        <f aca="false">VLOOKUP(A372,Inputs!$A$40:$B$48,2,TRUE())</f>
        <v>0.0521501</v>
      </c>
      <c r="F372" s="38" t="n">
        <f aca="false">E372+Inputs!$B$10</f>
        <v>0.1196501</v>
      </c>
      <c r="G372" s="37" t="n">
        <f aca="false">D372*F372/C372</f>
        <v>491.712739726027</v>
      </c>
      <c r="H372" s="37" t="n">
        <f aca="false">IF(AND(A372&gt;=Inputs!$B$13,OR(A372&lt;Inputs!$B$19,Inputs!$B$20=1)),D372*Inputs!$B$11/C372,0)</f>
        <v>0</v>
      </c>
      <c r="I372" s="37" t="n">
        <f aca="false">Inputs!$C$9-SUMIFS(Cash_Events!$G$6:$G$20,Cash_Events!$C$6:$C$20,"FHL",Cash_Events!$B$6:$B$20,"&lt;="&amp;A372)</f>
        <v>1500000</v>
      </c>
      <c r="J372" s="38" t="n">
        <f aca="false">VLOOKUP(A372,Inputs!$F$40:$G$48,2,TRUE())</f>
        <v>0.0522223</v>
      </c>
      <c r="K372" s="38" t="n">
        <f aca="false">J372+Inputs!$C$10</f>
        <v>0.1197223</v>
      </c>
      <c r="L372" s="37" t="n">
        <f aca="false">I372*K372/C372</f>
        <v>492.009452054795</v>
      </c>
      <c r="M372" s="37" t="n">
        <f aca="false">IF(AND(A372&gt;=Inputs!$C$13,OR(A372&lt;Inputs!$B$19,Inputs!$B$20=1)),I372*Inputs!$C$11/C372,0)</f>
        <v>0</v>
      </c>
    </row>
    <row r="373" customFormat="false" ht="15" hidden="false" customHeight="false" outlineLevel="0" collapsed="false">
      <c r="A373" s="35" t="n">
        <f aca="false">A372+1</f>
        <v>45180</v>
      </c>
      <c r="B373" s="35" t="n">
        <f aca="false">EOMONTH(A373+1,0)</f>
        <v>45199</v>
      </c>
      <c r="C373" s="36" t="n">
        <f aca="false">IF(MOD(YEAR(A373),4)=0,366,365)</f>
        <v>365</v>
      </c>
      <c r="D373" s="37" t="n">
        <f aca="false">Inputs!$B$9-SUMIFS(Cash_Events!$G$6:$G$20,Cash_Events!$C$6:$C$20,"rAGMF",Cash_Events!$B$6:$B$20,"&lt;="&amp;A373)</f>
        <v>1500000</v>
      </c>
      <c r="E373" s="38" t="n">
        <f aca="false">VLOOKUP(A373,Inputs!$A$40:$B$48,2,TRUE())</f>
        <v>0.0547601</v>
      </c>
      <c r="F373" s="38" t="n">
        <f aca="false">E373+Inputs!$B$10</f>
        <v>0.1222601</v>
      </c>
      <c r="G373" s="37" t="n">
        <f aca="false">D373*F373/C373</f>
        <v>502.438767123288</v>
      </c>
      <c r="H373" s="37" t="n">
        <f aca="false">IF(AND(A373&gt;=Inputs!$B$13,OR(A373&lt;Inputs!$B$19,Inputs!$B$20=1)),D373*Inputs!$B$11/C373,0)</f>
        <v>82.1917808219178</v>
      </c>
      <c r="I373" s="37" t="n">
        <f aca="false">Inputs!$C$9-SUMIFS(Cash_Events!$G$6:$G$20,Cash_Events!$C$6:$C$20,"FHL",Cash_Events!$B$6:$B$20,"&lt;="&amp;A373)</f>
        <v>1500000</v>
      </c>
      <c r="J373" s="38" t="n">
        <f aca="false">VLOOKUP(A373,Inputs!$F$40:$G$48,2,TRUE())</f>
        <v>0.0522223</v>
      </c>
      <c r="K373" s="38" t="n">
        <f aca="false">J373+Inputs!$C$10</f>
        <v>0.1197223</v>
      </c>
      <c r="L373" s="37" t="n">
        <f aca="false">I373*K373/C373</f>
        <v>492.009452054795</v>
      </c>
      <c r="M373" s="37" t="n">
        <f aca="false">IF(AND(A373&gt;=Inputs!$C$13,OR(A373&lt;Inputs!$B$19,Inputs!$B$20=1)),I373*Inputs!$C$11/C373,0)</f>
        <v>0</v>
      </c>
    </row>
    <row r="374" customFormat="false" ht="15" hidden="false" customHeight="false" outlineLevel="0" collapsed="false">
      <c r="A374" s="35" t="n">
        <f aca="false">A373+1</f>
        <v>45181</v>
      </c>
      <c r="B374" s="35" t="n">
        <f aca="false">EOMONTH(A374+1,0)</f>
        <v>45199</v>
      </c>
      <c r="C374" s="36" t="n">
        <f aca="false">IF(MOD(YEAR(A374),4)=0,366,365)</f>
        <v>365</v>
      </c>
      <c r="D374" s="37" t="n">
        <f aca="false">Inputs!$B$9-SUMIFS(Cash_Events!$G$6:$G$20,Cash_Events!$C$6:$C$20,"rAGMF",Cash_Events!$B$6:$B$20,"&lt;="&amp;A374)</f>
        <v>1500000</v>
      </c>
      <c r="E374" s="38" t="n">
        <f aca="false">VLOOKUP(A374,Inputs!$A$40:$B$48,2,TRUE())</f>
        <v>0.0547601</v>
      </c>
      <c r="F374" s="38" t="n">
        <f aca="false">E374+Inputs!$B$10</f>
        <v>0.1222601</v>
      </c>
      <c r="G374" s="37" t="n">
        <f aca="false">D374*F374/C374</f>
        <v>502.438767123288</v>
      </c>
      <c r="H374" s="37" t="n">
        <f aca="false">IF(AND(A374&gt;=Inputs!$B$13,OR(A374&lt;Inputs!$B$19,Inputs!$B$20=1)),D374*Inputs!$B$11/C374,0)</f>
        <v>82.1917808219178</v>
      </c>
      <c r="I374" s="37" t="n">
        <f aca="false">Inputs!$C$9-SUMIFS(Cash_Events!$G$6:$G$20,Cash_Events!$C$6:$C$20,"FHL",Cash_Events!$B$6:$B$20,"&lt;="&amp;A374)</f>
        <v>1500000</v>
      </c>
      <c r="J374" s="38" t="n">
        <f aca="false">VLOOKUP(A374,Inputs!$F$40:$G$48,2,TRUE())</f>
        <v>0.0522223</v>
      </c>
      <c r="K374" s="38" t="n">
        <f aca="false">J374+Inputs!$C$10</f>
        <v>0.1197223</v>
      </c>
      <c r="L374" s="37" t="n">
        <f aca="false">I374*K374/C374</f>
        <v>492.009452054795</v>
      </c>
      <c r="M374" s="37" t="n">
        <f aca="false">IF(AND(A374&gt;=Inputs!$C$13,OR(A374&lt;Inputs!$B$19,Inputs!$B$20=1)),I374*Inputs!$C$11/C374,0)</f>
        <v>0</v>
      </c>
    </row>
    <row r="375" customFormat="false" ht="15" hidden="false" customHeight="false" outlineLevel="0" collapsed="false">
      <c r="A375" s="35" t="n">
        <f aca="false">A374+1</f>
        <v>45182</v>
      </c>
      <c r="B375" s="35" t="n">
        <f aca="false">EOMONTH(A375+1,0)</f>
        <v>45199</v>
      </c>
      <c r="C375" s="36" t="n">
        <f aca="false">IF(MOD(YEAR(A375),4)=0,366,365)</f>
        <v>365</v>
      </c>
      <c r="D375" s="37" t="n">
        <f aca="false">Inputs!$B$9-SUMIFS(Cash_Events!$G$6:$G$20,Cash_Events!$C$6:$C$20,"rAGMF",Cash_Events!$B$6:$B$20,"&lt;="&amp;A375)</f>
        <v>1500000</v>
      </c>
      <c r="E375" s="38" t="n">
        <f aca="false">VLOOKUP(A375,Inputs!$A$40:$B$48,2,TRUE())</f>
        <v>0.0547601</v>
      </c>
      <c r="F375" s="38" t="n">
        <f aca="false">E375+Inputs!$B$10</f>
        <v>0.1222601</v>
      </c>
      <c r="G375" s="37" t="n">
        <f aca="false">D375*F375/C375</f>
        <v>502.438767123288</v>
      </c>
      <c r="H375" s="37" t="n">
        <f aca="false">IF(AND(A375&gt;=Inputs!$B$13,OR(A375&lt;Inputs!$B$19,Inputs!$B$20=1)),D375*Inputs!$B$11/C375,0)</f>
        <v>82.1917808219178</v>
      </c>
      <c r="I375" s="37" t="n">
        <f aca="false">Inputs!$C$9-SUMIFS(Cash_Events!$G$6:$G$20,Cash_Events!$C$6:$C$20,"FHL",Cash_Events!$B$6:$B$20,"&lt;="&amp;A375)</f>
        <v>1500000</v>
      </c>
      <c r="J375" s="38" t="n">
        <f aca="false">VLOOKUP(A375,Inputs!$F$40:$G$48,2,TRUE())</f>
        <v>0.0522223</v>
      </c>
      <c r="K375" s="38" t="n">
        <f aca="false">J375+Inputs!$C$10</f>
        <v>0.1197223</v>
      </c>
      <c r="L375" s="37" t="n">
        <f aca="false">I375*K375/C375</f>
        <v>492.009452054795</v>
      </c>
      <c r="M375" s="37" t="n">
        <f aca="false">IF(AND(A375&gt;=Inputs!$C$13,OR(A375&lt;Inputs!$B$19,Inputs!$B$20=1)),I375*Inputs!$C$11/C375,0)</f>
        <v>0</v>
      </c>
    </row>
    <row r="376" customFormat="false" ht="15" hidden="false" customHeight="false" outlineLevel="0" collapsed="false">
      <c r="A376" s="35" t="n">
        <f aca="false">A375+1</f>
        <v>45183</v>
      </c>
      <c r="B376" s="35" t="n">
        <f aca="false">EOMONTH(A376+1,0)</f>
        <v>45199</v>
      </c>
      <c r="C376" s="36" t="n">
        <f aca="false">IF(MOD(YEAR(A376),4)=0,366,365)</f>
        <v>365</v>
      </c>
      <c r="D376" s="37" t="n">
        <f aca="false">Inputs!$B$9-SUMIFS(Cash_Events!$G$6:$G$20,Cash_Events!$C$6:$C$20,"rAGMF",Cash_Events!$B$6:$B$20,"&lt;="&amp;A376)</f>
        <v>1500000</v>
      </c>
      <c r="E376" s="38" t="n">
        <f aca="false">VLOOKUP(A376,Inputs!$A$40:$B$48,2,TRUE())</f>
        <v>0.0547601</v>
      </c>
      <c r="F376" s="38" t="n">
        <f aca="false">E376+Inputs!$B$10</f>
        <v>0.1222601</v>
      </c>
      <c r="G376" s="37" t="n">
        <f aca="false">D376*F376/C376</f>
        <v>502.438767123288</v>
      </c>
      <c r="H376" s="37" t="n">
        <f aca="false">IF(AND(A376&gt;=Inputs!$B$13,OR(A376&lt;Inputs!$B$19,Inputs!$B$20=1)),D376*Inputs!$B$11/C376,0)</f>
        <v>82.1917808219178</v>
      </c>
      <c r="I376" s="37" t="n">
        <f aca="false">Inputs!$C$9-SUMIFS(Cash_Events!$G$6:$G$20,Cash_Events!$C$6:$C$20,"FHL",Cash_Events!$B$6:$B$20,"&lt;="&amp;A376)</f>
        <v>1500000</v>
      </c>
      <c r="J376" s="38" t="n">
        <f aca="false">VLOOKUP(A376,Inputs!$F$40:$G$48,2,TRUE())</f>
        <v>0.0522223</v>
      </c>
      <c r="K376" s="38" t="n">
        <f aca="false">J376+Inputs!$C$10</f>
        <v>0.1197223</v>
      </c>
      <c r="L376" s="37" t="n">
        <f aca="false">I376*K376/C376</f>
        <v>492.009452054795</v>
      </c>
      <c r="M376" s="37" t="n">
        <f aca="false">IF(AND(A376&gt;=Inputs!$C$13,OR(A376&lt;Inputs!$B$19,Inputs!$B$20=1)),I376*Inputs!$C$11/C376,0)</f>
        <v>0</v>
      </c>
    </row>
    <row r="377" customFormat="false" ht="15" hidden="false" customHeight="false" outlineLevel="0" collapsed="false">
      <c r="A377" s="35" t="n">
        <f aca="false">A376+1</f>
        <v>45184</v>
      </c>
      <c r="B377" s="35" t="n">
        <f aca="false">EOMONTH(A377+1,0)</f>
        <v>45199</v>
      </c>
      <c r="C377" s="36" t="n">
        <f aca="false">IF(MOD(YEAR(A377),4)=0,366,365)</f>
        <v>365</v>
      </c>
      <c r="D377" s="37" t="n">
        <f aca="false">Inputs!$B$9-SUMIFS(Cash_Events!$G$6:$G$20,Cash_Events!$C$6:$C$20,"rAGMF",Cash_Events!$B$6:$B$20,"&lt;="&amp;A377)</f>
        <v>1500000</v>
      </c>
      <c r="E377" s="38" t="n">
        <f aca="false">VLOOKUP(A377,Inputs!$A$40:$B$48,2,TRUE())</f>
        <v>0.0547601</v>
      </c>
      <c r="F377" s="38" t="n">
        <f aca="false">E377+Inputs!$B$10</f>
        <v>0.1222601</v>
      </c>
      <c r="G377" s="37" t="n">
        <f aca="false">D377*F377/C377</f>
        <v>502.438767123288</v>
      </c>
      <c r="H377" s="37" t="n">
        <f aca="false">IF(AND(A377&gt;=Inputs!$B$13,OR(A377&lt;Inputs!$B$19,Inputs!$B$20=1)),D377*Inputs!$B$11/C377,0)</f>
        <v>82.1917808219178</v>
      </c>
      <c r="I377" s="37" t="n">
        <f aca="false">Inputs!$C$9-SUMIFS(Cash_Events!$G$6:$G$20,Cash_Events!$C$6:$C$20,"FHL",Cash_Events!$B$6:$B$20,"&lt;="&amp;A377)</f>
        <v>1500000</v>
      </c>
      <c r="J377" s="38" t="n">
        <f aca="false">VLOOKUP(A377,Inputs!$F$40:$G$48,2,TRUE())</f>
        <v>0.054735</v>
      </c>
      <c r="K377" s="38" t="n">
        <f aca="false">J377+Inputs!$C$10</f>
        <v>0.122235</v>
      </c>
      <c r="L377" s="37" t="n">
        <f aca="false">I377*K377/C377</f>
        <v>502.335616438356</v>
      </c>
      <c r="M377" s="37" t="n">
        <f aca="false">IF(AND(A377&gt;=Inputs!$C$13,OR(A377&lt;Inputs!$B$19,Inputs!$B$20=1)),I377*Inputs!$C$11/C377,0)</f>
        <v>82.1917808219178</v>
      </c>
    </row>
    <row r="378" customFormat="false" ht="15" hidden="false" customHeight="false" outlineLevel="0" collapsed="false">
      <c r="A378" s="35" t="n">
        <f aca="false">A377+1</f>
        <v>45185</v>
      </c>
      <c r="B378" s="35" t="n">
        <f aca="false">EOMONTH(A378+1,0)</f>
        <v>45199</v>
      </c>
      <c r="C378" s="36" t="n">
        <f aca="false">IF(MOD(YEAR(A378),4)=0,366,365)</f>
        <v>365</v>
      </c>
      <c r="D378" s="37" t="n">
        <f aca="false">Inputs!$B$9-SUMIFS(Cash_Events!$G$6:$G$20,Cash_Events!$C$6:$C$20,"rAGMF",Cash_Events!$B$6:$B$20,"&lt;="&amp;A378)</f>
        <v>1500000</v>
      </c>
      <c r="E378" s="38" t="n">
        <f aca="false">VLOOKUP(A378,Inputs!$A$40:$B$48,2,TRUE())</f>
        <v>0.0547601</v>
      </c>
      <c r="F378" s="38" t="n">
        <f aca="false">E378+Inputs!$B$10</f>
        <v>0.1222601</v>
      </c>
      <c r="G378" s="37" t="n">
        <f aca="false">D378*F378/C378</f>
        <v>502.438767123288</v>
      </c>
      <c r="H378" s="37" t="n">
        <f aca="false">IF(AND(A378&gt;=Inputs!$B$13,OR(A378&lt;Inputs!$B$19,Inputs!$B$20=1)),D378*Inputs!$B$11/C378,0)</f>
        <v>82.1917808219178</v>
      </c>
      <c r="I378" s="37" t="n">
        <f aca="false">Inputs!$C$9-SUMIFS(Cash_Events!$G$6:$G$20,Cash_Events!$C$6:$C$20,"FHL",Cash_Events!$B$6:$B$20,"&lt;="&amp;A378)</f>
        <v>1500000</v>
      </c>
      <c r="J378" s="38" t="n">
        <f aca="false">VLOOKUP(A378,Inputs!$F$40:$G$48,2,TRUE())</f>
        <v>0.054735</v>
      </c>
      <c r="K378" s="38" t="n">
        <f aca="false">J378+Inputs!$C$10</f>
        <v>0.122235</v>
      </c>
      <c r="L378" s="37" t="n">
        <f aca="false">I378*K378/C378</f>
        <v>502.335616438356</v>
      </c>
      <c r="M378" s="37" t="n">
        <f aca="false">IF(AND(A378&gt;=Inputs!$C$13,OR(A378&lt;Inputs!$B$19,Inputs!$B$20=1)),I378*Inputs!$C$11/C378,0)</f>
        <v>82.1917808219178</v>
      </c>
    </row>
    <row r="379" customFormat="false" ht="15" hidden="false" customHeight="false" outlineLevel="0" collapsed="false">
      <c r="A379" s="35" t="n">
        <f aca="false">A378+1</f>
        <v>45186</v>
      </c>
      <c r="B379" s="35" t="n">
        <f aca="false">EOMONTH(A379+1,0)</f>
        <v>45199</v>
      </c>
      <c r="C379" s="36" t="n">
        <f aca="false">IF(MOD(YEAR(A379),4)=0,366,365)</f>
        <v>365</v>
      </c>
      <c r="D379" s="37" t="n">
        <f aca="false">Inputs!$B$9-SUMIFS(Cash_Events!$G$6:$G$20,Cash_Events!$C$6:$C$20,"rAGMF",Cash_Events!$B$6:$B$20,"&lt;="&amp;A379)</f>
        <v>1500000</v>
      </c>
      <c r="E379" s="38" t="n">
        <f aca="false">VLOOKUP(A379,Inputs!$A$40:$B$48,2,TRUE())</f>
        <v>0.0547601</v>
      </c>
      <c r="F379" s="38" t="n">
        <f aca="false">E379+Inputs!$B$10</f>
        <v>0.1222601</v>
      </c>
      <c r="G379" s="37" t="n">
        <f aca="false">D379*F379/C379</f>
        <v>502.438767123288</v>
      </c>
      <c r="H379" s="37" t="n">
        <f aca="false">IF(AND(A379&gt;=Inputs!$B$13,OR(A379&lt;Inputs!$B$19,Inputs!$B$20=1)),D379*Inputs!$B$11/C379,0)</f>
        <v>82.1917808219178</v>
      </c>
      <c r="I379" s="37" t="n">
        <f aca="false">Inputs!$C$9-SUMIFS(Cash_Events!$G$6:$G$20,Cash_Events!$C$6:$C$20,"FHL",Cash_Events!$B$6:$B$20,"&lt;="&amp;A379)</f>
        <v>1500000</v>
      </c>
      <c r="J379" s="38" t="n">
        <f aca="false">VLOOKUP(A379,Inputs!$F$40:$G$48,2,TRUE())</f>
        <v>0.054735</v>
      </c>
      <c r="K379" s="38" t="n">
        <f aca="false">J379+Inputs!$C$10</f>
        <v>0.122235</v>
      </c>
      <c r="L379" s="37" t="n">
        <f aca="false">I379*K379/C379</f>
        <v>502.335616438356</v>
      </c>
      <c r="M379" s="37" t="n">
        <f aca="false">IF(AND(A379&gt;=Inputs!$C$13,OR(A379&lt;Inputs!$B$19,Inputs!$B$20=1)),I379*Inputs!$C$11/C379,0)</f>
        <v>82.1917808219178</v>
      </c>
    </row>
    <row r="380" customFormat="false" ht="15" hidden="false" customHeight="false" outlineLevel="0" collapsed="false">
      <c r="A380" s="35" t="n">
        <f aca="false">A379+1</f>
        <v>45187</v>
      </c>
      <c r="B380" s="35" t="n">
        <f aca="false">EOMONTH(A380+1,0)</f>
        <v>45199</v>
      </c>
      <c r="C380" s="36" t="n">
        <f aca="false">IF(MOD(YEAR(A380),4)=0,366,365)</f>
        <v>365</v>
      </c>
      <c r="D380" s="37" t="n">
        <f aca="false">Inputs!$B$9-SUMIFS(Cash_Events!$G$6:$G$20,Cash_Events!$C$6:$C$20,"rAGMF",Cash_Events!$B$6:$B$20,"&lt;="&amp;A380)</f>
        <v>1500000</v>
      </c>
      <c r="E380" s="38" t="n">
        <f aca="false">VLOOKUP(A380,Inputs!$A$40:$B$48,2,TRUE())</f>
        <v>0.0547601</v>
      </c>
      <c r="F380" s="38" t="n">
        <f aca="false">E380+Inputs!$B$10</f>
        <v>0.1222601</v>
      </c>
      <c r="G380" s="37" t="n">
        <f aca="false">D380*F380/C380</f>
        <v>502.438767123288</v>
      </c>
      <c r="H380" s="37" t="n">
        <f aca="false">IF(AND(A380&gt;=Inputs!$B$13,OR(A380&lt;Inputs!$B$19,Inputs!$B$20=1)),D380*Inputs!$B$11/C380,0)</f>
        <v>82.1917808219178</v>
      </c>
      <c r="I380" s="37" t="n">
        <f aca="false">Inputs!$C$9-SUMIFS(Cash_Events!$G$6:$G$20,Cash_Events!$C$6:$C$20,"FHL",Cash_Events!$B$6:$B$20,"&lt;="&amp;A380)</f>
        <v>1500000</v>
      </c>
      <c r="J380" s="38" t="n">
        <f aca="false">VLOOKUP(A380,Inputs!$F$40:$G$48,2,TRUE())</f>
        <v>0.054735</v>
      </c>
      <c r="K380" s="38" t="n">
        <f aca="false">J380+Inputs!$C$10</f>
        <v>0.122235</v>
      </c>
      <c r="L380" s="37" t="n">
        <f aca="false">I380*K380/C380</f>
        <v>502.335616438356</v>
      </c>
      <c r="M380" s="37" t="n">
        <f aca="false">IF(AND(A380&gt;=Inputs!$C$13,OR(A380&lt;Inputs!$B$19,Inputs!$B$20=1)),I380*Inputs!$C$11/C380,0)</f>
        <v>82.1917808219178</v>
      </c>
    </row>
    <row r="381" customFormat="false" ht="15" hidden="false" customHeight="false" outlineLevel="0" collapsed="false">
      <c r="A381" s="35" t="n">
        <f aca="false">A380+1</f>
        <v>45188</v>
      </c>
      <c r="B381" s="35" t="n">
        <f aca="false">EOMONTH(A381+1,0)</f>
        <v>45199</v>
      </c>
      <c r="C381" s="36" t="n">
        <f aca="false">IF(MOD(YEAR(A381),4)=0,366,365)</f>
        <v>365</v>
      </c>
      <c r="D381" s="37" t="n">
        <f aca="false">Inputs!$B$9-SUMIFS(Cash_Events!$G$6:$G$20,Cash_Events!$C$6:$C$20,"rAGMF",Cash_Events!$B$6:$B$20,"&lt;="&amp;A381)</f>
        <v>1500000</v>
      </c>
      <c r="E381" s="38" t="n">
        <f aca="false">VLOOKUP(A381,Inputs!$A$40:$B$48,2,TRUE())</f>
        <v>0.0547601</v>
      </c>
      <c r="F381" s="38" t="n">
        <f aca="false">E381+Inputs!$B$10</f>
        <v>0.1222601</v>
      </c>
      <c r="G381" s="37" t="n">
        <f aca="false">D381*F381/C381</f>
        <v>502.438767123288</v>
      </c>
      <c r="H381" s="37" t="n">
        <f aca="false">IF(AND(A381&gt;=Inputs!$B$13,OR(A381&lt;Inputs!$B$19,Inputs!$B$20=1)),D381*Inputs!$B$11/C381,0)</f>
        <v>82.1917808219178</v>
      </c>
      <c r="I381" s="37" t="n">
        <f aca="false">Inputs!$C$9-SUMIFS(Cash_Events!$G$6:$G$20,Cash_Events!$C$6:$C$20,"FHL",Cash_Events!$B$6:$B$20,"&lt;="&amp;A381)</f>
        <v>1500000</v>
      </c>
      <c r="J381" s="38" t="n">
        <f aca="false">VLOOKUP(A381,Inputs!$F$40:$G$48,2,TRUE())</f>
        <v>0.054735</v>
      </c>
      <c r="K381" s="38" t="n">
        <f aca="false">J381+Inputs!$C$10</f>
        <v>0.122235</v>
      </c>
      <c r="L381" s="37" t="n">
        <f aca="false">I381*K381/C381</f>
        <v>502.335616438356</v>
      </c>
      <c r="M381" s="37" t="n">
        <f aca="false">IF(AND(A381&gt;=Inputs!$C$13,OR(A381&lt;Inputs!$B$19,Inputs!$B$20=1)),I381*Inputs!$C$11/C381,0)</f>
        <v>82.1917808219178</v>
      </c>
    </row>
    <row r="382" customFormat="false" ht="15" hidden="false" customHeight="false" outlineLevel="0" collapsed="false">
      <c r="A382" s="35" t="n">
        <f aca="false">A381+1</f>
        <v>45189</v>
      </c>
      <c r="B382" s="35" t="n">
        <f aca="false">EOMONTH(A382+1,0)</f>
        <v>45199</v>
      </c>
      <c r="C382" s="36" t="n">
        <f aca="false">IF(MOD(YEAR(A382),4)=0,366,365)</f>
        <v>365</v>
      </c>
      <c r="D382" s="37" t="n">
        <f aca="false">Inputs!$B$9-SUMIFS(Cash_Events!$G$6:$G$20,Cash_Events!$C$6:$C$20,"rAGMF",Cash_Events!$B$6:$B$20,"&lt;="&amp;A382)</f>
        <v>1500000</v>
      </c>
      <c r="E382" s="38" t="n">
        <f aca="false">VLOOKUP(A382,Inputs!$A$40:$B$48,2,TRUE())</f>
        <v>0.0547601</v>
      </c>
      <c r="F382" s="38" t="n">
        <f aca="false">E382+Inputs!$B$10</f>
        <v>0.1222601</v>
      </c>
      <c r="G382" s="37" t="n">
        <f aca="false">D382*F382/C382</f>
        <v>502.438767123288</v>
      </c>
      <c r="H382" s="37" t="n">
        <f aca="false">IF(AND(A382&gt;=Inputs!$B$13,OR(A382&lt;Inputs!$B$19,Inputs!$B$20=1)),D382*Inputs!$B$11/C382,0)</f>
        <v>82.1917808219178</v>
      </c>
      <c r="I382" s="37" t="n">
        <f aca="false">Inputs!$C$9-SUMIFS(Cash_Events!$G$6:$G$20,Cash_Events!$C$6:$C$20,"FHL",Cash_Events!$B$6:$B$20,"&lt;="&amp;A382)</f>
        <v>1500000</v>
      </c>
      <c r="J382" s="38" t="n">
        <f aca="false">VLOOKUP(A382,Inputs!$F$40:$G$48,2,TRUE())</f>
        <v>0.054735</v>
      </c>
      <c r="K382" s="38" t="n">
        <f aca="false">J382+Inputs!$C$10</f>
        <v>0.122235</v>
      </c>
      <c r="L382" s="37" t="n">
        <f aca="false">I382*K382/C382</f>
        <v>502.335616438356</v>
      </c>
      <c r="M382" s="37" t="n">
        <f aca="false">IF(AND(A382&gt;=Inputs!$C$13,OR(A382&lt;Inputs!$B$19,Inputs!$B$20=1)),I382*Inputs!$C$11/C382,0)</f>
        <v>82.1917808219178</v>
      </c>
    </row>
    <row r="383" customFormat="false" ht="15" hidden="false" customHeight="false" outlineLevel="0" collapsed="false">
      <c r="A383" s="35" t="n">
        <f aca="false">A382+1</f>
        <v>45190</v>
      </c>
      <c r="B383" s="35" t="n">
        <f aca="false">EOMONTH(A383+1,0)</f>
        <v>45199</v>
      </c>
      <c r="C383" s="36" t="n">
        <f aca="false">IF(MOD(YEAR(A383),4)=0,366,365)</f>
        <v>365</v>
      </c>
      <c r="D383" s="37" t="n">
        <f aca="false">Inputs!$B$9-SUMIFS(Cash_Events!$G$6:$G$20,Cash_Events!$C$6:$C$20,"rAGMF",Cash_Events!$B$6:$B$20,"&lt;="&amp;A383)</f>
        <v>1500000</v>
      </c>
      <c r="E383" s="38" t="n">
        <f aca="false">VLOOKUP(A383,Inputs!$A$40:$B$48,2,TRUE())</f>
        <v>0.0547601</v>
      </c>
      <c r="F383" s="38" t="n">
        <f aca="false">E383+Inputs!$B$10</f>
        <v>0.1222601</v>
      </c>
      <c r="G383" s="37" t="n">
        <f aca="false">D383*F383/C383</f>
        <v>502.438767123288</v>
      </c>
      <c r="H383" s="37" t="n">
        <f aca="false">IF(AND(A383&gt;=Inputs!$B$13,OR(A383&lt;Inputs!$B$19,Inputs!$B$20=1)),D383*Inputs!$B$11/C383,0)</f>
        <v>82.1917808219178</v>
      </c>
      <c r="I383" s="37" t="n">
        <f aca="false">Inputs!$C$9-SUMIFS(Cash_Events!$G$6:$G$20,Cash_Events!$C$6:$C$20,"FHL",Cash_Events!$B$6:$B$20,"&lt;="&amp;A383)</f>
        <v>1500000</v>
      </c>
      <c r="J383" s="38" t="n">
        <f aca="false">VLOOKUP(A383,Inputs!$F$40:$G$48,2,TRUE())</f>
        <v>0.054735</v>
      </c>
      <c r="K383" s="38" t="n">
        <f aca="false">J383+Inputs!$C$10</f>
        <v>0.122235</v>
      </c>
      <c r="L383" s="37" t="n">
        <f aca="false">I383*K383/C383</f>
        <v>502.335616438356</v>
      </c>
      <c r="M383" s="37" t="n">
        <f aca="false">IF(AND(A383&gt;=Inputs!$C$13,OR(A383&lt;Inputs!$B$19,Inputs!$B$20=1)),I383*Inputs!$C$11/C383,0)</f>
        <v>82.1917808219178</v>
      </c>
    </row>
    <row r="384" customFormat="false" ht="15" hidden="false" customHeight="false" outlineLevel="0" collapsed="false">
      <c r="A384" s="35" t="n">
        <f aca="false">A383+1</f>
        <v>45191</v>
      </c>
      <c r="B384" s="35" t="n">
        <f aca="false">EOMONTH(A384+1,0)</f>
        <v>45199</v>
      </c>
      <c r="C384" s="36" t="n">
        <f aca="false">IF(MOD(YEAR(A384),4)=0,366,365)</f>
        <v>365</v>
      </c>
      <c r="D384" s="37" t="n">
        <f aca="false">Inputs!$B$9-SUMIFS(Cash_Events!$G$6:$G$20,Cash_Events!$C$6:$C$20,"rAGMF",Cash_Events!$B$6:$B$20,"&lt;="&amp;A384)</f>
        <v>1500000</v>
      </c>
      <c r="E384" s="38" t="n">
        <f aca="false">VLOOKUP(A384,Inputs!$A$40:$B$48,2,TRUE())</f>
        <v>0.0547601</v>
      </c>
      <c r="F384" s="38" t="n">
        <f aca="false">E384+Inputs!$B$10</f>
        <v>0.1222601</v>
      </c>
      <c r="G384" s="37" t="n">
        <f aca="false">D384*F384/C384</f>
        <v>502.438767123288</v>
      </c>
      <c r="H384" s="37" t="n">
        <f aca="false">IF(AND(A384&gt;=Inputs!$B$13,OR(A384&lt;Inputs!$B$19,Inputs!$B$20=1)),D384*Inputs!$B$11/C384,0)</f>
        <v>82.1917808219178</v>
      </c>
      <c r="I384" s="37" t="n">
        <f aca="false">Inputs!$C$9-SUMIFS(Cash_Events!$G$6:$G$20,Cash_Events!$C$6:$C$20,"FHL",Cash_Events!$B$6:$B$20,"&lt;="&amp;A384)</f>
        <v>1500000</v>
      </c>
      <c r="J384" s="38" t="n">
        <f aca="false">VLOOKUP(A384,Inputs!$F$40:$G$48,2,TRUE())</f>
        <v>0.054735</v>
      </c>
      <c r="K384" s="38" t="n">
        <f aca="false">J384+Inputs!$C$10</f>
        <v>0.122235</v>
      </c>
      <c r="L384" s="37" t="n">
        <f aca="false">I384*K384/C384</f>
        <v>502.335616438356</v>
      </c>
      <c r="M384" s="37" t="n">
        <f aca="false">IF(AND(A384&gt;=Inputs!$C$13,OR(A384&lt;Inputs!$B$19,Inputs!$B$20=1)),I384*Inputs!$C$11/C384,0)</f>
        <v>82.1917808219178</v>
      </c>
    </row>
    <row r="385" customFormat="false" ht="15" hidden="false" customHeight="false" outlineLevel="0" collapsed="false">
      <c r="A385" s="35" t="n">
        <f aca="false">A384+1</f>
        <v>45192</v>
      </c>
      <c r="B385" s="35" t="n">
        <f aca="false">EOMONTH(A385+1,0)</f>
        <v>45199</v>
      </c>
      <c r="C385" s="36" t="n">
        <f aca="false">IF(MOD(YEAR(A385),4)=0,366,365)</f>
        <v>365</v>
      </c>
      <c r="D385" s="37" t="n">
        <f aca="false">Inputs!$B$9-SUMIFS(Cash_Events!$G$6:$G$20,Cash_Events!$C$6:$C$20,"rAGMF",Cash_Events!$B$6:$B$20,"&lt;="&amp;A385)</f>
        <v>1500000</v>
      </c>
      <c r="E385" s="38" t="n">
        <f aca="false">VLOOKUP(A385,Inputs!$A$40:$B$48,2,TRUE())</f>
        <v>0.0547601</v>
      </c>
      <c r="F385" s="38" t="n">
        <f aca="false">E385+Inputs!$B$10</f>
        <v>0.1222601</v>
      </c>
      <c r="G385" s="37" t="n">
        <f aca="false">D385*F385/C385</f>
        <v>502.438767123288</v>
      </c>
      <c r="H385" s="37" t="n">
        <f aca="false">IF(AND(A385&gt;=Inputs!$B$13,OR(A385&lt;Inputs!$B$19,Inputs!$B$20=1)),D385*Inputs!$B$11/C385,0)</f>
        <v>82.1917808219178</v>
      </c>
      <c r="I385" s="37" t="n">
        <f aca="false">Inputs!$C$9-SUMIFS(Cash_Events!$G$6:$G$20,Cash_Events!$C$6:$C$20,"FHL",Cash_Events!$B$6:$B$20,"&lt;="&amp;A385)</f>
        <v>1500000</v>
      </c>
      <c r="J385" s="38" t="n">
        <f aca="false">VLOOKUP(A385,Inputs!$F$40:$G$48,2,TRUE())</f>
        <v>0.054735</v>
      </c>
      <c r="K385" s="38" t="n">
        <f aca="false">J385+Inputs!$C$10</f>
        <v>0.122235</v>
      </c>
      <c r="L385" s="37" t="n">
        <f aca="false">I385*K385/C385</f>
        <v>502.335616438356</v>
      </c>
      <c r="M385" s="37" t="n">
        <f aca="false">IF(AND(A385&gt;=Inputs!$C$13,OR(A385&lt;Inputs!$B$19,Inputs!$B$20=1)),I385*Inputs!$C$11/C385,0)</f>
        <v>82.1917808219178</v>
      </c>
    </row>
    <row r="386" customFormat="false" ht="15" hidden="false" customHeight="false" outlineLevel="0" collapsed="false">
      <c r="A386" s="35" t="n">
        <f aca="false">A385+1</f>
        <v>45193</v>
      </c>
      <c r="B386" s="35" t="n">
        <f aca="false">EOMONTH(A386+1,0)</f>
        <v>45199</v>
      </c>
      <c r="C386" s="36" t="n">
        <f aca="false">IF(MOD(YEAR(A386),4)=0,366,365)</f>
        <v>365</v>
      </c>
      <c r="D386" s="37" t="n">
        <f aca="false">Inputs!$B$9-SUMIFS(Cash_Events!$G$6:$G$20,Cash_Events!$C$6:$C$20,"rAGMF",Cash_Events!$B$6:$B$20,"&lt;="&amp;A386)</f>
        <v>1500000</v>
      </c>
      <c r="E386" s="38" t="n">
        <f aca="false">VLOOKUP(A386,Inputs!$A$40:$B$48,2,TRUE())</f>
        <v>0.0547601</v>
      </c>
      <c r="F386" s="38" t="n">
        <f aca="false">E386+Inputs!$B$10</f>
        <v>0.1222601</v>
      </c>
      <c r="G386" s="37" t="n">
        <f aca="false">D386*F386/C386</f>
        <v>502.438767123288</v>
      </c>
      <c r="H386" s="37" t="n">
        <f aca="false">IF(AND(A386&gt;=Inputs!$B$13,OR(A386&lt;Inputs!$B$19,Inputs!$B$20=1)),D386*Inputs!$B$11/C386,0)</f>
        <v>82.1917808219178</v>
      </c>
      <c r="I386" s="37" t="n">
        <f aca="false">Inputs!$C$9-SUMIFS(Cash_Events!$G$6:$G$20,Cash_Events!$C$6:$C$20,"FHL",Cash_Events!$B$6:$B$20,"&lt;="&amp;A386)</f>
        <v>1500000</v>
      </c>
      <c r="J386" s="38" t="n">
        <f aca="false">VLOOKUP(A386,Inputs!$F$40:$G$48,2,TRUE())</f>
        <v>0.054735</v>
      </c>
      <c r="K386" s="38" t="n">
        <f aca="false">J386+Inputs!$C$10</f>
        <v>0.122235</v>
      </c>
      <c r="L386" s="37" t="n">
        <f aca="false">I386*K386/C386</f>
        <v>502.335616438356</v>
      </c>
      <c r="M386" s="37" t="n">
        <f aca="false">IF(AND(A386&gt;=Inputs!$C$13,OR(A386&lt;Inputs!$B$19,Inputs!$B$20=1)),I386*Inputs!$C$11/C386,0)</f>
        <v>82.1917808219178</v>
      </c>
    </row>
    <row r="387" customFormat="false" ht="15" hidden="false" customHeight="false" outlineLevel="0" collapsed="false">
      <c r="A387" s="35" t="n">
        <f aca="false">A386+1</f>
        <v>45194</v>
      </c>
      <c r="B387" s="35" t="n">
        <f aca="false">EOMONTH(A387+1,0)</f>
        <v>45199</v>
      </c>
      <c r="C387" s="36" t="n">
        <f aca="false">IF(MOD(YEAR(A387),4)=0,366,365)</f>
        <v>365</v>
      </c>
      <c r="D387" s="37" t="n">
        <f aca="false">Inputs!$B$9-SUMIFS(Cash_Events!$G$6:$G$20,Cash_Events!$C$6:$C$20,"rAGMF",Cash_Events!$B$6:$B$20,"&lt;="&amp;A387)</f>
        <v>1500000</v>
      </c>
      <c r="E387" s="38" t="n">
        <f aca="false">VLOOKUP(A387,Inputs!$A$40:$B$48,2,TRUE())</f>
        <v>0.0547601</v>
      </c>
      <c r="F387" s="38" t="n">
        <f aca="false">E387+Inputs!$B$10</f>
        <v>0.1222601</v>
      </c>
      <c r="G387" s="37" t="n">
        <f aca="false">D387*F387/C387</f>
        <v>502.438767123288</v>
      </c>
      <c r="H387" s="37" t="n">
        <f aca="false">IF(AND(A387&gt;=Inputs!$B$13,OR(A387&lt;Inputs!$B$19,Inputs!$B$20=1)),D387*Inputs!$B$11/C387,0)</f>
        <v>82.1917808219178</v>
      </c>
      <c r="I387" s="37" t="n">
        <f aca="false">Inputs!$C$9-SUMIFS(Cash_Events!$G$6:$G$20,Cash_Events!$C$6:$C$20,"FHL",Cash_Events!$B$6:$B$20,"&lt;="&amp;A387)</f>
        <v>1500000</v>
      </c>
      <c r="J387" s="38" t="n">
        <f aca="false">VLOOKUP(A387,Inputs!$F$40:$G$48,2,TRUE())</f>
        <v>0.054735</v>
      </c>
      <c r="K387" s="38" t="n">
        <f aca="false">J387+Inputs!$C$10</f>
        <v>0.122235</v>
      </c>
      <c r="L387" s="37" t="n">
        <f aca="false">I387*K387/C387</f>
        <v>502.335616438356</v>
      </c>
      <c r="M387" s="37" t="n">
        <f aca="false">IF(AND(A387&gt;=Inputs!$C$13,OR(A387&lt;Inputs!$B$19,Inputs!$B$20=1)),I387*Inputs!$C$11/C387,0)</f>
        <v>82.1917808219178</v>
      </c>
    </row>
    <row r="388" customFormat="false" ht="15" hidden="false" customHeight="false" outlineLevel="0" collapsed="false">
      <c r="A388" s="35" t="n">
        <f aca="false">A387+1</f>
        <v>45195</v>
      </c>
      <c r="B388" s="35" t="n">
        <f aca="false">EOMONTH(A388+1,0)</f>
        <v>45199</v>
      </c>
      <c r="C388" s="36" t="n">
        <f aca="false">IF(MOD(YEAR(A388),4)=0,366,365)</f>
        <v>365</v>
      </c>
      <c r="D388" s="37" t="n">
        <f aca="false">Inputs!$B$9-SUMIFS(Cash_Events!$G$6:$G$20,Cash_Events!$C$6:$C$20,"rAGMF",Cash_Events!$B$6:$B$20,"&lt;="&amp;A388)</f>
        <v>1500000</v>
      </c>
      <c r="E388" s="38" t="n">
        <f aca="false">VLOOKUP(A388,Inputs!$A$40:$B$48,2,TRUE())</f>
        <v>0.0547601</v>
      </c>
      <c r="F388" s="38" t="n">
        <f aca="false">E388+Inputs!$B$10</f>
        <v>0.1222601</v>
      </c>
      <c r="G388" s="37" t="n">
        <f aca="false">D388*F388/C388</f>
        <v>502.438767123288</v>
      </c>
      <c r="H388" s="37" t="n">
        <f aca="false">IF(AND(A388&gt;=Inputs!$B$13,OR(A388&lt;Inputs!$B$19,Inputs!$B$20=1)),D388*Inputs!$B$11/C388,0)</f>
        <v>82.1917808219178</v>
      </c>
      <c r="I388" s="37" t="n">
        <f aca="false">Inputs!$C$9-SUMIFS(Cash_Events!$G$6:$G$20,Cash_Events!$C$6:$C$20,"FHL",Cash_Events!$B$6:$B$20,"&lt;="&amp;A388)</f>
        <v>1500000</v>
      </c>
      <c r="J388" s="38" t="n">
        <f aca="false">VLOOKUP(A388,Inputs!$F$40:$G$48,2,TRUE())</f>
        <v>0.054735</v>
      </c>
      <c r="K388" s="38" t="n">
        <f aca="false">J388+Inputs!$C$10</f>
        <v>0.122235</v>
      </c>
      <c r="L388" s="37" t="n">
        <f aca="false">I388*K388/C388</f>
        <v>502.335616438356</v>
      </c>
      <c r="M388" s="37" t="n">
        <f aca="false">IF(AND(A388&gt;=Inputs!$C$13,OR(A388&lt;Inputs!$B$19,Inputs!$B$20=1)),I388*Inputs!$C$11/C388,0)</f>
        <v>82.1917808219178</v>
      </c>
    </row>
    <row r="389" customFormat="false" ht="15" hidden="false" customHeight="false" outlineLevel="0" collapsed="false">
      <c r="A389" s="35" t="n">
        <f aca="false">A388+1</f>
        <v>45196</v>
      </c>
      <c r="B389" s="35" t="n">
        <f aca="false">EOMONTH(A389+1,0)</f>
        <v>45199</v>
      </c>
      <c r="C389" s="36" t="n">
        <f aca="false">IF(MOD(YEAR(A389),4)=0,366,365)</f>
        <v>365</v>
      </c>
      <c r="D389" s="37" t="n">
        <f aca="false">Inputs!$B$9-SUMIFS(Cash_Events!$G$6:$G$20,Cash_Events!$C$6:$C$20,"rAGMF",Cash_Events!$B$6:$B$20,"&lt;="&amp;A389)</f>
        <v>1500000</v>
      </c>
      <c r="E389" s="38" t="n">
        <f aca="false">VLOOKUP(A389,Inputs!$A$40:$B$48,2,TRUE())</f>
        <v>0.0547601</v>
      </c>
      <c r="F389" s="38" t="n">
        <f aca="false">E389+Inputs!$B$10</f>
        <v>0.1222601</v>
      </c>
      <c r="G389" s="37" t="n">
        <f aca="false">D389*F389/C389</f>
        <v>502.438767123288</v>
      </c>
      <c r="H389" s="37" t="n">
        <f aca="false">IF(AND(A389&gt;=Inputs!$B$13,OR(A389&lt;Inputs!$B$19,Inputs!$B$20=1)),D389*Inputs!$B$11/C389,0)</f>
        <v>82.1917808219178</v>
      </c>
      <c r="I389" s="37" t="n">
        <f aca="false">Inputs!$C$9-SUMIFS(Cash_Events!$G$6:$G$20,Cash_Events!$C$6:$C$20,"FHL",Cash_Events!$B$6:$B$20,"&lt;="&amp;A389)</f>
        <v>1500000</v>
      </c>
      <c r="J389" s="38" t="n">
        <f aca="false">VLOOKUP(A389,Inputs!$F$40:$G$48,2,TRUE())</f>
        <v>0.054735</v>
      </c>
      <c r="K389" s="38" t="n">
        <f aca="false">J389+Inputs!$C$10</f>
        <v>0.122235</v>
      </c>
      <c r="L389" s="37" t="n">
        <f aca="false">I389*K389/C389</f>
        <v>502.335616438356</v>
      </c>
      <c r="M389" s="37" t="n">
        <f aca="false">IF(AND(A389&gt;=Inputs!$C$13,OR(A389&lt;Inputs!$B$19,Inputs!$B$20=1)),I389*Inputs!$C$11/C389,0)</f>
        <v>82.1917808219178</v>
      </c>
    </row>
    <row r="390" customFormat="false" ht="15" hidden="false" customHeight="false" outlineLevel="0" collapsed="false">
      <c r="A390" s="35" t="n">
        <f aca="false">A389+1</f>
        <v>45197</v>
      </c>
      <c r="B390" s="35" t="n">
        <f aca="false">EOMONTH(A390+1,0)</f>
        <v>45199</v>
      </c>
      <c r="C390" s="36" t="n">
        <f aca="false">IF(MOD(YEAR(A390),4)=0,366,365)</f>
        <v>365</v>
      </c>
      <c r="D390" s="37" t="n">
        <f aca="false">Inputs!$B$9-SUMIFS(Cash_Events!$G$6:$G$20,Cash_Events!$C$6:$C$20,"rAGMF",Cash_Events!$B$6:$B$20,"&lt;="&amp;A390)</f>
        <v>1500000</v>
      </c>
      <c r="E390" s="38" t="n">
        <f aca="false">VLOOKUP(A390,Inputs!$A$40:$B$48,2,TRUE())</f>
        <v>0.0547601</v>
      </c>
      <c r="F390" s="38" t="n">
        <f aca="false">E390+Inputs!$B$10</f>
        <v>0.1222601</v>
      </c>
      <c r="G390" s="37" t="n">
        <f aca="false">D390*F390/C390</f>
        <v>502.438767123288</v>
      </c>
      <c r="H390" s="37" t="n">
        <f aca="false">IF(AND(A390&gt;=Inputs!$B$13,OR(A390&lt;Inputs!$B$19,Inputs!$B$20=1)),D390*Inputs!$B$11/C390,0)</f>
        <v>82.1917808219178</v>
      </c>
      <c r="I390" s="37" t="n">
        <f aca="false">Inputs!$C$9-SUMIFS(Cash_Events!$G$6:$G$20,Cash_Events!$C$6:$C$20,"FHL",Cash_Events!$B$6:$B$20,"&lt;="&amp;A390)</f>
        <v>1500000</v>
      </c>
      <c r="J390" s="38" t="n">
        <f aca="false">VLOOKUP(A390,Inputs!$F$40:$G$48,2,TRUE())</f>
        <v>0.054735</v>
      </c>
      <c r="K390" s="38" t="n">
        <f aca="false">J390+Inputs!$C$10</f>
        <v>0.122235</v>
      </c>
      <c r="L390" s="37" t="n">
        <f aca="false">I390*K390/C390</f>
        <v>502.335616438356</v>
      </c>
      <c r="M390" s="37" t="n">
        <f aca="false">IF(AND(A390&gt;=Inputs!$C$13,OR(A390&lt;Inputs!$B$19,Inputs!$B$20=1)),I390*Inputs!$C$11/C390,0)</f>
        <v>82.1917808219178</v>
      </c>
    </row>
    <row r="391" customFormat="false" ht="15" hidden="false" customHeight="false" outlineLevel="0" collapsed="false">
      <c r="A391" s="35" t="n">
        <f aca="false">A390+1</f>
        <v>45198</v>
      </c>
      <c r="B391" s="35" t="n">
        <f aca="false">EOMONTH(A391+1,0)</f>
        <v>45199</v>
      </c>
      <c r="C391" s="36" t="n">
        <f aca="false">IF(MOD(YEAR(A391),4)=0,366,365)</f>
        <v>365</v>
      </c>
      <c r="D391" s="37" t="n">
        <f aca="false">Inputs!$B$9-SUMIFS(Cash_Events!$G$6:$G$20,Cash_Events!$C$6:$C$20,"rAGMF",Cash_Events!$B$6:$B$20,"&lt;="&amp;A391)</f>
        <v>1500000</v>
      </c>
      <c r="E391" s="38" t="n">
        <f aca="false">VLOOKUP(A391,Inputs!$A$40:$B$48,2,TRUE())</f>
        <v>0.0547601</v>
      </c>
      <c r="F391" s="38" t="n">
        <f aca="false">E391+Inputs!$B$10</f>
        <v>0.1222601</v>
      </c>
      <c r="G391" s="37" t="n">
        <f aca="false">D391*F391/C391</f>
        <v>502.438767123288</v>
      </c>
      <c r="H391" s="37" t="n">
        <f aca="false">IF(AND(A391&gt;=Inputs!$B$13,OR(A391&lt;Inputs!$B$19,Inputs!$B$20=1)),D391*Inputs!$B$11/C391,0)</f>
        <v>82.1917808219178</v>
      </c>
      <c r="I391" s="37" t="n">
        <f aca="false">Inputs!$C$9-SUMIFS(Cash_Events!$G$6:$G$20,Cash_Events!$C$6:$C$20,"FHL",Cash_Events!$B$6:$B$20,"&lt;="&amp;A391)</f>
        <v>1500000</v>
      </c>
      <c r="J391" s="38" t="n">
        <f aca="false">VLOOKUP(A391,Inputs!$F$40:$G$48,2,TRUE())</f>
        <v>0.054735</v>
      </c>
      <c r="K391" s="38" t="n">
        <f aca="false">J391+Inputs!$C$10</f>
        <v>0.122235</v>
      </c>
      <c r="L391" s="37" t="n">
        <f aca="false">I391*K391/C391</f>
        <v>502.335616438356</v>
      </c>
      <c r="M391" s="37" t="n">
        <f aca="false">IF(AND(A391&gt;=Inputs!$C$13,OR(A391&lt;Inputs!$B$19,Inputs!$B$20=1)),I391*Inputs!$C$11/C391,0)</f>
        <v>82.1917808219178</v>
      </c>
    </row>
    <row r="392" customFormat="false" ht="15" hidden="false" customHeight="false" outlineLevel="0" collapsed="false">
      <c r="A392" s="35" t="n">
        <f aca="false">A391+1</f>
        <v>45199</v>
      </c>
      <c r="B392" s="35" t="n">
        <f aca="false">EOMONTH(A392+1,0)</f>
        <v>45230</v>
      </c>
      <c r="C392" s="36" t="n">
        <f aca="false">IF(MOD(YEAR(A392),4)=0,366,365)</f>
        <v>365</v>
      </c>
      <c r="D392" s="37" t="n">
        <f aca="false">Inputs!$B$9-SUMIFS(Cash_Events!$G$6:$G$20,Cash_Events!$C$6:$C$20,"rAGMF",Cash_Events!$B$6:$B$20,"&lt;="&amp;A392)</f>
        <v>1500000</v>
      </c>
      <c r="E392" s="38" t="n">
        <f aca="false">VLOOKUP(A392,Inputs!$A$40:$B$48,2,TRUE())</f>
        <v>0.0547601</v>
      </c>
      <c r="F392" s="38" t="n">
        <f aca="false">E392+Inputs!$B$10</f>
        <v>0.1222601</v>
      </c>
      <c r="G392" s="37" t="n">
        <f aca="false">D392*F392/C392</f>
        <v>502.438767123288</v>
      </c>
      <c r="H392" s="37" t="n">
        <f aca="false">IF(AND(A392&gt;=Inputs!$B$13,OR(A392&lt;Inputs!$B$19,Inputs!$B$20=1)),D392*Inputs!$B$11/C392,0)</f>
        <v>82.1917808219178</v>
      </c>
      <c r="I392" s="37" t="n">
        <f aca="false">Inputs!$C$9-SUMIFS(Cash_Events!$G$6:$G$20,Cash_Events!$C$6:$C$20,"FHL",Cash_Events!$B$6:$B$20,"&lt;="&amp;A392)</f>
        <v>1500000</v>
      </c>
      <c r="J392" s="38" t="n">
        <f aca="false">VLOOKUP(A392,Inputs!$F$40:$G$48,2,TRUE())</f>
        <v>0.054735</v>
      </c>
      <c r="K392" s="38" t="n">
        <f aca="false">J392+Inputs!$C$10</f>
        <v>0.122235</v>
      </c>
      <c r="L392" s="37" t="n">
        <f aca="false">I392*K392/C392</f>
        <v>502.335616438356</v>
      </c>
      <c r="M392" s="37" t="n">
        <f aca="false">IF(AND(A392&gt;=Inputs!$C$13,OR(A392&lt;Inputs!$B$19,Inputs!$B$20=1)),I392*Inputs!$C$11/C392,0)</f>
        <v>82.1917808219178</v>
      </c>
    </row>
    <row r="393" customFormat="false" ht="15" hidden="false" customHeight="false" outlineLevel="0" collapsed="false">
      <c r="A393" s="35" t="n">
        <f aca="false">A392+1</f>
        <v>45200</v>
      </c>
      <c r="B393" s="35" t="n">
        <f aca="false">EOMONTH(A393+1,0)</f>
        <v>45230</v>
      </c>
      <c r="C393" s="36" t="n">
        <f aca="false">IF(MOD(YEAR(A393),4)=0,366,365)</f>
        <v>365</v>
      </c>
      <c r="D393" s="37" t="n">
        <f aca="false">Inputs!$B$9-SUMIFS(Cash_Events!$G$6:$G$20,Cash_Events!$C$6:$C$20,"rAGMF",Cash_Events!$B$6:$B$20,"&lt;="&amp;A393)</f>
        <v>1500000</v>
      </c>
      <c r="E393" s="38" t="n">
        <f aca="false">VLOOKUP(A393,Inputs!$A$40:$B$48,2,TRUE())</f>
        <v>0.0547601</v>
      </c>
      <c r="F393" s="38" t="n">
        <f aca="false">E393+Inputs!$B$10</f>
        <v>0.1222601</v>
      </c>
      <c r="G393" s="37" t="n">
        <f aca="false">D393*F393/C393</f>
        <v>502.438767123288</v>
      </c>
      <c r="H393" s="37" t="n">
        <f aca="false">IF(AND(A393&gt;=Inputs!$B$13,OR(A393&lt;Inputs!$B$19,Inputs!$B$20=1)),D393*Inputs!$B$11/C393,0)</f>
        <v>82.1917808219178</v>
      </c>
      <c r="I393" s="37" t="n">
        <f aca="false">Inputs!$C$9-SUMIFS(Cash_Events!$G$6:$G$20,Cash_Events!$C$6:$C$20,"FHL",Cash_Events!$B$6:$B$20,"&lt;="&amp;A393)</f>
        <v>1500000</v>
      </c>
      <c r="J393" s="38" t="n">
        <f aca="false">VLOOKUP(A393,Inputs!$F$40:$G$48,2,TRUE())</f>
        <v>0.054735</v>
      </c>
      <c r="K393" s="38" t="n">
        <f aca="false">J393+Inputs!$C$10</f>
        <v>0.122235</v>
      </c>
      <c r="L393" s="37" t="n">
        <f aca="false">I393*K393/C393</f>
        <v>502.335616438356</v>
      </c>
      <c r="M393" s="37" t="n">
        <f aca="false">IF(AND(A393&gt;=Inputs!$C$13,OR(A393&lt;Inputs!$B$19,Inputs!$B$20=1)),I393*Inputs!$C$11/C393,0)</f>
        <v>82.1917808219178</v>
      </c>
    </row>
    <row r="394" customFormat="false" ht="15" hidden="false" customHeight="false" outlineLevel="0" collapsed="false">
      <c r="A394" s="35" t="n">
        <f aca="false">A393+1</f>
        <v>45201</v>
      </c>
      <c r="B394" s="35" t="n">
        <f aca="false">EOMONTH(A394+1,0)</f>
        <v>45230</v>
      </c>
      <c r="C394" s="36" t="n">
        <f aca="false">IF(MOD(YEAR(A394),4)=0,366,365)</f>
        <v>365</v>
      </c>
      <c r="D394" s="37" t="n">
        <f aca="false">Inputs!$B$9-SUMIFS(Cash_Events!$G$6:$G$20,Cash_Events!$C$6:$C$20,"rAGMF",Cash_Events!$B$6:$B$20,"&lt;="&amp;A394)</f>
        <v>1500000</v>
      </c>
      <c r="E394" s="38" t="n">
        <f aca="false">VLOOKUP(A394,Inputs!$A$40:$B$48,2,TRUE())</f>
        <v>0.0547601</v>
      </c>
      <c r="F394" s="38" t="n">
        <f aca="false">E394+Inputs!$B$10</f>
        <v>0.1222601</v>
      </c>
      <c r="G394" s="37" t="n">
        <f aca="false">D394*F394/C394</f>
        <v>502.438767123288</v>
      </c>
      <c r="H394" s="37" t="n">
        <f aca="false">IF(AND(A394&gt;=Inputs!$B$13,OR(A394&lt;Inputs!$B$19,Inputs!$B$20=1)),D394*Inputs!$B$11/C394,0)</f>
        <v>82.1917808219178</v>
      </c>
      <c r="I394" s="37" t="n">
        <f aca="false">Inputs!$C$9-SUMIFS(Cash_Events!$G$6:$G$20,Cash_Events!$C$6:$C$20,"FHL",Cash_Events!$B$6:$B$20,"&lt;="&amp;A394)</f>
        <v>1500000</v>
      </c>
      <c r="J394" s="38" t="n">
        <f aca="false">VLOOKUP(A394,Inputs!$F$40:$G$48,2,TRUE())</f>
        <v>0.054735</v>
      </c>
      <c r="K394" s="38" t="n">
        <f aca="false">J394+Inputs!$C$10</f>
        <v>0.122235</v>
      </c>
      <c r="L394" s="37" t="n">
        <f aca="false">I394*K394/C394</f>
        <v>502.335616438356</v>
      </c>
      <c r="M394" s="37" t="n">
        <f aca="false">IF(AND(A394&gt;=Inputs!$C$13,OR(A394&lt;Inputs!$B$19,Inputs!$B$20=1)),I394*Inputs!$C$11/C394,0)</f>
        <v>82.1917808219178</v>
      </c>
    </row>
    <row r="395" customFormat="false" ht="15" hidden="false" customHeight="false" outlineLevel="0" collapsed="false">
      <c r="A395" s="35" t="n">
        <f aca="false">A394+1</f>
        <v>45202</v>
      </c>
      <c r="B395" s="35" t="n">
        <f aca="false">EOMONTH(A395+1,0)</f>
        <v>45230</v>
      </c>
      <c r="C395" s="36" t="n">
        <f aca="false">IF(MOD(YEAR(A395),4)=0,366,365)</f>
        <v>365</v>
      </c>
      <c r="D395" s="37" t="n">
        <f aca="false">Inputs!$B$9-SUMIFS(Cash_Events!$G$6:$G$20,Cash_Events!$C$6:$C$20,"rAGMF",Cash_Events!$B$6:$B$20,"&lt;="&amp;A395)</f>
        <v>1500000</v>
      </c>
      <c r="E395" s="38" t="n">
        <f aca="false">VLOOKUP(A395,Inputs!$A$40:$B$48,2,TRUE())</f>
        <v>0.0547601</v>
      </c>
      <c r="F395" s="38" t="n">
        <f aca="false">E395+Inputs!$B$10</f>
        <v>0.1222601</v>
      </c>
      <c r="G395" s="37" t="n">
        <f aca="false">D395*F395/C395</f>
        <v>502.438767123288</v>
      </c>
      <c r="H395" s="37" t="n">
        <f aca="false">IF(AND(A395&gt;=Inputs!$B$13,OR(A395&lt;Inputs!$B$19,Inputs!$B$20=1)),D395*Inputs!$B$11/C395,0)</f>
        <v>82.1917808219178</v>
      </c>
      <c r="I395" s="37" t="n">
        <f aca="false">Inputs!$C$9-SUMIFS(Cash_Events!$G$6:$G$20,Cash_Events!$C$6:$C$20,"FHL",Cash_Events!$B$6:$B$20,"&lt;="&amp;A395)</f>
        <v>1500000</v>
      </c>
      <c r="J395" s="38" t="n">
        <f aca="false">VLOOKUP(A395,Inputs!$F$40:$G$48,2,TRUE())</f>
        <v>0.054735</v>
      </c>
      <c r="K395" s="38" t="n">
        <f aca="false">J395+Inputs!$C$10</f>
        <v>0.122235</v>
      </c>
      <c r="L395" s="37" t="n">
        <f aca="false">I395*K395/C395</f>
        <v>502.335616438356</v>
      </c>
      <c r="M395" s="37" t="n">
        <f aca="false">IF(AND(A395&gt;=Inputs!$C$13,OR(A395&lt;Inputs!$B$19,Inputs!$B$20=1)),I395*Inputs!$C$11/C395,0)</f>
        <v>82.1917808219178</v>
      </c>
    </row>
    <row r="396" customFormat="false" ht="15" hidden="false" customHeight="false" outlineLevel="0" collapsed="false">
      <c r="A396" s="35" t="n">
        <f aca="false">A395+1</f>
        <v>45203</v>
      </c>
      <c r="B396" s="35" t="n">
        <f aca="false">EOMONTH(A396+1,0)</f>
        <v>45230</v>
      </c>
      <c r="C396" s="36" t="n">
        <f aca="false">IF(MOD(YEAR(A396),4)=0,366,365)</f>
        <v>365</v>
      </c>
      <c r="D396" s="37" t="n">
        <f aca="false">Inputs!$B$9-SUMIFS(Cash_Events!$G$6:$G$20,Cash_Events!$C$6:$C$20,"rAGMF",Cash_Events!$B$6:$B$20,"&lt;="&amp;A396)</f>
        <v>1500000</v>
      </c>
      <c r="E396" s="38" t="n">
        <f aca="false">VLOOKUP(A396,Inputs!$A$40:$B$48,2,TRUE())</f>
        <v>0.0547601</v>
      </c>
      <c r="F396" s="38" t="n">
        <f aca="false">E396+Inputs!$B$10</f>
        <v>0.1222601</v>
      </c>
      <c r="G396" s="37" t="n">
        <f aca="false">D396*F396/C396</f>
        <v>502.438767123288</v>
      </c>
      <c r="H396" s="37" t="n">
        <f aca="false">IF(AND(A396&gt;=Inputs!$B$13,OR(A396&lt;Inputs!$B$19,Inputs!$B$20=1)),D396*Inputs!$B$11/C396,0)</f>
        <v>82.1917808219178</v>
      </c>
      <c r="I396" s="37" t="n">
        <f aca="false">Inputs!$C$9-SUMIFS(Cash_Events!$G$6:$G$20,Cash_Events!$C$6:$C$20,"FHL",Cash_Events!$B$6:$B$20,"&lt;="&amp;A396)</f>
        <v>1500000</v>
      </c>
      <c r="J396" s="38" t="n">
        <f aca="false">VLOOKUP(A396,Inputs!$F$40:$G$48,2,TRUE())</f>
        <v>0.054735</v>
      </c>
      <c r="K396" s="38" t="n">
        <f aca="false">J396+Inputs!$C$10</f>
        <v>0.122235</v>
      </c>
      <c r="L396" s="37" t="n">
        <f aca="false">I396*K396/C396</f>
        <v>502.335616438356</v>
      </c>
      <c r="M396" s="37" t="n">
        <f aca="false">IF(AND(A396&gt;=Inputs!$C$13,OR(A396&lt;Inputs!$B$19,Inputs!$B$20=1)),I396*Inputs!$C$11/C396,0)</f>
        <v>82.1917808219178</v>
      </c>
    </row>
    <row r="397" customFormat="false" ht="15" hidden="false" customHeight="false" outlineLevel="0" collapsed="false">
      <c r="A397" s="35" t="n">
        <f aca="false">A396+1</f>
        <v>45204</v>
      </c>
      <c r="B397" s="35" t="n">
        <f aca="false">EOMONTH(A397+1,0)</f>
        <v>45230</v>
      </c>
      <c r="C397" s="36" t="n">
        <f aca="false">IF(MOD(YEAR(A397),4)=0,366,365)</f>
        <v>365</v>
      </c>
      <c r="D397" s="37" t="n">
        <f aca="false">Inputs!$B$9-SUMIFS(Cash_Events!$G$6:$G$20,Cash_Events!$C$6:$C$20,"rAGMF",Cash_Events!$B$6:$B$20,"&lt;="&amp;A397)</f>
        <v>1500000</v>
      </c>
      <c r="E397" s="38" t="n">
        <f aca="false">VLOOKUP(A397,Inputs!$A$40:$B$48,2,TRUE())</f>
        <v>0.0547601</v>
      </c>
      <c r="F397" s="38" t="n">
        <f aca="false">E397+Inputs!$B$10</f>
        <v>0.1222601</v>
      </c>
      <c r="G397" s="37" t="n">
        <f aca="false">D397*F397/C397</f>
        <v>502.438767123288</v>
      </c>
      <c r="H397" s="37" t="n">
        <f aca="false">IF(AND(A397&gt;=Inputs!$B$13,OR(A397&lt;Inputs!$B$19,Inputs!$B$20=1)),D397*Inputs!$B$11/C397,0)</f>
        <v>82.1917808219178</v>
      </c>
      <c r="I397" s="37" t="n">
        <f aca="false">Inputs!$C$9-SUMIFS(Cash_Events!$G$6:$G$20,Cash_Events!$C$6:$C$20,"FHL",Cash_Events!$B$6:$B$20,"&lt;="&amp;A397)</f>
        <v>1500000</v>
      </c>
      <c r="J397" s="38" t="n">
        <f aca="false">VLOOKUP(A397,Inputs!$F$40:$G$48,2,TRUE())</f>
        <v>0.054735</v>
      </c>
      <c r="K397" s="38" t="n">
        <f aca="false">J397+Inputs!$C$10</f>
        <v>0.122235</v>
      </c>
      <c r="L397" s="37" t="n">
        <f aca="false">I397*K397/C397</f>
        <v>502.335616438356</v>
      </c>
      <c r="M397" s="37" t="n">
        <f aca="false">IF(AND(A397&gt;=Inputs!$C$13,OR(A397&lt;Inputs!$B$19,Inputs!$B$20=1)),I397*Inputs!$C$11/C397,0)</f>
        <v>82.1917808219178</v>
      </c>
    </row>
    <row r="398" customFormat="false" ht="15" hidden="false" customHeight="false" outlineLevel="0" collapsed="false">
      <c r="A398" s="35" t="n">
        <f aca="false">A397+1</f>
        <v>45205</v>
      </c>
      <c r="B398" s="35" t="n">
        <f aca="false">EOMONTH(A398+1,0)</f>
        <v>45230</v>
      </c>
      <c r="C398" s="36" t="n">
        <f aca="false">IF(MOD(YEAR(A398),4)=0,366,365)</f>
        <v>365</v>
      </c>
      <c r="D398" s="37" t="n">
        <f aca="false">Inputs!$B$9-SUMIFS(Cash_Events!$G$6:$G$20,Cash_Events!$C$6:$C$20,"rAGMF",Cash_Events!$B$6:$B$20,"&lt;="&amp;A398)</f>
        <v>1500000</v>
      </c>
      <c r="E398" s="38" t="n">
        <f aca="false">VLOOKUP(A398,Inputs!$A$40:$B$48,2,TRUE())</f>
        <v>0.0547601</v>
      </c>
      <c r="F398" s="38" t="n">
        <f aca="false">E398+Inputs!$B$10</f>
        <v>0.1222601</v>
      </c>
      <c r="G398" s="37" t="n">
        <f aca="false">D398*F398/C398</f>
        <v>502.438767123288</v>
      </c>
      <c r="H398" s="37" t="n">
        <f aca="false">IF(AND(A398&gt;=Inputs!$B$13,OR(A398&lt;Inputs!$B$19,Inputs!$B$20=1)),D398*Inputs!$B$11/C398,0)</f>
        <v>82.1917808219178</v>
      </c>
      <c r="I398" s="37" t="n">
        <f aca="false">Inputs!$C$9-SUMIFS(Cash_Events!$G$6:$G$20,Cash_Events!$C$6:$C$20,"FHL",Cash_Events!$B$6:$B$20,"&lt;="&amp;A398)</f>
        <v>1500000</v>
      </c>
      <c r="J398" s="38" t="n">
        <f aca="false">VLOOKUP(A398,Inputs!$F$40:$G$48,2,TRUE())</f>
        <v>0.054735</v>
      </c>
      <c r="K398" s="38" t="n">
        <f aca="false">J398+Inputs!$C$10</f>
        <v>0.122235</v>
      </c>
      <c r="L398" s="37" t="n">
        <f aca="false">I398*K398/C398</f>
        <v>502.335616438356</v>
      </c>
      <c r="M398" s="37" t="n">
        <f aca="false">IF(AND(A398&gt;=Inputs!$C$13,OR(A398&lt;Inputs!$B$19,Inputs!$B$20=1)),I398*Inputs!$C$11/C398,0)</f>
        <v>82.1917808219178</v>
      </c>
    </row>
    <row r="399" customFormat="false" ht="15" hidden="false" customHeight="false" outlineLevel="0" collapsed="false">
      <c r="A399" s="35" t="n">
        <f aca="false">A398+1</f>
        <v>45206</v>
      </c>
      <c r="B399" s="35" t="n">
        <f aca="false">EOMONTH(A399+1,0)</f>
        <v>45230</v>
      </c>
      <c r="C399" s="36" t="n">
        <f aca="false">IF(MOD(YEAR(A399),4)=0,366,365)</f>
        <v>365</v>
      </c>
      <c r="D399" s="37" t="n">
        <f aca="false">Inputs!$B$9-SUMIFS(Cash_Events!$G$6:$G$20,Cash_Events!$C$6:$C$20,"rAGMF",Cash_Events!$B$6:$B$20,"&lt;="&amp;A399)</f>
        <v>1500000</v>
      </c>
      <c r="E399" s="38" t="n">
        <f aca="false">VLOOKUP(A399,Inputs!$A$40:$B$48,2,TRUE())</f>
        <v>0.0547601</v>
      </c>
      <c r="F399" s="38" t="n">
        <f aca="false">E399+Inputs!$B$10</f>
        <v>0.1222601</v>
      </c>
      <c r="G399" s="37" t="n">
        <f aca="false">D399*F399/C399</f>
        <v>502.438767123288</v>
      </c>
      <c r="H399" s="37" t="n">
        <f aca="false">IF(AND(A399&gt;=Inputs!$B$13,OR(A399&lt;Inputs!$B$19,Inputs!$B$20=1)),D399*Inputs!$B$11/C399,0)</f>
        <v>82.1917808219178</v>
      </c>
      <c r="I399" s="37" t="n">
        <f aca="false">Inputs!$C$9-SUMIFS(Cash_Events!$G$6:$G$20,Cash_Events!$C$6:$C$20,"FHL",Cash_Events!$B$6:$B$20,"&lt;="&amp;A399)</f>
        <v>1500000</v>
      </c>
      <c r="J399" s="38" t="n">
        <f aca="false">VLOOKUP(A399,Inputs!$F$40:$G$48,2,TRUE())</f>
        <v>0.054735</v>
      </c>
      <c r="K399" s="38" t="n">
        <f aca="false">J399+Inputs!$C$10</f>
        <v>0.122235</v>
      </c>
      <c r="L399" s="37" t="n">
        <f aca="false">I399*K399/C399</f>
        <v>502.335616438356</v>
      </c>
      <c r="M399" s="37" t="n">
        <f aca="false">IF(AND(A399&gt;=Inputs!$C$13,OR(A399&lt;Inputs!$B$19,Inputs!$B$20=1)),I399*Inputs!$C$11/C399,0)</f>
        <v>82.1917808219178</v>
      </c>
    </row>
    <row r="400" customFormat="false" ht="15" hidden="false" customHeight="false" outlineLevel="0" collapsed="false">
      <c r="A400" s="35" t="n">
        <f aca="false">A399+1</f>
        <v>45207</v>
      </c>
      <c r="B400" s="35" t="n">
        <f aca="false">EOMONTH(A400+1,0)</f>
        <v>45230</v>
      </c>
      <c r="C400" s="36" t="n">
        <f aca="false">IF(MOD(YEAR(A400),4)=0,366,365)</f>
        <v>365</v>
      </c>
      <c r="D400" s="37" t="n">
        <f aca="false">Inputs!$B$9-SUMIFS(Cash_Events!$G$6:$G$20,Cash_Events!$C$6:$C$20,"rAGMF",Cash_Events!$B$6:$B$20,"&lt;="&amp;A400)</f>
        <v>1500000</v>
      </c>
      <c r="E400" s="38" t="n">
        <f aca="false">VLOOKUP(A400,Inputs!$A$40:$B$48,2,TRUE())</f>
        <v>0.0547601</v>
      </c>
      <c r="F400" s="38" t="n">
        <f aca="false">E400+Inputs!$B$10</f>
        <v>0.1222601</v>
      </c>
      <c r="G400" s="37" t="n">
        <f aca="false">D400*F400/C400</f>
        <v>502.438767123288</v>
      </c>
      <c r="H400" s="37" t="n">
        <f aca="false">IF(AND(A400&gt;=Inputs!$B$13,OR(A400&lt;Inputs!$B$19,Inputs!$B$20=1)),D400*Inputs!$B$11/C400,0)</f>
        <v>82.1917808219178</v>
      </c>
      <c r="I400" s="37" t="n">
        <f aca="false">Inputs!$C$9-SUMIFS(Cash_Events!$G$6:$G$20,Cash_Events!$C$6:$C$20,"FHL",Cash_Events!$B$6:$B$20,"&lt;="&amp;A400)</f>
        <v>1500000</v>
      </c>
      <c r="J400" s="38" t="n">
        <f aca="false">VLOOKUP(A400,Inputs!$F$40:$G$48,2,TRUE())</f>
        <v>0.054735</v>
      </c>
      <c r="K400" s="38" t="n">
        <f aca="false">J400+Inputs!$C$10</f>
        <v>0.122235</v>
      </c>
      <c r="L400" s="37" t="n">
        <f aca="false">I400*K400/C400</f>
        <v>502.335616438356</v>
      </c>
      <c r="M400" s="37" t="n">
        <f aca="false">IF(AND(A400&gt;=Inputs!$C$13,OR(A400&lt;Inputs!$B$19,Inputs!$B$20=1)),I400*Inputs!$C$11/C400,0)</f>
        <v>82.1917808219178</v>
      </c>
    </row>
    <row r="401" customFormat="false" ht="15" hidden="false" customHeight="false" outlineLevel="0" collapsed="false">
      <c r="A401" s="35" t="n">
        <f aca="false">A400+1</f>
        <v>45208</v>
      </c>
      <c r="B401" s="35" t="n">
        <f aca="false">EOMONTH(A401+1,0)</f>
        <v>45230</v>
      </c>
      <c r="C401" s="36" t="n">
        <f aca="false">IF(MOD(YEAR(A401),4)=0,366,365)</f>
        <v>365</v>
      </c>
      <c r="D401" s="37" t="n">
        <f aca="false">Inputs!$B$9-SUMIFS(Cash_Events!$G$6:$G$20,Cash_Events!$C$6:$C$20,"rAGMF",Cash_Events!$B$6:$B$20,"&lt;="&amp;A401)</f>
        <v>1500000</v>
      </c>
      <c r="E401" s="38" t="n">
        <f aca="false">VLOOKUP(A401,Inputs!$A$40:$B$48,2,TRUE())</f>
        <v>0.0547601</v>
      </c>
      <c r="F401" s="38" t="n">
        <f aca="false">E401+Inputs!$B$10</f>
        <v>0.1222601</v>
      </c>
      <c r="G401" s="37" t="n">
        <f aca="false">D401*F401/C401</f>
        <v>502.438767123288</v>
      </c>
      <c r="H401" s="37" t="n">
        <f aca="false">IF(AND(A401&gt;=Inputs!$B$13,OR(A401&lt;Inputs!$B$19,Inputs!$B$20=1)),D401*Inputs!$B$11/C401,0)</f>
        <v>82.1917808219178</v>
      </c>
      <c r="I401" s="37" t="n">
        <f aca="false">Inputs!$C$9-SUMIFS(Cash_Events!$G$6:$G$20,Cash_Events!$C$6:$C$20,"FHL",Cash_Events!$B$6:$B$20,"&lt;="&amp;A401)</f>
        <v>1500000</v>
      </c>
      <c r="J401" s="38" t="n">
        <f aca="false">VLOOKUP(A401,Inputs!$F$40:$G$48,2,TRUE())</f>
        <v>0.054735</v>
      </c>
      <c r="K401" s="38" t="n">
        <f aca="false">J401+Inputs!$C$10</f>
        <v>0.122235</v>
      </c>
      <c r="L401" s="37" t="n">
        <f aca="false">I401*K401/C401</f>
        <v>502.335616438356</v>
      </c>
      <c r="M401" s="37" t="n">
        <f aca="false">IF(AND(A401&gt;=Inputs!$C$13,OR(A401&lt;Inputs!$B$19,Inputs!$B$20=1)),I401*Inputs!$C$11/C401,0)</f>
        <v>82.1917808219178</v>
      </c>
    </row>
    <row r="402" customFormat="false" ht="15" hidden="false" customHeight="false" outlineLevel="0" collapsed="false">
      <c r="A402" s="35" t="n">
        <f aca="false">A401+1</f>
        <v>45209</v>
      </c>
      <c r="B402" s="35" t="n">
        <f aca="false">EOMONTH(A402+1,0)</f>
        <v>45230</v>
      </c>
      <c r="C402" s="36" t="n">
        <f aca="false">IF(MOD(YEAR(A402),4)=0,366,365)</f>
        <v>365</v>
      </c>
      <c r="D402" s="37" t="n">
        <f aca="false">Inputs!$B$9-SUMIFS(Cash_Events!$G$6:$G$20,Cash_Events!$C$6:$C$20,"rAGMF",Cash_Events!$B$6:$B$20,"&lt;="&amp;A402)</f>
        <v>1500000</v>
      </c>
      <c r="E402" s="38" t="n">
        <f aca="false">VLOOKUP(A402,Inputs!$A$40:$B$48,2,TRUE())</f>
        <v>0.0547601</v>
      </c>
      <c r="F402" s="38" t="n">
        <f aca="false">E402+Inputs!$B$10</f>
        <v>0.1222601</v>
      </c>
      <c r="G402" s="37" t="n">
        <f aca="false">D402*F402/C402</f>
        <v>502.438767123288</v>
      </c>
      <c r="H402" s="37" t="n">
        <f aca="false">IF(AND(A402&gt;=Inputs!$B$13,OR(A402&lt;Inputs!$B$19,Inputs!$B$20=1)),D402*Inputs!$B$11/C402,0)</f>
        <v>82.1917808219178</v>
      </c>
      <c r="I402" s="37" t="n">
        <f aca="false">Inputs!$C$9-SUMIFS(Cash_Events!$G$6:$G$20,Cash_Events!$C$6:$C$20,"FHL",Cash_Events!$B$6:$B$20,"&lt;="&amp;A402)</f>
        <v>1500000</v>
      </c>
      <c r="J402" s="38" t="n">
        <f aca="false">VLOOKUP(A402,Inputs!$F$40:$G$48,2,TRUE())</f>
        <v>0.054735</v>
      </c>
      <c r="K402" s="38" t="n">
        <f aca="false">J402+Inputs!$C$10</f>
        <v>0.122235</v>
      </c>
      <c r="L402" s="37" t="n">
        <f aca="false">I402*K402/C402</f>
        <v>502.335616438356</v>
      </c>
      <c r="M402" s="37" t="n">
        <f aca="false">IF(AND(A402&gt;=Inputs!$C$13,OR(A402&lt;Inputs!$B$19,Inputs!$B$20=1)),I402*Inputs!$C$11/C402,0)</f>
        <v>82.1917808219178</v>
      </c>
    </row>
    <row r="403" customFormat="false" ht="15" hidden="false" customHeight="false" outlineLevel="0" collapsed="false">
      <c r="A403" s="35" t="n">
        <f aca="false">A402+1</f>
        <v>45210</v>
      </c>
      <c r="B403" s="35" t="n">
        <f aca="false">EOMONTH(A403+1,0)</f>
        <v>45230</v>
      </c>
      <c r="C403" s="36" t="n">
        <f aca="false">IF(MOD(YEAR(A403),4)=0,366,365)</f>
        <v>365</v>
      </c>
      <c r="D403" s="37" t="n">
        <f aca="false">Inputs!$B$9-SUMIFS(Cash_Events!$G$6:$G$20,Cash_Events!$C$6:$C$20,"rAGMF",Cash_Events!$B$6:$B$20,"&lt;="&amp;A403)</f>
        <v>1500000</v>
      </c>
      <c r="E403" s="38" t="n">
        <f aca="false">VLOOKUP(A403,Inputs!$A$40:$B$48,2,TRUE())</f>
        <v>0.0547601</v>
      </c>
      <c r="F403" s="38" t="n">
        <f aca="false">E403+Inputs!$B$10</f>
        <v>0.1222601</v>
      </c>
      <c r="G403" s="37" t="n">
        <f aca="false">D403*F403/C403</f>
        <v>502.438767123288</v>
      </c>
      <c r="H403" s="37" t="n">
        <f aca="false">IF(AND(A403&gt;=Inputs!$B$13,OR(A403&lt;Inputs!$B$19,Inputs!$B$20=1)),D403*Inputs!$B$11/C403,0)</f>
        <v>82.1917808219178</v>
      </c>
      <c r="I403" s="37" t="n">
        <f aca="false">Inputs!$C$9-SUMIFS(Cash_Events!$G$6:$G$20,Cash_Events!$C$6:$C$20,"FHL",Cash_Events!$B$6:$B$20,"&lt;="&amp;A403)</f>
        <v>1500000</v>
      </c>
      <c r="J403" s="38" t="n">
        <f aca="false">VLOOKUP(A403,Inputs!$F$40:$G$48,2,TRUE())</f>
        <v>0.054735</v>
      </c>
      <c r="K403" s="38" t="n">
        <f aca="false">J403+Inputs!$C$10</f>
        <v>0.122235</v>
      </c>
      <c r="L403" s="37" t="n">
        <f aca="false">I403*K403/C403</f>
        <v>502.335616438356</v>
      </c>
      <c r="M403" s="37" t="n">
        <f aca="false">IF(AND(A403&gt;=Inputs!$C$13,OR(A403&lt;Inputs!$B$19,Inputs!$B$20=1)),I403*Inputs!$C$11/C403,0)</f>
        <v>82.1917808219178</v>
      </c>
    </row>
    <row r="404" customFormat="false" ht="15" hidden="false" customHeight="false" outlineLevel="0" collapsed="false">
      <c r="A404" s="35" t="n">
        <f aca="false">A403+1</f>
        <v>45211</v>
      </c>
      <c r="B404" s="35" t="n">
        <f aca="false">EOMONTH(A404+1,0)</f>
        <v>45230</v>
      </c>
      <c r="C404" s="36" t="n">
        <f aca="false">IF(MOD(YEAR(A404),4)=0,366,365)</f>
        <v>365</v>
      </c>
      <c r="D404" s="37" t="n">
        <f aca="false">Inputs!$B$9-SUMIFS(Cash_Events!$G$6:$G$20,Cash_Events!$C$6:$C$20,"rAGMF",Cash_Events!$B$6:$B$20,"&lt;="&amp;A404)</f>
        <v>1500000</v>
      </c>
      <c r="E404" s="38" t="n">
        <f aca="false">VLOOKUP(A404,Inputs!$A$40:$B$48,2,TRUE())</f>
        <v>0.0547601</v>
      </c>
      <c r="F404" s="38" t="n">
        <f aca="false">E404+Inputs!$B$10</f>
        <v>0.1222601</v>
      </c>
      <c r="G404" s="37" t="n">
        <f aca="false">D404*F404/C404</f>
        <v>502.438767123288</v>
      </c>
      <c r="H404" s="37" t="n">
        <f aca="false">IF(AND(A404&gt;=Inputs!$B$13,OR(A404&lt;Inputs!$B$19,Inputs!$B$20=1)),D404*Inputs!$B$11/C404,0)</f>
        <v>82.1917808219178</v>
      </c>
      <c r="I404" s="37" t="n">
        <f aca="false">Inputs!$C$9-SUMIFS(Cash_Events!$G$6:$G$20,Cash_Events!$C$6:$C$20,"FHL",Cash_Events!$B$6:$B$20,"&lt;="&amp;A404)</f>
        <v>1500000</v>
      </c>
      <c r="J404" s="38" t="n">
        <f aca="false">VLOOKUP(A404,Inputs!$F$40:$G$48,2,TRUE())</f>
        <v>0.054735</v>
      </c>
      <c r="K404" s="38" t="n">
        <f aca="false">J404+Inputs!$C$10</f>
        <v>0.122235</v>
      </c>
      <c r="L404" s="37" t="n">
        <f aca="false">I404*K404/C404</f>
        <v>502.335616438356</v>
      </c>
      <c r="M404" s="37" t="n">
        <f aca="false">IF(AND(A404&gt;=Inputs!$C$13,OR(A404&lt;Inputs!$B$19,Inputs!$B$20=1)),I404*Inputs!$C$11/C404,0)</f>
        <v>82.1917808219178</v>
      </c>
    </row>
    <row r="405" customFormat="false" ht="15" hidden="false" customHeight="false" outlineLevel="0" collapsed="false">
      <c r="A405" s="35" t="n">
        <f aca="false">A404+1</f>
        <v>45212</v>
      </c>
      <c r="B405" s="35" t="n">
        <f aca="false">EOMONTH(A405+1,0)</f>
        <v>45230</v>
      </c>
      <c r="C405" s="36" t="n">
        <f aca="false">IF(MOD(YEAR(A405),4)=0,366,365)</f>
        <v>365</v>
      </c>
      <c r="D405" s="37" t="n">
        <f aca="false">Inputs!$B$9-SUMIFS(Cash_Events!$G$6:$G$20,Cash_Events!$C$6:$C$20,"rAGMF",Cash_Events!$B$6:$B$20,"&lt;="&amp;A405)</f>
        <v>1500000</v>
      </c>
      <c r="E405" s="38" t="n">
        <f aca="false">VLOOKUP(A405,Inputs!$A$40:$B$48,2,TRUE())</f>
        <v>0.0547601</v>
      </c>
      <c r="F405" s="38" t="n">
        <f aca="false">E405+Inputs!$B$10</f>
        <v>0.1222601</v>
      </c>
      <c r="G405" s="37" t="n">
        <f aca="false">D405*F405/C405</f>
        <v>502.438767123288</v>
      </c>
      <c r="H405" s="37" t="n">
        <f aca="false">IF(AND(A405&gt;=Inputs!$B$13,OR(A405&lt;Inputs!$B$19,Inputs!$B$20=1)),D405*Inputs!$B$11/C405,0)</f>
        <v>82.1917808219178</v>
      </c>
      <c r="I405" s="37" t="n">
        <f aca="false">Inputs!$C$9-SUMIFS(Cash_Events!$G$6:$G$20,Cash_Events!$C$6:$C$20,"FHL",Cash_Events!$B$6:$B$20,"&lt;="&amp;A405)</f>
        <v>1500000</v>
      </c>
      <c r="J405" s="38" t="n">
        <f aca="false">VLOOKUP(A405,Inputs!$F$40:$G$48,2,TRUE())</f>
        <v>0.054735</v>
      </c>
      <c r="K405" s="38" t="n">
        <f aca="false">J405+Inputs!$C$10</f>
        <v>0.122235</v>
      </c>
      <c r="L405" s="37" t="n">
        <f aca="false">I405*K405/C405</f>
        <v>502.335616438356</v>
      </c>
      <c r="M405" s="37" t="n">
        <f aca="false">IF(AND(A405&gt;=Inputs!$C$13,OR(A405&lt;Inputs!$B$19,Inputs!$B$20=1)),I405*Inputs!$C$11/C405,0)</f>
        <v>82.1917808219178</v>
      </c>
    </row>
    <row r="406" customFormat="false" ht="15" hidden="false" customHeight="false" outlineLevel="0" collapsed="false">
      <c r="A406" s="35" t="n">
        <f aca="false">A405+1</f>
        <v>45213</v>
      </c>
      <c r="B406" s="35" t="n">
        <f aca="false">EOMONTH(A406+1,0)</f>
        <v>45230</v>
      </c>
      <c r="C406" s="36" t="n">
        <f aca="false">IF(MOD(YEAR(A406),4)=0,366,365)</f>
        <v>365</v>
      </c>
      <c r="D406" s="37" t="n">
        <f aca="false">Inputs!$B$9-SUMIFS(Cash_Events!$G$6:$G$20,Cash_Events!$C$6:$C$20,"rAGMF",Cash_Events!$B$6:$B$20,"&lt;="&amp;A406)</f>
        <v>1500000</v>
      </c>
      <c r="E406" s="38" t="n">
        <f aca="false">VLOOKUP(A406,Inputs!$A$40:$B$48,2,TRUE())</f>
        <v>0.0547601</v>
      </c>
      <c r="F406" s="38" t="n">
        <f aca="false">E406+Inputs!$B$10</f>
        <v>0.1222601</v>
      </c>
      <c r="G406" s="37" t="n">
        <f aca="false">D406*F406/C406</f>
        <v>502.438767123288</v>
      </c>
      <c r="H406" s="37" t="n">
        <f aca="false">IF(AND(A406&gt;=Inputs!$B$13,OR(A406&lt;Inputs!$B$19,Inputs!$B$20=1)),D406*Inputs!$B$11/C406,0)</f>
        <v>82.1917808219178</v>
      </c>
      <c r="I406" s="37" t="n">
        <f aca="false">Inputs!$C$9-SUMIFS(Cash_Events!$G$6:$G$20,Cash_Events!$C$6:$C$20,"FHL",Cash_Events!$B$6:$B$20,"&lt;="&amp;A406)</f>
        <v>1500000</v>
      </c>
      <c r="J406" s="38" t="n">
        <f aca="false">VLOOKUP(A406,Inputs!$F$40:$G$48,2,TRUE())</f>
        <v>0.054735</v>
      </c>
      <c r="K406" s="38" t="n">
        <f aca="false">J406+Inputs!$C$10</f>
        <v>0.122235</v>
      </c>
      <c r="L406" s="37" t="n">
        <f aca="false">I406*K406/C406</f>
        <v>502.335616438356</v>
      </c>
      <c r="M406" s="37" t="n">
        <f aca="false">IF(AND(A406&gt;=Inputs!$C$13,OR(A406&lt;Inputs!$B$19,Inputs!$B$20=1)),I406*Inputs!$C$11/C406,0)</f>
        <v>82.1917808219178</v>
      </c>
    </row>
    <row r="407" customFormat="false" ht="15" hidden="false" customHeight="false" outlineLevel="0" collapsed="false">
      <c r="A407" s="35" t="n">
        <f aca="false">A406+1</f>
        <v>45214</v>
      </c>
      <c r="B407" s="35" t="n">
        <f aca="false">EOMONTH(A407+1,0)</f>
        <v>45230</v>
      </c>
      <c r="C407" s="36" t="n">
        <f aca="false">IF(MOD(YEAR(A407),4)=0,366,365)</f>
        <v>365</v>
      </c>
      <c r="D407" s="37" t="n">
        <f aca="false">Inputs!$B$9-SUMIFS(Cash_Events!$G$6:$G$20,Cash_Events!$C$6:$C$20,"rAGMF",Cash_Events!$B$6:$B$20,"&lt;="&amp;A407)</f>
        <v>1500000</v>
      </c>
      <c r="E407" s="38" t="n">
        <f aca="false">VLOOKUP(A407,Inputs!$A$40:$B$48,2,TRUE())</f>
        <v>0.0547601</v>
      </c>
      <c r="F407" s="38" t="n">
        <f aca="false">E407+Inputs!$B$10</f>
        <v>0.1222601</v>
      </c>
      <c r="G407" s="37" t="n">
        <f aca="false">D407*F407/C407</f>
        <v>502.438767123288</v>
      </c>
      <c r="H407" s="37" t="n">
        <f aca="false">IF(AND(A407&gt;=Inputs!$B$13,OR(A407&lt;Inputs!$B$19,Inputs!$B$20=1)),D407*Inputs!$B$11/C407,0)</f>
        <v>82.1917808219178</v>
      </c>
      <c r="I407" s="37" t="n">
        <f aca="false">Inputs!$C$9-SUMIFS(Cash_Events!$G$6:$G$20,Cash_Events!$C$6:$C$20,"FHL",Cash_Events!$B$6:$B$20,"&lt;="&amp;A407)</f>
        <v>1500000</v>
      </c>
      <c r="J407" s="38" t="n">
        <f aca="false">VLOOKUP(A407,Inputs!$F$40:$G$48,2,TRUE())</f>
        <v>0.054735</v>
      </c>
      <c r="K407" s="38" t="n">
        <f aca="false">J407+Inputs!$C$10</f>
        <v>0.122235</v>
      </c>
      <c r="L407" s="37" t="n">
        <f aca="false">I407*K407/C407</f>
        <v>502.335616438356</v>
      </c>
      <c r="M407" s="37" t="n">
        <f aca="false">IF(AND(A407&gt;=Inputs!$C$13,OR(A407&lt;Inputs!$B$19,Inputs!$B$20=1)),I407*Inputs!$C$11/C407,0)</f>
        <v>82.1917808219178</v>
      </c>
    </row>
    <row r="408" customFormat="false" ht="15" hidden="false" customHeight="false" outlineLevel="0" collapsed="false">
      <c r="A408" s="35" t="n">
        <f aca="false">A407+1</f>
        <v>45215</v>
      </c>
      <c r="B408" s="35" t="n">
        <f aca="false">EOMONTH(A408+1,0)</f>
        <v>45230</v>
      </c>
      <c r="C408" s="36" t="n">
        <f aca="false">IF(MOD(YEAR(A408),4)=0,366,365)</f>
        <v>365</v>
      </c>
      <c r="D408" s="37" t="n">
        <f aca="false">Inputs!$B$9-SUMIFS(Cash_Events!$G$6:$G$20,Cash_Events!$C$6:$C$20,"rAGMF",Cash_Events!$B$6:$B$20,"&lt;="&amp;A408)</f>
        <v>1500000</v>
      </c>
      <c r="E408" s="38" t="n">
        <f aca="false">VLOOKUP(A408,Inputs!$A$40:$B$48,2,TRUE())</f>
        <v>0.0547601</v>
      </c>
      <c r="F408" s="38" t="n">
        <f aca="false">E408+Inputs!$B$10</f>
        <v>0.1222601</v>
      </c>
      <c r="G408" s="37" t="n">
        <f aca="false">D408*F408/C408</f>
        <v>502.438767123288</v>
      </c>
      <c r="H408" s="37" t="n">
        <f aca="false">IF(AND(A408&gt;=Inputs!$B$13,OR(A408&lt;Inputs!$B$19,Inputs!$B$20=1)),D408*Inputs!$B$11/C408,0)</f>
        <v>82.1917808219178</v>
      </c>
      <c r="I408" s="37" t="n">
        <f aca="false">Inputs!$C$9-SUMIFS(Cash_Events!$G$6:$G$20,Cash_Events!$C$6:$C$20,"FHL",Cash_Events!$B$6:$B$20,"&lt;="&amp;A408)</f>
        <v>1500000</v>
      </c>
      <c r="J408" s="38" t="n">
        <f aca="false">VLOOKUP(A408,Inputs!$F$40:$G$48,2,TRUE())</f>
        <v>0.054735</v>
      </c>
      <c r="K408" s="38" t="n">
        <f aca="false">J408+Inputs!$C$10</f>
        <v>0.122235</v>
      </c>
      <c r="L408" s="37" t="n">
        <f aca="false">I408*K408/C408</f>
        <v>502.335616438356</v>
      </c>
      <c r="M408" s="37" t="n">
        <f aca="false">IF(AND(A408&gt;=Inputs!$C$13,OR(A408&lt;Inputs!$B$19,Inputs!$B$20=1)),I408*Inputs!$C$11/C408,0)</f>
        <v>82.1917808219178</v>
      </c>
    </row>
    <row r="409" customFormat="false" ht="15" hidden="false" customHeight="false" outlineLevel="0" collapsed="false">
      <c r="A409" s="35" t="n">
        <f aca="false">A408+1</f>
        <v>45216</v>
      </c>
      <c r="B409" s="35" t="n">
        <f aca="false">EOMONTH(A409+1,0)</f>
        <v>45230</v>
      </c>
      <c r="C409" s="36" t="n">
        <f aca="false">IF(MOD(YEAR(A409),4)=0,366,365)</f>
        <v>365</v>
      </c>
      <c r="D409" s="37" t="n">
        <f aca="false">Inputs!$B$9-SUMIFS(Cash_Events!$G$6:$G$20,Cash_Events!$C$6:$C$20,"rAGMF",Cash_Events!$B$6:$B$20,"&lt;="&amp;A409)</f>
        <v>1500000</v>
      </c>
      <c r="E409" s="38" t="n">
        <f aca="false">VLOOKUP(A409,Inputs!$A$40:$B$48,2,TRUE())</f>
        <v>0.0547601</v>
      </c>
      <c r="F409" s="38" t="n">
        <f aca="false">E409+Inputs!$B$10</f>
        <v>0.1222601</v>
      </c>
      <c r="G409" s="37" t="n">
        <f aca="false">D409*F409/C409</f>
        <v>502.438767123288</v>
      </c>
      <c r="H409" s="37" t="n">
        <f aca="false">IF(AND(A409&gt;=Inputs!$B$13,OR(A409&lt;Inputs!$B$19,Inputs!$B$20=1)),D409*Inputs!$B$11/C409,0)</f>
        <v>82.1917808219178</v>
      </c>
      <c r="I409" s="37" t="n">
        <f aca="false">Inputs!$C$9-SUMIFS(Cash_Events!$G$6:$G$20,Cash_Events!$C$6:$C$20,"FHL",Cash_Events!$B$6:$B$20,"&lt;="&amp;A409)</f>
        <v>1500000</v>
      </c>
      <c r="J409" s="38" t="n">
        <f aca="false">VLOOKUP(A409,Inputs!$F$40:$G$48,2,TRUE())</f>
        <v>0.054735</v>
      </c>
      <c r="K409" s="38" t="n">
        <f aca="false">J409+Inputs!$C$10</f>
        <v>0.122235</v>
      </c>
      <c r="L409" s="37" t="n">
        <f aca="false">I409*K409/C409</f>
        <v>502.335616438356</v>
      </c>
      <c r="M409" s="37" t="n">
        <f aca="false">IF(AND(A409&gt;=Inputs!$C$13,OR(A409&lt;Inputs!$B$19,Inputs!$B$20=1)),I409*Inputs!$C$11/C409,0)</f>
        <v>82.1917808219178</v>
      </c>
    </row>
    <row r="410" customFormat="false" ht="15" hidden="false" customHeight="false" outlineLevel="0" collapsed="false">
      <c r="A410" s="35" t="n">
        <f aca="false">A409+1</f>
        <v>45217</v>
      </c>
      <c r="B410" s="35" t="n">
        <f aca="false">EOMONTH(A410+1,0)</f>
        <v>45230</v>
      </c>
      <c r="C410" s="36" t="n">
        <f aca="false">IF(MOD(YEAR(A410),4)=0,366,365)</f>
        <v>365</v>
      </c>
      <c r="D410" s="37" t="n">
        <f aca="false">Inputs!$B$9-SUMIFS(Cash_Events!$G$6:$G$20,Cash_Events!$C$6:$C$20,"rAGMF",Cash_Events!$B$6:$B$20,"&lt;="&amp;A410)</f>
        <v>1500000</v>
      </c>
      <c r="E410" s="38" t="n">
        <f aca="false">VLOOKUP(A410,Inputs!$A$40:$B$48,2,TRUE())</f>
        <v>0.0547601</v>
      </c>
      <c r="F410" s="38" t="n">
        <f aca="false">E410+Inputs!$B$10</f>
        <v>0.1222601</v>
      </c>
      <c r="G410" s="37" t="n">
        <f aca="false">D410*F410/C410</f>
        <v>502.438767123288</v>
      </c>
      <c r="H410" s="37" t="n">
        <f aca="false">IF(AND(A410&gt;=Inputs!$B$13,OR(A410&lt;Inputs!$B$19,Inputs!$B$20=1)),D410*Inputs!$B$11/C410,0)</f>
        <v>82.1917808219178</v>
      </c>
      <c r="I410" s="37" t="n">
        <f aca="false">Inputs!$C$9-SUMIFS(Cash_Events!$G$6:$G$20,Cash_Events!$C$6:$C$20,"FHL",Cash_Events!$B$6:$B$20,"&lt;="&amp;A410)</f>
        <v>1500000</v>
      </c>
      <c r="J410" s="38" t="n">
        <f aca="false">VLOOKUP(A410,Inputs!$F$40:$G$48,2,TRUE())</f>
        <v>0.054735</v>
      </c>
      <c r="K410" s="38" t="n">
        <f aca="false">J410+Inputs!$C$10</f>
        <v>0.122235</v>
      </c>
      <c r="L410" s="37" t="n">
        <f aca="false">I410*K410/C410</f>
        <v>502.335616438356</v>
      </c>
      <c r="M410" s="37" t="n">
        <f aca="false">IF(AND(A410&gt;=Inputs!$C$13,OR(A410&lt;Inputs!$B$19,Inputs!$B$20=1)),I410*Inputs!$C$11/C410,0)</f>
        <v>82.1917808219178</v>
      </c>
    </row>
    <row r="411" customFormat="false" ht="15" hidden="false" customHeight="false" outlineLevel="0" collapsed="false">
      <c r="A411" s="35" t="n">
        <f aca="false">A410+1</f>
        <v>45218</v>
      </c>
      <c r="B411" s="35" t="n">
        <f aca="false">EOMONTH(A411+1,0)</f>
        <v>45230</v>
      </c>
      <c r="C411" s="36" t="n">
        <f aca="false">IF(MOD(YEAR(A411),4)=0,366,365)</f>
        <v>365</v>
      </c>
      <c r="D411" s="37" t="n">
        <f aca="false">Inputs!$B$9-SUMIFS(Cash_Events!$G$6:$G$20,Cash_Events!$C$6:$C$20,"rAGMF",Cash_Events!$B$6:$B$20,"&lt;="&amp;A411)</f>
        <v>1500000</v>
      </c>
      <c r="E411" s="38" t="n">
        <f aca="false">VLOOKUP(A411,Inputs!$A$40:$B$48,2,TRUE())</f>
        <v>0.0547601</v>
      </c>
      <c r="F411" s="38" t="n">
        <f aca="false">E411+Inputs!$B$10</f>
        <v>0.1222601</v>
      </c>
      <c r="G411" s="37" t="n">
        <f aca="false">D411*F411/C411</f>
        <v>502.438767123288</v>
      </c>
      <c r="H411" s="37" t="n">
        <f aca="false">IF(AND(A411&gt;=Inputs!$B$13,OR(A411&lt;Inputs!$B$19,Inputs!$B$20=1)),D411*Inputs!$B$11/C411,0)</f>
        <v>82.1917808219178</v>
      </c>
      <c r="I411" s="37" t="n">
        <f aca="false">Inputs!$C$9-SUMIFS(Cash_Events!$G$6:$G$20,Cash_Events!$C$6:$C$20,"FHL",Cash_Events!$B$6:$B$20,"&lt;="&amp;A411)</f>
        <v>1500000</v>
      </c>
      <c r="J411" s="38" t="n">
        <f aca="false">VLOOKUP(A411,Inputs!$F$40:$G$48,2,TRUE())</f>
        <v>0.054735</v>
      </c>
      <c r="K411" s="38" t="n">
        <f aca="false">J411+Inputs!$C$10</f>
        <v>0.122235</v>
      </c>
      <c r="L411" s="37" t="n">
        <f aca="false">I411*K411/C411</f>
        <v>502.335616438356</v>
      </c>
      <c r="M411" s="37" t="n">
        <f aca="false">IF(AND(A411&gt;=Inputs!$C$13,OR(A411&lt;Inputs!$B$19,Inputs!$B$20=1)),I411*Inputs!$C$11/C411,0)</f>
        <v>82.1917808219178</v>
      </c>
    </row>
    <row r="412" customFormat="false" ht="15" hidden="false" customHeight="false" outlineLevel="0" collapsed="false">
      <c r="A412" s="35" t="n">
        <f aca="false">A411+1</f>
        <v>45219</v>
      </c>
      <c r="B412" s="35" t="n">
        <f aca="false">EOMONTH(A412+1,0)</f>
        <v>45230</v>
      </c>
      <c r="C412" s="36" t="n">
        <f aca="false">IF(MOD(YEAR(A412),4)=0,366,365)</f>
        <v>365</v>
      </c>
      <c r="D412" s="37" t="n">
        <f aca="false">Inputs!$B$9-SUMIFS(Cash_Events!$G$6:$G$20,Cash_Events!$C$6:$C$20,"rAGMF",Cash_Events!$B$6:$B$20,"&lt;="&amp;A412)</f>
        <v>1500000</v>
      </c>
      <c r="E412" s="38" t="n">
        <f aca="false">VLOOKUP(A412,Inputs!$A$40:$B$48,2,TRUE())</f>
        <v>0.0547601</v>
      </c>
      <c r="F412" s="38" t="n">
        <f aca="false">E412+Inputs!$B$10</f>
        <v>0.1222601</v>
      </c>
      <c r="G412" s="37" t="n">
        <f aca="false">D412*F412/C412</f>
        <v>502.438767123288</v>
      </c>
      <c r="H412" s="37" t="n">
        <f aca="false">IF(AND(A412&gt;=Inputs!$B$13,OR(A412&lt;Inputs!$B$19,Inputs!$B$20=1)),D412*Inputs!$B$11/C412,0)</f>
        <v>82.1917808219178</v>
      </c>
      <c r="I412" s="37" t="n">
        <f aca="false">Inputs!$C$9-SUMIFS(Cash_Events!$G$6:$G$20,Cash_Events!$C$6:$C$20,"FHL",Cash_Events!$B$6:$B$20,"&lt;="&amp;A412)</f>
        <v>1500000</v>
      </c>
      <c r="J412" s="38" t="n">
        <f aca="false">VLOOKUP(A412,Inputs!$F$40:$G$48,2,TRUE())</f>
        <v>0.054735</v>
      </c>
      <c r="K412" s="38" t="n">
        <f aca="false">J412+Inputs!$C$10</f>
        <v>0.122235</v>
      </c>
      <c r="L412" s="37" t="n">
        <f aca="false">I412*K412/C412</f>
        <v>502.335616438356</v>
      </c>
      <c r="M412" s="37" t="n">
        <f aca="false">IF(AND(A412&gt;=Inputs!$C$13,OR(A412&lt;Inputs!$B$19,Inputs!$B$20=1)),I412*Inputs!$C$11/C412,0)</f>
        <v>82.1917808219178</v>
      </c>
    </row>
    <row r="413" customFormat="false" ht="15" hidden="false" customHeight="false" outlineLevel="0" collapsed="false">
      <c r="A413" s="35" t="n">
        <f aca="false">A412+1</f>
        <v>45220</v>
      </c>
      <c r="B413" s="35" t="n">
        <f aca="false">EOMONTH(A413+1,0)</f>
        <v>45230</v>
      </c>
      <c r="C413" s="36" t="n">
        <f aca="false">IF(MOD(YEAR(A413),4)=0,366,365)</f>
        <v>365</v>
      </c>
      <c r="D413" s="37" t="n">
        <f aca="false">Inputs!$B$9-SUMIFS(Cash_Events!$G$6:$G$20,Cash_Events!$C$6:$C$20,"rAGMF",Cash_Events!$B$6:$B$20,"&lt;="&amp;A413)</f>
        <v>1500000</v>
      </c>
      <c r="E413" s="38" t="n">
        <f aca="false">VLOOKUP(A413,Inputs!$A$40:$B$48,2,TRUE())</f>
        <v>0.0547601</v>
      </c>
      <c r="F413" s="38" t="n">
        <f aca="false">E413+Inputs!$B$10</f>
        <v>0.1222601</v>
      </c>
      <c r="G413" s="37" t="n">
        <f aca="false">D413*F413/C413</f>
        <v>502.438767123288</v>
      </c>
      <c r="H413" s="37" t="n">
        <f aca="false">IF(AND(A413&gt;=Inputs!$B$13,OR(A413&lt;Inputs!$B$19,Inputs!$B$20=1)),D413*Inputs!$B$11/C413,0)</f>
        <v>82.1917808219178</v>
      </c>
      <c r="I413" s="37" t="n">
        <f aca="false">Inputs!$C$9-SUMIFS(Cash_Events!$G$6:$G$20,Cash_Events!$C$6:$C$20,"FHL",Cash_Events!$B$6:$B$20,"&lt;="&amp;A413)</f>
        <v>1500000</v>
      </c>
      <c r="J413" s="38" t="n">
        <f aca="false">VLOOKUP(A413,Inputs!$F$40:$G$48,2,TRUE())</f>
        <v>0.054735</v>
      </c>
      <c r="K413" s="38" t="n">
        <f aca="false">J413+Inputs!$C$10</f>
        <v>0.122235</v>
      </c>
      <c r="L413" s="37" t="n">
        <f aca="false">I413*K413/C413</f>
        <v>502.335616438356</v>
      </c>
      <c r="M413" s="37" t="n">
        <f aca="false">IF(AND(A413&gt;=Inputs!$C$13,OR(A413&lt;Inputs!$B$19,Inputs!$B$20=1)),I413*Inputs!$C$11/C413,0)</f>
        <v>82.1917808219178</v>
      </c>
    </row>
    <row r="414" customFormat="false" ht="15" hidden="false" customHeight="false" outlineLevel="0" collapsed="false">
      <c r="A414" s="35" t="n">
        <f aca="false">A413+1</f>
        <v>45221</v>
      </c>
      <c r="B414" s="35" t="n">
        <f aca="false">EOMONTH(A414+1,0)</f>
        <v>45230</v>
      </c>
      <c r="C414" s="36" t="n">
        <f aca="false">IF(MOD(YEAR(A414),4)=0,366,365)</f>
        <v>365</v>
      </c>
      <c r="D414" s="37" t="n">
        <f aca="false">Inputs!$B$9-SUMIFS(Cash_Events!$G$6:$G$20,Cash_Events!$C$6:$C$20,"rAGMF",Cash_Events!$B$6:$B$20,"&lt;="&amp;A414)</f>
        <v>1500000</v>
      </c>
      <c r="E414" s="38" t="n">
        <f aca="false">VLOOKUP(A414,Inputs!$A$40:$B$48,2,TRUE())</f>
        <v>0.0547601</v>
      </c>
      <c r="F414" s="38" t="n">
        <f aca="false">E414+Inputs!$B$10</f>
        <v>0.1222601</v>
      </c>
      <c r="G414" s="37" t="n">
        <f aca="false">D414*F414/C414</f>
        <v>502.438767123288</v>
      </c>
      <c r="H414" s="37" t="n">
        <f aca="false">IF(AND(A414&gt;=Inputs!$B$13,OR(A414&lt;Inputs!$B$19,Inputs!$B$20=1)),D414*Inputs!$B$11/C414,0)</f>
        <v>82.1917808219178</v>
      </c>
      <c r="I414" s="37" t="n">
        <f aca="false">Inputs!$C$9-SUMIFS(Cash_Events!$G$6:$G$20,Cash_Events!$C$6:$C$20,"FHL",Cash_Events!$B$6:$B$20,"&lt;="&amp;A414)</f>
        <v>1500000</v>
      </c>
      <c r="J414" s="38" t="n">
        <f aca="false">VLOOKUP(A414,Inputs!$F$40:$G$48,2,TRUE())</f>
        <v>0.054735</v>
      </c>
      <c r="K414" s="38" t="n">
        <f aca="false">J414+Inputs!$C$10</f>
        <v>0.122235</v>
      </c>
      <c r="L414" s="37" t="n">
        <f aca="false">I414*K414/C414</f>
        <v>502.335616438356</v>
      </c>
      <c r="M414" s="37" t="n">
        <f aca="false">IF(AND(A414&gt;=Inputs!$C$13,OR(A414&lt;Inputs!$B$19,Inputs!$B$20=1)),I414*Inputs!$C$11/C414,0)</f>
        <v>82.1917808219178</v>
      </c>
    </row>
    <row r="415" customFormat="false" ht="15" hidden="false" customHeight="false" outlineLevel="0" collapsed="false">
      <c r="A415" s="35" t="n">
        <f aca="false">A414+1</f>
        <v>45222</v>
      </c>
      <c r="B415" s="35" t="n">
        <f aca="false">EOMONTH(A415+1,0)</f>
        <v>45230</v>
      </c>
      <c r="C415" s="36" t="n">
        <f aca="false">IF(MOD(YEAR(A415),4)=0,366,365)</f>
        <v>365</v>
      </c>
      <c r="D415" s="37" t="n">
        <f aca="false">Inputs!$B$9-SUMIFS(Cash_Events!$G$6:$G$20,Cash_Events!$C$6:$C$20,"rAGMF",Cash_Events!$B$6:$B$20,"&lt;="&amp;A415)</f>
        <v>1500000</v>
      </c>
      <c r="E415" s="38" t="n">
        <f aca="false">VLOOKUP(A415,Inputs!$A$40:$B$48,2,TRUE())</f>
        <v>0.0547601</v>
      </c>
      <c r="F415" s="38" t="n">
        <f aca="false">E415+Inputs!$B$10</f>
        <v>0.1222601</v>
      </c>
      <c r="G415" s="37" t="n">
        <f aca="false">D415*F415/C415</f>
        <v>502.438767123288</v>
      </c>
      <c r="H415" s="37" t="n">
        <f aca="false">IF(AND(A415&gt;=Inputs!$B$13,OR(A415&lt;Inputs!$B$19,Inputs!$B$20=1)),D415*Inputs!$B$11/C415,0)</f>
        <v>82.1917808219178</v>
      </c>
      <c r="I415" s="37" t="n">
        <f aca="false">Inputs!$C$9-SUMIFS(Cash_Events!$G$6:$G$20,Cash_Events!$C$6:$C$20,"FHL",Cash_Events!$B$6:$B$20,"&lt;="&amp;A415)</f>
        <v>1500000</v>
      </c>
      <c r="J415" s="38" t="n">
        <f aca="false">VLOOKUP(A415,Inputs!$F$40:$G$48,2,TRUE())</f>
        <v>0.054735</v>
      </c>
      <c r="K415" s="38" t="n">
        <f aca="false">J415+Inputs!$C$10</f>
        <v>0.122235</v>
      </c>
      <c r="L415" s="37" t="n">
        <f aca="false">I415*K415/C415</f>
        <v>502.335616438356</v>
      </c>
      <c r="M415" s="37" t="n">
        <f aca="false">IF(AND(A415&gt;=Inputs!$C$13,OR(A415&lt;Inputs!$B$19,Inputs!$B$20=1)),I415*Inputs!$C$11/C415,0)</f>
        <v>82.1917808219178</v>
      </c>
    </row>
    <row r="416" customFormat="false" ht="15" hidden="false" customHeight="false" outlineLevel="0" collapsed="false">
      <c r="A416" s="35" t="n">
        <f aca="false">A415+1</f>
        <v>45223</v>
      </c>
      <c r="B416" s="35" t="n">
        <f aca="false">EOMONTH(A416+1,0)</f>
        <v>45230</v>
      </c>
      <c r="C416" s="36" t="n">
        <f aca="false">IF(MOD(YEAR(A416),4)=0,366,365)</f>
        <v>365</v>
      </c>
      <c r="D416" s="37" t="n">
        <f aca="false">Inputs!$B$9-SUMIFS(Cash_Events!$G$6:$G$20,Cash_Events!$C$6:$C$20,"rAGMF",Cash_Events!$B$6:$B$20,"&lt;="&amp;A416)</f>
        <v>1500000</v>
      </c>
      <c r="E416" s="38" t="n">
        <f aca="false">VLOOKUP(A416,Inputs!$A$40:$B$48,2,TRUE())</f>
        <v>0.0547601</v>
      </c>
      <c r="F416" s="38" t="n">
        <f aca="false">E416+Inputs!$B$10</f>
        <v>0.1222601</v>
      </c>
      <c r="G416" s="37" t="n">
        <f aca="false">D416*F416/C416</f>
        <v>502.438767123288</v>
      </c>
      <c r="H416" s="37" t="n">
        <f aca="false">IF(AND(A416&gt;=Inputs!$B$13,OR(A416&lt;Inputs!$B$19,Inputs!$B$20=1)),D416*Inputs!$B$11/C416,0)</f>
        <v>82.1917808219178</v>
      </c>
      <c r="I416" s="37" t="n">
        <f aca="false">Inputs!$C$9-SUMIFS(Cash_Events!$G$6:$G$20,Cash_Events!$C$6:$C$20,"FHL",Cash_Events!$B$6:$B$20,"&lt;="&amp;A416)</f>
        <v>1500000</v>
      </c>
      <c r="J416" s="38" t="n">
        <f aca="false">VLOOKUP(A416,Inputs!$F$40:$G$48,2,TRUE())</f>
        <v>0.054735</v>
      </c>
      <c r="K416" s="38" t="n">
        <f aca="false">J416+Inputs!$C$10</f>
        <v>0.122235</v>
      </c>
      <c r="L416" s="37" t="n">
        <f aca="false">I416*K416/C416</f>
        <v>502.335616438356</v>
      </c>
      <c r="M416" s="37" t="n">
        <f aca="false">IF(AND(A416&gt;=Inputs!$C$13,OR(A416&lt;Inputs!$B$19,Inputs!$B$20=1)),I416*Inputs!$C$11/C416,0)</f>
        <v>82.1917808219178</v>
      </c>
    </row>
    <row r="417" customFormat="false" ht="15" hidden="false" customHeight="false" outlineLevel="0" collapsed="false">
      <c r="A417" s="35" t="n">
        <f aca="false">A416+1</f>
        <v>45224</v>
      </c>
      <c r="B417" s="35" t="n">
        <f aca="false">EOMONTH(A417+1,0)</f>
        <v>45230</v>
      </c>
      <c r="C417" s="36" t="n">
        <f aca="false">IF(MOD(YEAR(A417),4)=0,366,365)</f>
        <v>365</v>
      </c>
      <c r="D417" s="37" t="n">
        <f aca="false">Inputs!$B$9-SUMIFS(Cash_Events!$G$6:$G$20,Cash_Events!$C$6:$C$20,"rAGMF",Cash_Events!$B$6:$B$20,"&lt;="&amp;A417)</f>
        <v>1500000</v>
      </c>
      <c r="E417" s="38" t="n">
        <f aca="false">VLOOKUP(A417,Inputs!$A$40:$B$48,2,TRUE())</f>
        <v>0.0547601</v>
      </c>
      <c r="F417" s="38" t="n">
        <f aca="false">E417+Inputs!$B$10</f>
        <v>0.1222601</v>
      </c>
      <c r="G417" s="37" t="n">
        <f aca="false">D417*F417/C417</f>
        <v>502.438767123288</v>
      </c>
      <c r="H417" s="37" t="n">
        <f aca="false">IF(AND(A417&gt;=Inputs!$B$13,OR(A417&lt;Inputs!$B$19,Inputs!$B$20=1)),D417*Inputs!$B$11/C417,0)</f>
        <v>82.1917808219178</v>
      </c>
      <c r="I417" s="37" t="n">
        <f aca="false">Inputs!$C$9-SUMIFS(Cash_Events!$G$6:$G$20,Cash_Events!$C$6:$C$20,"FHL",Cash_Events!$B$6:$B$20,"&lt;="&amp;A417)</f>
        <v>1500000</v>
      </c>
      <c r="J417" s="38" t="n">
        <f aca="false">VLOOKUP(A417,Inputs!$F$40:$G$48,2,TRUE())</f>
        <v>0.054735</v>
      </c>
      <c r="K417" s="38" t="n">
        <f aca="false">J417+Inputs!$C$10</f>
        <v>0.122235</v>
      </c>
      <c r="L417" s="37" t="n">
        <f aca="false">I417*K417/C417</f>
        <v>502.335616438356</v>
      </c>
      <c r="M417" s="37" t="n">
        <f aca="false">IF(AND(A417&gt;=Inputs!$C$13,OR(A417&lt;Inputs!$B$19,Inputs!$B$20=1)),I417*Inputs!$C$11/C417,0)</f>
        <v>82.1917808219178</v>
      </c>
    </row>
    <row r="418" customFormat="false" ht="15" hidden="false" customHeight="false" outlineLevel="0" collapsed="false">
      <c r="A418" s="35" t="n">
        <f aca="false">A417+1</f>
        <v>45225</v>
      </c>
      <c r="B418" s="35" t="n">
        <f aca="false">EOMONTH(A418+1,0)</f>
        <v>45230</v>
      </c>
      <c r="C418" s="36" t="n">
        <f aca="false">IF(MOD(YEAR(A418),4)=0,366,365)</f>
        <v>365</v>
      </c>
      <c r="D418" s="37" t="n">
        <f aca="false">Inputs!$B$9-SUMIFS(Cash_Events!$G$6:$G$20,Cash_Events!$C$6:$C$20,"rAGMF",Cash_Events!$B$6:$B$20,"&lt;="&amp;A418)</f>
        <v>1500000</v>
      </c>
      <c r="E418" s="38" t="n">
        <f aca="false">VLOOKUP(A418,Inputs!$A$40:$B$48,2,TRUE())</f>
        <v>0.0547601</v>
      </c>
      <c r="F418" s="38" t="n">
        <f aca="false">E418+Inputs!$B$10</f>
        <v>0.1222601</v>
      </c>
      <c r="G418" s="37" t="n">
        <f aca="false">D418*F418/C418</f>
        <v>502.438767123288</v>
      </c>
      <c r="H418" s="37" t="n">
        <f aca="false">IF(AND(A418&gt;=Inputs!$B$13,OR(A418&lt;Inputs!$B$19,Inputs!$B$20=1)),D418*Inputs!$B$11/C418,0)</f>
        <v>82.1917808219178</v>
      </c>
      <c r="I418" s="37" t="n">
        <f aca="false">Inputs!$C$9-SUMIFS(Cash_Events!$G$6:$G$20,Cash_Events!$C$6:$C$20,"FHL",Cash_Events!$B$6:$B$20,"&lt;="&amp;A418)</f>
        <v>1500000</v>
      </c>
      <c r="J418" s="38" t="n">
        <f aca="false">VLOOKUP(A418,Inputs!$F$40:$G$48,2,TRUE())</f>
        <v>0.054735</v>
      </c>
      <c r="K418" s="38" t="n">
        <f aca="false">J418+Inputs!$C$10</f>
        <v>0.122235</v>
      </c>
      <c r="L418" s="37" t="n">
        <f aca="false">I418*K418/C418</f>
        <v>502.335616438356</v>
      </c>
      <c r="M418" s="37" t="n">
        <f aca="false">IF(AND(A418&gt;=Inputs!$C$13,OR(A418&lt;Inputs!$B$19,Inputs!$B$20=1)),I418*Inputs!$C$11/C418,0)</f>
        <v>82.1917808219178</v>
      </c>
    </row>
    <row r="419" customFormat="false" ht="15" hidden="false" customHeight="false" outlineLevel="0" collapsed="false">
      <c r="A419" s="35" t="n">
        <f aca="false">A418+1</f>
        <v>45226</v>
      </c>
      <c r="B419" s="35" t="n">
        <f aca="false">EOMONTH(A419+1,0)</f>
        <v>45230</v>
      </c>
      <c r="C419" s="36" t="n">
        <f aca="false">IF(MOD(YEAR(A419),4)=0,366,365)</f>
        <v>365</v>
      </c>
      <c r="D419" s="37" t="n">
        <f aca="false">Inputs!$B$9-SUMIFS(Cash_Events!$G$6:$G$20,Cash_Events!$C$6:$C$20,"rAGMF",Cash_Events!$B$6:$B$20,"&lt;="&amp;A419)</f>
        <v>1500000</v>
      </c>
      <c r="E419" s="38" t="n">
        <f aca="false">VLOOKUP(A419,Inputs!$A$40:$B$48,2,TRUE())</f>
        <v>0.0547601</v>
      </c>
      <c r="F419" s="38" t="n">
        <f aca="false">E419+Inputs!$B$10</f>
        <v>0.1222601</v>
      </c>
      <c r="G419" s="37" t="n">
        <f aca="false">D419*F419/C419</f>
        <v>502.438767123288</v>
      </c>
      <c r="H419" s="37" t="n">
        <f aca="false">IF(AND(A419&gt;=Inputs!$B$13,OR(A419&lt;Inputs!$B$19,Inputs!$B$20=1)),D419*Inputs!$B$11/C419,0)</f>
        <v>82.1917808219178</v>
      </c>
      <c r="I419" s="37" t="n">
        <f aca="false">Inputs!$C$9-SUMIFS(Cash_Events!$G$6:$G$20,Cash_Events!$C$6:$C$20,"FHL",Cash_Events!$B$6:$B$20,"&lt;="&amp;A419)</f>
        <v>1500000</v>
      </c>
      <c r="J419" s="38" t="n">
        <f aca="false">VLOOKUP(A419,Inputs!$F$40:$G$48,2,TRUE())</f>
        <v>0.054735</v>
      </c>
      <c r="K419" s="38" t="n">
        <f aca="false">J419+Inputs!$C$10</f>
        <v>0.122235</v>
      </c>
      <c r="L419" s="37" t="n">
        <f aca="false">I419*K419/C419</f>
        <v>502.335616438356</v>
      </c>
      <c r="M419" s="37" t="n">
        <f aca="false">IF(AND(A419&gt;=Inputs!$C$13,OR(A419&lt;Inputs!$B$19,Inputs!$B$20=1)),I419*Inputs!$C$11/C419,0)</f>
        <v>82.1917808219178</v>
      </c>
    </row>
    <row r="420" customFormat="false" ht="15" hidden="false" customHeight="false" outlineLevel="0" collapsed="false">
      <c r="A420" s="35" t="n">
        <f aca="false">A419+1</f>
        <v>45227</v>
      </c>
      <c r="B420" s="35" t="n">
        <f aca="false">EOMONTH(A420+1,0)</f>
        <v>45230</v>
      </c>
      <c r="C420" s="36" t="n">
        <f aca="false">IF(MOD(YEAR(A420),4)=0,366,365)</f>
        <v>365</v>
      </c>
      <c r="D420" s="37" t="n">
        <f aca="false">Inputs!$B$9-SUMIFS(Cash_Events!$G$6:$G$20,Cash_Events!$C$6:$C$20,"rAGMF",Cash_Events!$B$6:$B$20,"&lt;="&amp;A420)</f>
        <v>1500000</v>
      </c>
      <c r="E420" s="38" t="n">
        <f aca="false">VLOOKUP(A420,Inputs!$A$40:$B$48,2,TRUE())</f>
        <v>0.0547601</v>
      </c>
      <c r="F420" s="38" t="n">
        <f aca="false">E420+Inputs!$B$10</f>
        <v>0.1222601</v>
      </c>
      <c r="G420" s="37" t="n">
        <f aca="false">D420*F420/C420</f>
        <v>502.438767123288</v>
      </c>
      <c r="H420" s="37" t="n">
        <f aca="false">IF(AND(A420&gt;=Inputs!$B$13,OR(A420&lt;Inputs!$B$19,Inputs!$B$20=1)),D420*Inputs!$B$11/C420,0)</f>
        <v>82.1917808219178</v>
      </c>
      <c r="I420" s="37" t="n">
        <f aca="false">Inputs!$C$9-SUMIFS(Cash_Events!$G$6:$G$20,Cash_Events!$C$6:$C$20,"FHL",Cash_Events!$B$6:$B$20,"&lt;="&amp;A420)</f>
        <v>1500000</v>
      </c>
      <c r="J420" s="38" t="n">
        <f aca="false">VLOOKUP(A420,Inputs!$F$40:$G$48,2,TRUE())</f>
        <v>0.054735</v>
      </c>
      <c r="K420" s="38" t="n">
        <f aca="false">J420+Inputs!$C$10</f>
        <v>0.122235</v>
      </c>
      <c r="L420" s="37" t="n">
        <f aca="false">I420*K420/C420</f>
        <v>502.335616438356</v>
      </c>
      <c r="M420" s="37" t="n">
        <f aca="false">IF(AND(A420&gt;=Inputs!$C$13,OR(A420&lt;Inputs!$B$19,Inputs!$B$20=1)),I420*Inputs!$C$11/C420,0)</f>
        <v>82.1917808219178</v>
      </c>
    </row>
    <row r="421" customFormat="false" ht="15" hidden="false" customHeight="false" outlineLevel="0" collapsed="false">
      <c r="A421" s="35" t="n">
        <f aca="false">A420+1</f>
        <v>45228</v>
      </c>
      <c r="B421" s="35" t="n">
        <f aca="false">EOMONTH(A421+1,0)</f>
        <v>45230</v>
      </c>
      <c r="C421" s="36" t="n">
        <f aca="false">IF(MOD(YEAR(A421),4)=0,366,365)</f>
        <v>365</v>
      </c>
      <c r="D421" s="37" t="n">
        <f aca="false">Inputs!$B$9-SUMIFS(Cash_Events!$G$6:$G$20,Cash_Events!$C$6:$C$20,"rAGMF",Cash_Events!$B$6:$B$20,"&lt;="&amp;A421)</f>
        <v>1500000</v>
      </c>
      <c r="E421" s="38" t="n">
        <f aca="false">VLOOKUP(A421,Inputs!$A$40:$B$48,2,TRUE())</f>
        <v>0.0547601</v>
      </c>
      <c r="F421" s="38" t="n">
        <f aca="false">E421+Inputs!$B$10</f>
        <v>0.1222601</v>
      </c>
      <c r="G421" s="37" t="n">
        <f aca="false">D421*F421/C421</f>
        <v>502.438767123288</v>
      </c>
      <c r="H421" s="37" t="n">
        <f aca="false">IF(AND(A421&gt;=Inputs!$B$13,OR(A421&lt;Inputs!$B$19,Inputs!$B$20=1)),D421*Inputs!$B$11/C421,0)</f>
        <v>82.1917808219178</v>
      </c>
      <c r="I421" s="37" t="n">
        <f aca="false">Inputs!$C$9-SUMIFS(Cash_Events!$G$6:$G$20,Cash_Events!$C$6:$C$20,"FHL",Cash_Events!$B$6:$B$20,"&lt;="&amp;A421)</f>
        <v>1500000</v>
      </c>
      <c r="J421" s="38" t="n">
        <f aca="false">VLOOKUP(A421,Inputs!$F$40:$G$48,2,TRUE())</f>
        <v>0.054735</v>
      </c>
      <c r="K421" s="38" t="n">
        <f aca="false">J421+Inputs!$C$10</f>
        <v>0.122235</v>
      </c>
      <c r="L421" s="37" t="n">
        <f aca="false">I421*K421/C421</f>
        <v>502.335616438356</v>
      </c>
      <c r="M421" s="37" t="n">
        <f aca="false">IF(AND(A421&gt;=Inputs!$C$13,OR(A421&lt;Inputs!$B$19,Inputs!$B$20=1)),I421*Inputs!$C$11/C421,0)</f>
        <v>82.1917808219178</v>
      </c>
    </row>
    <row r="422" customFormat="false" ht="15" hidden="false" customHeight="false" outlineLevel="0" collapsed="false">
      <c r="A422" s="35" t="n">
        <f aca="false">A421+1</f>
        <v>45229</v>
      </c>
      <c r="B422" s="35" t="n">
        <f aca="false">EOMONTH(A422+1,0)</f>
        <v>45230</v>
      </c>
      <c r="C422" s="36" t="n">
        <f aca="false">IF(MOD(YEAR(A422),4)=0,366,365)</f>
        <v>365</v>
      </c>
      <c r="D422" s="37" t="n">
        <f aca="false">Inputs!$B$9-SUMIFS(Cash_Events!$G$6:$G$20,Cash_Events!$C$6:$C$20,"rAGMF",Cash_Events!$B$6:$B$20,"&lt;="&amp;A422)</f>
        <v>1500000</v>
      </c>
      <c r="E422" s="38" t="n">
        <f aca="false">VLOOKUP(A422,Inputs!$A$40:$B$48,2,TRUE())</f>
        <v>0.0547601</v>
      </c>
      <c r="F422" s="38" t="n">
        <f aca="false">E422+Inputs!$B$10</f>
        <v>0.1222601</v>
      </c>
      <c r="G422" s="37" t="n">
        <f aca="false">D422*F422/C422</f>
        <v>502.438767123288</v>
      </c>
      <c r="H422" s="37" t="n">
        <f aca="false">IF(AND(A422&gt;=Inputs!$B$13,OR(A422&lt;Inputs!$B$19,Inputs!$B$20=1)),D422*Inputs!$B$11/C422,0)</f>
        <v>82.1917808219178</v>
      </c>
      <c r="I422" s="37" t="n">
        <f aca="false">Inputs!$C$9-SUMIFS(Cash_Events!$G$6:$G$20,Cash_Events!$C$6:$C$20,"FHL",Cash_Events!$B$6:$B$20,"&lt;="&amp;A422)</f>
        <v>1500000</v>
      </c>
      <c r="J422" s="38" t="n">
        <f aca="false">VLOOKUP(A422,Inputs!$F$40:$G$48,2,TRUE())</f>
        <v>0.054735</v>
      </c>
      <c r="K422" s="38" t="n">
        <f aca="false">J422+Inputs!$C$10</f>
        <v>0.122235</v>
      </c>
      <c r="L422" s="37" t="n">
        <f aca="false">I422*K422/C422</f>
        <v>502.335616438356</v>
      </c>
      <c r="M422" s="37" t="n">
        <f aca="false">IF(AND(A422&gt;=Inputs!$C$13,OR(A422&lt;Inputs!$B$19,Inputs!$B$20=1)),I422*Inputs!$C$11/C422,0)</f>
        <v>82.1917808219178</v>
      </c>
    </row>
    <row r="423" customFormat="false" ht="15" hidden="false" customHeight="false" outlineLevel="0" collapsed="false">
      <c r="A423" s="35" t="n">
        <f aca="false">A422+1</f>
        <v>45230</v>
      </c>
      <c r="B423" s="35" t="n">
        <f aca="false">EOMONTH(A423+1,0)</f>
        <v>45260</v>
      </c>
      <c r="C423" s="36" t="n">
        <f aca="false">IF(MOD(YEAR(A423),4)=0,366,365)</f>
        <v>365</v>
      </c>
      <c r="D423" s="37" t="n">
        <f aca="false">Inputs!$B$9-SUMIFS(Cash_Events!$G$6:$G$20,Cash_Events!$C$6:$C$20,"rAGMF",Cash_Events!$B$6:$B$20,"&lt;="&amp;A423)</f>
        <v>1500000</v>
      </c>
      <c r="E423" s="38" t="n">
        <f aca="false">VLOOKUP(A423,Inputs!$A$40:$B$48,2,TRUE())</f>
        <v>0.0547601</v>
      </c>
      <c r="F423" s="38" t="n">
        <f aca="false">E423+Inputs!$B$10</f>
        <v>0.1222601</v>
      </c>
      <c r="G423" s="37" t="n">
        <f aca="false">D423*F423/C423</f>
        <v>502.438767123288</v>
      </c>
      <c r="H423" s="37" t="n">
        <f aca="false">IF(AND(A423&gt;=Inputs!$B$13,OR(A423&lt;Inputs!$B$19,Inputs!$B$20=1)),D423*Inputs!$B$11/C423,0)</f>
        <v>82.1917808219178</v>
      </c>
      <c r="I423" s="37" t="n">
        <f aca="false">Inputs!$C$9-SUMIFS(Cash_Events!$G$6:$G$20,Cash_Events!$C$6:$C$20,"FHL",Cash_Events!$B$6:$B$20,"&lt;="&amp;A423)</f>
        <v>1500000</v>
      </c>
      <c r="J423" s="38" t="n">
        <f aca="false">VLOOKUP(A423,Inputs!$F$40:$G$48,2,TRUE())</f>
        <v>0.054735</v>
      </c>
      <c r="K423" s="38" t="n">
        <f aca="false">J423+Inputs!$C$10</f>
        <v>0.122235</v>
      </c>
      <c r="L423" s="37" t="n">
        <f aca="false">I423*K423/C423</f>
        <v>502.335616438356</v>
      </c>
      <c r="M423" s="37" t="n">
        <f aca="false">IF(AND(A423&gt;=Inputs!$C$13,OR(A423&lt;Inputs!$B$19,Inputs!$B$20=1)),I423*Inputs!$C$11/C423,0)</f>
        <v>82.1917808219178</v>
      </c>
    </row>
    <row r="424" customFormat="false" ht="15" hidden="false" customHeight="false" outlineLevel="0" collapsed="false">
      <c r="A424" s="35" t="n">
        <f aca="false">A423+1</f>
        <v>45231</v>
      </c>
      <c r="B424" s="35" t="n">
        <f aca="false">EOMONTH(A424+1,0)</f>
        <v>45260</v>
      </c>
      <c r="C424" s="36" t="n">
        <f aca="false">IF(MOD(YEAR(A424),4)=0,366,365)</f>
        <v>365</v>
      </c>
      <c r="D424" s="37" t="n">
        <f aca="false">Inputs!$B$9-SUMIFS(Cash_Events!$G$6:$G$20,Cash_Events!$C$6:$C$20,"rAGMF",Cash_Events!$B$6:$B$20,"&lt;="&amp;A424)</f>
        <v>1500000</v>
      </c>
      <c r="E424" s="38" t="n">
        <f aca="false">VLOOKUP(A424,Inputs!$A$40:$B$48,2,TRUE())</f>
        <v>0.0547601</v>
      </c>
      <c r="F424" s="38" t="n">
        <f aca="false">E424+Inputs!$B$10</f>
        <v>0.1222601</v>
      </c>
      <c r="G424" s="37" t="n">
        <f aca="false">D424*F424/C424</f>
        <v>502.438767123288</v>
      </c>
      <c r="H424" s="37" t="n">
        <f aca="false">IF(AND(A424&gt;=Inputs!$B$13,OR(A424&lt;Inputs!$B$19,Inputs!$B$20=1)),D424*Inputs!$B$11/C424,0)</f>
        <v>82.1917808219178</v>
      </c>
      <c r="I424" s="37" t="n">
        <f aca="false">Inputs!$C$9-SUMIFS(Cash_Events!$G$6:$G$20,Cash_Events!$C$6:$C$20,"FHL",Cash_Events!$B$6:$B$20,"&lt;="&amp;A424)</f>
        <v>1500000</v>
      </c>
      <c r="J424" s="38" t="n">
        <f aca="false">VLOOKUP(A424,Inputs!$F$40:$G$48,2,TRUE())</f>
        <v>0.054735</v>
      </c>
      <c r="K424" s="38" t="n">
        <f aca="false">J424+Inputs!$C$10</f>
        <v>0.122235</v>
      </c>
      <c r="L424" s="37" t="n">
        <f aca="false">I424*K424/C424</f>
        <v>502.335616438356</v>
      </c>
      <c r="M424" s="37" t="n">
        <f aca="false">IF(AND(A424&gt;=Inputs!$C$13,OR(A424&lt;Inputs!$B$19,Inputs!$B$20=1)),I424*Inputs!$C$11/C424,0)</f>
        <v>82.1917808219178</v>
      </c>
    </row>
    <row r="425" customFormat="false" ht="15" hidden="false" customHeight="false" outlineLevel="0" collapsed="false">
      <c r="A425" s="35" t="n">
        <f aca="false">A424+1</f>
        <v>45232</v>
      </c>
      <c r="B425" s="35" t="n">
        <f aca="false">EOMONTH(A425+1,0)</f>
        <v>45260</v>
      </c>
      <c r="C425" s="36" t="n">
        <f aca="false">IF(MOD(YEAR(A425),4)=0,366,365)</f>
        <v>365</v>
      </c>
      <c r="D425" s="37" t="n">
        <f aca="false">Inputs!$B$9-SUMIFS(Cash_Events!$G$6:$G$20,Cash_Events!$C$6:$C$20,"rAGMF",Cash_Events!$B$6:$B$20,"&lt;="&amp;A425)</f>
        <v>1500000</v>
      </c>
      <c r="E425" s="38" t="n">
        <f aca="false">VLOOKUP(A425,Inputs!$A$40:$B$48,2,TRUE())</f>
        <v>0.0547601</v>
      </c>
      <c r="F425" s="38" t="n">
        <f aca="false">E425+Inputs!$B$10</f>
        <v>0.1222601</v>
      </c>
      <c r="G425" s="37" t="n">
        <f aca="false">D425*F425/C425</f>
        <v>502.438767123288</v>
      </c>
      <c r="H425" s="37" t="n">
        <f aca="false">IF(AND(A425&gt;=Inputs!$B$13,OR(A425&lt;Inputs!$B$19,Inputs!$B$20=1)),D425*Inputs!$B$11/C425,0)</f>
        <v>82.1917808219178</v>
      </c>
      <c r="I425" s="37" t="n">
        <f aca="false">Inputs!$C$9-SUMIFS(Cash_Events!$G$6:$G$20,Cash_Events!$C$6:$C$20,"FHL",Cash_Events!$B$6:$B$20,"&lt;="&amp;A425)</f>
        <v>1500000</v>
      </c>
      <c r="J425" s="38" t="n">
        <f aca="false">VLOOKUP(A425,Inputs!$F$40:$G$48,2,TRUE())</f>
        <v>0.054735</v>
      </c>
      <c r="K425" s="38" t="n">
        <f aca="false">J425+Inputs!$C$10</f>
        <v>0.122235</v>
      </c>
      <c r="L425" s="37" t="n">
        <f aca="false">I425*K425/C425</f>
        <v>502.335616438356</v>
      </c>
      <c r="M425" s="37" t="n">
        <f aca="false">IF(AND(A425&gt;=Inputs!$C$13,OR(A425&lt;Inputs!$B$19,Inputs!$B$20=1)),I425*Inputs!$C$11/C425,0)</f>
        <v>82.1917808219178</v>
      </c>
    </row>
    <row r="426" customFormat="false" ht="15" hidden="false" customHeight="false" outlineLevel="0" collapsed="false">
      <c r="A426" s="35" t="n">
        <f aca="false">A425+1</f>
        <v>45233</v>
      </c>
      <c r="B426" s="35" t="n">
        <f aca="false">EOMONTH(A426+1,0)</f>
        <v>45260</v>
      </c>
      <c r="C426" s="36" t="n">
        <f aca="false">IF(MOD(YEAR(A426),4)=0,366,365)</f>
        <v>365</v>
      </c>
      <c r="D426" s="37" t="n">
        <f aca="false">Inputs!$B$9-SUMIFS(Cash_Events!$G$6:$G$20,Cash_Events!$C$6:$C$20,"rAGMF",Cash_Events!$B$6:$B$20,"&lt;="&amp;A426)</f>
        <v>1500000</v>
      </c>
      <c r="E426" s="38" t="n">
        <f aca="false">VLOOKUP(A426,Inputs!$A$40:$B$48,2,TRUE())</f>
        <v>0.0547601</v>
      </c>
      <c r="F426" s="38" t="n">
        <f aca="false">E426+Inputs!$B$10</f>
        <v>0.1222601</v>
      </c>
      <c r="G426" s="37" t="n">
        <f aca="false">D426*F426/C426</f>
        <v>502.438767123288</v>
      </c>
      <c r="H426" s="37" t="n">
        <f aca="false">IF(AND(A426&gt;=Inputs!$B$13,OR(A426&lt;Inputs!$B$19,Inputs!$B$20=1)),D426*Inputs!$B$11/C426,0)</f>
        <v>82.1917808219178</v>
      </c>
      <c r="I426" s="37" t="n">
        <f aca="false">Inputs!$C$9-SUMIFS(Cash_Events!$G$6:$G$20,Cash_Events!$C$6:$C$20,"FHL",Cash_Events!$B$6:$B$20,"&lt;="&amp;A426)</f>
        <v>1500000</v>
      </c>
      <c r="J426" s="38" t="n">
        <f aca="false">VLOOKUP(A426,Inputs!$F$40:$G$48,2,TRUE())</f>
        <v>0.054735</v>
      </c>
      <c r="K426" s="38" t="n">
        <f aca="false">J426+Inputs!$C$10</f>
        <v>0.122235</v>
      </c>
      <c r="L426" s="37" t="n">
        <f aca="false">I426*K426/C426</f>
        <v>502.335616438356</v>
      </c>
      <c r="M426" s="37" t="n">
        <f aca="false">IF(AND(A426&gt;=Inputs!$C$13,OR(A426&lt;Inputs!$B$19,Inputs!$B$20=1)),I426*Inputs!$C$11/C426,0)</f>
        <v>82.1917808219178</v>
      </c>
    </row>
    <row r="427" customFormat="false" ht="15" hidden="false" customHeight="false" outlineLevel="0" collapsed="false">
      <c r="A427" s="35" t="n">
        <f aca="false">A426+1</f>
        <v>45234</v>
      </c>
      <c r="B427" s="35" t="n">
        <f aca="false">EOMONTH(A427+1,0)</f>
        <v>45260</v>
      </c>
      <c r="C427" s="36" t="n">
        <f aca="false">IF(MOD(YEAR(A427),4)=0,366,365)</f>
        <v>365</v>
      </c>
      <c r="D427" s="37" t="n">
        <f aca="false">Inputs!$B$9-SUMIFS(Cash_Events!$G$6:$G$20,Cash_Events!$C$6:$C$20,"rAGMF",Cash_Events!$B$6:$B$20,"&lt;="&amp;A427)</f>
        <v>1500000</v>
      </c>
      <c r="E427" s="38" t="n">
        <f aca="false">VLOOKUP(A427,Inputs!$A$40:$B$48,2,TRUE())</f>
        <v>0.0547601</v>
      </c>
      <c r="F427" s="38" t="n">
        <f aca="false">E427+Inputs!$B$10</f>
        <v>0.1222601</v>
      </c>
      <c r="G427" s="37" t="n">
        <f aca="false">D427*F427/C427</f>
        <v>502.438767123288</v>
      </c>
      <c r="H427" s="37" t="n">
        <f aca="false">IF(AND(A427&gt;=Inputs!$B$13,OR(A427&lt;Inputs!$B$19,Inputs!$B$20=1)),D427*Inputs!$B$11/C427,0)</f>
        <v>82.1917808219178</v>
      </c>
      <c r="I427" s="37" t="n">
        <f aca="false">Inputs!$C$9-SUMIFS(Cash_Events!$G$6:$G$20,Cash_Events!$C$6:$C$20,"FHL",Cash_Events!$B$6:$B$20,"&lt;="&amp;A427)</f>
        <v>1500000</v>
      </c>
      <c r="J427" s="38" t="n">
        <f aca="false">VLOOKUP(A427,Inputs!$F$40:$G$48,2,TRUE())</f>
        <v>0.054735</v>
      </c>
      <c r="K427" s="38" t="n">
        <f aca="false">J427+Inputs!$C$10</f>
        <v>0.122235</v>
      </c>
      <c r="L427" s="37" t="n">
        <f aca="false">I427*K427/C427</f>
        <v>502.335616438356</v>
      </c>
      <c r="M427" s="37" t="n">
        <f aca="false">IF(AND(A427&gt;=Inputs!$C$13,OR(A427&lt;Inputs!$B$19,Inputs!$B$20=1)),I427*Inputs!$C$11/C427,0)</f>
        <v>82.1917808219178</v>
      </c>
    </row>
    <row r="428" customFormat="false" ht="15" hidden="false" customHeight="false" outlineLevel="0" collapsed="false">
      <c r="A428" s="35" t="n">
        <f aca="false">A427+1</f>
        <v>45235</v>
      </c>
      <c r="B428" s="35" t="n">
        <f aca="false">EOMONTH(A428+1,0)</f>
        <v>45260</v>
      </c>
      <c r="C428" s="36" t="n">
        <f aca="false">IF(MOD(YEAR(A428),4)=0,366,365)</f>
        <v>365</v>
      </c>
      <c r="D428" s="37" t="n">
        <f aca="false">Inputs!$B$9-SUMIFS(Cash_Events!$G$6:$G$20,Cash_Events!$C$6:$C$20,"rAGMF",Cash_Events!$B$6:$B$20,"&lt;="&amp;A428)</f>
        <v>1500000</v>
      </c>
      <c r="E428" s="38" t="n">
        <f aca="false">VLOOKUP(A428,Inputs!$A$40:$B$48,2,TRUE())</f>
        <v>0.0547601</v>
      </c>
      <c r="F428" s="38" t="n">
        <f aca="false">E428+Inputs!$B$10</f>
        <v>0.1222601</v>
      </c>
      <c r="G428" s="37" t="n">
        <f aca="false">D428*F428/C428</f>
        <v>502.438767123288</v>
      </c>
      <c r="H428" s="37" t="n">
        <f aca="false">IF(AND(A428&gt;=Inputs!$B$13,OR(A428&lt;Inputs!$B$19,Inputs!$B$20=1)),D428*Inputs!$B$11/C428,0)</f>
        <v>82.1917808219178</v>
      </c>
      <c r="I428" s="37" t="n">
        <f aca="false">Inputs!$C$9-SUMIFS(Cash_Events!$G$6:$G$20,Cash_Events!$C$6:$C$20,"FHL",Cash_Events!$B$6:$B$20,"&lt;="&amp;A428)</f>
        <v>1500000</v>
      </c>
      <c r="J428" s="38" t="n">
        <f aca="false">VLOOKUP(A428,Inputs!$F$40:$G$48,2,TRUE())</f>
        <v>0.054735</v>
      </c>
      <c r="K428" s="38" t="n">
        <f aca="false">J428+Inputs!$C$10</f>
        <v>0.122235</v>
      </c>
      <c r="L428" s="37" t="n">
        <f aca="false">I428*K428/C428</f>
        <v>502.335616438356</v>
      </c>
      <c r="M428" s="37" t="n">
        <f aca="false">IF(AND(A428&gt;=Inputs!$C$13,OR(A428&lt;Inputs!$B$19,Inputs!$B$20=1)),I428*Inputs!$C$11/C428,0)</f>
        <v>82.1917808219178</v>
      </c>
    </row>
    <row r="429" customFormat="false" ht="15" hidden="false" customHeight="false" outlineLevel="0" collapsed="false">
      <c r="A429" s="35" t="n">
        <f aca="false">A428+1</f>
        <v>45236</v>
      </c>
      <c r="B429" s="35" t="n">
        <f aca="false">EOMONTH(A429+1,0)</f>
        <v>45260</v>
      </c>
      <c r="C429" s="36" t="n">
        <f aca="false">IF(MOD(YEAR(A429),4)=0,366,365)</f>
        <v>365</v>
      </c>
      <c r="D429" s="37" t="n">
        <f aca="false">Inputs!$B$9-SUMIFS(Cash_Events!$G$6:$G$20,Cash_Events!$C$6:$C$20,"rAGMF",Cash_Events!$B$6:$B$20,"&lt;="&amp;A429)</f>
        <v>1500000</v>
      </c>
      <c r="E429" s="38" t="n">
        <f aca="false">VLOOKUP(A429,Inputs!$A$40:$B$48,2,TRUE())</f>
        <v>0.0547601</v>
      </c>
      <c r="F429" s="38" t="n">
        <f aca="false">E429+Inputs!$B$10</f>
        <v>0.1222601</v>
      </c>
      <c r="G429" s="37" t="n">
        <f aca="false">D429*F429/C429</f>
        <v>502.438767123288</v>
      </c>
      <c r="H429" s="37" t="n">
        <f aca="false">IF(AND(A429&gt;=Inputs!$B$13,OR(A429&lt;Inputs!$B$19,Inputs!$B$20=1)),D429*Inputs!$B$11/C429,0)</f>
        <v>82.1917808219178</v>
      </c>
      <c r="I429" s="37" t="n">
        <f aca="false">Inputs!$C$9-SUMIFS(Cash_Events!$G$6:$G$20,Cash_Events!$C$6:$C$20,"FHL",Cash_Events!$B$6:$B$20,"&lt;="&amp;A429)</f>
        <v>1500000</v>
      </c>
      <c r="J429" s="38" t="n">
        <f aca="false">VLOOKUP(A429,Inputs!$F$40:$G$48,2,TRUE())</f>
        <v>0.054735</v>
      </c>
      <c r="K429" s="38" t="n">
        <f aca="false">J429+Inputs!$C$10</f>
        <v>0.122235</v>
      </c>
      <c r="L429" s="37" t="n">
        <f aca="false">I429*K429/C429</f>
        <v>502.335616438356</v>
      </c>
      <c r="M429" s="37" t="n">
        <f aca="false">IF(AND(A429&gt;=Inputs!$C$13,OR(A429&lt;Inputs!$B$19,Inputs!$B$20=1)),I429*Inputs!$C$11/C429,0)</f>
        <v>82.1917808219178</v>
      </c>
    </row>
    <row r="430" customFormat="false" ht="15" hidden="false" customHeight="false" outlineLevel="0" collapsed="false">
      <c r="A430" s="35" t="n">
        <f aca="false">A429+1</f>
        <v>45237</v>
      </c>
      <c r="B430" s="35" t="n">
        <f aca="false">EOMONTH(A430+1,0)</f>
        <v>45260</v>
      </c>
      <c r="C430" s="36" t="n">
        <f aca="false">IF(MOD(YEAR(A430),4)=0,366,365)</f>
        <v>365</v>
      </c>
      <c r="D430" s="37" t="n">
        <f aca="false">Inputs!$B$9-SUMIFS(Cash_Events!$G$6:$G$20,Cash_Events!$C$6:$C$20,"rAGMF",Cash_Events!$B$6:$B$20,"&lt;="&amp;A430)</f>
        <v>1500000</v>
      </c>
      <c r="E430" s="38" t="n">
        <f aca="false">VLOOKUP(A430,Inputs!$A$40:$B$48,2,TRUE())</f>
        <v>0.0547601</v>
      </c>
      <c r="F430" s="38" t="n">
        <f aca="false">E430+Inputs!$B$10</f>
        <v>0.1222601</v>
      </c>
      <c r="G430" s="37" t="n">
        <f aca="false">D430*F430/C430</f>
        <v>502.438767123288</v>
      </c>
      <c r="H430" s="37" t="n">
        <f aca="false">IF(AND(A430&gt;=Inputs!$B$13,OR(A430&lt;Inputs!$B$19,Inputs!$B$20=1)),D430*Inputs!$B$11/C430,0)</f>
        <v>82.1917808219178</v>
      </c>
      <c r="I430" s="37" t="n">
        <f aca="false">Inputs!$C$9-SUMIFS(Cash_Events!$G$6:$G$20,Cash_Events!$C$6:$C$20,"FHL",Cash_Events!$B$6:$B$20,"&lt;="&amp;A430)</f>
        <v>1500000</v>
      </c>
      <c r="J430" s="38" t="n">
        <f aca="false">VLOOKUP(A430,Inputs!$F$40:$G$48,2,TRUE())</f>
        <v>0.054735</v>
      </c>
      <c r="K430" s="38" t="n">
        <f aca="false">J430+Inputs!$C$10</f>
        <v>0.122235</v>
      </c>
      <c r="L430" s="37" t="n">
        <f aca="false">I430*K430/C430</f>
        <v>502.335616438356</v>
      </c>
      <c r="M430" s="37" t="n">
        <f aca="false">IF(AND(A430&gt;=Inputs!$C$13,OR(A430&lt;Inputs!$B$19,Inputs!$B$20=1)),I430*Inputs!$C$11/C430,0)</f>
        <v>82.1917808219178</v>
      </c>
    </row>
    <row r="431" customFormat="false" ht="15" hidden="false" customHeight="false" outlineLevel="0" collapsed="false">
      <c r="A431" s="35" t="n">
        <f aca="false">A430+1</f>
        <v>45238</v>
      </c>
      <c r="B431" s="35" t="n">
        <f aca="false">EOMONTH(A431+1,0)</f>
        <v>45260</v>
      </c>
      <c r="C431" s="36" t="n">
        <f aca="false">IF(MOD(YEAR(A431),4)=0,366,365)</f>
        <v>365</v>
      </c>
      <c r="D431" s="37" t="n">
        <f aca="false">Inputs!$B$9-SUMIFS(Cash_Events!$G$6:$G$20,Cash_Events!$C$6:$C$20,"rAGMF",Cash_Events!$B$6:$B$20,"&lt;="&amp;A431)</f>
        <v>1500000</v>
      </c>
      <c r="E431" s="38" t="n">
        <f aca="false">VLOOKUP(A431,Inputs!$A$40:$B$48,2,TRUE())</f>
        <v>0.0547601</v>
      </c>
      <c r="F431" s="38" t="n">
        <f aca="false">E431+Inputs!$B$10</f>
        <v>0.1222601</v>
      </c>
      <c r="G431" s="37" t="n">
        <f aca="false">D431*F431/C431</f>
        <v>502.438767123288</v>
      </c>
      <c r="H431" s="37" t="n">
        <f aca="false">IF(AND(A431&gt;=Inputs!$B$13,OR(A431&lt;Inputs!$B$19,Inputs!$B$20=1)),D431*Inputs!$B$11/C431,0)</f>
        <v>82.1917808219178</v>
      </c>
      <c r="I431" s="37" t="n">
        <f aca="false">Inputs!$C$9-SUMIFS(Cash_Events!$G$6:$G$20,Cash_Events!$C$6:$C$20,"FHL",Cash_Events!$B$6:$B$20,"&lt;="&amp;A431)</f>
        <v>1500000</v>
      </c>
      <c r="J431" s="38" t="n">
        <f aca="false">VLOOKUP(A431,Inputs!$F$40:$G$48,2,TRUE())</f>
        <v>0.054735</v>
      </c>
      <c r="K431" s="38" t="n">
        <f aca="false">J431+Inputs!$C$10</f>
        <v>0.122235</v>
      </c>
      <c r="L431" s="37" t="n">
        <f aca="false">I431*K431/C431</f>
        <v>502.335616438356</v>
      </c>
      <c r="M431" s="37" t="n">
        <f aca="false">IF(AND(A431&gt;=Inputs!$C$13,OR(A431&lt;Inputs!$B$19,Inputs!$B$20=1)),I431*Inputs!$C$11/C431,0)</f>
        <v>82.1917808219178</v>
      </c>
    </row>
    <row r="432" customFormat="false" ht="15" hidden="false" customHeight="false" outlineLevel="0" collapsed="false">
      <c r="A432" s="35" t="n">
        <f aca="false">A431+1</f>
        <v>45239</v>
      </c>
      <c r="B432" s="35" t="n">
        <f aca="false">EOMONTH(A432+1,0)</f>
        <v>45260</v>
      </c>
      <c r="C432" s="36" t="n">
        <f aca="false">IF(MOD(YEAR(A432),4)=0,366,365)</f>
        <v>365</v>
      </c>
      <c r="D432" s="37" t="n">
        <f aca="false">Inputs!$B$9-SUMIFS(Cash_Events!$G$6:$G$20,Cash_Events!$C$6:$C$20,"rAGMF",Cash_Events!$B$6:$B$20,"&lt;="&amp;A432)</f>
        <v>1500000</v>
      </c>
      <c r="E432" s="38" t="n">
        <f aca="false">VLOOKUP(A432,Inputs!$A$40:$B$48,2,TRUE())</f>
        <v>0.0547601</v>
      </c>
      <c r="F432" s="38" t="n">
        <f aca="false">E432+Inputs!$B$10</f>
        <v>0.1222601</v>
      </c>
      <c r="G432" s="37" t="n">
        <f aca="false">D432*F432/C432</f>
        <v>502.438767123288</v>
      </c>
      <c r="H432" s="37" t="n">
        <f aca="false">IF(AND(A432&gt;=Inputs!$B$13,OR(A432&lt;Inputs!$B$19,Inputs!$B$20=1)),D432*Inputs!$B$11/C432,0)</f>
        <v>82.1917808219178</v>
      </c>
      <c r="I432" s="37" t="n">
        <f aca="false">Inputs!$C$9-SUMIFS(Cash_Events!$G$6:$G$20,Cash_Events!$C$6:$C$20,"FHL",Cash_Events!$B$6:$B$20,"&lt;="&amp;A432)</f>
        <v>1500000</v>
      </c>
      <c r="J432" s="38" t="n">
        <f aca="false">VLOOKUP(A432,Inputs!$F$40:$G$48,2,TRUE())</f>
        <v>0.054735</v>
      </c>
      <c r="K432" s="38" t="n">
        <f aca="false">J432+Inputs!$C$10</f>
        <v>0.122235</v>
      </c>
      <c r="L432" s="37" t="n">
        <f aca="false">I432*K432/C432</f>
        <v>502.335616438356</v>
      </c>
      <c r="M432" s="37" t="n">
        <f aca="false">IF(AND(A432&gt;=Inputs!$C$13,OR(A432&lt;Inputs!$B$19,Inputs!$B$20=1)),I432*Inputs!$C$11/C432,0)</f>
        <v>82.1917808219178</v>
      </c>
    </row>
    <row r="433" customFormat="false" ht="15" hidden="false" customHeight="false" outlineLevel="0" collapsed="false">
      <c r="A433" s="35" t="n">
        <f aca="false">A432+1</f>
        <v>45240</v>
      </c>
      <c r="B433" s="35" t="n">
        <f aca="false">EOMONTH(A433+1,0)</f>
        <v>45260</v>
      </c>
      <c r="C433" s="36" t="n">
        <f aca="false">IF(MOD(YEAR(A433),4)=0,366,365)</f>
        <v>365</v>
      </c>
      <c r="D433" s="37" t="n">
        <f aca="false">Inputs!$B$9-SUMIFS(Cash_Events!$G$6:$G$20,Cash_Events!$C$6:$C$20,"rAGMF",Cash_Events!$B$6:$B$20,"&lt;="&amp;A433)</f>
        <v>1500000</v>
      </c>
      <c r="E433" s="38" t="n">
        <f aca="false">VLOOKUP(A433,Inputs!$A$40:$B$48,2,TRUE())</f>
        <v>0.0547601</v>
      </c>
      <c r="F433" s="38" t="n">
        <f aca="false">E433+Inputs!$B$10</f>
        <v>0.1222601</v>
      </c>
      <c r="G433" s="37" t="n">
        <f aca="false">D433*F433/C433</f>
        <v>502.438767123288</v>
      </c>
      <c r="H433" s="37" t="n">
        <f aca="false">IF(AND(A433&gt;=Inputs!$B$13,OR(A433&lt;Inputs!$B$19,Inputs!$B$20=1)),D433*Inputs!$B$11/C433,0)</f>
        <v>82.1917808219178</v>
      </c>
      <c r="I433" s="37" t="n">
        <f aca="false">Inputs!$C$9-SUMIFS(Cash_Events!$G$6:$G$20,Cash_Events!$C$6:$C$20,"FHL",Cash_Events!$B$6:$B$20,"&lt;="&amp;A433)</f>
        <v>1500000</v>
      </c>
      <c r="J433" s="38" t="n">
        <f aca="false">VLOOKUP(A433,Inputs!$F$40:$G$48,2,TRUE())</f>
        <v>0.054735</v>
      </c>
      <c r="K433" s="38" t="n">
        <f aca="false">J433+Inputs!$C$10</f>
        <v>0.122235</v>
      </c>
      <c r="L433" s="37" t="n">
        <f aca="false">I433*K433/C433</f>
        <v>502.335616438356</v>
      </c>
      <c r="M433" s="37" t="n">
        <f aca="false">IF(AND(A433&gt;=Inputs!$C$13,OR(A433&lt;Inputs!$B$19,Inputs!$B$20=1)),I433*Inputs!$C$11/C433,0)</f>
        <v>82.1917808219178</v>
      </c>
    </row>
    <row r="434" customFormat="false" ht="15" hidden="false" customHeight="false" outlineLevel="0" collapsed="false">
      <c r="A434" s="35" t="n">
        <f aca="false">A433+1</f>
        <v>45241</v>
      </c>
      <c r="B434" s="35" t="n">
        <f aca="false">EOMONTH(A434+1,0)</f>
        <v>45260</v>
      </c>
      <c r="C434" s="36" t="n">
        <f aca="false">IF(MOD(YEAR(A434),4)=0,366,365)</f>
        <v>365</v>
      </c>
      <c r="D434" s="37" t="n">
        <f aca="false">Inputs!$B$9-SUMIFS(Cash_Events!$G$6:$G$20,Cash_Events!$C$6:$C$20,"rAGMF",Cash_Events!$B$6:$B$20,"&lt;="&amp;A434)</f>
        <v>1500000</v>
      </c>
      <c r="E434" s="38" t="n">
        <f aca="false">VLOOKUP(A434,Inputs!$A$40:$B$48,2,TRUE())</f>
        <v>0.0547601</v>
      </c>
      <c r="F434" s="38" t="n">
        <f aca="false">E434+Inputs!$B$10</f>
        <v>0.1222601</v>
      </c>
      <c r="G434" s="37" t="n">
        <f aca="false">D434*F434/C434</f>
        <v>502.438767123288</v>
      </c>
      <c r="H434" s="37" t="n">
        <f aca="false">IF(AND(A434&gt;=Inputs!$B$13,OR(A434&lt;Inputs!$B$19,Inputs!$B$20=1)),D434*Inputs!$B$11/C434,0)</f>
        <v>82.1917808219178</v>
      </c>
      <c r="I434" s="37" t="n">
        <f aca="false">Inputs!$C$9-SUMIFS(Cash_Events!$G$6:$G$20,Cash_Events!$C$6:$C$20,"FHL",Cash_Events!$B$6:$B$20,"&lt;="&amp;A434)</f>
        <v>1500000</v>
      </c>
      <c r="J434" s="38" t="n">
        <f aca="false">VLOOKUP(A434,Inputs!$F$40:$G$48,2,TRUE())</f>
        <v>0.054735</v>
      </c>
      <c r="K434" s="38" t="n">
        <f aca="false">J434+Inputs!$C$10</f>
        <v>0.122235</v>
      </c>
      <c r="L434" s="37" t="n">
        <f aca="false">I434*K434/C434</f>
        <v>502.335616438356</v>
      </c>
      <c r="M434" s="37" t="n">
        <f aca="false">IF(AND(A434&gt;=Inputs!$C$13,OR(A434&lt;Inputs!$B$19,Inputs!$B$20=1)),I434*Inputs!$C$11/C434,0)</f>
        <v>82.1917808219178</v>
      </c>
    </row>
    <row r="435" customFormat="false" ht="15" hidden="false" customHeight="false" outlineLevel="0" collapsed="false">
      <c r="A435" s="35" t="n">
        <f aca="false">A434+1</f>
        <v>45242</v>
      </c>
      <c r="B435" s="35" t="n">
        <f aca="false">EOMONTH(A435+1,0)</f>
        <v>45260</v>
      </c>
      <c r="C435" s="36" t="n">
        <f aca="false">IF(MOD(YEAR(A435),4)=0,366,365)</f>
        <v>365</v>
      </c>
      <c r="D435" s="37" t="n">
        <f aca="false">Inputs!$B$9-SUMIFS(Cash_Events!$G$6:$G$20,Cash_Events!$C$6:$C$20,"rAGMF",Cash_Events!$B$6:$B$20,"&lt;="&amp;A435)</f>
        <v>1500000</v>
      </c>
      <c r="E435" s="38" t="n">
        <f aca="false">VLOOKUP(A435,Inputs!$A$40:$B$48,2,TRUE())</f>
        <v>0.0547601</v>
      </c>
      <c r="F435" s="38" t="n">
        <f aca="false">E435+Inputs!$B$10</f>
        <v>0.1222601</v>
      </c>
      <c r="G435" s="37" t="n">
        <f aca="false">D435*F435/C435</f>
        <v>502.438767123288</v>
      </c>
      <c r="H435" s="37" t="n">
        <f aca="false">IF(AND(A435&gt;=Inputs!$B$13,OR(A435&lt;Inputs!$B$19,Inputs!$B$20=1)),D435*Inputs!$B$11/C435,0)</f>
        <v>82.1917808219178</v>
      </c>
      <c r="I435" s="37" t="n">
        <f aca="false">Inputs!$C$9-SUMIFS(Cash_Events!$G$6:$G$20,Cash_Events!$C$6:$C$20,"FHL",Cash_Events!$B$6:$B$20,"&lt;="&amp;A435)</f>
        <v>1500000</v>
      </c>
      <c r="J435" s="38" t="n">
        <f aca="false">VLOOKUP(A435,Inputs!$F$40:$G$48,2,TRUE())</f>
        <v>0.054735</v>
      </c>
      <c r="K435" s="38" t="n">
        <f aca="false">J435+Inputs!$C$10</f>
        <v>0.122235</v>
      </c>
      <c r="L435" s="37" t="n">
        <f aca="false">I435*K435/C435</f>
        <v>502.335616438356</v>
      </c>
      <c r="M435" s="37" t="n">
        <f aca="false">IF(AND(A435&gt;=Inputs!$C$13,OR(A435&lt;Inputs!$B$19,Inputs!$B$20=1)),I435*Inputs!$C$11/C435,0)</f>
        <v>82.1917808219178</v>
      </c>
    </row>
    <row r="436" customFormat="false" ht="15" hidden="false" customHeight="false" outlineLevel="0" collapsed="false">
      <c r="A436" s="35" t="n">
        <f aca="false">A435+1</f>
        <v>45243</v>
      </c>
      <c r="B436" s="35" t="n">
        <f aca="false">EOMONTH(A436+1,0)</f>
        <v>45260</v>
      </c>
      <c r="C436" s="36" t="n">
        <f aca="false">IF(MOD(YEAR(A436),4)=0,366,365)</f>
        <v>365</v>
      </c>
      <c r="D436" s="37" t="n">
        <f aca="false">Inputs!$B$9-SUMIFS(Cash_Events!$G$6:$G$20,Cash_Events!$C$6:$C$20,"rAGMF",Cash_Events!$B$6:$B$20,"&lt;="&amp;A436)</f>
        <v>1500000</v>
      </c>
      <c r="E436" s="38" t="n">
        <f aca="false">VLOOKUP(A436,Inputs!$A$40:$B$48,2,TRUE())</f>
        <v>0.0547601</v>
      </c>
      <c r="F436" s="38" t="n">
        <f aca="false">E436+Inputs!$B$10</f>
        <v>0.1222601</v>
      </c>
      <c r="G436" s="37" t="n">
        <f aca="false">D436*F436/C436</f>
        <v>502.438767123288</v>
      </c>
      <c r="H436" s="37" t="n">
        <f aca="false">IF(AND(A436&gt;=Inputs!$B$13,OR(A436&lt;Inputs!$B$19,Inputs!$B$20=1)),D436*Inputs!$B$11/C436,0)</f>
        <v>82.1917808219178</v>
      </c>
      <c r="I436" s="37" t="n">
        <f aca="false">Inputs!$C$9-SUMIFS(Cash_Events!$G$6:$G$20,Cash_Events!$C$6:$C$20,"FHL",Cash_Events!$B$6:$B$20,"&lt;="&amp;A436)</f>
        <v>1500000</v>
      </c>
      <c r="J436" s="38" t="n">
        <f aca="false">VLOOKUP(A436,Inputs!$F$40:$G$48,2,TRUE())</f>
        <v>0.054735</v>
      </c>
      <c r="K436" s="38" t="n">
        <f aca="false">J436+Inputs!$C$10</f>
        <v>0.122235</v>
      </c>
      <c r="L436" s="37" t="n">
        <f aca="false">I436*K436/C436</f>
        <v>502.335616438356</v>
      </c>
      <c r="M436" s="37" t="n">
        <f aca="false">IF(AND(A436&gt;=Inputs!$C$13,OR(A436&lt;Inputs!$B$19,Inputs!$B$20=1)),I436*Inputs!$C$11/C436,0)</f>
        <v>82.1917808219178</v>
      </c>
    </row>
    <row r="437" customFormat="false" ht="15" hidden="false" customHeight="false" outlineLevel="0" collapsed="false">
      <c r="A437" s="35" t="n">
        <f aca="false">A436+1</f>
        <v>45244</v>
      </c>
      <c r="B437" s="35" t="n">
        <f aca="false">EOMONTH(A437+1,0)</f>
        <v>45260</v>
      </c>
      <c r="C437" s="36" t="n">
        <f aca="false">IF(MOD(YEAR(A437),4)=0,366,365)</f>
        <v>365</v>
      </c>
      <c r="D437" s="37" t="n">
        <f aca="false">Inputs!$B$9-SUMIFS(Cash_Events!$G$6:$G$20,Cash_Events!$C$6:$C$20,"rAGMF",Cash_Events!$B$6:$B$20,"&lt;="&amp;A437)</f>
        <v>1500000</v>
      </c>
      <c r="E437" s="38" t="n">
        <f aca="false">VLOOKUP(A437,Inputs!$A$40:$B$48,2,TRUE())</f>
        <v>0.0547601</v>
      </c>
      <c r="F437" s="38" t="n">
        <f aca="false">E437+Inputs!$B$10</f>
        <v>0.1222601</v>
      </c>
      <c r="G437" s="37" t="n">
        <f aca="false">D437*F437/C437</f>
        <v>502.438767123288</v>
      </c>
      <c r="H437" s="37" t="n">
        <f aca="false">IF(AND(A437&gt;=Inputs!$B$13,OR(A437&lt;Inputs!$B$19,Inputs!$B$20=1)),D437*Inputs!$B$11/C437,0)</f>
        <v>82.1917808219178</v>
      </c>
      <c r="I437" s="37" t="n">
        <f aca="false">Inputs!$C$9-SUMIFS(Cash_Events!$G$6:$G$20,Cash_Events!$C$6:$C$20,"FHL",Cash_Events!$B$6:$B$20,"&lt;="&amp;A437)</f>
        <v>1500000</v>
      </c>
      <c r="J437" s="38" t="n">
        <f aca="false">VLOOKUP(A437,Inputs!$F$40:$G$48,2,TRUE())</f>
        <v>0.054735</v>
      </c>
      <c r="K437" s="38" t="n">
        <f aca="false">J437+Inputs!$C$10</f>
        <v>0.122235</v>
      </c>
      <c r="L437" s="37" t="n">
        <f aca="false">I437*K437/C437</f>
        <v>502.335616438356</v>
      </c>
      <c r="M437" s="37" t="n">
        <f aca="false">IF(AND(A437&gt;=Inputs!$C$13,OR(A437&lt;Inputs!$B$19,Inputs!$B$20=1)),I437*Inputs!$C$11/C437,0)</f>
        <v>82.1917808219178</v>
      </c>
    </row>
    <row r="438" customFormat="false" ht="15" hidden="false" customHeight="false" outlineLevel="0" collapsed="false">
      <c r="A438" s="35" t="n">
        <f aca="false">A437+1</f>
        <v>45245</v>
      </c>
      <c r="B438" s="35" t="n">
        <f aca="false">EOMONTH(A438+1,0)</f>
        <v>45260</v>
      </c>
      <c r="C438" s="36" t="n">
        <f aca="false">IF(MOD(YEAR(A438),4)=0,366,365)</f>
        <v>365</v>
      </c>
      <c r="D438" s="37" t="n">
        <f aca="false">Inputs!$B$9-SUMIFS(Cash_Events!$G$6:$G$20,Cash_Events!$C$6:$C$20,"rAGMF",Cash_Events!$B$6:$B$20,"&lt;="&amp;A438)</f>
        <v>1500000</v>
      </c>
      <c r="E438" s="38" t="n">
        <f aca="false">VLOOKUP(A438,Inputs!$A$40:$B$48,2,TRUE())</f>
        <v>0.0547601</v>
      </c>
      <c r="F438" s="38" t="n">
        <f aca="false">E438+Inputs!$B$10</f>
        <v>0.1222601</v>
      </c>
      <c r="G438" s="37" t="n">
        <f aca="false">D438*F438/C438</f>
        <v>502.438767123288</v>
      </c>
      <c r="H438" s="37" t="n">
        <f aca="false">IF(AND(A438&gt;=Inputs!$B$13,OR(A438&lt;Inputs!$B$19,Inputs!$B$20=1)),D438*Inputs!$B$11/C438,0)</f>
        <v>82.1917808219178</v>
      </c>
      <c r="I438" s="37" t="n">
        <f aca="false">Inputs!$C$9-SUMIFS(Cash_Events!$G$6:$G$20,Cash_Events!$C$6:$C$20,"FHL",Cash_Events!$B$6:$B$20,"&lt;="&amp;A438)</f>
        <v>1500000</v>
      </c>
      <c r="J438" s="38" t="n">
        <f aca="false">VLOOKUP(A438,Inputs!$F$40:$G$48,2,TRUE())</f>
        <v>0.054735</v>
      </c>
      <c r="K438" s="38" t="n">
        <f aca="false">J438+Inputs!$C$10</f>
        <v>0.122235</v>
      </c>
      <c r="L438" s="37" t="n">
        <f aca="false">I438*K438/C438</f>
        <v>502.335616438356</v>
      </c>
      <c r="M438" s="37" t="n">
        <f aca="false">IF(AND(A438&gt;=Inputs!$C$13,OR(A438&lt;Inputs!$B$19,Inputs!$B$20=1)),I438*Inputs!$C$11/C438,0)</f>
        <v>82.1917808219178</v>
      </c>
    </row>
    <row r="439" customFormat="false" ht="15" hidden="false" customHeight="false" outlineLevel="0" collapsed="false">
      <c r="A439" s="35" t="n">
        <f aca="false">A438+1</f>
        <v>45246</v>
      </c>
      <c r="B439" s="35" t="n">
        <f aca="false">EOMONTH(A439+1,0)</f>
        <v>45260</v>
      </c>
      <c r="C439" s="36" t="n">
        <f aca="false">IF(MOD(YEAR(A439),4)=0,366,365)</f>
        <v>365</v>
      </c>
      <c r="D439" s="37" t="n">
        <f aca="false">Inputs!$B$9-SUMIFS(Cash_Events!$G$6:$G$20,Cash_Events!$C$6:$C$20,"rAGMF",Cash_Events!$B$6:$B$20,"&lt;="&amp;A439)</f>
        <v>1500000</v>
      </c>
      <c r="E439" s="38" t="n">
        <f aca="false">VLOOKUP(A439,Inputs!$A$40:$B$48,2,TRUE())</f>
        <v>0.0547601</v>
      </c>
      <c r="F439" s="38" t="n">
        <f aca="false">E439+Inputs!$B$10</f>
        <v>0.1222601</v>
      </c>
      <c r="G439" s="37" t="n">
        <f aca="false">D439*F439/C439</f>
        <v>502.438767123288</v>
      </c>
      <c r="H439" s="37" t="n">
        <f aca="false">IF(AND(A439&gt;=Inputs!$B$13,OR(A439&lt;Inputs!$B$19,Inputs!$B$20=1)),D439*Inputs!$B$11/C439,0)</f>
        <v>82.1917808219178</v>
      </c>
      <c r="I439" s="37" t="n">
        <f aca="false">Inputs!$C$9-SUMIFS(Cash_Events!$G$6:$G$20,Cash_Events!$C$6:$C$20,"FHL",Cash_Events!$B$6:$B$20,"&lt;="&amp;A439)</f>
        <v>1500000</v>
      </c>
      <c r="J439" s="38" t="n">
        <f aca="false">VLOOKUP(A439,Inputs!$F$40:$G$48,2,TRUE())</f>
        <v>0.054735</v>
      </c>
      <c r="K439" s="38" t="n">
        <f aca="false">J439+Inputs!$C$10</f>
        <v>0.122235</v>
      </c>
      <c r="L439" s="37" t="n">
        <f aca="false">I439*K439/C439</f>
        <v>502.335616438356</v>
      </c>
      <c r="M439" s="37" t="n">
        <f aca="false">IF(AND(A439&gt;=Inputs!$C$13,OR(A439&lt;Inputs!$B$19,Inputs!$B$20=1)),I439*Inputs!$C$11/C439,0)</f>
        <v>82.1917808219178</v>
      </c>
    </row>
    <row r="440" customFormat="false" ht="15" hidden="false" customHeight="false" outlineLevel="0" collapsed="false">
      <c r="A440" s="35" t="n">
        <f aca="false">A439+1</f>
        <v>45247</v>
      </c>
      <c r="B440" s="35" t="n">
        <f aca="false">EOMONTH(A440+1,0)</f>
        <v>45260</v>
      </c>
      <c r="C440" s="36" t="n">
        <f aca="false">IF(MOD(YEAR(A440),4)=0,366,365)</f>
        <v>365</v>
      </c>
      <c r="D440" s="37" t="n">
        <f aca="false">Inputs!$B$9-SUMIFS(Cash_Events!$G$6:$G$20,Cash_Events!$C$6:$C$20,"rAGMF",Cash_Events!$B$6:$B$20,"&lt;="&amp;A440)</f>
        <v>1500000</v>
      </c>
      <c r="E440" s="38" t="n">
        <f aca="false">VLOOKUP(A440,Inputs!$A$40:$B$48,2,TRUE())</f>
        <v>0.0547601</v>
      </c>
      <c r="F440" s="38" t="n">
        <f aca="false">E440+Inputs!$B$10</f>
        <v>0.1222601</v>
      </c>
      <c r="G440" s="37" t="n">
        <f aca="false">D440*F440/C440</f>
        <v>502.438767123288</v>
      </c>
      <c r="H440" s="37" t="n">
        <f aca="false">IF(AND(A440&gt;=Inputs!$B$13,OR(A440&lt;Inputs!$B$19,Inputs!$B$20=1)),D440*Inputs!$B$11/C440,0)</f>
        <v>82.1917808219178</v>
      </c>
      <c r="I440" s="37" t="n">
        <f aca="false">Inputs!$C$9-SUMIFS(Cash_Events!$G$6:$G$20,Cash_Events!$C$6:$C$20,"FHL",Cash_Events!$B$6:$B$20,"&lt;="&amp;A440)</f>
        <v>1500000</v>
      </c>
      <c r="J440" s="38" t="n">
        <f aca="false">VLOOKUP(A440,Inputs!$F$40:$G$48,2,TRUE())</f>
        <v>0.054735</v>
      </c>
      <c r="K440" s="38" t="n">
        <f aca="false">J440+Inputs!$C$10</f>
        <v>0.122235</v>
      </c>
      <c r="L440" s="37" t="n">
        <f aca="false">I440*K440/C440</f>
        <v>502.335616438356</v>
      </c>
      <c r="M440" s="37" t="n">
        <f aca="false">IF(AND(A440&gt;=Inputs!$C$13,OR(A440&lt;Inputs!$B$19,Inputs!$B$20=1)),I440*Inputs!$C$11/C440,0)</f>
        <v>82.1917808219178</v>
      </c>
    </row>
    <row r="441" customFormat="false" ht="15" hidden="false" customHeight="false" outlineLevel="0" collapsed="false">
      <c r="A441" s="35" t="n">
        <f aca="false">A440+1</f>
        <v>45248</v>
      </c>
      <c r="B441" s="35" t="n">
        <f aca="false">EOMONTH(A441+1,0)</f>
        <v>45260</v>
      </c>
      <c r="C441" s="36" t="n">
        <f aca="false">IF(MOD(YEAR(A441),4)=0,366,365)</f>
        <v>365</v>
      </c>
      <c r="D441" s="37" t="n">
        <f aca="false">Inputs!$B$9-SUMIFS(Cash_Events!$G$6:$G$20,Cash_Events!$C$6:$C$20,"rAGMF",Cash_Events!$B$6:$B$20,"&lt;="&amp;A441)</f>
        <v>1500000</v>
      </c>
      <c r="E441" s="38" t="n">
        <f aca="false">VLOOKUP(A441,Inputs!$A$40:$B$48,2,TRUE())</f>
        <v>0.0547601</v>
      </c>
      <c r="F441" s="38" t="n">
        <f aca="false">E441+Inputs!$B$10</f>
        <v>0.1222601</v>
      </c>
      <c r="G441" s="37" t="n">
        <f aca="false">D441*F441/C441</f>
        <v>502.438767123288</v>
      </c>
      <c r="H441" s="37" t="n">
        <f aca="false">IF(AND(A441&gt;=Inputs!$B$13,OR(A441&lt;Inputs!$B$19,Inputs!$B$20=1)),D441*Inputs!$B$11/C441,0)</f>
        <v>82.1917808219178</v>
      </c>
      <c r="I441" s="37" t="n">
        <f aca="false">Inputs!$C$9-SUMIFS(Cash_Events!$G$6:$G$20,Cash_Events!$C$6:$C$20,"FHL",Cash_Events!$B$6:$B$20,"&lt;="&amp;A441)</f>
        <v>1500000</v>
      </c>
      <c r="J441" s="38" t="n">
        <f aca="false">VLOOKUP(A441,Inputs!$F$40:$G$48,2,TRUE())</f>
        <v>0.054735</v>
      </c>
      <c r="K441" s="38" t="n">
        <f aca="false">J441+Inputs!$C$10</f>
        <v>0.122235</v>
      </c>
      <c r="L441" s="37" t="n">
        <f aca="false">I441*K441/C441</f>
        <v>502.335616438356</v>
      </c>
      <c r="M441" s="37" t="n">
        <f aca="false">IF(AND(A441&gt;=Inputs!$C$13,OR(A441&lt;Inputs!$B$19,Inputs!$B$20=1)),I441*Inputs!$C$11/C441,0)</f>
        <v>82.1917808219178</v>
      </c>
    </row>
    <row r="442" customFormat="false" ht="15" hidden="false" customHeight="false" outlineLevel="0" collapsed="false">
      <c r="A442" s="35" t="n">
        <f aca="false">A441+1</f>
        <v>45249</v>
      </c>
      <c r="B442" s="35" t="n">
        <f aca="false">EOMONTH(A442+1,0)</f>
        <v>45260</v>
      </c>
      <c r="C442" s="36" t="n">
        <f aca="false">IF(MOD(YEAR(A442),4)=0,366,365)</f>
        <v>365</v>
      </c>
      <c r="D442" s="37" t="n">
        <f aca="false">Inputs!$B$9-SUMIFS(Cash_Events!$G$6:$G$20,Cash_Events!$C$6:$C$20,"rAGMF",Cash_Events!$B$6:$B$20,"&lt;="&amp;A442)</f>
        <v>1500000</v>
      </c>
      <c r="E442" s="38" t="n">
        <f aca="false">VLOOKUP(A442,Inputs!$A$40:$B$48,2,TRUE())</f>
        <v>0.0547601</v>
      </c>
      <c r="F442" s="38" t="n">
        <f aca="false">E442+Inputs!$B$10</f>
        <v>0.1222601</v>
      </c>
      <c r="G442" s="37" t="n">
        <f aca="false">D442*F442/C442</f>
        <v>502.438767123288</v>
      </c>
      <c r="H442" s="37" t="n">
        <f aca="false">IF(AND(A442&gt;=Inputs!$B$13,OR(A442&lt;Inputs!$B$19,Inputs!$B$20=1)),D442*Inputs!$B$11/C442,0)</f>
        <v>82.1917808219178</v>
      </c>
      <c r="I442" s="37" t="n">
        <f aca="false">Inputs!$C$9-SUMIFS(Cash_Events!$G$6:$G$20,Cash_Events!$C$6:$C$20,"FHL",Cash_Events!$B$6:$B$20,"&lt;="&amp;A442)</f>
        <v>1500000</v>
      </c>
      <c r="J442" s="38" t="n">
        <f aca="false">VLOOKUP(A442,Inputs!$F$40:$G$48,2,TRUE())</f>
        <v>0.054735</v>
      </c>
      <c r="K442" s="38" t="n">
        <f aca="false">J442+Inputs!$C$10</f>
        <v>0.122235</v>
      </c>
      <c r="L442" s="37" t="n">
        <f aca="false">I442*K442/C442</f>
        <v>502.335616438356</v>
      </c>
      <c r="M442" s="37" t="n">
        <f aca="false">IF(AND(A442&gt;=Inputs!$C$13,OR(A442&lt;Inputs!$B$19,Inputs!$B$20=1)),I442*Inputs!$C$11/C442,0)</f>
        <v>82.1917808219178</v>
      </c>
    </row>
    <row r="443" customFormat="false" ht="15" hidden="false" customHeight="false" outlineLevel="0" collapsed="false">
      <c r="A443" s="35" t="n">
        <f aca="false">A442+1</f>
        <v>45250</v>
      </c>
      <c r="B443" s="35" t="n">
        <f aca="false">EOMONTH(A443+1,0)</f>
        <v>45260</v>
      </c>
      <c r="C443" s="36" t="n">
        <f aca="false">IF(MOD(YEAR(A443),4)=0,366,365)</f>
        <v>365</v>
      </c>
      <c r="D443" s="37" t="n">
        <f aca="false">Inputs!$B$9-SUMIFS(Cash_Events!$G$6:$G$20,Cash_Events!$C$6:$C$20,"rAGMF",Cash_Events!$B$6:$B$20,"&lt;="&amp;A443)</f>
        <v>1500000</v>
      </c>
      <c r="E443" s="38" t="n">
        <f aca="false">VLOOKUP(A443,Inputs!$A$40:$B$48,2,TRUE())</f>
        <v>0.0547601</v>
      </c>
      <c r="F443" s="38" t="n">
        <f aca="false">E443+Inputs!$B$10</f>
        <v>0.1222601</v>
      </c>
      <c r="G443" s="37" t="n">
        <f aca="false">D443*F443/C443</f>
        <v>502.438767123288</v>
      </c>
      <c r="H443" s="37" t="n">
        <f aca="false">IF(AND(A443&gt;=Inputs!$B$13,OR(A443&lt;Inputs!$B$19,Inputs!$B$20=1)),D443*Inputs!$B$11/C443,0)</f>
        <v>82.1917808219178</v>
      </c>
      <c r="I443" s="37" t="n">
        <f aca="false">Inputs!$C$9-SUMIFS(Cash_Events!$G$6:$G$20,Cash_Events!$C$6:$C$20,"FHL",Cash_Events!$B$6:$B$20,"&lt;="&amp;A443)</f>
        <v>1500000</v>
      </c>
      <c r="J443" s="38" t="n">
        <f aca="false">VLOOKUP(A443,Inputs!$F$40:$G$48,2,TRUE())</f>
        <v>0.054735</v>
      </c>
      <c r="K443" s="38" t="n">
        <f aca="false">J443+Inputs!$C$10</f>
        <v>0.122235</v>
      </c>
      <c r="L443" s="37" t="n">
        <f aca="false">I443*K443/C443</f>
        <v>502.335616438356</v>
      </c>
      <c r="M443" s="37" t="n">
        <f aca="false">IF(AND(A443&gt;=Inputs!$C$13,OR(A443&lt;Inputs!$B$19,Inputs!$B$20=1)),I443*Inputs!$C$11/C443,0)</f>
        <v>82.1917808219178</v>
      </c>
    </row>
    <row r="444" customFormat="false" ht="15" hidden="false" customHeight="false" outlineLevel="0" collapsed="false">
      <c r="A444" s="35" t="n">
        <f aca="false">A443+1</f>
        <v>45251</v>
      </c>
      <c r="B444" s="35" t="n">
        <f aca="false">EOMONTH(A444+1,0)</f>
        <v>45260</v>
      </c>
      <c r="C444" s="36" t="n">
        <f aca="false">IF(MOD(YEAR(A444),4)=0,366,365)</f>
        <v>365</v>
      </c>
      <c r="D444" s="37" t="n">
        <f aca="false">Inputs!$B$9-SUMIFS(Cash_Events!$G$6:$G$20,Cash_Events!$C$6:$C$20,"rAGMF",Cash_Events!$B$6:$B$20,"&lt;="&amp;A444)</f>
        <v>1500000</v>
      </c>
      <c r="E444" s="38" t="n">
        <f aca="false">VLOOKUP(A444,Inputs!$A$40:$B$48,2,TRUE())</f>
        <v>0.0547601</v>
      </c>
      <c r="F444" s="38" t="n">
        <f aca="false">E444+Inputs!$B$10</f>
        <v>0.1222601</v>
      </c>
      <c r="G444" s="37" t="n">
        <f aca="false">D444*F444/C444</f>
        <v>502.438767123288</v>
      </c>
      <c r="H444" s="37" t="n">
        <f aca="false">IF(AND(A444&gt;=Inputs!$B$13,OR(A444&lt;Inputs!$B$19,Inputs!$B$20=1)),D444*Inputs!$B$11/C444,0)</f>
        <v>82.1917808219178</v>
      </c>
      <c r="I444" s="37" t="n">
        <f aca="false">Inputs!$C$9-SUMIFS(Cash_Events!$G$6:$G$20,Cash_Events!$C$6:$C$20,"FHL",Cash_Events!$B$6:$B$20,"&lt;="&amp;A444)</f>
        <v>1500000</v>
      </c>
      <c r="J444" s="38" t="n">
        <f aca="false">VLOOKUP(A444,Inputs!$F$40:$G$48,2,TRUE())</f>
        <v>0.054735</v>
      </c>
      <c r="K444" s="38" t="n">
        <f aca="false">J444+Inputs!$C$10</f>
        <v>0.122235</v>
      </c>
      <c r="L444" s="37" t="n">
        <f aca="false">I444*K444/C444</f>
        <v>502.335616438356</v>
      </c>
      <c r="M444" s="37" t="n">
        <f aca="false">IF(AND(A444&gt;=Inputs!$C$13,OR(A444&lt;Inputs!$B$19,Inputs!$B$20=1)),I444*Inputs!$C$11/C444,0)</f>
        <v>82.1917808219178</v>
      </c>
    </row>
    <row r="445" customFormat="false" ht="15" hidden="false" customHeight="false" outlineLevel="0" collapsed="false">
      <c r="A445" s="35" t="n">
        <f aca="false">A444+1</f>
        <v>45252</v>
      </c>
      <c r="B445" s="35" t="n">
        <f aca="false">EOMONTH(A445+1,0)</f>
        <v>45260</v>
      </c>
      <c r="C445" s="36" t="n">
        <f aca="false">IF(MOD(YEAR(A445),4)=0,366,365)</f>
        <v>365</v>
      </c>
      <c r="D445" s="37" t="n">
        <f aca="false">Inputs!$B$9-SUMIFS(Cash_Events!$G$6:$G$20,Cash_Events!$C$6:$C$20,"rAGMF",Cash_Events!$B$6:$B$20,"&lt;="&amp;A445)</f>
        <v>1500000</v>
      </c>
      <c r="E445" s="38" t="n">
        <f aca="false">VLOOKUP(A445,Inputs!$A$40:$B$48,2,TRUE())</f>
        <v>0.0547601</v>
      </c>
      <c r="F445" s="38" t="n">
        <f aca="false">E445+Inputs!$B$10</f>
        <v>0.1222601</v>
      </c>
      <c r="G445" s="37" t="n">
        <f aca="false">D445*F445/C445</f>
        <v>502.438767123288</v>
      </c>
      <c r="H445" s="37" t="n">
        <f aca="false">IF(AND(A445&gt;=Inputs!$B$13,OR(A445&lt;Inputs!$B$19,Inputs!$B$20=1)),D445*Inputs!$B$11/C445,0)</f>
        <v>82.1917808219178</v>
      </c>
      <c r="I445" s="37" t="n">
        <f aca="false">Inputs!$C$9-SUMIFS(Cash_Events!$G$6:$G$20,Cash_Events!$C$6:$C$20,"FHL",Cash_Events!$B$6:$B$20,"&lt;="&amp;A445)</f>
        <v>1500000</v>
      </c>
      <c r="J445" s="38" t="n">
        <f aca="false">VLOOKUP(A445,Inputs!$F$40:$G$48,2,TRUE())</f>
        <v>0.054735</v>
      </c>
      <c r="K445" s="38" t="n">
        <f aca="false">J445+Inputs!$C$10</f>
        <v>0.122235</v>
      </c>
      <c r="L445" s="37" t="n">
        <f aca="false">I445*K445/C445</f>
        <v>502.335616438356</v>
      </c>
      <c r="M445" s="37" t="n">
        <f aca="false">IF(AND(A445&gt;=Inputs!$C$13,OR(A445&lt;Inputs!$B$19,Inputs!$B$20=1)),I445*Inputs!$C$11/C445,0)</f>
        <v>82.1917808219178</v>
      </c>
    </row>
    <row r="446" customFormat="false" ht="15" hidden="false" customHeight="false" outlineLevel="0" collapsed="false">
      <c r="A446" s="35" t="n">
        <f aca="false">A445+1</f>
        <v>45253</v>
      </c>
      <c r="B446" s="35" t="n">
        <f aca="false">EOMONTH(A446+1,0)</f>
        <v>45260</v>
      </c>
      <c r="C446" s="36" t="n">
        <f aca="false">IF(MOD(YEAR(A446),4)=0,366,365)</f>
        <v>365</v>
      </c>
      <c r="D446" s="37" t="n">
        <f aca="false">Inputs!$B$9-SUMIFS(Cash_Events!$G$6:$G$20,Cash_Events!$C$6:$C$20,"rAGMF",Cash_Events!$B$6:$B$20,"&lt;="&amp;A446)</f>
        <v>1500000</v>
      </c>
      <c r="E446" s="38" t="n">
        <f aca="false">VLOOKUP(A446,Inputs!$A$40:$B$48,2,TRUE())</f>
        <v>0.0547601</v>
      </c>
      <c r="F446" s="38" t="n">
        <f aca="false">E446+Inputs!$B$10</f>
        <v>0.1222601</v>
      </c>
      <c r="G446" s="37" t="n">
        <f aca="false">D446*F446/C446</f>
        <v>502.438767123288</v>
      </c>
      <c r="H446" s="37" t="n">
        <f aca="false">IF(AND(A446&gt;=Inputs!$B$13,OR(A446&lt;Inputs!$B$19,Inputs!$B$20=1)),D446*Inputs!$B$11/C446,0)</f>
        <v>82.1917808219178</v>
      </c>
      <c r="I446" s="37" t="n">
        <f aca="false">Inputs!$C$9-SUMIFS(Cash_Events!$G$6:$G$20,Cash_Events!$C$6:$C$20,"FHL",Cash_Events!$B$6:$B$20,"&lt;="&amp;A446)</f>
        <v>1500000</v>
      </c>
      <c r="J446" s="38" t="n">
        <f aca="false">VLOOKUP(A446,Inputs!$F$40:$G$48,2,TRUE())</f>
        <v>0.054735</v>
      </c>
      <c r="K446" s="38" t="n">
        <f aca="false">J446+Inputs!$C$10</f>
        <v>0.122235</v>
      </c>
      <c r="L446" s="37" t="n">
        <f aca="false">I446*K446/C446</f>
        <v>502.335616438356</v>
      </c>
      <c r="M446" s="37" t="n">
        <f aca="false">IF(AND(A446&gt;=Inputs!$C$13,OR(A446&lt;Inputs!$B$19,Inputs!$B$20=1)),I446*Inputs!$C$11/C446,0)</f>
        <v>82.1917808219178</v>
      </c>
    </row>
    <row r="447" customFormat="false" ht="15" hidden="false" customHeight="false" outlineLevel="0" collapsed="false">
      <c r="A447" s="35" t="n">
        <f aca="false">A446+1</f>
        <v>45254</v>
      </c>
      <c r="B447" s="35" t="n">
        <f aca="false">EOMONTH(A447+1,0)</f>
        <v>45260</v>
      </c>
      <c r="C447" s="36" t="n">
        <f aca="false">IF(MOD(YEAR(A447),4)=0,366,365)</f>
        <v>365</v>
      </c>
      <c r="D447" s="37" t="n">
        <f aca="false">Inputs!$B$9-SUMIFS(Cash_Events!$G$6:$G$20,Cash_Events!$C$6:$C$20,"rAGMF",Cash_Events!$B$6:$B$20,"&lt;="&amp;A447)</f>
        <v>1500000</v>
      </c>
      <c r="E447" s="38" t="n">
        <f aca="false">VLOOKUP(A447,Inputs!$A$40:$B$48,2,TRUE())</f>
        <v>0.0547601</v>
      </c>
      <c r="F447" s="38" t="n">
        <f aca="false">E447+Inputs!$B$10</f>
        <v>0.1222601</v>
      </c>
      <c r="G447" s="37" t="n">
        <f aca="false">D447*F447/C447</f>
        <v>502.438767123288</v>
      </c>
      <c r="H447" s="37" t="n">
        <f aca="false">IF(AND(A447&gt;=Inputs!$B$13,OR(A447&lt;Inputs!$B$19,Inputs!$B$20=1)),D447*Inputs!$B$11/C447,0)</f>
        <v>82.1917808219178</v>
      </c>
      <c r="I447" s="37" t="n">
        <f aca="false">Inputs!$C$9-SUMIFS(Cash_Events!$G$6:$G$20,Cash_Events!$C$6:$C$20,"FHL",Cash_Events!$B$6:$B$20,"&lt;="&amp;A447)</f>
        <v>1500000</v>
      </c>
      <c r="J447" s="38" t="n">
        <f aca="false">VLOOKUP(A447,Inputs!$F$40:$G$48,2,TRUE())</f>
        <v>0.054735</v>
      </c>
      <c r="K447" s="38" t="n">
        <f aca="false">J447+Inputs!$C$10</f>
        <v>0.122235</v>
      </c>
      <c r="L447" s="37" t="n">
        <f aca="false">I447*K447/C447</f>
        <v>502.335616438356</v>
      </c>
      <c r="M447" s="37" t="n">
        <f aca="false">IF(AND(A447&gt;=Inputs!$C$13,OR(A447&lt;Inputs!$B$19,Inputs!$B$20=1)),I447*Inputs!$C$11/C447,0)</f>
        <v>82.1917808219178</v>
      </c>
    </row>
    <row r="448" customFormat="false" ht="15" hidden="false" customHeight="false" outlineLevel="0" collapsed="false">
      <c r="A448" s="35" t="n">
        <f aca="false">A447+1</f>
        <v>45255</v>
      </c>
      <c r="B448" s="35" t="n">
        <f aca="false">EOMONTH(A448+1,0)</f>
        <v>45260</v>
      </c>
      <c r="C448" s="36" t="n">
        <f aca="false">IF(MOD(YEAR(A448),4)=0,366,365)</f>
        <v>365</v>
      </c>
      <c r="D448" s="37" t="n">
        <f aca="false">Inputs!$B$9-SUMIFS(Cash_Events!$G$6:$G$20,Cash_Events!$C$6:$C$20,"rAGMF",Cash_Events!$B$6:$B$20,"&lt;="&amp;A448)</f>
        <v>1500000</v>
      </c>
      <c r="E448" s="38" t="n">
        <f aca="false">VLOOKUP(A448,Inputs!$A$40:$B$48,2,TRUE())</f>
        <v>0.0547601</v>
      </c>
      <c r="F448" s="38" t="n">
        <f aca="false">E448+Inputs!$B$10</f>
        <v>0.1222601</v>
      </c>
      <c r="G448" s="37" t="n">
        <f aca="false">D448*F448/C448</f>
        <v>502.438767123288</v>
      </c>
      <c r="H448" s="37" t="n">
        <f aca="false">IF(AND(A448&gt;=Inputs!$B$13,OR(A448&lt;Inputs!$B$19,Inputs!$B$20=1)),D448*Inputs!$B$11/C448,0)</f>
        <v>82.1917808219178</v>
      </c>
      <c r="I448" s="37" t="n">
        <f aca="false">Inputs!$C$9-SUMIFS(Cash_Events!$G$6:$G$20,Cash_Events!$C$6:$C$20,"FHL",Cash_Events!$B$6:$B$20,"&lt;="&amp;A448)</f>
        <v>1500000</v>
      </c>
      <c r="J448" s="38" t="n">
        <f aca="false">VLOOKUP(A448,Inputs!$F$40:$G$48,2,TRUE())</f>
        <v>0.054735</v>
      </c>
      <c r="K448" s="38" t="n">
        <f aca="false">J448+Inputs!$C$10</f>
        <v>0.122235</v>
      </c>
      <c r="L448" s="37" t="n">
        <f aca="false">I448*K448/C448</f>
        <v>502.335616438356</v>
      </c>
      <c r="M448" s="37" t="n">
        <f aca="false">IF(AND(A448&gt;=Inputs!$C$13,OR(A448&lt;Inputs!$B$19,Inputs!$B$20=1)),I448*Inputs!$C$11/C448,0)</f>
        <v>82.1917808219178</v>
      </c>
    </row>
    <row r="449" customFormat="false" ht="15" hidden="false" customHeight="false" outlineLevel="0" collapsed="false">
      <c r="A449" s="35" t="n">
        <f aca="false">A448+1</f>
        <v>45256</v>
      </c>
      <c r="B449" s="35" t="n">
        <f aca="false">EOMONTH(A449+1,0)</f>
        <v>45260</v>
      </c>
      <c r="C449" s="36" t="n">
        <f aca="false">IF(MOD(YEAR(A449),4)=0,366,365)</f>
        <v>365</v>
      </c>
      <c r="D449" s="37" t="n">
        <f aca="false">Inputs!$B$9-SUMIFS(Cash_Events!$G$6:$G$20,Cash_Events!$C$6:$C$20,"rAGMF",Cash_Events!$B$6:$B$20,"&lt;="&amp;A449)</f>
        <v>1500000</v>
      </c>
      <c r="E449" s="38" t="n">
        <f aca="false">VLOOKUP(A449,Inputs!$A$40:$B$48,2,TRUE())</f>
        <v>0.0547601</v>
      </c>
      <c r="F449" s="38" t="n">
        <f aca="false">E449+Inputs!$B$10</f>
        <v>0.1222601</v>
      </c>
      <c r="G449" s="37" t="n">
        <f aca="false">D449*F449/C449</f>
        <v>502.438767123288</v>
      </c>
      <c r="H449" s="37" t="n">
        <f aca="false">IF(AND(A449&gt;=Inputs!$B$13,OR(A449&lt;Inputs!$B$19,Inputs!$B$20=1)),D449*Inputs!$B$11/C449,0)</f>
        <v>82.1917808219178</v>
      </c>
      <c r="I449" s="37" t="n">
        <f aca="false">Inputs!$C$9-SUMIFS(Cash_Events!$G$6:$G$20,Cash_Events!$C$6:$C$20,"FHL",Cash_Events!$B$6:$B$20,"&lt;="&amp;A449)</f>
        <v>1500000</v>
      </c>
      <c r="J449" s="38" t="n">
        <f aca="false">VLOOKUP(A449,Inputs!$F$40:$G$48,2,TRUE())</f>
        <v>0.054735</v>
      </c>
      <c r="K449" s="38" t="n">
        <f aca="false">J449+Inputs!$C$10</f>
        <v>0.122235</v>
      </c>
      <c r="L449" s="37" t="n">
        <f aca="false">I449*K449/C449</f>
        <v>502.335616438356</v>
      </c>
      <c r="M449" s="37" t="n">
        <f aca="false">IF(AND(A449&gt;=Inputs!$C$13,OR(A449&lt;Inputs!$B$19,Inputs!$B$20=1)),I449*Inputs!$C$11/C449,0)</f>
        <v>82.1917808219178</v>
      </c>
    </row>
    <row r="450" customFormat="false" ht="15" hidden="false" customHeight="false" outlineLevel="0" collapsed="false">
      <c r="A450" s="35" t="n">
        <f aca="false">A449+1</f>
        <v>45257</v>
      </c>
      <c r="B450" s="35" t="n">
        <f aca="false">EOMONTH(A450+1,0)</f>
        <v>45260</v>
      </c>
      <c r="C450" s="36" t="n">
        <f aca="false">IF(MOD(YEAR(A450),4)=0,366,365)</f>
        <v>365</v>
      </c>
      <c r="D450" s="37" t="n">
        <f aca="false">Inputs!$B$9-SUMIFS(Cash_Events!$G$6:$G$20,Cash_Events!$C$6:$C$20,"rAGMF",Cash_Events!$B$6:$B$20,"&lt;="&amp;A450)</f>
        <v>1500000</v>
      </c>
      <c r="E450" s="38" t="n">
        <f aca="false">VLOOKUP(A450,Inputs!$A$40:$B$48,2,TRUE())</f>
        <v>0.0547601</v>
      </c>
      <c r="F450" s="38" t="n">
        <f aca="false">E450+Inputs!$B$10</f>
        <v>0.1222601</v>
      </c>
      <c r="G450" s="37" t="n">
        <f aca="false">D450*F450/C450</f>
        <v>502.438767123288</v>
      </c>
      <c r="H450" s="37" t="n">
        <f aca="false">IF(AND(A450&gt;=Inputs!$B$13,OR(A450&lt;Inputs!$B$19,Inputs!$B$20=1)),D450*Inputs!$B$11/C450,0)</f>
        <v>82.1917808219178</v>
      </c>
      <c r="I450" s="37" t="n">
        <f aca="false">Inputs!$C$9-SUMIFS(Cash_Events!$G$6:$G$20,Cash_Events!$C$6:$C$20,"FHL",Cash_Events!$B$6:$B$20,"&lt;="&amp;A450)</f>
        <v>1500000</v>
      </c>
      <c r="J450" s="38" t="n">
        <f aca="false">VLOOKUP(A450,Inputs!$F$40:$G$48,2,TRUE())</f>
        <v>0.054735</v>
      </c>
      <c r="K450" s="38" t="n">
        <f aca="false">J450+Inputs!$C$10</f>
        <v>0.122235</v>
      </c>
      <c r="L450" s="37" t="n">
        <f aca="false">I450*K450/C450</f>
        <v>502.335616438356</v>
      </c>
      <c r="M450" s="37" t="n">
        <f aca="false">IF(AND(A450&gt;=Inputs!$C$13,OR(A450&lt;Inputs!$B$19,Inputs!$B$20=1)),I450*Inputs!$C$11/C450,0)</f>
        <v>82.1917808219178</v>
      </c>
    </row>
    <row r="451" customFormat="false" ht="15" hidden="false" customHeight="false" outlineLevel="0" collapsed="false">
      <c r="A451" s="35" t="n">
        <f aca="false">A450+1</f>
        <v>45258</v>
      </c>
      <c r="B451" s="35" t="n">
        <f aca="false">EOMONTH(A451+1,0)</f>
        <v>45260</v>
      </c>
      <c r="C451" s="36" t="n">
        <f aca="false">IF(MOD(YEAR(A451),4)=0,366,365)</f>
        <v>365</v>
      </c>
      <c r="D451" s="37" t="n">
        <f aca="false">Inputs!$B$9-SUMIFS(Cash_Events!$G$6:$G$20,Cash_Events!$C$6:$C$20,"rAGMF",Cash_Events!$B$6:$B$20,"&lt;="&amp;A451)</f>
        <v>1500000</v>
      </c>
      <c r="E451" s="38" t="n">
        <f aca="false">VLOOKUP(A451,Inputs!$A$40:$B$48,2,TRUE())</f>
        <v>0.0547601</v>
      </c>
      <c r="F451" s="38" t="n">
        <f aca="false">E451+Inputs!$B$10</f>
        <v>0.1222601</v>
      </c>
      <c r="G451" s="37" t="n">
        <f aca="false">D451*F451/C451</f>
        <v>502.438767123288</v>
      </c>
      <c r="H451" s="37" t="n">
        <f aca="false">IF(AND(A451&gt;=Inputs!$B$13,OR(A451&lt;Inputs!$B$19,Inputs!$B$20=1)),D451*Inputs!$B$11/C451,0)</f>
        <v>82.1917808219178</v>
      </c>
      <c r="I451" s="37" t="n">
        <f aca="false">Inputs!$C$9-SUMIFS(Cash_Events!$G$6:$G$20,Cash_Events!$C$6:$C$20,"FHL",Cash_Events!$B$6:$B$20,"&lt;="&amp;A451)</f>
        <v>1500000</v>
      </c>
      <c r="J451" s="38" t="n">
        <f aca="false">VLOOKUP(A451,Inputs!$F$40:$G$48,2,TRUE())</f>
        <v>0.054735</v>
      </c>
      <c r="K451" s="38" t="n">
        <f aca="false">J451+Inputs!$C$10</f>
        <v>0.122235</v>
      </c>
      <c r="L451" s="37" t="n">
        <f aca="false">I451*K451/C451</f>
        <v>502.335616438356</v>
      </c>
      <c r="M451" s="37" t="n">
        <f aca="false">IF(AND(A451&gt;=Inputs!$C$13,OR(A451&lt;Inputs!$B$19,Inputs!$B$20=1)),I451*Inputs!$C$11/C451,0)</f>
        <v>82.1917808219178</v>
      </c>
    </row>
    <row r="452" customFormat="false" ht="15" hidden="false" customHeight="false" outlineLevel="0" collapsed="false">
      <c r="A452" s="35" t="n">
        <f aca="false">A451+1</f>
        <v>45259</v>
      </c>
      <c r="B452" s="35" t="n">
        <f aca="false">EOMONTH(A452+1,0)</f>
        <v>45260</v>
      </c>
      <c r="C452" s="36" t="n">
        <f aca="false">IF(MOD(YEAR(A452),4)=0,366,365)</f>
        <v>365</v>
      </c>
      <c r="D452" s="37" t="n">
        <f aca="false">Inputs!$B$9-SUMIFS(Cash_Events!$G$6:$G$20,Cash_Events!$C$6:$C$20,"rAGMF",Cash_Events!$B$6:$B$20,"&lt;="&amp;A452)</f>
        <v>1500000</v>
      </c>
      <c r="E452" s="38" t="n">
        <f aca="false">VLOOKUP(A452,Inputs!$A$40:$B$48,2,TRUE())</f>
        <v>0.0547601</v>
      </c>
      <c r="F452" s="38" t="n">
        <f aca="false">E452+Inputs!$B$10</f>
        <v>0.1222601</v>
      </c>
      <c r="G452" s="37" t="n">
        <f aca="false">D452*F452/C452</f>
        <v>502.438767123288</v>
      </c>
      <c r="H452" s="37" t="n">
        <f aca="false">IF(AND(A452&gt;=Inputs!$B$13,OR(A452&lt;Inputs!$B$19,Inputs!$B$20=1)),D452*Inputs!$B$11/C452,0)</f>
        <v>82.1917808219178</v>
      </c>
      <c r="I452" s="37" t="n">
        <f aca="false">Inputs!$C$9-SUMIFS(Cash_Events!$G$6:$G$20,Cash_Events!$C$6:$C$20,"FHL",Cash_Events!$B$6:$B$20,"&lt;="&amp;A452)</f>
        <v>1500000</v>
      </c>
      <c r="J452" s="38" t="n">
        <f aca="false">VLOOKUP(A452,Inputs!$F$40:$G$48,2,TRUE())</f>
        <v>0.054735</v>
      </c>
      <c r="K452" s="38" t="n">
        <f aca="false">J452+Inputs!$C$10</f>
        <v>0.122235</v>
      </c>
      <c r="L452" s="37" t="n">
        <f aca="false">I452*K452/C452</f>
        <v>502.335616438356</v>
      </c>
      <c r="M452" s="37" t="n">
        <f aca="false">IF(AND(A452&gt;=Inputs!$C$13,OR(A452&lt;Inputs!$B$19,Inputs!$B$20=1)),I452*Inputs!$C$11/C452,0)</f>
        <v>82.1917808219178</v>
      </c>
    </row>
    <row r="453" customFormat="false" ht="15" hidden="false" customHeight="false" outlineLevel="0" collapsed="false">
      <c r="A453" s="35" t="n">
        <f aca="false">A452+1</f>
        <v>45260</v>
      </c>
      <c r="B453" s="35" t="n">
        <f aca="false">EOMONTH(A453+1,0)</f>
        <v>45291</v>
      </c>
      <c r="C453" s="36" t="n">
        <f aca="false">IF(MOD(YEAR(A453),4)=0,366,365)</f>
        <v>365</v>
      </c>
      <c r="D453" s="37" t="n">
        <f aca="false">Inputs!$B$9-SUMIFS(Cash_Events!$G$6:$G$20,Cash_Events!$C$6:$C$20,"rAGMF",Cash_Events!$B$6:$B$20,"&lt;="&amp;A453)</f>
        <v>1500000</v>
      </c>
      <c r="E453" s="38" t="n">
        <f aca="false">VLOOKUP(A453,Inputs!$A$40:$B$48,2,TRUE())</f>
        <v>0.0547601</v>
      </c>
      <c r="F453" s="38" t="n">
        <f aca="false">E453+Inputs!$B$10</f>
        <v>0.1222601</v>
      </c>
      <c r="G453" s="37" t="n">
        <f aca="false">D453*F453/C453</f>
        <v>502.438767123288</v>
      </c>
      <c r="H453" s="37" t="n">
        <f aca="false">IF(AND(A453&gt;=Inputs!$B$13,OR(A453&lt;Inputs!$B$19,Inputs!$B$20=1)),D453*Inputs!$B$11/C453,0)</f>
        <v>82.1917808219178</v>
      </c>
      <c r="I453" s="37" t="n">
        <f aca="false">Inputs!$C$9-SUMIFS(Cash_Events!$G$6:$G$20,Cash_Events!$C$6:$C$20,"FHL",Cash_Events!$B$6:$B$20,"&lt;="&amp;A453)</f>
        <v>1500000</v>
      </c>
      <c r="J453" s="38" t="n">
        <f aca="false">VLOOKUP(A453,Inputs!$F$40:$G$48,2,TRUE())</f>
        <v>0.054735</v>
      </c>
      <c r="K453" s="38" t="n">
        <f aca="false">J453+Inputs!$C$10</f>
        <v>0.122235</v>
      </c>
      <c r="L453" s="37" t="n">
        <f aca="false">I453*K453/C453</f>
        <v>502.335616438356</v>
      </c>
      <c r="M453" s="37" t="n">
        <f aca="false">IF(AND(A453&gt;=Inputs!$C$13,OR(A453&lt;Inputs!$B$19,Inputs!$B$20=1)),I453*Inputs!$C$11/C453,0)</f>
        <v>82.1917808219178</v>
      </c>
    </row>
    <row r="454" customFormat="false" ht="15" hidden="false" customHeight="false" outlineLevel="0" collapsed="false">
      <c r="A454" s="35" t="n">
        <f aca="false">A453+1</f>
        <v>45261</v>
      </c>
      <c r="B454" s="35" t="n">
        <f aca="false">EOMONTH(A454+1,0)</f>
        <v>45291</v>
      </c>
      <c r="C454" s="36" t="n">
        <f aca="false">IF(MOD(YEAR(A454),4)=0,366,365)</f>
        <v>365</v>
      </c>
      <c r="D454" s="37" t="n">
        <f aca="false">Inputs!$B$9-SUMIFS(Cash_Events!$G$6:$G$20,Cash_Events!$C$6:$C$20,"rAGMF",Cash_Events!$B$6:$B$20,"&lt;="&amp;A454)</f>
        <v>1500000</v>
      </c>
      <c r="E454" s="38" t="n">
        <f aca="false">VLOOKUP(A454,Inputs!$A$40:$B$48,2,TRUE())</f>
        <v>0.0547601</v>
      </c>
      <c r="F454" s="38" t="n">
        <f aca="false">E454+Inputs!$B$10</f>
        <v>0.1222601</v>
      </c>
      <c r="G454" s="37" t="n">
        <f aca="false">D454*F454/C454</f>
        <v>502.438767123288</v>
      </c>
      <c r="H454" s="37" t="n">
        <f aca="false">IF(AND(A454&gt;=Inputs!$B$13,OR(A454&lt;Inputs!$B$19,Inputs!$B$20=1)),D454*Inputs!$B$11/C454,0)</f>
        <v>82.1917808219178</v>
      </c>
      <c r="I454" s="37" t="n">
        <f aca="false">Inputs!$C$9-SUMIFS(Cash_Events!$G$6:$G$20,Cash_Events!$C$6:$C$20,"FHL",Cash_Events!$B$6:$B$20,"&lt;="&amp;A454)</f>
        <v>1500000</v>
      </c>
      <c r="J454" s="38" t="n">
        <f aca="false">VLOOKUP(A454,Inputs!$F$40:$G$48,2,TRUE())</f>
        <v>0.054735</v>
      </c>
      <c r="K454" s="38" t="n">
        <f aca="false">J454+Inputs!$C$10</f>
        <v>0.122235</v>
      </c>
      <c r="L454" s="37" t="n">
        <f aca="false">I454*K454/C454</f>
        <v>502.335616438356</v>
      </c>
      <c r="M454" s="37" t="n">
        <f aca="false">IF(AND(A454&gt;=Inputs!$C$13,OR(A454&lt;Inputs!$B$19,Inputs!$B$20=1)),I454*Inputs!$C$11/C454,0)</f>
        <v>82.1917808219178</v>
      </c>
    </row>
    <row r="455" customFormat="false" ht="15" hidden="false" customHeight="false" outlineLevel="0" collapsed="false">
      <c r="A455" s="35" t="n">
        <f aca="false">A454+1</f>
        <v>45262</v>
      </c>
      <c r="B455" s="35" t="n">
        <f aca="false">EOMONTH(A455+1,0)</f>
        <v>45291</v>
      </c>
      <c r="C455" s="36" t="n">
        <f aca="false">IF(MOD(YEAR(A455),4)=0,366,365)</f>
        <v>365</v>
      </c>
      <c r="D455" s="37" t="n">
        <f aca="false">Inputs!$B$9-SUMIFS(Cash_Events!$G$6:$G$20,Cash_Events!$C$6:$C$20,"rAGMF",Cash_Events!$B$6:$B$20,"&lt;="&amp;A455)</f>
        <v>1500000</v>
      </c>
      <c r="E455" s="38" t="n">
        <f aca="false">VLOOKUP(A455,Inputs!$A$40:$B$48,2,TRUE())</f>
        <v>0.0547601</v>
      </c>
      <c r="F455" s="38" t="n">
        <f aca="false">E455+Inputs!$B$10</f>
        <v>0.1222601</v>
      </c>
      <c r="G455" s="37" t="n">
        <f aca="false">D455*F455/C455</f>
        <v>502.438767123288</v>
      </c>
      <c r="H455" s="37" t="n">
        <f aca="false">IF(AND(A455&gt;=Inputs!$B$13,OR(A455&lt;Inputs!$B$19,Inputs!$B$20=1)),D455*Inputs!$B$11/C455,0)</f>
        <v>82.1917808219178</v>
      </c>
      <c r="I455" s="37" t="n">
        <f aca="false">Inputs!$C$9-SUMIFS(Cash_Events!$G$6:$G$20,Cash_Events!$C$6:$C$20,"FHL",Cash_Events!$B$6:$B$20,"&lt;="&amp;A455)</f>
        <v>1500000</v>
      </c>
      <c r="J455" s="38" t="n">
        <f aca="false">VLOOKUP(A455,Inputs!$F$40:$G$48,2,TRUE())</f>
        <v>0.054735</v>
      </c>
      <c r="K455" s="38" t="n">
        <f aca="false">J455+Inputs!$C$10</f>
        <v>0.122235</v>
      </c>
      <c r="L455" s="37" t="n">
        <f aca="false">I455*K455/C455</f>
        <v>502.335616438356</v>
      </c>
      <c r="M455" s="37" t="n">
        <f aca="false">IF(AND(A455&gt;=Inputs!$C$13,OR(A455&lt;Inputs!$B$19,Inputs!$B$20=1)),I455*Inputs!$C$11/C455,0)</f>
        <v>82.1917808219178</v>
      </c>
    </row>
    <row r="456" customFormat="false" ht="15" hidden="false" customHeight="false" outlineLevel="0" collapsed="false">
      <c r="A456" s="35" t="n">
        <f aca="false">A455+1</f>
        <v>45263</v>
      </c>
      <c r="B456" s="35" t="n">
        <f aca="false">EOMONTH(A456+1,0)</f>
        <v>45291</v>
      </c>
      <c r="C456" s="36" t="n">
        <f aca="false">IF(MOD(YEAR(A456),4)=0,366,365)</f>
        <v>365</v>
      </c>
      <c r="D456" s="37" t="n">
        <f aca="false">Inputs!$B$9-SUMIFS(Cash_Events!$G$6:$G$20,Cash_Events!$C$6:$C$20,"rAGMF",Cash_Events!$B$6:$B$20,"&lt;="&amp;A456)</f>
        <v>1500000</v>
      </c>
      <c r="E456" s="38" t="n">
        <f aca="false">VLOOKUP(A456,Inputs!$A$40:$B$48,2,TRUE())</f>
        <v>0.0547601</v>
      </c>
      <c r="F456" s="38" t="n">
        <f aca="false">E456+Inputs!$B$10</f>
        <v>0.1222601</v>
      </c>
      <c r="G456" s="37" t="n">
        <f aca="false">D456*F456/C456</f>
        <v>502.438767123288</v>
      </c>
      <c r="H456" s="37" t="n">
        <f aca="false">IF(AND(A456&gt;=Inputs!$B$13,OR(A456&lt;Inputs!$B$19,Inputs!$B$20=1)),D456*Inputs!$B$11/C456,0)</f>
        <v>82.1917808219178</v>
      </c>
      <c r="I456" s="37" t="n">
        <f aca="false">Inputs!$C$9-SUMIFS(Cash_Events!$G$6:$G$20,Cash_Events!$C$6:$C$20,"FHL",Cash_Events!$B$6:$B$20,"&lt;="&amp;A456)</f>
        <v>1500000</v>
      </c>
      <c r="J456" s="38" t="n">
        <f aca="false">VLOOKUP(A456,Inputs!$F$40:$G$48,2,TRUE())</f>
        <v>0.054735</v>
      </c>
      <c r="K456" s="38" t="n">
        <f aca="false">J456+Inputs!$C$10</f>
        <v>0.122235</v>
      </c>
      <c r="L456" s="37" t="n">
        <f aca="false">I456*K456/C456</f>
        <v>502.335616438356</v>
      </c>
      <c r="M456" s="37" t="n">
        <f aca="false">IF(AND(A456&gt;=Inputs!$C$13,OR(A456&lt;Inputs!$B$19,Inputs!$B$20=1)),I456*Inputs!$C$11/C456,0)</f>
        <v>82.1917808219178</v>
      </c>
    </row>
    <row r="457" customFormat="false" ht="15" hidden="false" customHeight="false" outlineLevel="0" collapsed="false">
      <c r="A457" s="35" t="n">
        <f aca="false">A456+1</f>
        <v>45264</v>
      </c>
      <c r="B457" s="35" t="n">
        <f aca="false">EOMONTH(A457+1,0)</f>
        <v>45291</v>
      </c>
      <c r="C457" s="36" t="n">
        <f aca="false">IF(MOD(YEAR(A457),4)=0,366,365)</f>
        <v>365</v>
      </c>
      <c r="D457" s="37" t="n">
        <f aca="false">Inputs!$B$9-SUMIFS(Cash_Events!$G$6:$G$20,Cash_Events!$C$6:$C$20,"rAGMF",Cash_Events!$B$6:$B$20,"&lt;="&amp;A457)</f>
        <v>1500000</v>
      </c>
      <c r="E457" s="38" t="n">
        <f aca="false">VLOOKUP(A457,Inputs!$A$40:$B$48,2,TRUE())</f>
        <v>0.0547601</v>
      </c>
      <c r="F457" s="38" t="n">
        <f aca="false">E457+Inputs!$B$10</f>
        <v>0.1222601</v>
      </c>
      <c r="G457" s="37" t="n">
        <f aca="false">D457*F457/C457</f>
        <v>502.438767123288</v>
      </c>
      <c r="H457" s="37" t="n">
        <f aca="false">IF(AND(A457&gt;=Inputs!$B$13,OR(A457&lt;Inputs!$B$19,Inputs!$B$20=1)),D457*Inputs!$B$11/C457,0)</f>
        <v>82.1917808219178</v>
      </c>
      <c r="I457" s="37" t="n">
        <f aca="false">Inputs!$C$9-SUMIFS(Cash_Events!$G$6:$G$20,Cash_Events!$C$6:$C$20,"FHL",Cash_Events!$B$6:$B$20,"&lt;="&amp;A457)</f>
        <v>1500000</v>
      </c>
      <c r="J457" s="38" t="n">
        <f aca="false">VLOOKUP(A457,Inputs!$F$40:$G$48,2,TRUE())</f>
        <v>0.054735</v>
      </c>
      <c r="K457" s="38" t="n">
        <f aca="false">J457+Inputs!$C$10</f>
        <v>0.122235</v>
      </c>
      <c r="L457" s="37" t="n">
        <f aca="false">I457*K457/C457</f>
        <v>502.335616438356</v>
      </c>
      <c r="M457" s="37" t="n">
        <f aca="false">IF(AND(A457&gt;=Inputs!$C$13,OR(A457&lt;Inputs!$B$19,Inputs!$B$20=1)),I457*Inputs!$C$11/C457,0)</f>
        <v>82.1917808219178</v>
      </c>
    </row>
    <row r="458" customFormat="false" ht="15" hidden="false" customHeight="false" outlineLevel="0" collapsed="false">
      <c r="A458" s="35" t="n">
        <f aca="false">A457+1</f>
        <v>45265</v>
      </c>
      <c r="B458" s="35" t="n">
        <f aca="false">EOMONTH(A458+1,0)</f>
        <v>45291</v>
      </c>
      <c r="C458" s="36" t="n">
        <f aca="false">IF(MOD(YEAR(A458),4)=0,366,365)</f>
        <v>365</v>
      </c>
      <c r="D458" s="37" t="n">
        <f aca="false">Inputs!$B$9-SUMIFS(Cash_Events!$G$6:$G$20,Cash_Events!$C$6:$C$20,"rAGMF",Cash_Events!$B$6:$B$20,"&lt;="&amp;A458)</f>
        <v>1500000</v>
      </c>
      <c r="E458" s="38" t="n">
        <f aca="false">VLOOKUP(A458,Inputs!$A$40:$B$48,2,TRUE())</f>
        <v>0.0547601</v>
      </c>
      <c r="F458" s="38" t="n">
        <f aca="false">E458+Inputs!$B$10</f>
        <v>0.1222601</v>
      </c>
      <c r="G458" s="37" t="n">
        <f aca="false">D458*F458/C458</f>
        <v>502.438767123288</v>
      </c>
      <c r="H458" s="37" t="n">
        <f aca="false">IF(AND(A458&gt;=Inputs!$B$13,OR(A458&lt;Inputs!$B$19,Inputs!$B$20=1)),D458*Inputs!$B$11/C458,0)</f>
        <v>82.1917808219178</v>
      </c>
      <c r="I458" s="37" t="n">
        <f aca="false">Inputs!$C$9-SUMIFS(Cash_Events!$G$6:$G$20,Cash_Events!$C$6:$C$20,"FHL",Cash_Events!$B$6:$B$20,"&lt;="&amp;A458)</f>
        <v>1500000</v>
      </c>
      <c r="J458" s="38" t="n">
        <f aca="false">VLOOKUP(A458,Inputs!$F$40:$G$48,2,TRUE())</f>
        <v>0.054735</v>
      </c>
      <c r="K458" s="38" t="n">
        <f aca="false">J458+Inputs!$C$10</f>
        <v>0.122235</v>
      </c>
      <c r="L458" s="37" t="n">
        <f aca="false">I458*K458/C458</f>
        <v>502.335616438356</v>
      </c>
      <c r="M458" s="37" t="n">
        <f aca="false">IF(AND(A458&gt;=Inputs!$C$13,OR(A458&lt;Inputs!$B$19,Inputs!$B$20=1)),I458*Inputs!$C$11/C458,0)</f>
        <v>82.1917808219178</v>
      </c>
    </row>
    <row r="459" customFormat="false" ht="15" hidden="false" customHeight="false" outlineLevel="0" collapsed="false">
      <c r="A459" s="35" t="n">
        <f aca="false">A458+1</f>
        <v>45266</v>
      </c>
      <c r="B459" s="35" t="n">
        <f aca="false">EOMONTH(A459+1,0)</f>
        <v>45291</v>
      </c>
      <c r="C459" s="36" t="n">
        <f aca="false">IF(MOD(YEAR(A459),4)=0,366,365)</f>
        <v>365</v>
      </c>
      <c r="D459" s="37" t="n">
        <f aca="false">Inputs!$B$9-SUMIFS(Cash_Events!$G$6:$G$20,Cash_Events!$C$6:$C$20,"rAGMF",Cash_Events!$B$6:$B$20,"&lt;="&amp;A459)</f>
        <v>1500000</v>
      </c>
      <c r="E459" s="38" t="n">
        <f aca="false">VLOOKUP(A459,Inputs!$A$40:$B$48,2,TRUE())</f>
        <v>0.0547601</v>
      </c>
      <c r="F459" s="38" t="n">
        <f aca="false">E459+Inputs!$B$10</f>
        <v>0.1222601</v>
      </c>
      <c r="G459" s="37" t="n">
        <f aca="false">D459*F459/C459</f>
        <v>502.438767123288</v>
      </c>
      <c r="H459" s="37" t="n">
        <f aca="false">IF(AND(A459&gt;=Inputs!$B$13,OR(A459&lt;Inputs!$B$19,Inputs!$B$20=1)),D459*Inputs!$B$11/C459,0)</f>
        <v>82.1917808219178</v>
      </c>
      <c r="I459" s="37" t="n">
        <f aca="false">Inputs!$C$9-SUMIFS(Cash_Events!$G$6:$G$20,Cash_Events!$C$6:$C$20,"FHL",Cash_Events!$B$6:$B$20,"&lt;="&amp;A459)</f>
        <v>1500000</v>
      </c>
      <c r="J459" s="38" t="n">
        <f aca="false">VLOOKUP(A459,Inputs!$F$40:$G$48,2,TRUE())</f>
        <v>0.054735</v>
      </c>
      <c r="K459" s="38" t="n">
        <f aca="false">J459+Inputs!$C$10</f>
        <v>0.122235</v>
      </c>
      <c r="L459" s="37" t="n">
        <f aca="false">I459*K459/C459</f>
        <v>502.335616438356</v>
      </c>
      <c r="M459" s="37" t="n">
        <f aca="false">IF(AND(A459&gt;=Inputs!$C$13,OR(A459&lt;Inputs!$B$19,Inputs!$B$20=1)),I459*Inputs!$C$11/C459,0)</f>
        <v>82.1917808219178</v>
      </c>
    </row>
    <row r="460" customFormat="false" ht="15" hidden="false" customHeight="false" outlineLevel="0" collapsed="false">
      <c r="A460" s="35" t="n">
        <f aca="false">A459+1</f>
        <v>45267</v>
      </c>
      <c r="B460" s="35" t="n">
        <f aca="false">EOMONTH(A460+1,0)</f>
        <v>45291</v>
      </c>
      <c r="C460" s="36" t="n">
        <f aca="false">IF(MOD(YEAR(A460),4)=0,366,365)</f>
        <v>365</v>
      </c>
      <c r="D460" s="37" t="n">
        <f aca="false">Inputs!$B$9-SUMIFS(Cash_Events!$G$6:$G$20,Cash_Events!$C$6:$C$20,"rAGMF",Cash_Events!$B$6:$B$20,"&lt;="&amp;A460)</f>
        <v>1500000</v>
      </c>
      <c r="E460" s="38" t="n">
        <f aca="false">VLOOKUP(A460,Inputs!$A$40:$B$48,2,TRUE())</f>
        <v>0.0547601</v>
      </c>
      <c r="F460" s="38" t="n">
        <f aca="false">E460+Inputs!$B$10</f>
        <v>0.1222601</v>
      </c>
      <c r="G460" s="37" t="n">
        <f aca="false">D460*F460/C460</f>
        <v>502.438767123288</v>
      </c>
      <c r="H460" s="37" t="n">
        <f aca="false">IF(AND(A460&gt;=Inputs!$B$13,OR(A460&lt;Inputs!$B$19,Inputs!$B$20=1)),D460*Inputs!$B$11/C460,0)</f>
        <v>82.1917808219178</v>
      </c>
      <c r="I460" s="37" t="n">
        <f aca="false">Inputs!$C$9-SUMIFS(Cash_Events!$G$6:$G$20,Cash_Events!$C$6:$C$20,"FHL",Cash_Events!$B$6:$B$20,"&lt;="&amp;A460)</f>
        <v>1500000</v>
      </c>
      <c r="J460" s="38" t="n">
        <f aca="false">VLOOKUP(A460,Inputs!$F$40:$G$48,2,TRUE())</f>
        <v>0.054735</v>
      </c>
      <c r="K460" s="38" t="n">
        <f aca="false">J460+Inputs!$C$10</f>
        <v>0.122235</v>
      </c>
      <c r="L460" s="37" t="n">
        <f aca="false">I460*K460/C460</f>
        <v>502.335616438356</v>
      </c>
      <c r="M460" s="37" t="n">
        <f aca="false">IF(AND(A460&gt;=Inputs!$C$13,OR(A460&lt;Inputs!$B$19,Inputs!$B$20=1)),I460*Inputs!$C$11/C460,0)</f>
        <v>82.1917808219178</v>
      </c>
    </row>
    <row r="461" customFormat="false" ht="15" hidden="false" customHeight="false" outlineLevel="0" collapsed="false">
      <c r="A461" s="35" t="n">
        <f aca="false">A460+1</f>
        <v>45268</v>
      </c>
      <c r="B461" s="35" t="n">
        <f aca="false">EOMONTH(A461+1,0)</f>
        <v>45291</v>
      </c>
      <c r="C461" s="36" t="n">
        <f aca="false">IF(MOD(YEAR(A461),4)=0,366,365)</f>
        <v>365</v>
      </c>
      <c r="D461" s="37" t="n">
        <f aca="false">Inputs!$B$9-SUMIFS(Cash_Events!$G$6:$G$20,Cash_Events!$C$6:$C$20,"rAGMF",Cash_Events!$B$6:$B$20,"&lt;="&amp;A461)</f>
        <v>1500000</v>
      </c>
      <c r="E461" s="38" t="n">
        <f aca="false">VLOOKUP(A461,Inputs!$A$40:$B$48,2,TRUE())</f>
        <v>0.0547601</v>
      </c>
      <c r="F461" s="38" t="n">
        <f aca="false">E461+Inputs!$B$10</f>
        <v>0.1222601</v>
      </c>
      <c r="G461" s="37" t="n">
        <f aca="false">D461*F461/C461</f>
        <v>502.438767123288</v>
      </c>
      <c r="H461" s="37" t="n">
        <f aca="false">IF(AND(A461&gt;=Inputs!$B$13,OR(A461&lt;Inputs!$B$19,Inputs!$B$20=1)),D461*Inputs!$B$11/C461,0)</f>
        <v>82.1917808219178</v>
      </c>
      <c r="I461" s="37" t="n">
        <f aca="false">Inputs!$C$9-SUMIFS(Cash_Events!$G$6:$G$20,Cash_Events!$C$6:$C$20,"FHL",Cash_Events!$B$6:$B$20,"&lt;="&amp;A461)</f>
        <v>1500000</v>
      </c>
      <c r="J461" s="38" t="n">
        <f aca="false">VLOOKUP(A461,Inputs!$F$40:$G$48,2,TRUE())</f>
        <v>0.054735</v>
      </c>
      <c r="K461" s="38" t="n">
        <f aca="false">J461+Inputs!$C$10</f>
        <v>0.122235</v>
      </c>
      <c r="L461" s="37" t="n">
        <f aca="false">I461*K461/C461</f>
        <v>502.335616438356</v>
      </c>
      <c r="M461" s="37" t="n">
        <f aca="false">IF(AND(A461&gt;=Inputs!$C$13,OR(A461&lt;Inputs!$B$19,Inputs!$B$20=1)),I461*Inputs!$C$11/C461,0)</f>
        <v>82.1917808219178</v>
      </c>
    </row>
    <row r="462" customFormat="false" ht="15" hidden="false" customHeight="false" outlineLevel="0" collapsed="false">
      <c r="A462" s="35" t="n">
        <f aca="false">A461+1</f>
        <v>45269</v>
      </c>
      <c r="B462" s="35" t="n">
        <f aca="false">EOMONTH(A462+1,0)</f>
        <v>45291</v>
      </c>
      <c r="C462" s="36" t="n">
        <f aca="false">IF(MOD(YEAR(A462),4)=0,366,365)</f>
        <v>365</v>
      </c>
      <c r="D462" s="37" t="n">
        <f aca="false">Inputs!$B$9-SUMIFS(Cash_Events!$G$6:$G$20,Cash_Events!$C$6:$C$20,"rAGMF",Cash_Events!$B$6:$B$20,"&lt;="&amp;A462)</f>
        <v>1500000</v>
      </c>
      <c r="E462" s="38" t="n">
        <f aca="false">VLOOKUP(A462,Inputs!$A$40:$B$48,2,TRUE())</f>
        <v>0.0547601</v>
      </c>
      <c r="F462" s="38" t="n">
        <f aca="false">E462+Inputs!$B$10</f>
        <v>0.1222601</v>
      </c>
      <c r="G462" s="37" t="n">
        <f aca="false">D462*F462/C462</f>
        <v>502.438767123288</v>
      </c>
      <c r="H462" s="37" t="n">
        <f aca="false">IF(AND(A462&gt;=Inputs!$B$13,OR(A462&lt;Inputs!$B$19,Inputs!$B$20=1)),D462*Inputs!$B$11/C462,0)</f>
        <v>82.1917808219178</v>
      </c>
      <c r="I462" s="37" t="n">
        <f aca="false">Inputs!$C$9-SUMIFS(Cash_Events!$G$6:$G$20,Cash_Events!$C$6:$C$20,"FHL",Cash_Events!$B$6:$B$20,"&lt;="&amp;A462)</f>
        <v>1500000</v>
      </c>
      <c r="J462" s="38" t="n">
        <f aca="false">VLOOKUP(A462,Inputs!$F$40:$G$48,2,TRUE())</f>
        <v>0.054735</v>
      </c>
      <c r="K462" s="38" t="n">
        <f aca="false">J462+Inputs!$C$10</f>
        <v>0.122235</v>
      </c>
      <c r="L462" s="37" t="n">
        <f aca="false">I462*K462/C462</f>
        <v>502.335616438356</v>
      </c>
      <c r="M462" s="37" t="n">
        <f aca="false">IF(AND(A462&gt;=Inputs!$C$13,OR(A462&lt;Inputs!$B$19,Inputs!$B$20=1)),I462*Inputs!$C$11/C462,0)</f>
        <v>82.1917808219178</v>
      </c>
    </row>
    <row r="463" customFormat="false" ht="15" hidden="false" customHeight="false" outlineLevel="0" collapsed="false">
      <c r="A463" s="35" t="n">
        <f aca="false">A462+1</f>
        <v>45270</v>
      </c>
      <c r="B463" s="35" t="n">
        <f aca="false">EOMONTH(A463+1,0)</f>
        <v>45291</v>
      </c>
      <c r="C463" s="36" t="n">
        <f aca="false">IF(MOD(YEAR(A463),4)=0,366,365)</f>
        <v>365</v>
      </c>
      <c r="D463" s="37" t="n">
        <f aca="false">Inputs!$B$9-SUMIFS(Cash_Events!$G$6:$G$20,Cash_Events!$C$6:$C$20,"rAGMF",Cash_Events!$B$6:$B$20,"&lt;="&amp;A463)</f>
        <v>1500000</v>
      </c>
      <c r="E463" s="38" t="n">
        <f aca="false">VLOOKUP(A463,Inputs!$A$40:$B$48,2,TRUE())</f>
        <v>0.0547601</v>
      </c>
      <c r="F463" s="38" t="n">
        <f aca="false">E463+Inputs!$B$10</f>
        <v>0.1222601</v>
      </c>
      <c r="G463" s="37" t="n">
        <f aca="false">D463*F463/C463</f>
        <v>502.438767123288</v>
      </c>
      <c r="H463" s="37" t="n">
        <f aca="false">IF(AND(A463&gt;=Inputs!$B$13,OR(A463&lt;Inputs!$B$19,Inputs!$B$20=1)),D463*Inputs!$B$11/C463,0)</f>
        <v>82.1917808219178</v>
      </c>
      <c r="I463" s="37" t="n">
        <f aca="false">Inputs!$C$9-SUMIFS(Cash_Events!$G$6:$G$20,Cash_Events!$C$6:$C$20,"FHL",Cash_Events!$B$6:$B$20,"&lt;="&amp;A463)</f>
        <v>1500000</v>
      </c>
      <c r="J463" s="38" t="n">
        <f aca="false">VLOOKUP(A463,Inputs!$F$40:$G$48,2,TRUE())</f>
        <v>0.054735</v>
      </c>
      <c r="K463" s="38" t="n">
        <f aca="false">J463+Inputs!$C$10</f>
        <v>0.122235</v>
      </c>
      <c r="L463" s="37" t="n">
        <f aca="false">I463*K463/C463</f>
        <v>502.335616438356</v>
      </c>
      <c r="M463" s="37" t="n">
        <f aca="false">IF(AND(A463&gt;=Inputs!$C$13,OR(A463&lt;Inputs!$B$19,Inputs!$B$20=1)),I463*Inputs!$C$11/C463,0)</f>
        <v>82.1917808219178</v>
      </c>
    </row>
    <row r="464" customFormat="false" ht="15" hidden="false" customHeight="false" outlineLevel="0" collapsed="false">
      <c r="A464" s="35" t="n">
        <f aca="false">A463+1</f>
        <v>45271</v>
      </c>
      <c r="B464" s="35" t="n">
        <f aca="false">EOMONTH(A464+1,0)</f>
        <v>45291</v>
      </c>
      <c r="C464" s="36" t="n">
        <f aca="false">IF(MOD(YEAR(A464),4)=0,366,365)</f>
        <v>365</v>
      </c>
      <c r="D464" s="37" t="n">
        <f aca="false">Inputs!$B$9-SUMIFS(Cash_Events!$G$6:$G$20,Cash_Events!$C$6:$C$20,"rAGMF",Cash_Events!$B$6:$B$20,"&lt;="&amp;A464)</f>
        <v>1500000</v>
      </c>
      <c r="E464" s="38" t="n">
        <f aca="false">VLOOKUP(A464,Inputs!$A$40:$B$48,2,TRUE())</f>
        <v>0.0547601</v>
      </c>
      <c r="F464" s="38" t="n">
        <f aca="false">E464+Inputs!$B$10</f>
        <v>0.1222601</v>
      </c>
      <c r="G464" s="37" t="n">
        <f aca="false">D464*F464/C464</f>
        <v>502.438767123288</v>
      </c>
      <c r="H464" s="37" t="n">
        <f aca="false">IF(AND(A464&gt;=Inputs!$B$13,OR(A464&lt;Inputs!$B$19,Inputs!$B$20=1)),D464*Inputs!$B$11/C464,0)</f>
        <v>82.1917808219178</v>
      </c>
      <c r="I464" s="37" t="n">
        <f aca="false">Inputs!$C$9-SUMIFS(Cash_Events!$G$6:$G$20,Cash_Events!$C$6:$C$20,"FHL",Cash_Events!$B$6:$B$20,"&lt;="&amp;A464)</f>
        <v>1500000</v>
      </c>
      <c r="J464" s="38" t="n">
        <f aca="false">VLOOKUP(A464,Inputs!$F$40:$G$48,2,TRUE())</f>
        <v>0.054735</v>
      </c>
      <c r="K464" s="38" t="n">
        <f aca="false">J464+Inputs!$C$10</f>
        <v>0.122235</v>
      </c>
      <c r="L464" s="37" t="n">
        <f aca="false">I464*K464/C464</f>
        <v>502.335616438356</v>
      </c>
      <c r="M464" s="37" t="n">
        <f aca="false">IF(AND(A464&gt;=Inputs!$C$13,OR(A464&lt;Inputs!$B$19,Inputs!$B$20=1)),I464*Inputs!$C$11/C464,0)</f>
        <v>82.1917808219178</v>
      </c>
    </row>
    <row r="465" customFormat="false" ht="15" hidden="false" customHeight="false" outlineLevel="0" collapsed="false">
      <c r="A465" s="35" t="n">
        <f aca="false">A464+1</f>
        <v>45272</v>
      </c>
      <c r="B465" s="35" t="n">
        <f aca="false">EOMONTH(A465+1,0)</f>
        <v>45291</v>
      </c>
      <c r="C465" s="36" t="n">
        <f aca="false">IF(MOD(YEAR(A465),4)=0,366,365)</f>
        <v>365</v>
      </c>
      <c r="D465" s="37" t="n">
        <f aca="false">Inputs!$B$9-SUMIFS(Cash_Events!$G$6:$G$20,Cash_Events!$C$6:$C$20,"rAGMF",Cash_Events!$B$6:$B$20,"&lt;="&amp;A465)</f>
        <v>1500000</v>
      </c>
      <c r="E465" s="38" t="n">
        <f aca="false">VLOOKUP(A465,Inputs!$A$40:$B$48,2,TRUE())</f>
        <v>0.0547601</v>
      </c>
      <c r="F465" s="38" t="n">
        <f aca="false">E465+Inputs!$B$10</f>
        <v>0.1222601</v>
      </c>
      <c r="G465" s="37" t="n">
        <f aca="false">D465*F465/C465</f>
        <v>502.438767123288</v>
      </c>
      <c r="H465" s="37" t="n">
        <f aca="false">IF(AND(A465&gt;=Inputs!$B$13,OR(A465&lt;Inputs!$B$19,Inputs!$B$20=1)),D465*Inputs!$B$11/C465,0)</f>
        <v>82.1917808219178</v>
      </c>
      <c r="I465" s="37" t="n">
        <f aca="false">Inputs!$C$9-SUMIFS(Cash_Events!$G$6:$G$20,Cash_Events!$C$6:$C$20,"FHL",Cash_Events!$B$6:$B$20,"&lt;="&amp;A465)</f>
        <v>1500000</v>
      </c>
      <c r="J465" s="38" t="n">
        <f aca="false">VLOOKUP(A465,Inputs!$F$40:$G$48,2,TRUE())</f>
        <v>0.054735</v>
      </c>
      <c r="K465" s="38" t="n">
        <f aca="false">J465+Inputs!$C$10</f>
        <v>0.122235</v>
      </c>
      <c r="L465" s="37" t="n">
        <f aca="false">I465*K465/C465</f>
        <v>502.335616438356</v>
      </c>
      <c r="M465" s="37" t="n">
        <f aca="false">IF(AND(A465&gt;=Inputs!$C$13,OR(A465&lt;Inputs!$B$19,Inputs!$B$20=1)),I465*Inputs!$C$11/C465,0)</f>
        <v>82.1917808219178</v>
      </c>
    </row>
    <row r="466" customFormat="false" ht="15" hidden="false" customHeight="false" outlineLevel="0" collapsed="false">
      <c r="A466" s="35" t="n">
        <f aca="false">A465+1</f>
        <v>45273</v>
      </c>
      <c r="B466" s="35" t="n">
        <f aca="false">EOMONTH(A466+1,0)</f>
        <v>45291</v>
      </c>
      <c r="C466" s="36" t="n">
        <f aca="false">IF(MOD(YEAR(A466),4)=0,366,365)</f>
        <v>365</v>
      </c>
      <c r="D466" s="37" t="n">
        <f aca="false">Inputs!$B$9-SUMIFS(Cash_Events!$G$6:$G$20,Cash_Events!$C$6:$C$20,"rAGMF",Cash_Events!$B$6:$B$20,"&lt;="&amp;A466)</f>
        <v>1500000</v>
      </c>
      <c r="E466" s="38" t="n">
        <f aca="false">VLOOKUP(A466,Inputs!$A$40:$B$48,2,TRUE())</f>
        <v>0.0547601</v>
      </c>
      <c r="F466" s="38" t="n">
        <f aca="false">E466+Inputs!$B$10</f>
        <v>0.1222601</v>
      </c>
      <c r="G466" s="37" t="n">
        <f aca="false">D466*F466/C466</f>
        <v>502.438767123288</v>
      </c>
      <c r="H466" s="37" t="n">
        <f aca="false">IF(AND(A466&gt;=Inputs!$B$13,OR(A466&lt;Inputs!$B$19,Inputs!$B$20=1)),D466*Inputs!$B$11/C466,0)</f>
        <v>82.1917808219178</v>
      </c>
      <c r="I466" s="37" t="n">
        <f aca="false">Inputs!$C$9-SUMIFS(Cash_Events!$G$6:$G$20,Cash_Events!$C$6:$C$20,"FHL",Cash_Events!$B$6:$B$20,"&lt;="&amp;A466)</f>
        <v>1500000</v>
      </c>
      <c r="J466" s="38" t="n">
        <f aca="false">VLOOKUP(A466,Inputs!$F$40:$G$48,2,TRUE())</f>
        <v>0.054735</v>
      </c>
      <c r="K466" s="38" t="n">
        <f aca="false">J466+Inputs!$C$10</f>
        <v>0.122235</v>
      </c>
      <c r="L466" s="37" t="n">
        <f aca="false">I466*K466/C466</f>
        <v>502.335616438356</v>
      </c>
      <c r="M466" s="37" t="n">
        <f aca="false">IF(AND(A466&gt;=Inputs!$C$13,OR(A466&lt;Inputs!$B$19,Inputs!$B$20=1)),I466*Inputs!$C$11/C466,0)</f>
        <v>82.1917808219178</v>
      </c>
    </row>
    <row r="467" customFormat="false" ht="15" hidden="false" customHeight="false" outlineLevel="0" collapsed="false">
      <c r="A467" s="35" t="n">
        <f aca="false">A466+1</f>
        <v>45274</v>
      </c>
      <c r="B467" s="35" t="n">
        <f aca="false">EOMONTH(A467+1,0)</f>
        <v>45291</v>
      </c>
      <c r="C467" s="36" t="n">
        <f aca="false">IF(MOD(YEAR(A467),4)=0,366,365)</f>
        <v>365</v>
      </c>
      <c r="D467" s="37" t="n">
        <f aca="false">Inputs!$B$9-SUMIFS(Cash_Events!$G$6:$G$20,Cash_Events!$C$6:$C$20,"rAGMF",Cash_Events!$B$6:$B$20,"&lt;="&amp;A467)</f>
        <v>1500000</v>
      </c>
      <c r="E467" s="38" t="n">
        <f aca="false">VLOOKUP(A467,Inputs!$A$40:$B$48,2,TRUE())</f>
        <v>0.0547601</v>
      </c>
      <c r="F467" s="38" t="n">
        <f aca="false">E467+Inputs!$B$10</f>
        <v>0.1222601</v>
      </c>
      <c r="G467" s="37" t="n">
        <f aca="false">D467*F467/C467</f>
        <v>502.438767123288</v>
      </c>
      <c r="H467" s="37" t="n">
        <f aca="false">IF(AND(A467&gt;=Inputs!$B$13,OR(A467&lt;Inputs!$B$19,Inputs!$B$20=1)),D467*Inputs!$B$11/C467,0)</f>
        <v>82.1917808219178</v>
      </c>
      <c r="I467" s="37" t="n">
        <f aca="false">Inputs!$C$9-SUMIFS(Cash_Events!$G$6:$G$20,Cash_Events!$C$6:$C$20,"FHL",Cash_Events!$B$6:$B$20,"&lt;="&amp;A467)</f>
        <v>1500000</v>
      </c>
      <c r="J467" s="38" t="n">
        <f aca="false">VLOOKUP(A467,Inputs!$F$40:$G$48,2,TRUE())</f>
        <v>0.054735</v>
      </c>
      <c r="K467" s="38" t="n">
        <f aca="false">J467+Inputs!$C$10</f>
        <v>0.122235</v>
      </c>
      <c r="L467" s="37" t="n">
        <f aca="false">I467*K467/C467</f>
        <v>502.335616438356</v>
      </c>
      <c r="M467" s="37" t="n">
        <f aca="false">IF(AND(A467&gt;=Inputs!$C$13,OR(A467&lt;Inputs!$B$19,Inputs!$B$20=1)),I467*Inputs!$C$11/C467,0)</f>
        <v>82.1917808219178</v>
      </c>
    </row>
    <row r="468" customFormat="false" ht="15" hidden="false" customHeight="false" outlineLevel="0" collapsed="false">
      <c r="A468" s="35" t="n">
        <f aca="false">A467+1</f>
        <v>45275</v>
      </c>
      <c r="B468" s="35" t="n">
        <f aca="false">EOMONTH(A468+1,0)</f>
        <v>45291</v>
      </c>
      <c r="C468" s="36" t="n">
        <f aca="false">IF(MOD(YEAR(A468),4)=0,366,365)</f>
        <v>365</v>
      </c>
      <c r="D468" s="37" t="n">
        <f aca="false">Inputs!$B$9-SUMIFS(Cash_Events!$G$6:$G$20,Cash_Events!$C$6:$C$20,"rAGMF",Cash_Events!$B$6:$B$20,"&lt;="&amp;A468)</f>
        <v>1500000</v>
      </c>
      <c r="E468" s="38" t="n">
        <f aca="false">VLOOKUP(A468,Inputs!$A$40:$B$48,2,TRUE())</f>
        <v>0.0547601</v>
      </c>
      <c r="F468" s="38" t="n">
        <f aca="false">E468+Inputs!$B$10</f>
        <v>0.1222601</v>
      </c>
      <c r="G468" s="37" t="n">
        <f aca="false">D468*F468/C468</f>
        <v>502.438767123288</v>
      </c>
      <c r="H468" s="37" t="n">
        <f aca="false">IF(AND(A468&gt;=Inputs!$B$13,OR(A468&lt;Inputs!$B$19,Inputs!$B$20=1)),D468*Inputs!$B$11/C468,0)</f>
        <v>82.1917808219178</v>
      </c>
      <c r="I468" s="37" t="n">
        <f aca="false">Inputs!$C$9-SUMIFS(Cash_Events!$G$6:$G$20,Cash_Events!$C$6:$C$20,"FHL",Cash_Events!$B$6:$B$20,"&lt;="&amp;A468)</f>
        <v>1500000</v>
      </c>
      <c r="J468" s="38" t="n">
        <f aca="false">VLOOKUP(A468,Inputs!$F$40:$G$48,2,TRUE())</f>
        <v>0.054735</v>
      </c>
      <c r="K468" s="38" t="n">
        <f aca="false">J468+Inputs!$C$10</f>
        <v>0.122235</v>
      </c>
      <c r="L468" s="37" t="n">
        <f aca="false">I468*K468/C468</f>
        <v>502.335616438356</v>
      </c>
      <c r="M468" s="37" t="n">
        <f aca="false">IF(AND(A468&gt;=Inputs!$C$13,OR(A468&lt;Inputs!$B$19,Inputs!$B$20=1)),I468*Inputs!$C$11/C468,0)</f>
        <v>82.1917808219178</v>
      </c>
    </row>
    <row r="469" customFormat="false" ht="15" hidden="false" customHeight="false" outlineLevel="0" collapsed="false">
      <c r="A469" s="35" t="n">
        <f aca="false">A468+1</f>
        <v>45276</v>
      </c>
      <c r="B469" s="35" t="n">
        <f aca="false">EOMONTH(A469+1,0)</f>
        <v>45291</v>
      </c>
      <c r="C469" s="36" t="n">
        <f aca="false">IF(MOD(YEAR(A469),4)=0,366,365)</f>
        <v>365</v>
      </c>
      <c r="D469" s="37" t="n">
        <f aca="false">Inputs!$B$9-SUMIFS(Cash_Events!$G$6:$G$20,Cash_Events!$C$6:$C$20,"rAGMF",Cash_Events!$B$6:$B$20,"&lt;="&amp;A469)</f>
        <v>1500000</v>
      </c>
      <c r="E469" s="38" t="n">
        <f aca="false">VLOOKUP(A469,Inputs!$A$40:$B$48,2,TRUE())</f>
        <v>0.0547601</v>
      </c>
      <c r="F469" s="38" t="n">
        <f aca="false">E469+Inputs!$B$10</f>
        <v>0.1222601</v>
      </c>
      <c r="G469" s="37" t="n">
        <f aca="false">D469*F469/C469</f>
        <v>502.438767123288</v>
      </c>
      <c r="H469" s="37" t="n">
        <f aca="false">IF(AND(A469&gt;=Inputs!$B$13,OR(A469&lt;Inputs!$B$19,Inputs!$B$20=1)),D469*Inputs!$B$11/C469,0)</f>
        <v>82.1917808219178</v>
      </c>
      <c r="I469" s="37" t="n">
        <f aca="false">Inputs!$C$9-SUMIFS(Cash_Events!$G$6:$G$20,Cash_Events!$C$6:$C$20,"FHL",Cash_Events!$B$6:$B$20,"&lt;="&amp;A469)</f>
        <v>1500000</v>
      </c>
      <c r="J469" s="38" t="n">
        <f aca="false">VLOOKUP(A469,Inputs!$F$40:$G$48,2,TRUE())</f>
        <v>0.054735</v>
      </c>
      <c r="K469" s="38" t="n">
        <f aca="false">J469+Inputs!$C$10</f>
        <v>0.122235</v>
      </c>
      <c r="L469" s="37" t="n">
        <f aca="false">I469*K469/C469</f>
        <v>502.335616438356</v>
      </c>
      <c r="M469" s="37" t="n">
        <f aca="false">IF(AND(A469&gt;=Inputs!$C$13,OR(A469&lt;Inputs!$B$19,Inputs!$B$20=1)),I469*Inputs!$C$11/C469,0)</f>
        <v>82.1917808219178</v>
      </c>
    </row>
    <row r="470" customFormat="false" ht="15" hidden="false" customHeight="false" outlineLevel="0" collapsed="false">
      <c r="A470" s="35" t="n">
        <f aca="false">A469+1</f>
        <v>45277</v>
      </c>
      <c r="B470" s="35" t="n">
        <f aca="false">EOMONTH(A470+1,0)</f>
        <v>45291</v>
      </c>
      <c r="C470" s="36" t="n">
        <f aca="false">IF(MOD(YEAR(A470),4)=0,366,365)</f>
        <v>365</v>
      </c>
      <c r="D470" s="37" t="n">
        <f aca="false">Inputs!$B$9-SUMIFS(Cash_Events!$G$6:$G$20,Cash_Events!$C$6:$C$20,"rAGMF",Cash_Events!$B$6:$B$20,"&lt;="&amp;A470)</f>
        <v>1500000</v>
      </c>
      <c r="E470" s="38" t="n">
        <f aca="false">VLOOKUP(A470,Inputs!$A$40:$B$48,2,TRUE())</f>
        <v>0.0547601</v>
      </c>
      <c r="F470" s="38" t="n">
        <f aca="false">E470+Inputs!$B$10</f>
        <v>0.1222601</v>
      </c>
      <c r="G470" s="37" t="n">
        <f aca="false">D470*F470/C470</f>
        <v>502.438767123288</v>
      </c>
      <c r="H470" s="37" t="n">
        <f aca="false">IF(AND(A470&gt;=Inputs!$B$13,OR(A470&lt;Inputs!$B$19,Inputs!$B$20=1)),D470*Inputs!$B$11/C470,0)</f>
        <v>82.1917808219178</v>
      </c>
      <c r="I470" s="37" t="n">
        <f aca="false">Inputs!$C$9-SUMIFS(Cash_Events!$G$6:$G$20,Cash_Events!$C$6:$C$20,"FHL",Cash_Events!$B$6:$B$20,"&lt;="&amp;A470)</f>
        <v>1500000</v>
      </c>
      <c r="J470" s="38" t="n">
        <f aca="false">VLOOKUP(A470,Inputs!$F$40:$G$48,2,TRUE())</f>
        <v>0.054735</v>
      </c>
      <c r="K470" s="38" t="n">
        <f aca="false">J470+Inputs!$C$10</f>
        <v>0.122235</v>
      </c>
      <c r="L470" s="37" t="n">
        <f aca="false">I470*K470/C470</f>
        <v>502.335616438356</v>
      </c>
      <c r="M470" s="37" t="n">
        <f aca="false">IF(AND(A470&gt;=Inputs!$C$13,OR(A470&lt;Inputs!$B$19,Inputs!$B$20=1)),I470*Inputs!$C$11/C470,0)</f>
        <v>82.1917808219178</v>
      </c>
    </row>
    <row r="471" customFormat="false" ht="15" hidden="false" customHeight="false" outlineLevel="0" collapsed="false">
      <c r="A471" s="35" t="n">
        <f aca="false">A470+1</f>
        <v>45278</v>
      </c>
      <c r="B471" s="35" t="n">
        <f aca="false">EOMONTH(A471+1,0)</f>
        <v>45291</v>
      </c>
      <c r="C471" s="36" t="n">
        <f aca="false">IF(MOD(YEAR(A471),4)=0,366,365)</f>
        <v>365</v>
      </c>
      <c r="D471" s="37" t="n">
        <f aca="false">Inputs!$B$9-SUMIFS(Cash_Events!$G$6:$G$20,Cash_Events!$C$6:$C$20,"rAGMF",Cash_Events!$B$6:$B$20,"&lt;="&amp;A471)</f>
        <v>1500000</v>
      </c>
      <c r="E471" s="38" t="n">
        <f aca="false">VLOOKUP(A471,Inputs!$A$40:$B$48,2,TRUE())</f>
        <v>0.0547601</v>
      </c>
      <c r="F471" s="38" t="n">
        <f aca="false">E471+Inputs!$B$10</f>
        <v>0.1222601</v>
      </c>
      <c r="G471" s="37" t="n">
        <f aca="false">D471*F471/C471</f>
        <v>502.438767123288</v>
      </c>
      <c r="H471" s="37" t="n">
        <f aca="false">IF(AND(A471&gt;=Inputs!$B$13,OR(A471&lt;Inputs!$B$19,Inputs!$B$20=1)),D471*Inputs!$B$11/C471,0)</f>
        <v>82.1917808219178</v>
      </c>
      <c r="I471" s="37" t="n">
        <f aca="false">Inputs!$C$9-SUMIFS(Cash_Events!$G$6:$G$20,Cash_Events!$C$6:$C$20,"FHL",Cash_Events!$B$6:$B$20,"&lt;="&amp;A471)</f>
        <v>1500000</v>
      </c>
      <c r="J471" s="38" t="n">
        <f aca="false">VLOOKUP(A471,Inputs!$F$40:$G$48,2,TRUE())</f>
        <v>0.054735</v>
      </c>
      <c r="K471" s="38" t="n">
        <f aca="false">J471+Inputs!$C$10</f>
        <v>0.122235</v>
      </c>
      <c r="L471" s="37" t="n">
        <f aca="false">I471*K471/C471</f>
        <v>502.335616438356</v>
      </c>
      <c r="M471" s="37" t="n">
        <f aca="false">IF(AND(A471&gt;=Inputs!$C$13,OR(A471&lt;Inputs!$B$19,Inputs!$B$20=1)),I471*Inputs!$C$11/C471,0)</f>
        <v>82.1917808219178</v>
      </c>
    </row>
    <row r="472" customFormat="false" ht="15" hidden="false" customHeight="false" outlineLevel="0" collapsed="false">
      <c r="A472" s="35" t="n">
        <f aca="false">A471+1</f>
        <v>45279</v>
      </c>
      <c r="B472" s="35" t="n">
        <f aca="false">EOMONTH(A472+1,0)</f>
        <v>45291</v>
      </c>
      <c r="C472" s="36" t="n">
        <f aca="false">IF(MOD(YEAR(A472),4)=0,366,365)</f>
        <v>365</v>
      </c>
      <c r="D472" s="37" t="n">
        <f aca="false">Inputs!$B$9-SUMIFS(Cash_Events!$G$6:$G$20,Cash_Events!$C$6:$C$20,"rAGMF",Cash_Events!$B$6:$B$20,"&lt;="&amp;A472)</f>
        <v>1500000</v>
      </c>
      <c r="E472" s="38" t="n">
        <f aca="false">VLOOKUP(A472,Inputs!$A$40:$B$48,2,TRUE())</f>
        <v>0.0547601</v>
      </c>
      <c r="F472" s="38" t="n">
        <f aca="false">E472+Inputs!$B$10</f>
        <v>0.1222601</v>
      </c>
      <c r="G472" s="37" t="n">
        <f aca="false">D472*F472/C472</f>
        <v>502.438767123288</v>
      </c>
      <c r="H472" s="37" t="n">
        <f aca="false">IF(AND(A472&gt;=Inputs!$B$13,OR(A472&lt;Inputs!$B$19,Inputs!$B$20=1)),D472*Inputs!$B$11/C472,0)</f>
        <v>82.1917808219178</v>
      </c>
      <c r="I472" s="37" t="n">
        <f aca="false">Inputs!$C$9-SUMIFS(Cash_Events!$G$6:$G$20,Cash_Events!$C$6:$C$20,"FHL",Cash_Events!$B$6:$B$20,"&lt;="&amp;A472)</f>
        <v>1500000</v>
      </c>
      <c r="J472" s="38" t="n">
        <f aca="false">VLOOKUP(A472,Inputs!$F$40:$G$48,2,TRUE())</f>
        <v>0.054735</v>
      </c>
      <c r="K472" s="38" t="n">
        <f aca="false">J472+Inputs!$C$10</f>
        <v>0.122235</v>
      </c>
      <c r="L472" s="37" t="n">
        <f aca="false">I472*K472/C472</f>
        <v>502.335616438356</v>
      </c>
      <c r="M472" s="37" t="n">
        <f aca="false">IF(AND(A472&gt;=Inputs!$C$13,OR(A472&lt;Inputs!$B$19,Inputs!$B$20=1)),I472*Inputs!$C$11/C472,0)</f>
        <v>82.1917808219178</v>
      </c>
    </row>
    <row r="473" customFormat="false" ht="15" hidden="false" customHeight="false" outlineLevel="0" collapsed="false">
      <c r="A473" s="35" t="n">
        <f aca="false">A472+1</f>
        <v>45280</v>
      </c>
      <c r="B473" s="35" t="n">
        <f aca="false">EOMONTH(A473+1,0)</f>
        <v>45291</v>
      </c>
      <c r="C473" s="36" t="n">
        <f aca="false">IF(MOD(YEAR(A473),4)=0,366,365)</f>
        <v>365</v>
      </c>
      <c r="D473" s="37" t="n">
        <f aca="false">Inputs!$B$9-SUMIFS(Cash_Events!$G$6:$G$20,Cash_Events!$C$6:$C$20,"rAGMF",Cash_Events!$B$6:$B$20,"&lt;="&amp;A473)</f>
        <v>1500000</v>
      </c>
      <c r="E473" s="38" t="n">
        <f aca="false">VLOOKUP(A473,Inputs!$A$40:$B$48,2,TRUE())</f>
        <v>0.0547601</v>
      </c>
      <c r="F473" s="38" t="n">
        <f aca="false">E473+Inputs!$B$10</f>
        <v>0.1222601</v>
      </c>
      <c r="G473" s="37" t="n">
        <f aca="false">D473*F473/C473</f>
        <v>502.438767123288</v>
      </c>
      <c r="H473" s="37" t="n">
        <f aca="false">IF(AND(A473&gt;=Inputs!$B$13,OR(A473&lt;Inputs!$B$19,Inputs!$B$20=1)),D473*Inputs!$B$11/C473,0)</f>
        <v>82.1917808219178</v>
      </c>
      <c r="I473" s="37" t="n">
        <f aca="false">Inputs!$C$9-SUMIFS(Cash_Events!$G$6:$G$20,Cash_Events!$C$6:$C$20,"FHL",Cash_Events!$B$6:$B$20,"&lt;="&amp;A473)</f>
        <v>1500000</v>
      </c>
      <c r="J473" s="38" t="n">
        <f aca="false">VLOOKUP(A473,Inputs!$F$40:$G$48,2,TRUE())</f>
        <v>0.054735</v>
      </c>
      <c r="K473" s="38" t="n">
        <f aca="false">J473+Inputs!$C$10</f>
        <v>0.122235</v>
      </c>
      <c r="L473" s="37" t="n">
        <f aca="false">I473*K473/C473</f>
        <v>502.335616438356</v>
      </c>
      <c r="M473" s="37" t="n">
        <f aca="false">IF(AND(A473&gt;=Inputs!$C$13,OR(A473&lt;Inputs!$B$19,Inputs!$B$20=1)),I473*Inputs!$C$11/C473,0)</f>
        <v>82.1917808219178</v>
      </c>
    </row>
    <row r="474" customFormat="false" ht="15" hidden="false" customHeight="false" outlineLevel="0" collapsed="false">
      <c r="A474" s="35" t="n">
        <f aca="false">A473+1</f>
        <v>45281</v>
      </c>
      <c r="B474" s="35" t="n">
        <f aca="false">EOMONTH(A474+1,0)</f>
        <v>45291</v>
      </c>
      <c r="C474" s="36" t="n">
        <f aca="false">IF(MOD(YEAR(A474),4)=0,366,365)</f>
        <v>365</v>
      </c>
      <c r="D474" s="37" t="n">
        <f aca="false">Inputs!$B$9-SUMIFS(Cash_Events!$G$6:$G$20,Cash_Events!$C$6:$C$20,"rAGMF",Cash_Events!$B$6:$B$20,"&lt;="&amp;A474)</f>
        <v>1500000</v>
      </c>
      <c r="E474" s="38" t="n">
        <f aca="false">VLOOKUP(A474,Inputs!$A$40:$B$48,2,TRUE())</f>
        <v>0.0547601</v>
      </c>
      <c r="F474" s="38" t="n">
        <f aca="false">E474+Inputs!$B$10</f>
        <v>0.1222601</v>
      </c>
      <c r="G474" s="37" t="n">
        <f aca="false">D474*F474/C474</f>
        <v>502.438767123288</v>
      </c>
      <c r="H474" s="37" t="n">
        <f aca="false">IF(AND(A474&gt;=Inputs!$B$13,OR(A474&lt;Inputs!$B$19,Inputs!$B$20=1)),D474*Inputs!$B$11/C474,0)</f>
        <v>82.1917808219178</v>
      </c>
      <c r="I474" s="37" t="n">
        <f aca="false">Inputs!$C$9-SUMIFS(Cash_Events!$G$6:$G$20,Cash_Events!$C$6:$C$20,"FHL",Cash_Events!$B$6:$B$20,"&lt;="&amp;A474)</f>
        <v>1500000</v>
      </c>
      <c r="J474" s="38" t="n">
        <f aca="false">VLOOKUP(A474,Inputs!$F$40:$G$48,2,TRUE())</f>
        <v>0.054735</v>
      </c>
      <c r="K474" s="38" t="n">
        <f aca="false">J474+Inputs!$C$10</f>
        <v>0.122235</v>
      </c>
      <c r="L474" s="37" t="n">
        <f aca="false">I474*K474/C474</f>
        <v>502.335616438356</v>
      </c>
      <c r="M474" s="37" t="n">
        <f aca="false">IF(AND(A474&gt;=Inputs!$C$13,OR(A474&lt;Inputs!$B$19,Inputs!$B$20=1)),I474*Inputs!$C$11/C474,0)</f>
        <v>82.1917808219178</v>
      </c>
    </row>
    <row r="475" customFormat="false" ht="15" hidden="false" customHeight="false" outlineLevel="0" collapsed="false">
      <c r="A475" s="35" t="n">
        <f aca="false">A474+1</f>
        <v>45282</v>
      </c>
      <c r="B475" s="35" t="n">
        <f aca="false">EOMONTH(A475+1,0)</f>
        <v>45291</v>
      </c>
      <c r="C475" s="36" t="n">
        <f aca="false">IF(MOD(YEAR(A475),4)=0,366,365)</f>
        <v>365</v>
      </c>
      <c r="D475" s="37" t="n">
        <f aca="false">Inputs!$B$9-SUMIFS(Cash_Events!$G$6:$G$20,Cash_Events!$C$6:$C$20,"rAGMF",Cash_Events!$B$6:$B$20,"&lt;="&amp;A475)</f>
        <v>1500000</v>
      </c>
      <c r="E475" s="38" t="n">
        <f aca="false">VLOOKUP(A475,Inputs!$A$40:$B$48,2,TRUE())</f>
        <v>0.0547601</v>
      </c>
      <c r="F475" s="38" t="n">
        <f aca="false">E475+Inputs!$B$10</f>
        <v>0.1222601</v>
      </c>
      <c r="G475" s="37" t="n">
        <f aca="false">D475*F475/C475</f>
        <v>502.438767123288</v>
      </c>
      <c r="H475" s="37" t="n">
        <f aca="false">IF(AND(A475&gt;=Inputs!$B$13,OR(A475&lt;Inputs!$B$19,Inputs!$B$20=1)),D475*Inputs!$B$11/C475,0)</f>
        <v>82.1917808219178</v>
      </c>
      <c r="I475" s="37" t="n">
        <f aca="false">Inputs!$C$9-SUMIFS(Cash_Events!$G$6:$G$20,Cash_Events!$C$6:$C$20,"FHL",Cash_Events!$B$6:$B$20,"&lt;="&amp;A475)</f>
        <v>1500000</v>
      </c>
      <c r="J475" s="38" t="n">
        <f aca="false">VLOOKUP(A475,Inputs!$F$40:$G$48,2,TRUE())</f>
        <v>0.054735</v>
      </c>
      <c r="K475" s="38" t="n">
        <f aca="false">J475+Inputs!$C$10</f>
        <v>0.122235</v>
      </c>
      <c r="L475" s="37" t="n">
        <f aca="false">I475*K475/C475</f>
        <v>502.335616438356</v>
      </c>
      <c r="M475" s="37" t="n">
        <f aca="false">IF(AND(A475&gt;=Inputs!$C$13,OR(A475&lt;Inputs!$B$19,Inputs!$B$20=1)),I475*Inputs!$C$11/C475,0)</f>
        <v>82.1917808219178</v>
      </c>
    </row>
    <row r="476" customFormat="false" ht="15" hidden="false" customHeight="false" outlineLevel="0" collapsed="false">
      <c r="A476" s="35" t="n">
        <f aca="false">A475+1</f>
        <v>45283</v>
      </c>
      <c r="B476" s="35" t="n">
        <f aca="false">EOMONTH(A476+1,0)</f>
        <v>45291</v>
      </c>
      <c r="C476" s="36" t="n">
        <f aca="false">IF(MOD(YEAR(A476),4)=0,366,365)</f>
        <v>365</v>
      </c>
      <c r="D476" s="37" t="n">
        <f aca="false">Inputs!$B$9-SUMIFS(Cash_Events!$G$6:$G$20,Cash_Events!$C$6:$C$20,"rAGMF",Cash_Events!$B$6:$B$20,"&lt;="&amp;A476)</f>
        <v>1500000</v>
      </c>
      <c r="E476" s="38" t="n">
        <f aca="false">VLOOKUP(A476,Inputs!$A$40:$B$48,2,TRUE())</f>
        <v>0.0547601</v>
      </c>
      <c r="F476" s="38" t="n">
        <f aca="false">E476+Inputs!$B$10</f>
        <v>0.1222601</v>
      </c>
      <c r="G476" s="37" t="n">
        <f aca="false">D476*F476/C476</f>
        <v>502.438767123288</v>
      </c>
      <c r="H476" s="37" t="n">
        <f aca="false">IF(AND(A476&gt;=Inputs!$B$13,OR(A476&lt;Inputs!$B$19,Inputs!$B$20=1)),D476*Inputs!$B$11/C476,0)</f>
        <v>82.1917808219178</v>
      </c>
      <c r="I476" s="37" t="n">
        <f aca="false">Inputs!$C$9-SUMIFS(Cash_Events!$G$6:$G$20,Cash_Events!$C$6:$C$20,"FHL",Cash_Events!$B$6:$B$20,"&lt;="&amp;A476)</f>
        <v>1500000</v>
      </c>
      <c r="J476" s="38" t="n">
        <f aca="false">VLOOKUP(A476,Inputs!$F$40:$G$48,2,TRUE())</f>
        <v>0.054735</v>
      </c>
      <c r="K476" s="38" t="n">
        <f aca="false">J476+Inputs!$C$10</f>
        <v>0.122235</v>
      </c>
      <c r="L476" s="37" t="n">
        <f aca="false">I476*K476/C476</f>
        <v>502.335616438356</v>
      </c>
      <c r="M476" s="37" t="n">
        <f aca="false">IF(AND(A476&gt;=Inputs!$C$13,OR(A476&lt;Inputs!$B$19,Inputs!$B$20=1)),I476*Inputs!$C$11/C476,0)</f>
        <v>82.1917808219178</v>
      </c>
    </row>
    <row r="477" customFormat="false" ht="15" hidden="false" customHeight="false" outlineLevel="0" collapsed="false">
      <c r="A477" s="35" t="n">
        <f aca="false">A476+1</f>
        <v>45284</v>
      </c>
      <c r="B477" s="35" t="n">
        <f aca="false">EOMONTH(A477+1,0)</f>
        <v>45291</v>
      </c>
      <c r="C477" s="36" t="n">
        <f aca="false">IF(MOD(YEAR(A477),4)=0,366,365)</f>
        <v>365</v>
      </c>
      <c r="D477" s="37" t="n">
        <f aca="false">Inputs!$B$9-SUMIFS(Cash_Events!$G$6:$G$20,Cash_Events!$C$6:$C$20,"rAGMF",Cash_Events!$B$6:$B$20,"&lt;="&amp;A477)</f>
        <v>1500000</v>
      </c>
      <c r="E477" s="38" t="n">
        <f aca="false">VLOOKUP(A477,Inputs!$A$40:$B$48,2,TRUE())</f>
        <v>0.0547601</v>
      </c>
      <c r="F477" s="38" t="n">
        <f aca="false">E477+Inputs!$B$10</f>
        <v>0.1222601</v>
      </c>
      <c r="G477" s="37" t="n">
        <f aca="false">D477*F477/C477</f>
        <v>502.438767123288</v>
      </c>
      <c r="H477" s="37" t="n">
        <f aca="false">IF(AND(A477&gt;=Inputs!$B$13,OR(A477&lt;Inputs!$B$19,Inputs!$B$20=1)),D477*Inputs!$B$11/C477,0)</f>
        <v>82.1917808219178</v>
      </c>
      <c r="I477" s="37" t="n">
        <f aca="false">Inputs!$C$9-SUMIFS(Cash_Events!$G$6:$G$20,Cash_Events!$C$6:$C$20,"FHL",Cash_Events!$B$6:$B$20,"&lt;="&amp;A477)</f>
        <v>1500000</v>
      </c>
      <c r="J477" s="38" t="n">
        <f aca="false">VLOOKUP(A477,Inputs!$F$40:$G$48,2,TRUE())</f>
        <v>0.054735</v>
      </c>
      <c r="K477" s="38" t="n">
        <f aca="false">J477+Inputs!$C$10</f>
        <v>0.122235</v>
      </c>
      <c r="L477" s="37" t="n">
        <f aca="false">I477*K477/C477</f>
        <v>502.335616438356</v>
      </c>
      <c r="M477" s="37" t="n">
        <f aca="false">IF(AND(A477&gt;=Inputs!$C$13,OR(A477&lt;Inputs!$B$19,Inputs!$B$20=1)),I477*Inputs!$C$11/C477,0)</f>
        <v>82.1917808219178</v>
      </c>
    </row>
    <row r="478" customFormat="false" ht="15" hidden="false" customHeight="false" outlineLevel="0" collapsed="false">
      <c r="A478" s="35" t="n">
        <f aca="false">A477+1</f>
        <v>45285</v>
      </c>
      <c r="B478" s="35" t="n">
        <f aca="false">EOMONTH(A478+1,0)</f>
        <v>45291</v>
      </c>
      <c r="C478" s="36" t="n">
        <f aca="false">IF(MOD(YEAR(A478),4)=0,366,365)</f>
        <v>365</v>
      </c>
      <c r="D478" s="37" t="n">
        <f aca="false">Inputs!$B$9-SUMIFS(Cash_Events!$G$6:$G$20,Cash_Events!$C$6:$C$20,"rAGMF",Cash_Events!$B$6:$B$20,"&lt;="&amp;A478)</f>
        <v>1500000</v>
      </c>
      <c r="E478" s="38" t="n">
        <f aca="false">VLOOKUP(A478,Inputs!$A$40:$B$48,2,TRUE())</f>
        <v>0.0547601</v>
      </c>
      <c r="F478" s="38" t="n">
        <f aca="false">E478+Inputs!$B$10</f>
        <v>0.1222601</v>
      </c>
      <c r="G478" s="37" t="n">
        <f aca="false">D478*F478/C478</f>
        <v>502.438767123288</v>
      </c>
      <c r="H478" s="37" t="n">
        <f aca="false">IF(AND(A478&gt;=Inputs!$B$13,OR(A478&lt;Inputs!$B$19,Inputs!$B$20=1)),D478*Inputs!$B$11/C478,0)</f>
        <v>82.1917808219178</v>
      </c>
      <c r="I478" s="37" t="n">
        <f aca="false">Inputs!$C$9-SUMIFS(Cash_Events!$G$6:$G$20,Cash_Events!$C$6:$C$20,"FHL",Cash_Events!$B$6:$B$20,"&lt;="&amp;A478)</f>
        <v>1500000</v>
      </c>
      <c r="J478" s="38" t="n">
        <f aca="false">VLOOKUP(A478,Inputs!$F$40:$G$48,2,TRUE())</f>
        <v>0.054735</v>
      </c>
      <c r="K478" s="38" t="n">
        <f aca="false">J478+Inputs!$C$10</f>
        <v>0.122235</v>
      </c>
      <c r="L478" s="37" t="n">
        <f aca="false">I478*K478/C478</f>
        <v>502.335616438356</v>
      </c>
      <c r="M478" s="37" t="n">
        <f aca="false">IF(AND(A478&gt;=Inputs!$C$13,OR(A478&lt;Inputs!$B$19,Inputs!$B$20=1)),I478*Inputs!$C$11/C478,0)</f>
        <v>82.1917808219178</v>
      </c>
    </row>
    <row r="479" customFormat="false" ht="15" hidden="false" customHeight="false" outlineLevel="0" collapsed="false">
      <c r="A479" s="35" t="n">
        <f aca="false">A478+1</f>
        <v>45286</v>
      </c>
      <c r="B479" s="35" t="n">
        <f aca="false">EOMONTH(A479+1,0)</f>
        <v>45291</v>
      </c>
      <c r="C479" s="36" t="n">
        <f aca="false">IF(MOD(YEAR(A479),4)=0,366,365)</f>
        <v>365</v>
      </c>
      <c r="D479" s="37" t="n">
        <f aca="false">Inputs!$B$9-SUMIFS(Cash_Events!$G$6:$G$20,Cash_Events!$C$6:$C$20,"rAGMF",Cash_Events!$B$6:$B$20,"&lt;="&amp;A479)</f>
        <v>1500000</v>
      </c>
      <c r="E479" s="38" t="n">
        <f aca="false">VLOOKUP(A479,Inputs!$A$40:$B$48,2,TRUE())</f>
        <v>0.0547601</v>
      </c>
      <c r="F479" s="38" t="n">
        <f aca="false">E479+Inputs!$B$10</f>
        <v>0.1222601</v>
      </c>
      <c r="G479" s="37" t="n">
        <f aca="false">D479*F479/C479</f>
        <v>502.438767123288</v>
      </c>
      <c r="H479" s="37" t="n">
        <f aca="false">IF(AND(A479&gt;=Inputs!$B$13,OR(A479&lt;Inputs!$B$19,Inputs!$B$20=1)),D479*Inputs!$B$11/C479,0)</f>
        <v>82.1917808219178</v>
      </c>
      <c r="I479" s="37" t="n">
        <f aca="false">Inputs!$C$9-SUMIFS(Cash_Events!$G$6:$G$20,Cash_Events!$C$6:$C$20,"FHL",Cash_Events!$B$6:$B$20,"&lt;="&amp;A479)</f>
        <v>1500000</v>
      </c>
      <c r="J479" s="38" t="n">
        <f aca="false">VLOOKUP(A479,Inputs!$F$40:$G$48,2,TRUE())</f>
        <v>0.054735</v>
      </c>
      <c r="K479" s="38" t="n">
        <f aca="false">J479+Inputs!$C$10</f>
        <v>0.122235</v>
      </c>
      <c r="L479" s="37" t="n">
        <f aca="false">I479*K479/C479</f>
        <v>502.335616438356</v>
      </c>
      <c r="M479" s="37" t="n">
        <f aca="false">IF(AND(A479&gt;=Inputs!$C$13,OR(A479&lt;Inputs!$B$19,Inputs!$B$20=1)),I479*Inputs!$C$11/C479,0)</f>
        <v>82.1917808219178</v>
      </c>
    </row>
    <row r="480" customFormat="false" ht="15" hidden="false" customHeight="false" outlineLevel="0" collapsed="false">
      <c r="A480" s="35" t="n">
        <f aca="false">A479+1</f>
        <v>45287</v>
      </c>
      <c r="B480" s="35" t="n">
        <f aca="false">EOMONTH(A480+1,0)</f>
        <v>45291</v>
      </c>
      <c r="C480" s="36" t="n">
        <f aca="false">IF(MOD(YEAR(A480),4)=0,366,365)</f>
        <v>365</v>
      </c>
      <c r="D480" s="37" t="n">
        <f aca="false">Inputs!$B$9-SUMIFS(Cash_Events!$G$6:$G$20,Cash_Events!$C$6:$C$20,"rAGMF",Cash_Events!$B$6:$B$20,"&lt;="&amp;A480)</f>
        <v>1500000</v>
      </c>
      <c r="E480" s="38" t="n">
        <f aca="false">VLOOKUP(A480,Inputs!$A$40:$B$48,2,TRUE())</f>
        <v>0.0547601</v>
      </c>
      <c r="F480" s="38" t="n">
        <f aca="false">E480+Inputs!$B$10</f>
        <v>0.1222601</v>
      </c>
      <c r="G480" s="37" t="n">
        <f aca="false">D480*F480/C480</f>
        <v>502.438767123288</v>
      </c>
      <c r="H480" s="37" t="n">
        <f aca="false">IF(AND(A480&gt;=Inputs!$B$13,OR(A480&lt;Inputs!$B$19,Inputs!$B$20=1)),D480*Inputs!$B$11/C480,0)</f>
        <v>82.1917808219178</v>
      </c>
      <c r="I480" s="37" t="n">
        <f aca="false">Inputs!$C$9-SUMIFS(Cash_Events!$G$6:$G$20,Cash_Events!$C$6:$C$20,"FHL",Cash_Events!$B$6:$B$20,"&lt;="&amp;A480)</f>
        <v>1500000</v>
      </c>
      <c r="J480" s="38" t="n">
        <f aca="false">VLOOKUP(A480,Inputs!$F$40:$G$48,2,TRUE())</f>
        <v>0.054735</v>
      </c>
      <c r="K480" s="38" t="n">
        <f aca="false">J480+Inputs!$C$10</f>
        <v>0.122235</v>
      </c>
      <c r="L480" s="37" t="n">
        <f aca="false">I480*K480/C480</f>
        <v>502.335616438356</v>
      </c>
      <c r="M480" s="37" t="n">
        <f aca="false">IF(AND(A480&gt;=Inputs!$C$13,OR(A480&lt;Inputs!$B$19,Inputs!$B$20=1)),I480*Inputs!$C$11/C480,0)</f>
        <v>82.1917808219178</v>
      </c>
    </row>
    <row r="481" customFormat="false" ht="15" hidden="false" customHeight="false" outlineLevel="0" collapsed="false">
      <c r="A481" s="35" t="n">
        <f aca="false">A480+1</f>
        <v>45288</v>
      </c>
      <c r="B481" s="35" t="n">
        <f aca="false">EOMONTH(A481+1,0)</f>
        <v>45291</v>
      </c>
      <c r="C481" s="36" t="n">
        <f aca="false">IF(MOD(YEAR(A481),4)=0,366,365)</f>
        <v>365</v>
      </c>
      <c r="D481" s="37" t="n">
        <f aca="false">Inputs!$B$9-SUMIFS(Cash_Events!$G$6:$G$20,Cash_Events!$C$6:$C$20,"rAGMF",Cash_Events!$B$6:$B$20,"&lt;="&amp;A481)</f>
        <v>1500000</v>
      </c>
      <c r="E481" s="38" t="n">
        <f aca="false">VLOOKUP(A481,Inputs!$A$40:$B$48,2,TRUE())</f>
        <v>0.0547601</v>
      </c>
      <c r="F481" s="38" t="n">
        <f aca="false">E481+Inputs!$B$10</f>
        <v>0.1222601</v>
      </c>
      <c r="G481" s="37" t="n">
        <f aca="false">D481*F481/C481</f>
        <v>502.438767123288</v>
      </c>
      <c r="H481" s="37" t="n">
        <f aca="false">IF(AND(A481&gt;=Inputs!$B$13,OR(A481&lt;Inputs!$B$19,Inputs!$B$20=1)),D481*Inputs!$B$11/C481,0)</f>
        <v>82.1917808219178</v>
      </c>
      <c r="I481" s="37" t="n">
        <f aca="false">Inputs!$C$9-SUMIFS(Cash_Events!$G$6:$G$20,Cash_Events!$C$6:$C$20,"FHL",Cash_Events!$B$6:$B$20,"&lt;="&amp;A481)</f>
        <v>1500000</v>
      </c>
      <c r="J481" s="38" t="n">
        <f aca="false">VLOOKUP(A481,Inputs!$F$40:$G$48,2,TRUE())</f>
        <v>0.054735</v>
      </c>
      <c r="K481" s="38" t="n">
        <f aca="false">J481+Inputs!$C$10</f>
        <v>0.122235</v>
      </c>
      <c r="L481" s="37" t="n">
        <f aca="false">I481*K481/C481</f>
        <v>502.335616438356</v>
      </c>
      <c r="M481" s="37" t="n">
        <f aca="false">IF(AND(A481&gt;=Inputs!$C$13,OR(A481&lt;Inputs!$B$19,Inputs!$B$20=1)),I481*Inputs!$C$11/C481,0)</f>
        <v>82.1917808219178</v>
      </c>
    </row>
    <row r="482" customFormat="false" ht="15" hidden="false" customHeight="false" outlineLevel="0" collapsed="false">
      <c r="A482" s="35" t="n">
        <f aca="false">A481+1</f>
        <v>45289</v>
      </c>
      <c r="B482" s="35" t="n">
        <f aca="false">EOMONTH(A482+1,0)</f>
        <v>45291</v>
      </c>
      <c r="C482" s="36" t="n">
        <f aca="false">IF(MOD(YEAR(A482),4)=0,366,365)</f>
        <v>365</v>
      </c>
      <c r="D482" s="37" t="n">
        <f aca="false">Inputs!$B$9-SUMIFS(Cash_Events!$G$6:$G$20,Cash_Events!$C$6:$C$20,"rAGMF",Cash_Events!$B$6:$B$20,"&lt;="&amp;A482)</f>
        <v>1500000</v>
      </c>
      <c r="E482" s="38" t="n">
        <f aca="false">VLOOKUP(A482,Inputs!$A$40:$B$48,2,TRUE())</f>
        <v>0.0547601</v>
      </c>
      <c r="F482" s="38" t="n">
        <f aca="false">E482+Inputs!$B$10</f>
        <v>0.1222601</v>
      </c>
      <c r="G482" s="37" t="n">
        <f aca="false">D482*F482/C482</f>
        <v>502.438767123288</v>
      </c>
      <c r="H482" s="37" t="n">
        <f aca="false">IF(AND(A482&gt;=Inputs!$B$13,OR(A482&lt;Inputs!$B$19,Inputs!$B$20=1)),D482*Inputs!$B$11/C482,0)</f>
        <v>82.1917808219178</v>
      </c>
      <c r="I482" s="37" t="n">
        <f aca="false">Inputs!$C$9-SUMIFS(Cash_Events!$G$6:$G$20,Cash_Events!$C$6:$C$20,"FHL",Cash_Events!$B$6:$B$20,"&lt;="&amp;A482)</f>
        <v>1500000</v>
      </c>
      <c r="J482" s="38" t="n">
        <f aca="false">VLOOKUP(A482,Inputs!$F$40:$G$48,2,TRUE())</f>
        <v>0.054735</v>
      </c>
      <c r="K482" s="38" t="n">
        <f aca="false">J482+Inputs!$C$10</f>
        <v>0.122235</v>
      </c>
      <c r="L482" s="37" t="n">
        <f aca="false">I482*K482/C482</f>
        <v>502.335616438356</v>
      </c>
      <c r="M482" s="37" t="n">
        <f aca="false">IF(AND(A482&gt;=Inputs!$C$13,OR(A482&lt;Inputs!$B$19,Inputs!$B$20=1)),I482*Inputs!$C$11/C482,0)</f>
        <v>82.1917808219178</v>
      </c>
    </row>
    <row r="483" customFormat="false" ht="15" hidden="false" customHeight="false" outlineLevel="0" collapsed="false">
      <c r="A483" s="35" t="n">
        <f aca="false">A482+1</f>
        <v>45290</v>
      </c>
      <c r="B483" s="35" t="n">
        <f aca="false">EOMONTH(A483+1,0)</f>
        <v>45291</v>
      </c>
      <c r="C483" s="36" t="n">
        <f aca="false">IF(MOD(YEAR(A483),4)=0,366,365)</f>
        <v>365</v>
      </c>
      <c r="D483" s="37" t="n">
        <f aca="false">Inputs!$B$9-SUMIFS(Cash_Events!$G$6:$G$20,Cash_Events!$C$6:$C$20,"rAGMF",Cash_Events!$B$6:$B$20,"&lt;="&amp;A483)</f>
        <v>1500000</v>
      </c>
      <c r="E483" s="38" t="n">
        <f aca="false">VLOOKUP(A483,Inputs!$A$40:$B$48,2,TRUE())</f>
        <v>0.0547601</v>
      </c>
      <c r="F483" s="38" t="n">
        <f aca="false">E483+Inputs!$B$10</f>
        <v>0.1222601</v>
      </c>
      <c r="G483" s="37" t="n">
        <f aca="false">D483*F483/C483</f>
        <v>502.438767123288</v>
      </c>
      <c r="H483" s="37" t="n">
        <f aca="false">IF(AND(A483&gt;=Inputs!$B$13,OR(A483&lt;Inputs!$B$19,Inputs!$B$20=1)),D483*Inputs!$B$11/C483,0)</f>
        <v>82.1917808219178</v>
      </c>
      <c r="I483" s="37" t="n">
        <f aca="false">Inputs!$C$9-SUMIFS(Cash_Events!$G$6:$G$20,Cash_Events!$C$6:$C$20,"FHL",Cash_Events!$B$6:$B$20,"&lt;="&amp;A483)</f>
        <v>1500000</v>
      </c>
      <c r="J483" s="38" t="n">
        <f aca="false">VLOOKUP(A483,Inputs!$F$40:$G$48,2,TRUE())</f>
        <v>0.054735</v>
      </c>
      <c r="K483" s="38" t="n">
        <f aca="false">J483+Inputs!$C$10</f>
        <v>0.122235</v>
      </c>
      <c r="L483" s="37" t="n">
        <f aca="false">I483*K483/C483</f>
        <v>502.335616438356</v>
      </c>
      <c r="M483" s="37" t="n">
        <f aca="false">IF(AND(A483&gt;=Inputs!$C$13,OR(A483&lt;Inputs!$B$19,Inputs!$B$20=1)),I483*Inputs!$C$11/C483,0)</f>
        <v>82.1917808219178</v>
      </c>
    </row>
    <row r="484" customFormat="false" ht="15" hidden="false" customHeight="false" outlineLevel="0" collapsed="false">
      <c r="A484" s="35" t="n">
        <f aca="false">A483+1</f>
        <v>45291</v>
      </c>
      <c r="B484" s="35" t="n">
        <f aca="false">EOMONTH(A484+1,0)</f>
        <v>45322</v>
      </c>
      <c r="C484" s="36" t="n">
        <f aca="false">IF(MOD(YEAR(A484),4)=0,366,365)</f>
        <v>365</v>
      </c>
      <c r="D484" s="37" t="n">
        <f aca="false">Inputs!$B$9-SUMIFS(Cash_Events!$G$6:$G$20,Cash_Events!$C$6:$C$20,"rAGMF",Cash_Events!$B$6:$B$20,"&lt;="&amp;A484)</f>
        <v>1500000</v>
      </c>
      <c r="E484" s="38" t="n">
        <f aca="false">VLOOKUP(A484,Inputs!$A$40:$B$48,2,TRUE())</f>
        <v>0.0547601</v>
      </c>
      <c r="F484" s="38" t="n">
        <f aca="false">E484+Inputs!$B$10</f>
        <v>0.1222601</v>
      </c>
      <c r="G484" s="37" t="n">
        <f aca="false">D484*F484/C484</f>
        <v>502.438767123288</v>
      </c>
      <c r="H484" s="37" t="n">
        <f aca="false">IF(AND(A484&gt;=Inputs!$B$13,OR(A484&lt;Inputs!$B$19,Inputs!$B$20=1)),D484*Inputs!$B$11/C484,0)</f>
        <v>82.1917808219178</v>
      </c>
      <c r="I484" s="37" t="n">
        <f aca="false">Inputs!$C$9-SUMIFS(Cash_Events!$G$6:$G$20,Cash_Events!$C$6:$C$20,"FHL",Cash_Events!$B$6:$B$20,"&lt;="&amp;A484)</f>
        <v>1500000</v>
      </c>
      <c r="J484" s="38" t="n">
        <f aca="false">VLOOKUP(A484,Inputs!$F$40:$G$48,2,TRUE())</f>
        <v>0.054735</v>
      </c>
      <c r="K484" s="38" t="n">
        <f aca="false">J484+Inputs!$C$10</f>
        <v>0.122235</v>
      </c>
      <c r="L484" s="37" t="n">
        <f aca="false">I484*K484/C484</f>
        <v>502.335616438356</v>
      </c>
      <c r="M484" s="37" t="n">
        <f aca="false">IF(AND(A484&gt;=Inputs!$C$13,OR(A484&lt;Inputs!$B$19,Inputs!$B$20=1)),I484*Inputs!$C$11/C484,0)</f>
        <v>82.1917808219178</v>
      </c>
    </row>
    <row r="485" customFormat="false" ht="15" hidden="false" customHeight="false" outlineLevel="0" collapsed="false">
      <c r="A485" s="35" t="n">
        <f aca="false">A484+1</f>
        <v>45292</v>
      </c>
      <c r="B485" s="35" t="n">
        <f aca="false">EOMONTH(A485+1,0)</f>
        <v>45322</v>
      </c>
      <c r="C485" s="36" t="n">
        <f aca="false">IF(MOD(YEAR(A485),4)=0,366,365)</f>
        <v>366</v>
      </c>
      <c r="D485" s="37" t="n">
        <f aca="false">Inputs!$B$9-SUMIFS(Cash_Events!$G$6:$G$20,Cash_Events!$C$6:$C$20,"rAGMF",Cash_Events!$B$6:$B$20,"&lt;="&amp;A485)</f>
        <v>1500000</v>
      </c>
      <c r="E485" s="38" t="n">
        <f aca="false">VLOOKUP(A485,Inputs!$A$40:$B$48,2,TRUE())</f>
        <v>0.0547601</v>
      </c>
      <c r="F485" s="38" t="n">
        <f aca="false">E485+Inputs!$B$10</f>
        <v>0.1222601</v>
      </c>
      <c r="G485" s="37" t="n">
        <f aca="false">D485*F485/C485</f>
        <v>501.065983606557</v>
      </c>
      <c r="H485" s="37" t="n">
        <f aca="false">IF(AND(A485&gt;=Inputs!$B$13,OR(A485&lt;Inputs!$B$19,Inputs!$B$20=1)),D485*Inputs!$B$11/C485,0)</f>
        <v>81.9672131147541</v>
      </c>
      <c r="I485" s="37" t="n">
        <f aca="false">Inputs!$C$9-SUMIFS(Cash_Events!$G$6:$G$20,Cash_Events!$C$6:$C$20,"FHL",Cash_Events!$B$6:$B$20,"&lt;="&amp;A485)</f>
        <v>1500000</v>
      </c>
      <c r="J485" s="38" t="n">
        <f aca="false">VLOOKUP(A485,Inputs!$F$40:$G$48,2,TRUE())</f>
        <v>0.054735</v>
      </c>
      <c r="K485" s="38" t="n">
        <f aca="false">J485+Inputs!$C$10</f>
        <v>0.122235</v>
      </c>
      <c r="L485" s="37" t="n">
        <f aca="false">I485*K485/C485</f>
        <v>500.963114754098</v>
      </c>
      <c r="M485" s="37" t="n">
        <f aca="false">IF(AND(A485&gt;=Inputs!$C$13,OR(A485&lt;Inputs!$B$19,Inputs!$B$20=1)),I485*Inputs!$C$11/C485,0)</f>
        <v>81.9672131147541</v>
      </c>
    </row>
    <row r="486" customFormat="false" ht="15" hidden="false" customHeight="false" outlineLevel="0" collapsed="false">
      <c r="A486" s="35" t="n">
        <f aca="false">A485+1</f>
        <v>45293</v>
      </c>
      <c r="B486" s="35" t="n">
        <f aca="false">EOMONTH(A486+1,0)</f>
        <v>45322</v>
      </c>
      <c r="C486" s="36" t="n">
        <f aca="false">IF(MOD(YEAR(A486),4)=0,366,365)</f>
        <v>366</v>
      </c>
      <c r="D486" s="37" t="n">
        <f aca="false">Inputs!$B$9-SUMIFS(Cash_Events!$G$6:$G$20,Cash_Events!$C$6:$C$20,"rAGMF",Cash_Events!$B$6:$B$20,"&lt;="&amp;A486)</f>
        <v>1500000</v>
      </c>
      <c r="E486" s="38" t="n">
        <f aca="false">VLOOKUP(A486,Inputs!$A$40:$B$48,2,TRUE())</f>
        <v>0.0547601</v>
      </c>
      <c r="F486" s="38" t="n">
        <f aca="false">E486+Inputs!$B$10</f>
        <v>0.1222601</v>
      </c>
      <c r="G486" s="37" t="n">
        <f aca="false">D486*F486/C486</f>
        <v>501.065983606557</v>
      </c>
      <c r="H486" s="37" t="n">
        <f aca="false">IF(AND(A486&gt;=Inputs!$B$13,OR(A486&lt;Inputs!$B$19,Inputs!$B$20=1)),D486*Inputs!$B$11/C486,0)</f>
        <v>81.9672131147541</v>
      </c>
      <c r="I486" s="37" t="n">
        <f aca="false">Inputs!$C$9-SUMIFS(Cash_Events!$G$6:$G$20,Cash_Events!$C$6:$C$20,"FHL",Cash_Events!$B$6:$B$20,"&lt;="&amp;A486)</f>
        <v>1500000</v>
      </c>
      <c r="J486" s="38" t="n">
        <f aca="false">VLOOKUP(A486,Inputs!$F$40:$G$48,2,TRUE())</f>
        <v>0.054735</v>
      </c>
      <c r="K486" s="38" t="n">
        <f aca="false">J486+Inputs!$C$10</f>
        <v>0.122235</v>
      </c>
      <c r="L486" s="37" t="n">
        <f aca="false">I486*K486/C486</f>
        <v>500.963114754098</v>
      </c>
      <c r="M486" s="37" t="n">
        <f aca="false">IF(AND(A486&gt;=Inputs!$C$13,OR(A486&lt;Inputs!$B$19,Inputs!$B$20=1)),I486*Inputs!$C$11/C486,0)</f>
        <v>81.9672131147541</v>
      </c>
    </row>
    <row r="487" customFormat="false" ht="15" hidden="false" customHeight="false" outlineLevel="0" collapsed="false">
      <c r="A487" s="35" t="n">
        <f aca="false">A486+1</f>
        <v>45294</v>
      </c>
      <c r="B487" s="35" t="n">
        <f aca="false">EOMONTH(A487+1,0)</f>
        <v>45322</v>
      </c>
      <c r="C487" s="36" t="n">
        <f aca="false">IF(MOD(YEAR(A487),4)=0,366,365)</f>
        <v>366</v>
      </c>
      <c r="D487" s="37" t="n">
        <f aca="false">Inputs!$B$9-SUMIFS(Cash_Events!$G$6:$G$20,Cash_Events!$C$6:$C$20,"rAGMF",Cash_Events!$B$6:$B$20,"&lt;="&amp;A487)</f>
        <v>1500000</v>
      </c>
      <c r="E487" s="38" t="n">
        <f aca="false">VLOOKUP(A487,Inputs!$A$40:$B$48,2,TRUE())</f>
        <v>0.0547601</v>
      </c>
      <c r="F487" s="38" t="n">
        <f aca="false">E487+Inputs!$B$10</f>
        <v>0.1222601</v>
      </c>
      <c r="G487" s="37" t="n">
        <f aca="false">D487*F487/C487</f>
        <v>501.065983606557</v>
      </c>
      <c r="H487" s="37" t="n">
        <f aca="false">IF(AND(A487&gt;=Inputs!$B$13,OR(A487&lt;Inputs!$B$19,Inputs!$B$20=1)),D487*Inputs!$B$11/C487,0)</f>
        <v>81.9672131147541</v>
      </c>
      <c r="I487" s="37" t="n">
        <f aca="false">Inputs!$C$9-SUMIFS(Cash_Events!$G$6:$G$20,Cash_Events!$C$6:$C$20,"FHL",Cash_Events!$B$6:$B$20,"&lt;="&amp;A487)</f>
        <v>1500000</v>
      </c>
      <c r="J487" s="38" t="n">
        <f aca="false">VLOOKUP(A487,Inputs!$F$40:$G$48,2,TRUE())</f>
        <v>0.054735</v>
      </c>
      <c r="K487" s="38" t="n">
        <f aca="false">J487+Inputs!$C$10</f>
        <v>0.122235</v>
      </c>
      <c r="L487" s="37" t="n">
        <f aca="false">I487*K487/C487</f>
        <v>500.963114754098</v>
      </c>
      <c r="M487" s="37" t="n">
        <f aca="false">IF(AND(A487&gt;=Inputs!$C$13,OR(A487&lt;Inputs!$B$19,Inputs!$B$20=1)),I487*Inputs!$C$11/C487,0)</f>
        <v>81.9672131147541</v>
      </c>
    </row>
    <row r="488" customFormat="false" ht="15" hidden="false" customHeight="false" outlineLevel="0" collapsed="false">
      <c r="A488" s="35" t="n">
        <f aca="false">A487+1</f>
        <v>45295</v>
      </c>
      <c r="B488" s="35" t="n">
        <f aca="false">EOMONTH(A488+1,0)</f>
        <v>45322</v>
      </c>
      <c r="C488" s="36" t="n">
        <f aca="false">IF(MOD(YEAR(A488),4)=0,366,365)</f>
        <v>366</v>
      </c>
      <c r="D488" s="37" t="n">
        <f aca="false">Inputs!$B$9-SUMIFS(Cash_Events!$G$6:$G$20,Cash_Events!$C$6:$C$20,"rAGMF",Cash_Events!$B$6:$B$20,"&lt;="&amp;A488)</f>
        <v>1500000</v>
      </c>
      <c r="E488" s="38" t="n">
        <f aca="false">VLOOKUP(A488,Inputs!$A$40:$B$48,2,TRUE())</f>
        <v>0.0547601</v>
      </c>
      <c r="F488" s="38" t="n">
        <f aca="false">E488+Inputs!$B$10</f>
        <v>0.1222601</v>
      </c>
      <c r="G488" s="37" t="n">
        <f aca="false">D488*F488/C488</f>
        <v>501.065983606557</v>
      </c>
      <c r="H488" s="37" t="n">
        <f aca="false">IF(AND(A488&gt;=Inputs!$B$13,OR(A488&lt;Inputs!$B$19,Inputs!$B$20=1)),D488*Inputs!$B$11/C488,0)</f>
        <v>81.9672131147541</v>
      </c>
      <c r="I488" s="37" t="n">
        <f aca="false">Inputs!$C$9-SUMIFS(Cash_Events!$G$6:$G$20,Cash_Events!$C$6:$C$20,"FHL",Cash_Events!$B$6:$B$20,"&lt;="&amp;A488)</f>
        <v>1500000</v>
      </c>
      <c r="J488" s="38" t="n">
        <f aca="false">VLOOKUP(A488,Inputs!$F$40:$G$48,2,TRUE())</f>
        <v>0.054735</v>
      </c>
      <c r="K488" s="38" t="n">
        <f aca="false">J488+Inputs!$C$10</f>
        <v>0.122235</v>
      </c>
      <c r="L488" s="37" t="n">
        <f aca="false">I488*K488/C488</f>
        <v>500.963114754098</v>
      </c>
      <c r="M488" s="37" t="n">
        <f aca="false">IF(AND(A488&gt;=Inputs!$C$13,OR(A488&lt;Inputs!$B$19,Inputs!$B$20=1)),I488*Inputs!$C$11/C488,0)</f>
        <v>81.9672131147541</v>
      </c>
    </row>
    <row r="489" customFormat="false" ht="15" hidden="false" customHeight="false" outlineLevel="0" collapsed="false">
      <c r="A489" s="35" t="n">
        <f aca="false">A488+1</f>
        <v>45296</v>
      </c>
      <c r="B489" s="35" t="n">
        <f aca="false">EOMONTH(A489+1,0)</f>
        <v>45322</v>
      </c>
      <c r="C489" s="36" t="n">
        <f aca="false">IF(MOD(YEAR(A489),4)=0,366,365)</f>
        <v>366</v>
      </c>
      <c r="D489" s="37" t="n">
        <f aca="false">Inputs!$B$9-SUMIFS(Cash_Events!$G$6:$G$20,Cash_Events!$C$6:$C$20,"rAGMF",Cash_Events!$B$6:$B$20,"&lt;="&amp;A489)</f>
        <v>1500000</v>
      </c>
      <c r="E489" s="38" t="n">
        <f aca="false">VLOOKUP(A489,Inputs!$A$40:$B$48,2,TRUE())</f>
        <v>0.0547601</v>
      </c>
      <c r="F489" s="38" t="n">
        <f aca="false">E489+Inputs!$B$10</f>
        <v>0.1222601</v>
      </c>
      <c r="G489" s="37" t="n">
        <f aca="false">D489*F489/C489</f>
        <v>501.065983606557</v>
      </c>
      <c r="H489" s="37" t="n">
        <f aca="false">IF(AND(A489&gt;=Inputs!$B$13,OR(A489&lt;Inputs!$B$19,Inputs!$B$20=1)),D489*Inputs!$B$11/C489,0)</f>
        <v>81.9672131147541</v>
      </c>
      <c r="I489" s="37" t="n">
        <f aca="false">Inputs!$C$9-SUMIFS(Cash_Events!$G$6:$G$20,Cash_Events!$C$6:$C$20,"FHL",Cash_Events!$B$6:$B$20,"&lt;="&amp;A489)</f>
        <v>1500000</v>
      </c>
      <c r="J489" s="38" t="n">
        <f aca="false">VLOOKUP(A489,Inputs!$F$40:$G$48,2,TRUE())</f>
        <v>0.054735</v>
      </c>
      <c r="K489" s="38" t="n">
        <f aca="false">J489+Inputs!$C$10</f>
        <v>0.122235</v>
      </c>
      <c r="L489" s="37" t="n">
        <f aca="false">I489*K489/C489</f>
        <v>500.963114754098</v>
      </c>
      <c r="M489" s="37" t="n">
        <f aca="false">IF(AND(A489&gt;=Inputs!$C$13,OR(A489&lt;Inputs!$B$19,Inputs!$B$20=1)),I489*Inputs!$C$11/C489,0)</f>
        <v>81.9672131147541</v>
      </c>
    </row>
    <row r="490" customFormat="false" ht="15" hidden="false" customHeight="false" outlineLevel="0" collapsed="false">
      <c r="A490" s="35" t="n">
        <f aca="false">A489+1</f>
        <v>45297</v>
      </c>
      <c r="B490" s="35" t="n">
        <f aca="false">EOMONTH(A490+1,0)</f>
        <v>45322</v>
      </c>
      <c r="C490" s="36" t="n">
        <f aca="false">IF(MOD(YEAR(A490),4)=0,366,365)</f>
        <v>366</v>
      </c>
      <c r="D490" s="37" t="n">
        <f aca="false">Inputs!$B$9-SUMIFS(Cash_Events!$G$6:$G$20,Cash_Events!$C$6:$C$20,"rAGMF",Cash_Events!$B$6:$B$20,"&lt;="&amp;A490)</f>
        <v>1500000</v>
      </c>
      <c r="E490" s="38" t="n">
        <f aca="false">VLOOKUP(A490,Inputs!$A$40:$B$48,2,TRUE())</f>
        <v>0.0547601</v>
      </c>
      <c r="F490" s="38" t="n">
        <f aca="false">E490+Inputs!$B$10</f>
        <v>0.1222601</v>
      </c>
      <c r="G490" s="37" t="n">
        <f aca="false">D490*F490/C490</f>
        <v>501.065983606557</v>
      </c>
      <c r="H490" s="37" t="n">
        <f aca="false">IF(AND(A490&gt;=Inputs!$B$13,OR(A490&lt;Inputs!$B$19,Inputs!$B$20=1)),D490*Inputs!$B$11/C490,0)</f>
        <v>81.9672131147541</v>
      </c>
      <c r="I490" s="37" t="n">
        <f aca="false">Inputs!$C$9-SUMIFS(Cash_Events!$G$6:$G$20,Cash_Events!$C$6:$C$20,"FHL",Cash_Events!$B$6:$B$20,"&lt;="&amp;A490)</f>
        <v>1500000</v>
      </c>
      <c r="J490" s="38" t="n">
        <f aca="false">VLOOKUP(A490,Inputs!$F$40:$G$48,2,TRUE())</f>
        <v>0.054735</v>
      </c>
      <c r="K490" s="38" t="n">
        <f aca="false">J490+Inputs!$C$10</f>
        <v>0.122235</v>
      </c>
      <c r="L490" s="37" t="n">
        <f aca="false">I490*K490/C490</f>
        <v>500.963114754098</v>
      </c>
      <c r="M490" s="37" t="n">
        <f aca="false">IF(AND(A490&gt;=Inputs!$C$13,OR(A490&lt;Inputs!$B$19,Inputs!$B$20=1)),I490*Inputs!$C$11/C490,0)</f>
        <v>81.9672131147541</v>
      </c>
    </row>
    <row r="491" customFormat="false" ht="15" hidden="false" customHeight="false" outlineLevel="0" collapsed="false">
      <c r="A491" s="35" t="n">
        <f aca="false">A490+1</f>
        <v>45298</v>
      </c>
      <c r="B491" s="35" t="n">
        <f aca="false">EOMONTH(A491+1,0)</f>
        <v>45322</v>
      </c>
      <c r="C491" s="36" t="n">
        <f aca="false">IF(MOD(YEAR(A491),4)=0,366,365)</f>
        <v>366</v>
      </c>
      <c r="D491" s="37" t="n">
        <f aca="false">Inputs!$B$9-SUMIFS(Cash_Events!$G$6:$G$20,Cash_Events!$C$6:$C$20,"rAGMF",Cash_Events!$B$6:$B$20,"&lt;="&amp;A491)</f>
        <v>1500000</v>
      </c>
      <c r="E491" s="38" t="n">
        <f aca="false">VLOOKUP(A491,Inputs!$A$40:$B$48,2,TRUE())</f>
        <v>0.0547601</v>
      </c>
      <c r="F491" s="38" t="n">
        <f aca="false">E491+Inputs!$B$10</f>
        <v>0.1222601</v>
      </c>
      <c r="G491" s="37" t="n">
        <f aca="false">D491*F491/C491</f>
        <v>501.065983606557</v>
      </c>
      <c r="H491" s="37" t="n">
        <f aca="false">IF(AND(A491&gt;=Inputs!$B$13,OR(A491&lt;Inputs!$B$19,Inputs!$B$20=1)),D491*Inputs!$B$11/C491,0)</f>
        <v>81.9672131147541</v>
      </c>
      <c r="I491" s="37" t="n">
        <f aca="false">Inputs!$C$9-SUMIFS(Cash_Events!$G$6:$G$20,Cash_Events!$C$6:$C$20,"FHL",Cash_Events!$B$6:$B$20,"&lt;="&amp;A491)</f>
        <v>1500000</v>
      </c>
      <c r="J491" s="38" t="n">
        <f aca="false">VLOOKUP(A491,Inputs!$F$40:$G$48,2,TRUE())</f>
        <v>0.054735</v>
      </c>
      <c r="K491" s="38" t="n">
        <f aca="false">J491+Inputs!$C$10</f>
        <v>0.122235</v>
      </c>
      <c r="L491" s="37" t="n">
        <f aca="false">I491*K491/C491</f>
        <v>500.963114754098</v>
      </c>
      <c r="M491" s="37" t="n">
        <f aca="false">IF(AND(A491&gt;=Inputs!$C$13,OR(A491&lt;Inputs!$B$19,Inputs!$B$20=1)),I491*Inputs!$C$11/C491,0)</f>
        <v>81.9672131147541</v>
      </c>
    </row>
    <row r="492" customFormat="false" ht="15" hidden="false" customHeight="false" outlineLevel="0" collapsed="false">
      <c r="A492" s="35" t="n">
        <f aca="false">A491+1</f>
        <v>45299</v>
      </c>
      <c r="B492" s="35" t="n">
        <f aca="false">EOMONTH(A492+1,0)</f>
        <v>45322</v>
      </c>
      <c r="C492" s="36" t="n">
        <f aca="false">IF(MOD(YEAR(A492),4)=0,366,365)</f>
        <v>366</v>
      </c>
      <c r="D492" s="37" t="n">
        <f aca="false">Inputs!$B$9-SUMIFS(Cash_Events!$G$6:$G$20,Cash_Events!$C$6:$C$20,"rAGMF",Cash_Events!$B$6:$B$20,"&lt;="&amp;A492)</f>
        <v>1500000</v>
      </c>
      <c r="E492" s="38" t="n">
        <f aca="false">VLOOKUP(A492,Inputs!$A$40:$B$48,2,TRUE())</f>
        <v>0.0547601</v>
      </c>
      <c r="F492" s="38" t="n">
        <f aca="false">E492+Inputs!$B$10</f>
        <v>0.1222601</v>
      </c>
      <c r="G492" s="37" t="n">
        <f aca="false">D492*F492/C492</f>
        <v>501.065983606557</v>
      </c>
      <c r="H492" s="37" t="n">
        <f aca="false">IF(AND(A492&gt;=Inputs!$B$13,OR(A492&lt;Inputs!$B$19,Inputs!$B$20=1)),D492*Inputs!$B$11/C492,0)</f>
        <v>81.9672131147541</v>
      </c>
      <c r="I492" s="37" t="n">
        <f aca="false">Inputs!$C$9-SUMIFS(Cash_Events!$G$6:$G$20,Cash_Events!$C$6:$C$20,"FHL",Cash_Events!$B$6:$B$20,"&lt;="&amp;A492)</f>
        <v>1500000</v>
      </c>
      <c r="J492" s="38" t="n">
        <f aca="false">VLOOKUP(A492,Inputs!$F$40:$G$48,2,TRUE())</f>
        <v>0.054735</v>
      </c>
      <c r="K492" s="38" t="n">
        <f aca="false">J492+Inputs!$C$10</f>
        <v>0.122235</v>
      </c>
      <c r="L492" s="37" t="n">
        <f aca="false">I492*K492/C492</f>
        <v>500.963114754098</v>
      </c>
      <c r="M492" s="37" t="n">
        <f aca="false">IF(AND(A492&gt;=Inputs!$C$13,OR(A492&lt;Inputs!$B$19,Inputs!$B$20=1)),I492*Inputs!$C$11/C492,0)</f>
        <v>81.9672131147541</v>
      </c>
    </row>
    <row r="493" customFormat="false" ht="15" hidden="false" customHeight="false" outlineLevel="0" collapsed="false">
      <c r="A493" s="35" t="n">
        <f aca="false">A492+1</f>
        <v>45300</v>
      </c>
      <c r="B493" s="35" t="n">
        <f aca="false">EOMONTH(A493+1,0)</f>
        <v>45322</v>
      </c>
      <c r="C493" s="36" t="n">
        <f aca="false">IF(MOD(YEAR(A493),4)=0,366,365)</f>
        <v>366</v>
      </c>
      <c r="D493" s="37" t="n">
        <f aca="false">Inputs!$B$9-SUMIFS(Cash_Events!$G$6:$G$20,Cash_Events!$C$6:$C$20,"rAGMF",Cash_Events!$B$6:$B$20,"&lt;="&amp;A493)</f>
        <v>1500000</v>
      </c>
      <c r="E493" s="38" t="n">
        <f aca="false">VLOOKUP(A493,Inputs!$A$40:$B$48,2,TRUE())</f>
        <v>0.0547601</v>
      </c>
      <c r="F493" s="38" t="n">
        <f aca="false">E493+Inputs!$B$10</f>
        <v>0.1222601</v>
      </c>
      <c r="G493" s="37" t="n">
        <f aca="false">D493*F493/C493</f>
        <v>501.065983606557</v>
      </c>
      <c r="H493" s="37" t="n">
        <f aca="false">IF(AND(A493&gt;=Inputs!$B$13,OR(A493&lt;Inputs!$B$19,Inputs!$B$20=1)),D493*Inputs!$B$11/C493,0)</f>
        <v>81.9672131147541</v>
      </c>
      <c r="I493" s="37" t="n">
        <f aca="false">Inputs!$C$9-SUMIFS(Cash_Events!$G$6:$G$20,Cash_Events!$C$6:$C$20,"FHL",Cash_Events!$B$6:$B$20,"&lt;="&amp;A493)</f>
        <v>1500000</v>
      </c>
      <c r="J493" s="38" t="n">
        <f aca="false">VLOOKUP(A493,Inputs!$F$40:$G$48,2,TRUE())</f>
        <v>0.054735</v>
      </c>
      <c r="K493" s="38" t="n">
        <f aca="false">J493+Inputs!$C$10</f>
        <v>0.122235</v>
      </c>
      <c r="L493" s="37" t="n">
        <f aca="false">I493*K493/C493</f>
        <v>500.963114754098</v>
      </c>
      <c r="M493" s="37" t="n">
        <f aca="false">IF(AND(A493&gt;=Inputs!$C$13,OR(A493&lt;Inputs!$B$19,Inputs!$B$20=1)),I493*Inputs!$C$11/C493,0)</f>
        <v>81.9672131147541</v>
      </c>
    </row>
    <row r="494" customFormat="false" ht="15" hidden="false" customHeight="false" outlineLevel="0" collapsed="false">
      <c r="A494" s="35" t="n">
        <f aca="false">A493+1</f>
        <v>45301</v>
      </c>
      <c r="B494" s="35" t="n">
        <f aca="false">EOMONTH(A494+1,0)</f>
        <v>45322</v>
      </c>
      <c r="C494" s="36" t="n">
        <f aca="false">IF(MOD(YEAR(A494),4)=0,366,365)</f>
        <v>366</v>
      </c>
      <c r="D494" s="37" t="n">
        <f aca="false">Inputs!$B$9-SUMIFS(Cash_Events!$G$6:$G$20,Cash_Events!$C$6:$C$20,"rAGMF",Cash_Events!$B$6:$B$20,"&lt;="&amp;A494)</f>
        <v>1500000</v>
      </c>
      <c r="E494" s="38" t="n">
        <f aca="false">VLOOKUP(A494,Inputs!$A$40:$B$48,2,TRUE())</f>
        <v>0.0547601</v>
      </c>
      <c r="F494" s="38" t="n">
        <f aca="false">E494+Inputs!$B$10</f>
        <v>0.1222601</v>
      </c>
      <c r="G494" s="37" t="n">
        <f aca="false">D494*F494/C494</f>
        <v>501.065983606557</v>
      </c>
      <c r="H494" s="37" t="n">
        <f aca="false">IF(AND(A494&gt;=Inputs!$B$13,OR(A494&lt;Inputs!$B$19,Inputs!$B$20=1)),D494*Inputs!$B$11/C494,0)</f>
        <v>81.9672131147541</v>
      </c>
      <c r="I494" s="37" t="n">
        <f aca="false">Inputs!$C$9-SUMIFS(Cash_Events!$G$6:$G$20,Cash_Events!$C$6:$C$20,"FHL",Cash_Events!$B$6:$B$20,"&lt;="&amp;A494)</f>
        <v>1500000</v>
      </c>
      <c r="J494" s="38" t="n">
        <f aca="false">VLOOKUP(A494,Inputs!$F$40:$G$48,2,TRUE())</f>
        <v>0.054735</v>
      </c>
      <c r="K494" s="38" t="n">
        <f aca="false">J494+Inputs!$C$10</f>
        <v>0.122235</v>
      </c>
      <c r="L494" s="37" t="n">
        <f aca="false">I494*K494/C494</f>
        <v>500.963114754098</v>
      </c>
      <c r="M494" s="37" t="n">
        <f aca="false">IF(AND(A494&gt;=Inputs!$C$13,OR(A494&lt;Inputs!$B$19,Inputs!$B$20=1)),I494*Inputs!$C$11/C494,0)</f>
        <v>81.9672131147541</v>
      </c>
    </row>
    <row r="495" customFormat="false" ht="15" hidden="false" customHeight="false" outlineLevel="0" collapsed="false">
      <c r="A495" s="35" t="n">
        <f aca="false">A494+1</f>
        <v>45302</v>
      </c>
      <c r="B495" s="35" t="n">
        <f aca="false">EOMONTH(A495+1,0)</f>
        <v>45322</v>
      </c>
      <c r="C495" s="36" t="n">
        <f aca="false">IF(MOD(YEAR(A495),4)=0,366,365)</f>
        <v>366</v>
      </c>
      <c r="D495" s="37" t="n">
        <f aca="false">Inputs!$B$9-SUMIFS(Cash_Events!$G$6:$G$20,Cash_Events!$C$6:$C$20,"rAGMF",Cash_Events!$B$6:$B$20,"&lt;="&amp;A495)</f>
        <v>1500000</v>
      </c>
      <c r="E495" s="38" t="n">
        <f aca="false">VLOOKUP(A495,Inputs!$A$40:$B$48,2,TRUE())</f>
        <v>0.0547601</v>
      </c>
      <c r="F495" s="38" t="n">
        <f aca="false">E495+Inputs!$B$10</f>
        <v>0.1222601</v>
      </c>
      <c r="G495" s="37" t="n">
        <f aca="false">D495*F495/C495</f>
        <v>501.065983606557</v>
      </c>
      <c r="H495" s="37" t="n">
        <f aca="false">IF(AND(A495&gt;=Inputs!$B$13,OR(A495&lt;Inputs!$B$19,Inputs!$B$20=1)),D495*Inputs!$B$11/C495,0)</f>
        <v>81.9672131147541</v>
      </c>
      <c r="I495" s="37" t="n">
        <f aca="false">Inputs!$C$9-SUMIFS(Cash_Events!$G$6:$G$20,Cash_Events!$C$6:$C$20,"FHL",Cash_Events!$B$6:$B$20,"&lt;="&amp;A495)</f>
        <v>1500000</v>
      </c>
      <c r="J495" s="38" t="n">
        <f aca="false">VLOOKUP(A495,Inputs!$F$40:$G$48,2,TRUE())</f>
        <v>0.054735</v>
      </c>
      <c r="K495" s="38" t="n">
        <f aca="false">J495+Inputs!$C$10</f>
        <v>0.122235</v>
      </c>
      <c r="L495" s="37" t="n">
        <f aca="false">I495*K495/C495</f>
        <v>500.963114754098</v>
      </c>
      <c r="M495" s="37" t="n">
        <f aca="false">IF(AND(A495&gt;=Inputs!$C$13,OR(A495&lt;Inputs!$B$19,Inputs!$B$20=1)),I495*Inputs!$C$11/C495,0)</f>
        <v>81.9672131147541</v>
      </c>
    </row>
    <row r="496" customFormat="false" ht="15" hidden="false" customHeight="false" outlineLevel="0" collapsed="false">
      <c r="A496" s="35" t="n">
        <f aca="false">A495+1</f>
        <v>45303</v>
      </c>
      <c r="B496" s="35" t="n">
        <f aca="false">EOMONTH(A496+1,0)</f>
        <v>45322</v>
      </c>
      <c r="C496" s="36" t="n">
        <f aca="false">IF(MOD(YEAR(A496),4)=0,366,365)</f>
        <v>366</v>
      </c>
      <c r="D496" s="37" t="n">
        <f aca="false">Inputs!$B$9-SUMIFS(Cash_Events!$G$6:$G$20,Cash_Events!$C$6:$C$20,"rAGMF",Cash_Events!$B$6:$B$20,"&lt;="&amp;A496)</f>
        <v>1500000</v>
      </c>
      <c r="E496" s="38" t="n">
        <f aca="false">VLOOKUP(A496,Inputs!$A$40:$B$48,2,TRUE())</f>
        <v>0.0547601</v>
      </c>
      <c r="F496" s="38" t="n">
        <f aca="false">E496+Inputs!$B$10</f>
        <v>0.1222601</v>
      </c>
      <c r="G496" s="37" t="n">
        <f aca="false">D496*F496/C496</f>
        <v>501.065983606557</v>
      </c>
      <c r="H496" s="37" t="n">
        <f aca="false">IF(AND(A496&gt;=Inputs!$B$13,OR(A496&lt;Inputs!$B$19,Inputs!$B$20=1)),D496*Inputs!$B$11/C496,0)</f>
        <v>81.9672131147541</v>
      </c>
      <c r="I496" s="37" t="n">
        <f aca="false">Inputs!$C$9-SUMIFS(Cash_Events!$G$6:$G$20,Cash_Events!$C$6:$C$20,"FHL",Cash_Events!$B$6:$B$20,"&lt;="&amp;A496)</f>
        <v>1500000</v>
      </c>
      <c r="J496" s="38" t="n">
        <f aca="false">VLOOKUP(A496,Inputs!$F$40:$G$48,2,TRUE())</f>
        <v>0.054735</v>
      </c>
      <c r="K496" s="38" t="n">
        <f aca="false">J496+Inputs!$C$10</f>
        <v>0.122235</v>
      </c>
      <c r="L496" s="37" t="n">
        <f aca="false">I496*K496/C496</f>
        <v>500.963114754098</v>
      </c>
      <c r="M496" s="37" t="n">
        <f aca="false">IF(AND(A496&gt;=Inputs!$C$13,OR(A496&lt;Inputs!$B$19,Inputs!$B$20=1)),I496*Inputs!$C$11/C496,0)</f>
        <v>81.9672131147541</v>
      </c>
    </row>
    <row r="497" customFormat="false" ht="15" hidden="false" customHeight="false" outlineLevel="0" collapsed="false">
      <c r="A497" s="35" t="n">
        <f aca="false">A496+1</f>
        <v>45304</v>
      </c>
      <c r="B497" s="35" t="n">
        <f aca="false">EOMONTH(A497+1,0)</f>
        <v>45322</v>
      </c>
      <c r="C497" s="36" t="n">
        <f aca="false">IF(MOD(YEAR(A497),4)=0,366,365)</f>
        <v>366</v>
      </c>
      <c r="D497" s="37" t="n">
        <f aca="false">Inputs!$B$9-SUMIFS(Cash_Events!$G$6:$G$20,Cash_Events!$C$6:$C$20,"rAGMF",Cash_Events!$B$6:$B$20,"&lt;="&amp;A497)</f>
        <v>1500000</v>
      </c>
      <c r="E497" s="38" t="n">
        <f aca="false">VLOOKUP(A497,Inputs!$A$40:$B$48,2,TRUE())</f>
        <v>0.0547601</v>
      </c>
      <c r="F497" s="38" t="n">
        <f aca="false">E497+Inputs!$B$10</f>
        <v>0.1222601</v>
      </c>
      <c r="G497" s="37" t="n">
        <f aca="false">D497*F497/C497</f>
        <v>501.065983606557</v>
      </c>
      <c r="H497" s="37" t="n">
        <f aca="false">IF(AND(A497&gt;=Inputs!$B$13,OR(A497&lt;Inputs!$B$19,Inputs!$B$20=1)),D497*Inputs!$B$11/C497,0)</f>
        <v>81.9672131147541</v>
      </c>
      <c r="I497" s="37" t="n">
        <f aca="false">Inputs!$C$9-SUMIFS(Cash_Events!$G$6:$G$20,Cash_Events!$C$6:$C$20,"FHL",Cash_Events!$B$6:$B$20,"&lt;="&amp;A497)</f>
        <v>1500000</v>
      </c>
      <c r="J497" s="38" t="n">
        <f aca="false">VLOOKUP(A497,Inputs!$F$40:$G$48,2,TRUE())</f>
        <v>0.054735</v>
      </c>
      <c r="K497" s="38" t="n">
        <f aca="false">J497+Inputs!$C$10</f>
        <v>0.122235</v>
      </c>
      <c r="L497" s="37" t="n">
        <f aca="false">I497*K497/C497</f>
        <v>500.963114754098</v>
      </c>
      <c r="M497" s="37" t="n">
        <f aca="false">IF(AND(A497&gt;=Inputs!$C$13,OR(A497&lt;Inputs!$B$19,Inputs!$B$20=1)),I497*Inputs!$C$11/C497,0)</f>
        <v>81.9672131147541</v>
      </c>
    </row>
    <row r="498" customFormat="false" ht="15" hidden="false" customHeight="false" outlineLevel="0" collapsed="false">
      <c r="A498" s="35" t="n">
        <f aca="false">A497+1</f>
        <v>45305</v>
      </c>
      <c r="B498" s="35" t="n">
        <f aca="false">EOMONTH(A498+1,0)</f>
        <v>45322</v>
      </c>
      <c r="C498" s="36" t="n">
        <f aca="false">IF(MOD(YEAR(A498),4)=0,366,365)</f>
        <v>366</v>
      </c>
      <c r="D498" s="37" t="n">
        <f aca="false">Inputs!$B$9-SUMIFS(Cash_Events!$G$6:$G$20,Cash_Events!$C$6:$C$20,"rAGMF",Cash_Events!$B$6:$B$20,"&lt;="&amp;A498)</f>
        <v>1500000</v>
      </c>
      <c r="E498" s="38" t="n">
        <f aca="false">VLOOKUP(A498,Inputs!$A$40:$B$48,2,TRUE())</f>
        <v>0.0547601</v>
      </c>
      <c r="F498" s="38" t="n">
        <f aca="false">E498+Inputs!$B$10</f>
        <v>0.1222601</v>
      </c>
      <c r="G498" s="37" t="n">
        <f aca="false">D498*F498/C498</f>
        <v>501.065983606557</v>
      </c>
      <c r="H498" s="37" t="n">
        <f aca="false">IF(AND(A498&gt;=Inputs!$B$13,OR(A498&lt;Inputs!$B$19,Inputs!$B$20=1)),D498*Inputs!$B$11/C498,0)</f>
        <v>81.9672131147541</v>
      </c>
      <c r="I498" s="37" t="n">
        <f aca="false">Inputs!$C$9-SUMIFS(Cash_Events!$G$6:$G$20,Cash_Events!$C$6:$C$20,"FHL",Cash_Events!$B$6:$B$20,"&lt;="&amp;A498)</f>
        <v>1500000</v>
      </c>
      <c r="J498" s="38" t="n">
        <f aca="false">VLOOKUP(A498,Inputs!$F$40:$G$48,2,TRUE())</f>
        <v>0.054735</v>
      </c>
      <c r="K498" s="38" t="n">
        <f aca="false">J498+Inputs!$C$10</f>
        <v>0.122235</v>
      </c>
      <c r="L498" s="37" t="n">
        <f aca="false">I498*K498/C498</f>
        <v>500.963114754098</v>
      </c>
      <c r="M498" s="37" t="n">
        <f aca="false">IF(AND(A498&gt;=Inputs!$C$13,OR(A498&lt;Inputs!$B$19,Inputs!$B$20=1)),I498*Inputs!$C$11/C498,0)</f>
        <v>81.9672131147541</v>
      </c>
    </row>
    <row r="499" customFormat="false" ht="15" hidden="false" customHeight="false" outlineLevel="0" collapsed="false">
      <c r="A499" s="35" t="n">
        <f aca="false">A498+1</f>
        <v>45306</v>
      </c>
      <c r="B499" s="35" t="n">
        <f aca="false">EOMONTH(A499+1,0)</f>
        <v>45322</v>
      </c>
      <c r="C499" s="36" t="n">
        <f aca="false">IF(MOD(YEAR(A499),4)=0,366,365)</f>
        <v>366</v>
      </c>
      <c r="D499" s="37" t="n">
        <f aca="false">Inputs!$B$9-SUMIFS(Cash_Events!$G$6:$G$20,Cash_Events!$C$6:$C$20,"rAGMF",Cash_Events!$B$6:$B$20,"&lt;="&amp;A499)</f>
        <v>1500000</v>
      </c>
      <c r="E499" s="38" t="n">
        <f aca="false">VLOOKUP(A499,Inputs!$A$40:$B$48,2,TRUE())</f>
        <v>0.0547601</v>
      </c>
      <c r="F499" s="38" t="n">
        <f aca="false">E499+Inputs!$B$10</f>
        <v>0.1222601</v>
      </c>
      <c r="G499" s="37" t="n">
        <f aca="false">D499*F499/C499</f>
        <v>501.065983606557</v>
      </c>
      <c r="H499" s="37" t="n">
        <f aca="false">IF(AND(A499&gt;=Inputs!$B$13,OR(A499&lt;Inputs!$B$19,Inputs!$B$20=1)),D499*Inputs!$B$11/C499,0)</f>
        <v>81.9672131147541</v>
      </c>
      <c r="I499" s="37" t="n">
        <f aca="false">Inputs!$C$9-SUMIFS(Cash_Events!$G$6:$G$20,Cash_Events!$C$6:$C$20,"FHL",Cash_Events!$B$6:$B$20,"&lt;="&amp;A499)</f>
        <v>1500000</v>
      </c>
      <c r="J499" s="38" t="n">
        <f aca="false">VLOOKUP(A499,Inputs!$F$40:$G$48,2,TRUE())</f>
        <v>0.054735</v>
      </c>
      <c r="K499" s="38" t="n">
        <f aca="false">J499+Inputs!$C$10</f>
        <v>0.122235</v>
      </c>
      <c r="L499" s="37" t="n">
        <f aca="false">I499*K499/C499</f>
        <v>500.963114754098</v>
      </c>
      <c r="M499" s="37" t="n">
        <f aca="false">IF(AND(A499&gt;=Inputs!$C$13,OR(A499&lt;Inputs!$B$19,Inputs!$B$20=1)),I499*Inputs!$C$11/C499,0)</f>
        <v>81.9672131147541</v>
      </c>
    </row>
    <row r="500" customFormat="false" ht="15" hidden="false" customHeight="false" outlineLevel="0" collapsed="false">
      <c r="A500" s="35" t="n">
        <f aca="false">A499+1</f>
        <v>45307</v>
      </c>
      <c r="B500" s="35" t="n">
        <f aca="false">EOMONTH(A500+1,0)</f>
        <v>45322</v>
      </c>
      <c r="C500" s="36" t="n">
        <f aca="false">IF(MOD(YEAR(A500),4)=0,366,365)</f>
        <v>366</v>
      </c>
      <c r="D500" s="37" t="n">
        <f aca="false">Inputs!$B$9-SUMIFS(Cash_Events!$G$6:$G$20,Cash_Events!$C$6:$C$20,"rAGMF",Cash_Events!$B$6:$B$20,"&lt;="&amp;A500)</f>
        <v>1500000</v>
      </c>
      <c r="E500" s="38" t="n">
        <f aca="false">VLOOKUP(A500,Inputs!$A$40:$B$48,2,TRUE())</f>
        <v>0.0547601</v>
      </c>
      <c r="F500" s="38" t="n">
        <f aca="false">E500+Inputs!$B$10</f>
        <v>0.1222601</v>
      </c>
      <c r="G500" s="37" t="n">
        <f aca="false">D500*F500/C500</f>
        <v>501.065983606557</v>
      </c>
      <c r="H500" s="37" t="n">
        <f aca="false">IF(AND(A500&gt;=Inputs!$B$13,OR(A500&lt;Inputs!$B$19,Inputs!$B$20=1)),D500*Inputs!$B$11/C500,0)</f>
        <v>81.9672131147541</v>
      </c>
      <c r="I500" s="37" t="n">
        <f aca="false">Inputs!$C$9-SUMIFS(Cash_Events!$G$6:$G$20,Cash_Events!$C$6:$C$20,"FHL",Cash_Events!$B$6:$B$20,"&lt;="&amp;A500)</f>
        <v>1500000</v>
      </c>
      <c r="J500" s="38" t="n">
        <f aca="false">VLOOKUP(A500,Inputs!$F$40:$G$48,2,TRUE())</f>
        <v>0.054735</v>
      </c>
      <c r="K500" s="38" t="n">
        <f aca="false">J500+Inputs!$C$10</f>
        <v>0.122235</v>
      </c>
      <c r="L500" s="37" t="n">
        <f aca="false">I500*K500/C500</f>
        <v>500.963114754098</v>
      </c>
      <c r="M500" s="37" t="n">
        <f aca="false">IF(AND(A500&gt;=Inputs!$C$13,OR(A500&lt;Inputs!$B$19,Inputs!$B$20=1)),I500*Inputs!$C$11/C500,0)</f>
        <v>81.9672131147541</v>
      </c>
    </row>
    <row r="501" customFormat="false" ht="15" hidden="false" customHeight="false" outlineLevel="0" collapsed="false">
      <c r="A501" s="35" t="n">
        <f aca="false">A500+1</f>
        <v>45308</v>
      </c>
      <c r="B501" s="35" t="n">
        <f aca="false">EOMONTH(A501+1,0)</f>
        <v>45322</v>
      </c>
      <c r="C501" s="36" t="n">
        <f aca="false">IF(MOD(YEAR(A501),4)=0,366,365)</f>
        <v>366</v>
      </c>
      <c r="D501" s="37" t="n">
        <f aca="false">Inputs!$B$9-SUMIFS(Cash_Events!$G$6:$G$20,Cash_Events!$C$6:$C$20,"rAGMF",Cash_Events!$B$6:$B$20,"&lt;="&amp;A501)</f>
        <v>1500000</v>
      </c>
      <c r="E501" s="38" t="n">
        <f aca="false">VLOOKUP(A501,Inputs!$A$40:$B$48,2,TRUE())</f>
        <v>0.0547601</v>
      </c>
      <c r="F501" s="38" t="n">
        <f aca="false">E501+Inputs!$B$10</f>
        <v>0.1222601</v>
      </c>
      <c r="G501" s="37" t="n">
        <f aca="false">D501*F501/C501</f>
        <v>501.065983606557</v>
      </c>
      <c r="H501" s="37" t="n">
        <f aca="false">IF(AND(A501&gt;=Inputs!$B$13,OR(A501&lt;Inputs!$B$19,Inputs!$B$20=1)),D501*Inputs!$B$11/C501,0)</f>
        <v>81.9672131147541</v>
      </c>
      <c r="I501" s="37" t="n">
        <f aca="false">Inputs!$C$9-SUMIFS(Cash_Events!$G$6:$G$20,Cash_Events!$C$6:$C$20,"FHL",Cash_Events!$B$6:$B$20,"&lt;="&amp;A501)</f>
        <v>1500000</v>
      </c>
      <c r="J501" s="38" t="n">
        <f aca="false">VLOOKUP(A501,Inputs!$F$40:$G$48,2,TRUE())</f>
        <v>0.054735</v>
      </c>
      <c r="K501" s="38" t="n">
        <f aca="false">J501+Inputs!$C$10</f>
        <v>0.122235</v>
      </c>
      <c r="L501" s="37" t="n">
        <f aca="false">I501*K501/C501</f>
        <v>500.963114754098</v>
      </c>
      <c r="M501" s="37" t="n">
        <f aca="false">IF(AND(A501&gt;=Inputs!$C$13,OR(A501&lt;Inputs!$B$19,Inputs!$B$20=1)),I501*Inputs!$C$11/C501,0)</f>
        <v>81.9672131147541</v>
      </c>
    </row>
    <row r="502" customFormat="false" ht="15" hidden="false" customHeight="false" outlineLevel="0" collapsed="false">
      <c r="A502" s="35" t="n">
        <f aca="false">A501+1</f>
        <v>45309</v>
      </c>
      <c r="B502" s="35" t="n">
        <f aca="false">EOMONTH(A502+1,0)</f>
        <v>45322</v>
      </c>
      <c r="C502" s="36" t="n">
        <f aca="false">IF(MOD(YEAR(A502),4)=0,366,365)</f>
        <v>366</v>
      </c>
      <c r="D502" s="37" t="n">
        <f aca="false">Inputs!$B$9-SUMIFS(Cash_Events!$G$6:$G$20,Cash_Events!$C$6:$C$20,"rAGMF",Cash_Events!$B$6:$B$20,"&lt;="&amp;A502)</f>
        <v>1500000</v>
      </c>
      <c r="E502" s="38" t="n">
        <f aca="false">VLOOKUP(A502,Inputs!$A$40:$B$48,2,TRUE())</f>
        <v>0.0547601</v>
      </c>
      <c r="F502" s="38" t="n">
        <f aca="false">E502+Inputs!$B$10</f>
        <v>0.1222601</v>
      </c>
      <c r="G502" s="37" t="n">
        <f aca="false">D502*F502/C502</f>
        <v>501.065983606557</v>
      </c>
      <c r="H502" s="37" t="n">
        <f aca="false">IF(AND(A502&gt;=Inputs!$B$13,OR(A502&lt;Inputs!$B$19,Inputs!$B$20=1)),D502*Inputs!$B$11/C502,0)</f>
        <v>81.9672131147541</v>
      </c>
      <c r="I502" s="37" t="n">
        <f aca="false">Inputs!$C$9-SUMIFS(Cash_Events!$G$6:$G$20,Cash_Events!$C$6:$C$20,"FHL",Cash_Events!$B$6:$B$20,"&lt;="&amp;A502)</f>
        <v>1500000</v>
      </c>
      <c r="J502" s="38" t="n">
        <f aca="false">VLOOKUP(A502,Inputs!$F$40:$G$48,2,TRUE())</f>
        <v>0.054735</v>
      </c>
      <c r="K502" s="38" t="n">
        <f aca="false">J502+Inputs!$C$10</f>
        <v>0.122235</v>
      </c>
      <c r="L502" s="37" t="n">
        <f aca="false">I502*K502/C502</f>
        <v>500.963114754098</v>
      </c>
      <c r="M502" s="37" t="n">
        <f aca="false">IF(AND(A502&gt;=Inputs!$C$13,OR(A502&lt;Inputs!$B$19,Inputs!$B$20=1)),I502*Inputs!$C$11/C502,0)</f>
        <v>81.9672131147541</v>
      </c>
    </row>
    <row r="503" customFormat="false" ht="15" hidden="false" customHeight="false" outlineLevel="0" collapsed="false">
      <c r="A503" s="35" t="n">
        <f aca="false">A502+1</f>
        <v>45310</v>
      </c>
      <c r="B503" s="35" t="n">
        <f aca="false">EOMONTH(A503+1,0)</f>
        <v>45322</v>
      </c>
      <c r="C503" s="36" t="n">
        <f aca="false">IF(MOD(YEAR(A503),4)=0,366,365)</f>
        <v>366</v>
      </c>
      <c r="D503" s="37" t="n">
        <f aca="false">Inputs!$B$9-SUMIFS(Cash_Events!$G$6:$G$20,Cash_Events!$C$6:$C$20,"rAGMF",Cash_Events!$B$6:$B$20,"&lt;="&amp;A503)</f>
        <v>1500000</v>
      </c>
      <c r="E503" s="38" t="n">
        <f aca="false">VLOOKUP(A503,Inputs!$A$40:$B$48,2,TRUE())</f>
        <v>0.0547601</v>
      </c>
      <c r="F503" s="38" t="n">
        <f aca="false">E503+Inputs!$B$10</f>
        <v>0.1222601</v>
      </c>
      <c r="G503" s="37" t="n">
        <f aca="false">D503*F503/C503</f>
        <v>501.065983606557</v>
      </c>
      <c r="H503" s="37" t="n">
        <f aca="false">IF(AND(A503&gt;=Inputs!$B$13,OR(A503&lt;Inputs!$B$19,Inputs!$B$20=1)),D503*Inputs!$B$11/C503,0)</f>
        <v>81.9672131147541</v>
      </c>
      <c r="I503" s="37" t="n">
        <f aca="false">Inputs!$C$9-SUMIFS(Cash_Events!$G$6:$G$20,Cash_Events!$C$6:$C$20,"FHL",Cash_Events!$B$6:$B$20,"&lt;="&amp;A503)</f>
        <v>1500000</v>
      </c>
      <c r="J503" s="38" t="n">
        <f aca="false">VLOOKUP(A503,Inputs!$F$40:$G$48,2,TRUE())</f>
        <v>0.054735</v>
      </c>
      <c r="K503" s="38" t="n">
        <f aca="false">J503+Inputs!$C$10</f>
        <v>0.122235</v>
      </c>
      <c r="L503" s="37" t="n">
        <f aca="false">I503*K503/C503</f>
        <v>500.963114754098</v>
      </c>
      <c r="M503" s="37" t="n">
        <f aca="false">IF(AND(A503&gt;=Inputs!$C$13,OR(A503&lt;Inputs!$B$19,Inputs!$B$20=1)),I503*Inputs!$C$11/C503,0)</f>
        <v>81.9672131147541</v>
      </c>
    </row>
    <row r="504" customFormat="false" ht="15" hidden="false" customHeight="false" outlineLevel="0" collapsed="false">
      <c r="A504" s="35" t="n">
        <f aca="false">A503+1</f>
        <v>45311</v>
      </c>
      <c r="B504" s="35" t="n">
        <f aca="false">EOMONTH(A504+1,0)</f>
        <v>45322</v>
      </c>
      <c r="C504" s="36" t="n">
        <f aca="false">IF(MOD(YEAR(A504),4)=0,366,365)</f>
        <v>366</v>
      </c>
      <c r="D504" s="37" t="n">
        <f aca="false">Inputs!$B$9-SUMIFS(Cash_Events!$G$6:$G$20,Cash_Events!$C$6:$C$20,"rAGMF",Cash_Events!$B$6:$B$20,"&lt;="&amp;A504)</f>
        <v>1500000</v>
      </c>
      <c r="E504" s="38" t="n">
        <f aca="false">VLOOKUP(A504,Inputs!$A$40:$B$48,2,TRUE())</f>
        <v>0.0547601</v>
      </c>
      <c r="F504" s="38" t="n">
        <f aca="false">E504+Inputs!$B$10</f>
        <v>0.1222601</v>
      </c>
      <c r="G504" s="37" t="n">
        <f aca="false">D504*F504/C504</f>
        <v>501.065983606557</v>
      </c>
      <c r="H504" s="37" t="n">
        <f aca="false">IF(AND(A504&gt;=Inputs!$B$13,OR(A504&lt;Inputs!$B$19,Inputs!$B$20=1)),D504*Inputs!$B$11/C504,0)</f>
        <v>81.9672131147541</v>
      </c>
      <c r="I504" s="37" t="n">
        <f aca="false">Inputs!$C$9-SUMIFS(Cash_Events!$G$6:$G$20,Cash_Events!$C$6:$C$20,"FHL",Cash_Events!$B$6:$B$20,"&lt;="&amp;A504)</f>
        <v>1500000</v>
      </c>
      <c r="J504" s="38" t="n">
        <f aca="false">VLOOKUP(A504,Inputs!$F$40:$G$48,2,TRUE())</f>
        <v>0.054735</v>
      </c>
      <c r="K504" s="38" t="n">
        <f aca="false">J504+Inputs!$C$10</f>
        <v>0.122235</v>
      </c>
      <c r="L504" s="37" t="n">
        <f aca="false">I504*K504/C504</f>
        <v>500.963114754098</v>
      </c>
      <c r="M504" s="37" t="n">
        <f aca="false">IF(AND(A504&gt;=Inputs!$C$13,OR(A504&lt;Inputs!$B$19,Inputs!$B$20=1)),I504*Inputs!$C$11/C504,0)</f>
        <v>81.9672131147541</v>
      </c>
    </row>
    <row r="505" customFormat="false" ht="15" hidden="false" customHeight="false" outlineLevel="0" collapsed="false">
      <c r="A505" s="35" t="n">
        <f aca="false">A504+1</f>
        <v>45312</v>
      </c>
      <c r="B505" s="35" t="n">
        <f aca="false">EOMONTH(A505+1,0)</f>
        <v>45322</v>
      </c>
      <c r="C505" s="36" t="n">
        <f aca="false">IF(MOD(YEAR(A505),4)=0,366,365)</f>
        <v>366</v>
      </c>
      <c r="D505" s="37" t="n">
        <f aca="false">Inputs!$B$9-SUMIFS(Cash_Events!$G$6:$G$20,Cash_Events!$C$6:$C$20,"rAGMF",Cash_Events!$B$6:$B$20,"&lt;="&amp;A505)</f>
        <v>1500000</v>
      </c>
      <c r="E505" s="38" t="n">
        <f aca="false">VLOOKUP(A505,Inputs!$A$40:$B$48,2,TRUE())</f>
        <v>0.0547601</v>
      </c>
      <c r="F505" s="38" t="n">
        <f aca="false">E505+Inputs!$B$10</f>
        <v>0.1222601</v>
      </c>
      <c r="G505" s="37" t="n">
        <f aca="false">D505*F505/C505</f>
        <v>501.065983606557</v>
      </c>
      <c r="H505" s="37" t="n">
        <f aca="false">IF(AND(A505&gt;=Inputs!$B$13,OR(A505&lt;Inputs!$B$19,Inputs!$B$20=1)),D505*Inputs!$B$11/C505,0)</f>
        <v>81.9672131147541</v>
      </c>
      <c r="I505" s="37" t="n">
        <f aca="false">Inputs!$C$9-SUMIFS(Cash_Events!$G$6:$G$20,Cash_Events!$C$6:$C$20,"FHL",Cash_Events!$B$6:$B$20,"&lt;="&amp;A505)</f>
        <v>1500000</v>
      </c>
      <c r="J505" s="38" t="n">
        <f aca="false">VLOOKUP(A505,Inputs!$F$40:$G$48,2,TRUE())</f>
        <v>0.054735</v>
      </c>
      <c r="K505" s="38" t="n">
        <f aca="false">J505+Inputs!$C$10</f>
        <v>0.122235</v>
      </c>
      <c r="L505" s="37" t="n">
        <f aca="false">I505*K505/C505</f>
        <v>500.963114754098</v>
      </c>
      <c r="M505" s="37" t="n">
        <f aca="false">IF(AND(A505&gt;=Inputs!$C$13,OR(A505&lt;Inputs!$B$19,Inputs!$B$20=1)),I505*Inputs!$C$11/C505,0)</f>
        <v>81.9672131147541</v>
      </c>
    </row>
    <row r="506" customFormat="false" ht="15" hidden="false" customHeight="false" outlineLevel="0" collapsed="false">
      <c r="A506" s="35" t="n">
        <f aca="false">A505+1</f>
        <v>45313</v>
      </c>
      <c r="B506" s="35" t="n">
        <f aca="false">EOMONTH(A506+1,0)</f>
        <v>45322</v>
      </c>
      <c r="C506" s="36" t="n">
        <f aca="false">IF(MOD(YEAR(A506),4)=0,366,365)</f>
        <v>366</v>
      </c>
      <c r="D506" s="37" t="n">
        <f aca="false">Inputs!$B$9-SUMIFS(Cash_Events!$G$6:$G$20,Cash_Events!$C$6:$C$20,"rAGMF",Cash_Events!$B$6:$B$20,"&lt;="&amp;A506)</f>
        <v>1500000</v>
      </c>
      <c r="E506" s="38" t="n">
        <f aca="false">VLOOKUP(A506,Inputs!$A$40:$B$48,2,TRUE())</f>
        <v>0.0547601</v>
      </c>
      <c r="F506" s="38" t="n">
        <f aca="false">E506+Inputs!$B$10</f>
        <v>0.1222601</v>
      </c>
      <c r="G506" s="37" t="n">
        <f aca="false">D506*F506/C506</f>
        <v>501.065983606557</v>
      </c>
      <c r="H506" s="37" t="n">
        <f aca="false">IF(AND(A506&gt;=Inputs!$B$13,OR(A506&lt;Inputs!$B$19,Inputs!$B$20=1)),D506*Inputs!$B$11/C506,0)</f>
        <v>81.9672131147541</v>
      </c>
      <c r="I506" s="37" t="n">
        <f aca="false">Inputs!$C$9-SUMIFS(Cash_Events!$G$6:$G$20,Cash_Events!$C$6:$C$20,"FHL",Cash_Events!$B$6:$B$20,"&lt;="&amp;A506)</f>
        <v>1500000</v>
      </c>
      <c r="J506" s="38" t="n">
        <f aca="false">VLOOKUP(A506,Inputs!$F$40:$G$48,2,TRUE())</f>
        <v>0.054735</v>
      </c>
      <c r="K506" s="38" t="n">
        <f aca="false">J506+Inputs!$C$10</f>
        <v>0.122235</v>
      </c>
      <c r="L506" s="37" t="n">
        <f aca="false">I506*K506/C506</f>
        <v>500.963114754098</v>
      </c>
      <c r="M506" s="37" t="n">
        <f aca="false">IF(AND(A506&gt;=Inputs!$C$13,OR(A506&lt;Inputs!$B$19,Inputs!$B$20=1)),I506*Inputs!$C$11/C506,0)</f>
        <v>81.9672131147541</v>
      </c>
    </row>
    <row r="507" customFormat="false" ht="15" hidden="false" customHeight="false" outlineLevel="0" collapsed="false">
      <c r="A507" s="35" t="n">
        <f aca="false">A506+1</f>
        <v>45314</v>
      </c>
      <c r="B507" s="35" t="n">
        <f aca="false">EOMONTH(A507+1,0)</f>
        <v>45322</v>
      </c>
      <c r="C507" s="36" t="n">
        <f aca="false">IF(MOD(YEAR(A507),4)=0,366,365)</f>
        <v>366</v>
      </c>
      <c r="D507" s="37" t="n">
        <f aca="false">Inputs!$B$9-SUMIFS(Cash_Events!$G$6:$G$20,Cash_Events!$C$6:$C$20,"rAGMF",Cash_Events!$B$6:$B$20,"&lt;="&amp;A507)</f>
        <v>1500000</v>
      </c>
      <c r="E507" s="38" t="n">
        <f aca="false">VLOOKUP(A507,Inputs!$A$40:$B$48,2,TRUE())</f>
        <v>0.0547601</v>
      </c>
      <c r="F507" s="38" t="n">
        <f aca="false">E507+Inputs!$B$10</f>
        <v>0.1222601</v>
      </c>
      <c r="G507" s="37" t="n">
        <f aca="false">D507*F507/C507</f>
        <v>501.065983606557</v>
      </c>
      <c r="H507" s="37" t="n">
        <f aca="false">IF(AND(A507&gt;=Inputs!$B$13,OR(A507&lt;Inputs!$B$19,Inputs!$B$20=1)),D507*Inputs!$B$11/C507,0)</f>
        <v>81.9672131147541</v>
      </c>
      <c r="I507" s="37" t="n">
        <f aca="false">Inputs!$C$9-SUMIFS(Cash_Events!$G$6:$G$20,Cash_Events!$C$6:$C$20,"FHL",Cash_Events!$B$6:$B$20,"&lt;="&amp;A507)</f>
        <v>1500000</v>
      </c>
      <c r="J507" s="38" t="n">
        <f aca="false">VLOOKUP(A507,Inputs!$F$40:$G$48,2,TRUE())</f>
        <v>0.054735</v>
      </c>
      <c r="K507" s="38" t="n">
        <f aca="false">J507+Inputs!$C$10</f>
        <v>0.122235</v>
      </c>
      <c r="L507" s="37" t="n">
        <f aca="false">I507*K507/C507</f>
        <v>500.963114754098</v>
      </c>
      <c r="M507" s="37" t="n">
        <f aca="false">IF(AND(A507&gt;=Inputs!$C$13,OR(A507&lt;Inputs!$B$19,Inputs!$B$20=1)),I507*Inputs!$C$11/C507,0)</f>
        <v>81.9672131147541</v>
      </c>
    </row>
    <row r="508" customFormat="false" ht="15" hidden="false" customHeight="false" outlineLevel="0" collapsed="false">
      <c r="A508" s="35" t="n">
        <f aca="false">A507+1</f>
        <v>45315</v>
      </c>
      <c r="B508" s="35" t="n">
        <f aca="false">EOMONTH(A508+1,0)</f>
        <v>45322</v>
      </c>
      <c r="C508" s="36" t="n">
        <f aca="false">IF(MOD(YEAR(A508),4)=0,366,365)</f>
        <v>366</v>
      </c>
      <c r="D508" s="37" t="n">
        <f aca="false">Inputs!$B$9-SUMIFS(Cash_Events!$G$6:$G$20,Cash_Events!$C$6:$C$20,"rAGMF",Cash_Events!$B$6:$B$20,"&lt;="&amp;A508)</f>
        <v>1500000</v>
      </c>
      <c r="E508" s="38" t="n">
        <f aca="false">VLOOKUP(A508,Inputs!$A$40:$B$48,2,TRUE())</f>
        <v>0.0547601</v>
      </c>
      <c r="F508" s="38" t="n">
        <f aca="false">E508+Inputs!$B$10</f>
        <v>0.1222601</v>
      </c>
      <c r="G508" s="37" t="n">
        <f aca="false">D508*F508/C508</f>
        <v>501.065983606557</v>
      </c>
      <c r="H508" s="37" t="n">
        <f aca="false">IF(AND(A508&gt;=Inputs!$B$13,OR(A508&lt;Inputs!$B$19,Inputs!$B$20=1)),D508*Inputs!$B$11/C508,0)</f>
        <v>81.9672131147541</v>
      </c>
      <c r="I508" s="37" t="n">
        <f aca="false">Inputs!$C$9-SUMIFS(Cash_Events!$G$6:$G$20,Cash_Events!$C$6:$C$20,"FHL",Cash_Events!$B$6:$B$20,"&lt;="&amp;A508)</f>
        <v>1500000</v>
      </c>
      <c r="J508" s="38" t="n">
        <f aca="false">VLOOKUP(A508,Inputs!$F$40:$G$48,2,TRUE())</f>
        <v>0.054735</v>
      </c>
      <c r="K508" s="38" t="n">
        <f aca="false">J508+Inputs!$C$10</f>
        <v>0.122235</v>
      </c>
      <c r="L508" s="37" t="n">
        <f aca="false">I508*K508/C508</f>
        <v>500.963114754098</v>
      </c>
      <c r="M508" s="37" t="n">
        <f aca="false">IF(AND(A508&gt;=Inputs!$C$13,OR(A508&lt;Inputs!$B$19,Inputs!$B$20=1)),I508*Inputs!$C$11/C508,0)</f>
        <v>81.9672131147541</v>
      </c>
    </row>
    <row r="509" customFormat="false" ht="15" hidden="false" customHeight="false" outlineLevel="0" collapsed="false">
      <c r="A509" s="35" t="n">
        <f aca="false">A508+1</f>
        <v>45316</v>
      </c>
      <c r="B509" s="35" t="n">
        <f aca="false">EOMONTH(A509+1,0)</f>
        <v>45322</v>
      </c>
      <c r="C509" s="36" t="n">
        <f aca="false">IF(MOD(YEAR(A509),4)=0,366,365)</f>
        <v>366</v>
      </c>
      <c r="D509" s="37" t="n">
        <f aca="false">Inputs!$B$9-SUMIFS(Cash_Events!$G$6:$G$20,Cash_Events!$C$6:$C$20,"rAGMF",Cash_Events!$B$6:$B$20,"&lt;="&amp;A509)</f>
        <v>1500000</v>
      </c>
      <c r="E509" s="38" t="n">
        <f aca="false">VLOOKUP(A509,Inputs!$A$40:$B$48,2,TRUE())</f>
        <v>0.0547601</v>
      </c>
      <c r="F509" s="38" t="n">
        <f aca="false">E509+Inputs!$B$10</f>
        <v>0.1222601</v>
      </c>
      <c r="G509" s="37" t="n">
        <f aca="false">D509*F509/C509</f>
        <v>501.065983606557</v>
      </c>
      <c r="H509" s="37" t="n">
        <f aca="false">IF(AND(A509&gt;=Inputs!$B$13,OR(A509&lt;Inputs!$B$19,Inputs!$B$20=1)),D509*Inputs!$B$11/C509,0)</f>
        <v>81.9672131147541</v>
      </c>
      <c r="I509" s="37" t="n">
        <f aca="false">Inputs!$C$9-SUMIFS(Cash_Events!$G$6:$G$20,Cash_Events!$C$6:$C$20,"FHL",Cash_Events!$B$6:$B$20,"&lt;="&amp;A509)</f>
        <v>1500000</v>
      </c>
      <c r="J509" s="38" t="n">
        <f aca="false">VLOOKUP(A509,Inputs!$F$40:$G$48,2,TRUE())</f>
        <v>0.054735</v>
      </c>
      <c r="K509" s="38" t="n">
        <f aca="false">J509+Inputs!$C$10</f>
        <v>0.122235</v>
      </c>
      <c r="L509" s="37" t="n">
        <f aca="false">I509*K509/C509</f>
        <v>500.963114754098</v>
      </c>
      <c r="M509" s="37" t="n">
        <f aca="false">IF(AND(A509&gt;=Inputs!$C$13,OR(A509&lt;Inputs!$B$19,Inputs!$B$20=1)),I509*Inputs!$C$11/C509,0)</f>
        <v>81.9672131147541</v>
      </c>
    </row>
    <row r="510" customFormat="false" ht="15" hidden="false" customHeight="false" outlineLevel="0" collapsed="false">
      <c r="A510" s="35" t="n">
        <f aca="false">A509+1</f>
        <v>45317</v>
      </c>
      <c r="B510" s="35" t="n">
        <f aca="false">EOMONTH(A510+1,0)</f>
        <v>45322</v>
      </c>
      <c r="C510" s="36" t="n">
        <f aca="false">IF(MOD(YEAR(A510),4)=0,366,365)</f>
        <v>366</v>
      </c>
      <c r="D510" s="37" t="n">
        <f aca="false">Inputs!$B$9-SUMIFS(Cash_Events!$G$6:$G$20,Cash_Events!$C$6:$C$20,"rAGMF",Cash_Events!$B$6:$B$20,"&lt;="&amp;A510)</f>
        <v>1500000</v>
      </c>
      <c r="E510" s="38" t="n">
        <f aca="false">VLOOKUP(A510,Inputs!$A$40:$B$48,2,TRUE())</f>
        <v>0.0547601</v>
      </c>
      <c r="F510" s="38" t="n">
        <f aca="false">E510+Inputs!$B$10</f>
        <v>0.1222601</v>
      </c>
      <c r="G510" s="37" t="n">
        <f aca="false">D510*F510/C510</f>
        <v>501.065983606557</v>
      </c>
      <c r="H510" s="37" t="n">
        <f aca="false">IF(AND(A510&gt;=Inputs!$B$13,OR(A510&lt;Inputs!$B$19,Inputs!$B$20=1)),D510*Inputs!$B$11/C510,0)</f>
        <v>81.9672131147541</v>
      </c>
      <c r="I510" s="37" t="n">
        <f aca="false">Inputs!$C$9-SUMIFS(Cash_Events!$G$6:$G$20,Cash_Events!$C$6:$C$20,"FHL",Cash_Events!$B$6:$B$20,"&lt;="&amp;A510)</f>
        <v>1500000</v>
      </c>
      <c r="J510" s="38" t="n">
        <f aca="false">VLOOKUP(A510,Inputs!$F$40:$G$48,2,TRUE())</f>
        <v>0.054735</v>
      </c>
      <c r="K510" s="38" t="n">
        <f aca="false">J510+Inputs!$C$10</f>
        <v>0.122235</v>
      </c>
      <c r="L510" s="37" t="n">
        <f aca="false">I510*K510/C510</f>
        <v>500.963114754098</v>
      </c>
      <c r="M510" s="37" t="n">
        <f aca="false">IF(AND(A510&gt;=Inputs!$C$13,OR(A510&lt;Inputs!$B$19,Inputs!$B$20=1)),I510*Inputs!$C$11/C510,0)</f>
        <v>81.9672131147541</v>
      </c>
    </row>
    <row r="511" customFormat="false" ht="15" hidden="false" customHeight="false" outlineLevel="0" collapsed="false">
      <c r="A511" s="35" t="n">
        <f aca="false">A510+1</f>
        <v>45318</v>
      </c>
      <c r="B511" s="35" t="n">
        <f aca="false">EOMONTH(A511+1,0)</f>
        <v>45322</v>
      </c>
      <c r="C511" s="36" t="n">
        <f aca="false">IF(MOD(YEAR(A511),4)=0,366,365)</f>
        <v>366</v>
      </c>
      <c r="D511" s="37" t="n">
        <f aca="false">Inputs!$B$9-SUMIFS(Cash_Events!$G$6:$G$20,Cash_Events!$C$6:$C$20,"rAGMF",Cash_Events!$B$6:$B$20,"&lt;="&amp;A511)</f>
        <v>1500000</v>
      </c>
      <c r="E511" s="38" t="n">
        <f aca="false">VLOOKUP(A511,Inputs!$A$40:$B$48,2,TRUE())</f>
        <v>0.0547601</v>
      </c>
      <c r="F511" s="38" t="n">
        <f aca="false">E511+Inputs!$B$10</f>
        <v>0.1222601</v>
      </c>
      <c r="G511" s="37" t="n">
        <f aca="false">D511*F511/C511</f>
        <v>501.065983606557</v>
      </c>
      <c r="H511" s="37" t="n">
        <f aca="false">IF(AND(A511&gt;=Inputs!$B$13,OR(A511&lt;Inputs!$B$19,Inputs!$B$20=1)),D511*Inputs!$B$11/C511,0)</f>
        <v>81.9672131147541</v>
      </c>
      <c r="I511" s="37" t="n">
        <f aca="false">Inputs!$C$9-SUMIFS(Cash_Events!$G$6:$G$20,Cash_Events!$C$6:$C$20,"FHL",Cash_Events!$B$6:$B$20,"&lt;="&amp;A511)</f>
        <v>1500000</v>
      </c>
      <c r="J511" s="38" t="n">
        <f aca="false">VLOOKUP(A511,Inputs!$F$40:$G$48,2,TRUE())</f>
        <v>0.054735</v>
      </c>
      <c r="K511" s="38" t="n">
        <f aca="false">J511+Inputs!$C$10</f>
        <v>0.122235</v>
      </c>
      <c r="L511" s="37" t="n">
        <f aca="false">I511*K511/C511</f>
        <v>500.963114754098</v>
      </c>
      <c r="M511" s="37" t="n">
        <f aca="false">IF(AND(A511&gt;=Inputs!$C$13,OR(A511&lt;Inputs!$B$19,Inputs!$B$20=1)),I511*Inputs!$C$11/C511,0)</f>
        <v>81.9672131147541</v>
      </c>
    </row>
    <row r="512" customFormat="false" ht="15" hidden="false" customHeight="false" outlineLevel="0" collapsed="false">
      <c r="A512" s="35" t="n">
        <f aca="false">A511+1</f>
        <v>45319</v>
      </c>
      <c r="B512" s="35" t="n">
        <f aca="false">EOMONTH(A512+1,0)</f>
        <v>45322</v>
      </c>
      <c r="C512" s="36" t="n">
        <f aca="false">IF(MOD(YEAR(A512),4)=0,366,365)</f>
        <v>366</v>
      </c>
      <c r="D512" s="37" t="n">
        <f aca="false">Inputs!$B$9-SUMIFS(Cash_Events!$G$6:$G$20,Cash_Events!$C$6:$C$20,"rAGMF",Cash_Events!$B$6:$B$20,"&lt;="&amp;A512)</f>
        <v>1500000</v>
      </c>
      <c r="E512" s="38" t="n">
        <f aca="false">VLOOKUP(A512,Inputs!$A$40:$B$48,2,TRUE())</f>
        <v>0.0547601</v>
      </c>
      <c r="F512" s="38" t="n">
        <f aca="false">E512+Inputs!$B$10</f>
        <v>0.1222601</v>
      </c>
      <c r="G512" s="37" t="n">
        <f aca="false">D512*F512/C512</f>
        <v>501.065983606557</v>
      </c>
      <c r="H512" s="37" t="n">
        <f aca="false">IF(AND(A512&gt;=Inputs!$B$13,OR(A512&lt;Inputs!$B$19,Inputs!$B$20=1)),D512*Inputs!$B$11/C512,0)</f>
        <v>81.9672131147541</v>
      </c>
      <c r="I512" s="37" t="n">
        <f aca="false">Inputs!$C$9-SUMIFS(Cash_Events!$G$6:$G$20,Cash_Events!$C$6:$C$20,"FHL",Cash_Events!$B$6:$B$20,"&lt;="&amp;A512)</f>
        <v>1500000</v>
      </c>
      <c r="J512" s="38" t="n">
        <f aca="false">VLOOKUP(A512,Inputs!$F$40:$G$48,2,TRUE())</f>
        <v>0.054735</v>
      </c>
      <c r="K512" s="38" t="n">
        <f aca="false">J512+Inputs!$C$10</f>
        <v>0.122235</v>
      </c>
      <c r="L512" s="37" t="n">
        <f aca="false">I512*K512/C512</f>
        <v>500.963114754098</v>
      </c>
      <c r="M512" s="37" t="n">
        <f aca="false">IF(AND(A512&gt;=Inputs!$C$13,OR(A512&lt;Inputs!$B$19,Inputs!$B$20=1)),I512*Inputs!$C$11/C512,0)</f>
        <v>81.9672131147541</v>
      </c>
    </row>
    <row r="513" customFormat="false" ht="15" hidden="false" customHeight="false" outlineLevel="0" collapsed="false">
      <c r="A513" s="35" t="n">
        <f aca="false">A512+1</f>
        <v>45320</v>
      </c>
      <c r="B513" s="35" t="n">
        <f aca="false">EOMONTH(A513+1,0)</f>
        <v>45322</v>
      </c>
      <c r="C513" s="36" t="n">
        <f aca="false">IF(MOD(YEAR(A513),4)=0,366,365)</f>
        <v>366</v>
      </c>
      <c r="D513" s="37" t="n">
        <f aca="false">Inputs!$B$9-SUMIFS(Cash_Events!$G$6:$G$20,Cash_Events!$C$6:$C$20,"rAGMF",Cash_Events!$B$6:$B$20,"&lt;="&amp;A513)</f>
        <v>1500000</v>
      </c>
      <c r="E513" s="38" t="n">
        <f aca="false">VLOOKUP(A513,Inputs!$A$40:$B$48,2,TRUE())</f>
        <v>0.0547601</v>
      </c>
      <c r="F513" s="38" t="n">
        <f aca="false">E513+Inputs!$B$10</f>
        <v>0.1222601</v>
      </c>
      <c r="G513" s="37" t="n">
        <f aca="false">D513*F513/C513</f>
        <v>501.065983606557</v>
      </c>
      <c r="H513" s="37" t="n">
        <f aca="false">IF(AND(A513&gt;=Inputs!$B$13,OR(A513&lt;Inputs!$B$19,Inputs!$B$20=1)),D513*Inputs!$B$11/C513,0)</f>
        <v>81.9672131147541</v>
      </c>
      <c r="I513" s="37" t="n">
        <f aca="false">Inputs!$C$9-SUMIFS(Cash_Events!$G$6:$G$20,Cash_Events!$C$6:$C$20,"FHL",Cash_Events!$B$6:$B$20,"&lt;="&amp;A513)</f>
        <v>1500000</v>
      </c>
      <c r="J513" s="38" t="n">
        <f aca="false">VLOOKUP(A513,Inputs!$F$40:$G$48,2,TRUE())</f>
        <v>0.054735</v>
      </c>
      <c r="K513" s="38" t="n">
        <f aca="false">J513+Inputs!$C$10</f>
        <v>0.122235</v>
      </c>
      <c r="L513" s="37" t="n">
        <f aca="false">I513*K513/C513</f>
        <v>500.963114754098</v>
      </c>
      <c r="M513" s="37" t="n">
        <f aca="false">IF(AND(A513&gt;=Inputs!$C$13,OR(A513&lt;Inputs!$B$19,Inputs!$B$20=1)),I513*Inputs!$C$11/C513,0)</f>
        <v>81.9672131147541</v>
      </c>
    </row>
    <row r="514" customFormat="false" ht="15" hidden="false" customHeight="false" outlineLevel="0" collapsed="false">
      <c r="A514" s="35" t="n">
        <f aca="false">A513+1</f>
        <v>45321</v>
      </c>
      <c r="B514" s="35" t="n">
        <f aca="false">EOMONTH(A514+1,0)</f>
        <v>45322</v>
      </c>
      <c r="C514" s="36" t="n">
        <f aca="false">IF(MOD(YEAR(A514),4)=0,366,365)</f>
        <v>366</v>
      </c>
      <c r="D514" s="37" t="n">
        <f aca="false">Inputs!$B$9-SUMIFS(Cash_Events!$G$6:$G$20,Cash_Events!$C$6:$C$20,"rAGMF",Cash_Events!$B$6:$B$20,"&lt;="&amp;A514)</f>
        <v>1500000</v>
      </c>
      <c r="E514" s="38" t="n">
        <f aca="false">VLOOKUP(A514,Inputs!$A$40:$B$48,2,TRUE())</f>
        <v>0.0547601</v>
      </c>
      <c r="F514" s="38" t="n">
        <f aca="false">E514+Inputs!$B$10</f>
        <v>0.1222601</v>
      </c>
      <c r="G514" s="37" t="n">
        <f aca="false">D514*F514/C514</f>
        <v>501.065983606557</v>
      </c>
      <c r="H514" s="37" t="n">
        <f aca="false">IF(AND(A514&gt;=Inputs!$B$13,OR(A514&lt;Inputs!$B$19,Inputs!$B$20=1)),D514*Inputs!$B$11/C514,0)</f>
        <v>81.9672131147541</v>
      </c>
      <c r="I514" s="37" t="n">
        <f aca="false">Inputs!$C$9-SUMIFS(Cash_Events!$G$6:$G$20,Cash_Events!$C$6:$C$20,"FHL",Cash_Events!$B$6:$B$20,"&lt;="&amp;A514)</f>
        <v>1500000</v>
      </c>
      <c r="J514" s="38" t="n">
        <f aca="false">VLOOKUP(A514,Inputs!$F$40:$G$48,2,TRUE())</f>
        <v>0.054735</v>
      </c>
      <c r="K514" s="38" t="n">
        <f aca="false">J514+Inputs!$C$10</f>
        <v>0.122235</v>
      </c>
      <c r="L514" s="37" t="n">
        <f aca="false">I514*K514/C514</f>
        <v>500.963114754098</v>
      </c>
      <c r="M514" s="37" t="n">
        <f aca="false">IF(AND(A514&gt;=Inputs!$C$13,OR(A514&lt;Inputs!$B$19,Inputs!$B$20=1)),I514*Inputs!$C$11/C514,0)</f>
        <v>81.9672131147541</v>
      </c>
    </row>
    <row r="515" customFormat="false" ht="15" hidden="false" customHeight="false" outlineLevel="0" collapsed="false">
      <c r="A515" s="35" t="n">
        <f aca="false">A514+1</f>
        <v>45322</v>
      </c>
      <c r="B515" s="35" t="n">
        <f aca="false">EOMONTH(A515+1,0)</f>
        <v>45351</v>
      </c>
      <c r="C515" s="36" t="n">
        <f aca="false">IF(MOD(YEAR(A515),4)=0,366,365)</f>
        <v>366</v>
      </c>
      <c r="D515" s="37" t="n">
        <f aca="false">Inputs!$B$9-SUMIFS(Cash_Events!$G$6:$G$20,Cash_Events!$C$6:$C$20,"rAGMF",Cash_Events!$B$6:$B$20,"&lt;="&amp;A515)</f>
        <v>1500000</v>
      </c>
      <c r="E515" s="38" t="n">
        <f aca="false">VLOOKUP(A515,Inputs!$A$40:$B$48,2,TRUE())</f>
        <v>0.0547601</v>
      </c>
      <c r="F515" s="38" t="n">
        <f aca="false">E515+Inputs!$B$10</f>
        <v>0.1222601</v>
      </c>
      <c r="G515" s="37" t="n">
        <f aca="false">D515*F515/C515</f>
        <v>501.065983606557</v>
      </c>
      <c r="H515" s="37" t="n">
        <f aca="false">IF(AND(A515&gt;=Inputs!$B$13,OR(A515&lt;Inputs!$B$19,Inputs!$B$20=1)),D515*Inputs!$B$11/C515,0)</f>
        <v>81.9672131147541</v>
      </c>
      <c r="I515" s="37" t="n">
        <f aca="false">Inputs!$C$9-SUMIFS(Cash_Events!$G$6:$G$20,Cash_Events!$C$6:$C$20,"FHL",Cash_Events!$B$6:$B$20,"&lt;="&amp;A515)</f>
        <v>1500000</v>
      </c>
      <c r="J515" s="38" t="n">
        <f aca="false">VLOOKUP(A515,Inputs!$F$40:$G$48,2,TRUE())</f>
        <v>0.054735</v>
      </c>
      <c r="K515" s="38" t="n">
        <f aca="false">J515+Inputs!$C$10</f>
        <v>0.122235</v>
      </c>
      <c r="L515" s="37" t="n">
        <f aca="false">I515*K515/C515</f>
        <v>500.963114754098</v>
      </c>
      <c r="M515" s="37" t="n">
        <f aca="false">IF(AND(A515&gt;=Inputs!$C$13,OR(A515&lt;Inputs!$B$19,Inputs!$B$20=1)),I515*Inputs!$C$11/C515,0)</f>
        <v>81.9672131147541</v>
      </c>
    </row>
    <row r="516" customFormat="false" ht="15" hidden="false" customHeight="false" outlineLevel="0" collapsed="false">
      <c r="A516" s="35" t="n">
        <f aca="false">A515+1</f>
        <v>45323</v>
      </c>
      <c r="B516" s="35" t="n">
        <f aca="false">EOMONTH(A516+1,0)</f>
        <v>45351</v>
      </c>
      <c r="C516" s="36" t="n">
        <f aca="false">IF(MOD(YEAR(A516),4)=0,366,365)</f>
        <v>366</v>
      </c>
      <c r="D516" s="37" t="n">
        <f aca="false">Inputs!$B$9-SUMIFS(Cash_Events!$G$6:$G$20,Cash_Events!$C$6:$C$20,"rAGMF",Cash_Events!$B$6:$B$20,"&lt;="&amp;A516)</f>
        <v>1500000</v>
      </c>
      <c r="E516" s="38" t="n">
        <f aca="false">VLOOKUP(A516,Inputs!$A$40:$B$48,2,TRUE())</f>
        <v>0.0547601</v>
      </c>
      <c r="F516" s="38" t="n">
        <f aca="false">E516+Inputs!$B$10</f>
        <v>0.1222601</v>
      </c>
      <c r="G516" s="37" t="n">
        <f aca="false">D516*F516/C516</f>
        <v>501.065983606557</v>
      </c>
      <c r="H516" s="37" t="n">
        <f aca="false">IF(AND(A516&gt;=Inputs!$B$13,OR(A516&lt;Inputs!$B$19,Inputs!$B$20=1)),D516*Inputs!$B$11/C516,0)</f>
        <v>81.9672131147541</v>
      </c>
      <c r="I516" s="37" t="n">
        <f aca="false">Inputs!$C$9-SUMIFS(Cash_Events!$G$6:$G$20,Cash_Events!$C$6:$C$20,"FHL",Cash_Events!$B$6:$B$20,"&lt;="&amp;A516)</f>
        <v>1500000</v>
      </c>
      <c r="J516" s="38" t="n">
        <f aca="false">VLOOKUP(A516,Inputs!$F$40:$G$48,2,TRUE())</f>
        <v>0.054735</v>
      </c>
      <c r="K516" s="38" t="n">
        <f aca="false">J516+Inputs!$C$10</f>
        <v>0.122235</v>
      </c>
      <c r="L516" s="37" t="n">
        <f aca="false">I516*K516/C516</f>
        <v>500.963114754098</v>
      </c>
      <c r="M516" s="37" t="n">
        <f aca="false">IF(AND(A516&gt;=Inputs!$C$13,OR(A516&lt;Inputs!$B$19,Inputs!$B$20=1)),I516*Inputs!$C$11/C516,0)</f>
        <v>81.9672131147541</v>
      </c>
    </row>
    <row r="517" customFormat="false" ht="15" hidden="false" customHeight="false" outlineLevel="0" collapsed="false">
      <c r="A517" s="35" t="n">
        <f aca="false">A516+1</f>
        <v>45324</v>
      </c>
      <c r="B517" s="35" t="n">
        <f aca="false">EOMONTH(A517+1,0)</f>
        <v>45351</v>
      </c>
      <c r="C517" s="36" t="n">
        <f aca="false">IF(MOD(YEAR(A517),4)=0,366,365)</f>
        <v>366</v>
      </c>
      <c r="D517" s="37" t="n">
        <f aca="false">Inputs!$B$9-SUMIFS(Cash_Events!$G$6:$G$20,Cash_Events!$C$6:$C$20,"rAGMF",Cash_Events!$B$6:$B$20,"&lt;="&amp;A517)</f>
        <v>1500000</v>
      </c>
      <c r="E517" s="38" t="n">
        <f aca="false">VLOOKUP(A517,Inputs!$A$40:$B$48,2,TRUE())</f>
        <v>0.0547601</v>
      </c>
      <c r="F517" s="38" t="n">
        <f aca="false">E517+Inputs!$B$10</f>
        <v>0.1222601</v>
      </c>
      <c r="G517" s="37" t="n">
        <f aca="false">D517*F517/C517</f>
        <v>501.065983606557</v>
      </c>
      <c r="H517" s="37" t="n">
        <f aca="false">IF(AND(A517&gt;=Inputs!$B$13,OR(A517&lt;Inputs!$B$19,Inputs!$B$20=1)),D517*Inputs!$B$11/C517,0)</f>
        <v>81.9672131147541</v>
      </c>
      <c r="I517" s="37" t="n">
        <f aca="false">Inputs!$C$9-SUMIFS(Cash_Events!$G$6:$G$20,Cash_Events!$C$6:$C$20,"FHL",Cash_Events!$B$6:$B$20,"&lt;="&amp;A517)</f>
        <v>1500000</v>
      </c>
      <c r="J517" s="38" t="n">
        <f aca="false">VLOOKUP(A517,Inputs!$F$40:$G$48,2,TRUE())</f>
        <v>0.054735</v>
      </c>
      <c r="K517" s="38" t="n">
        <f aca="false">J517+Inputs!$C$10</f>
        <v>0.122235</v>
      </c>
      <c r="L517" s="37" t="n">
        <f aca="false">I517*K517/C517</f>
        <v>500.963114754098</v>
      </c>
      <c r="M517" s="37" t="n">
        <f aca="false">IF(AND(A517&gt;=Inputs!$C$13,OR(A517&lt;Inputs!$B$19,Inputs!$B$20=1)),I517*Inputs!$C$11/C517,0)</f>
        <v>81.9672131147541</v>
      </c>
    </row>
    <row r="518" customFormat="false" ht="15" hidden="false" customHeight="false" outlineLevel="0" collapsed="false">
      <c r="A518" s="35" t="n">
        <f aca="false">A517+1</f>
        <v>45325</v>
      </c>
      <c r="B518" s="35" t="n">
        <f aca="false">EOMONTH(A518+1,0)</f>
        <v>45351</v>
      </c>
      <c r="C518" s="36" t="n">
        <f aca="false">IF(MOD(YEAR(A518),4)=0,366,365)</f>
        <v>366</v>
      </c>
      <c r="D518" s="37" t="n">
        <f aca="false">Inputs!$B$9-SUMIFS(Cash_Events!$G$6:$G$20,Cash_Events!$C$6:$C$20,"rAGMF",Cash_Events!$B$6:$B$20,"&lt;="&amp;A518)</f>
        <v>1500000</v>
      </c>
      <c r="E518" s="38" t="n">
        <f aca="false">VLOOKUP(A518,Inputs!$A$40:$B$48,2,TRUE())</f>
        <v>0.0547601</v>
      </c>
      <c r="F518" s="38" t="n">
        <f aca="false">E518+Inputs!$B$10</f>
        <v>0.1222601</v>
      </c>
      <c r="G518" s="37" t="n">
        <f aca="false">D518*F518/C518</f>
        <v>501.065983606557</v>
      </c>
      <c r="H518" s="37" t="n">
        <f aca="false">IF(AND(A518&gt;=Inputs!$B$13,OR(A518&lt;Inputs!$B$19,Inputs!$B$20=1)),D518*Inputs!$B$11/C518,0)</f>
        <v>81.9672131147541</v>
      </c>
      <c r="I518" s="37" t="n">
        <f aca="false">Inputs!$C$9-SUMIFS(Cash_Events!$G$6:$G$20,Cash_Events!$C$6:$C$20,"FHL",Cash_Events!$B$6:$B$20,"&lt;="&amp;A518)</f>
        <v>1500000</v>
      </c>
      <c r="J518" s="38" t="n">
        <f aca="false">VLOOKUP(A518,Inputs!$F$40:$G$48,2,TRUE())</f>
        <v>0.054735</v>
      </c>
      <c r="K518" s="38" t="n">
        <f aca="false">J518+Inputs!$C$10</f>
        <v>0.122235</v>
      </c>
      <c r="L518" s="37" t="n">
        <f aca="false">I518*K518/C518</f>
        <v>500.963114754098</v>
      </c>
      <c r="M518" s="37" t="n">
        <f aca="false">IF(AND(A518&gt;=Inputs!$C$13,OR(A518&lt;Inputs!$B$19,Inputs!$B$20=1)),I518*Inputs!$C$11/C518,0)</f>
        <v>81.9672131147541</v>
      </c>
    </row>
    <row r="519" customFormat="false" ht="15" hidden="false" customHeight="false" outlineLevel="0" collapsed="false">
      <c r="A519" s="35" t="n">
        <f aca="false">A518+1</f>
        <v>45326</v>
      </c>
      <c r="B519" s="35" t="n">
        <f aca="false">EOMONTH(A519+1,0)</f>
        <v>45351</v>
      </c>
      <c r="C519" s="36" t="n">
        <f aca="false">IF(MOD(YEAR(A519),4)=0,366,365)</f>
        <v>366</v>
      </c>
      <c r="D519" s="37" t="n">
        <f aca="false">Inputs!$B$9-SUMIFS(Cash_Events!$G$6:$G$20,Cash_Events!$C$6:$C$20,"rAGMF",Cash_Events!$B$6:$B$20,"&lt;="&amp;A519)</f>
        <v>1500000</v>
      </c>
      <c r="E519" s="38" t="n">
        <f aca="false">VLOOKUP(A519,Inputs!$A$40:$B$48,2,TRUE())</f>
        <v>0.0547601</v>
      </c>
      <c r="F519" s="38" t="n">
        <f aca="false">E519+Inputs!$B$10</f>
        <v>0.1222601</v>
      </c>
      <c r="G519" s="37" t="n">
        <f aca="false">D519*F519/C519</f>
        <v>501.065983606557</v>
      </c>
      <c r="H519" s="37" t="n">
        <f aca="false">IF(AND(A519&gt;=Inputs!$B$13,OR(A519&lt;Inputs!$B$19,Inputs!$B$20=1)),D519*Inputs!$B$11/C519,0)</f>
        <v>81.9672131147541</v>
      </c>
      <c r="I519" s="37" t="n">
        <f aca="false">Inputs!$C$9-SUMIFS(Cash_Events!$G$6:$G$20,Cash_Events!$C$6:$C$20,"FHL",Cash_Events!$B$6:$B$20,"&lt;="&amp;A519)</f>
        <v>1500000</v>
      </c>
      <c r="J519" s="38" t="n">
        <f aca="false">VLOOKUP(A519,Inputs!$F$40:$G$48,2,TRUE())</f>
        <v>0.054735</v>
      </c>
      <c r="K519" s="38" t="n">
        <f aca="false">J519+Inputs!$C$10</f>
        <v>0.122235</v>
      </c>
      <c r="L519" s="37" t="n">
        <f aca="false">I519*K519/C519</f>
        <v>500.963114754098</v>
      </c>
      <c r="M519" s="37" t="n">
        <f aca="false">IF(AND(A519&gt;=Inputs!$C$13,OR(A519&lt;Inputs!$B$19,Inputs!$B$20=1)),I519*Inputs!$C$11/C519,0)</f>
        <v>81.9672131147541</v>
      </c>
    </row>
    <row r="520" customFormat="false" ht="15" hidden="false" customHeight="false" outlineLevel="0" collapsed="false">
      <c r="A520" s="35" t="n">
        <f aca="false">A519+1</f>
        <v>45327</v>
      </c>
      <c r="B520" s="35" t="n">
        <f aca="false">EOMONTH(A520+1,0)</f>
        <v>45351</v>
      </c>
      <c r="C520" s="36" t="n">
        <f aca="false">IF(MOD(YEAR(A520),4)=0,366,365)</f>
        <v>366</v>
      </c>
      <c r="D520" s="37" t="n">
        <f aca="false">Inputs!$B$9-SUMIFS(Cash_Events!$G$6:$G$20,Cash_Events!$C$6:$C$20,"rAGMF",Cash_Events!$B$6:$B$20,"&lt;="&amp;A520)</f>
        <v>1500000</v>
      </c>
      <c r="E520" s="38" t="n">
        <f aca="false">VLOOKUP(A520,Inputs!$A$40:$B$48,2,TRUE())</f>
        <v>0.0547601</v>
      </c>
      <c r="F520" s="38" t="n">
        <f aca="false">E520+Inputs!$B$10</f>
        <v>0.1222601</v>
      </c>
      <c r="G520" s="37" t="n">
        <f aca="false">D520*F520/C520</f>
        <v>501.065983606557</v>
      </c>
      <c r="H520" s="37" t="n">
        <f aca="false">IF(AND(A520&gt;=Inputs!$B$13,OR(A520&lt;Inputs!$B$19,Inputs!$B$20=1)),D520*Inputs!$B$11/C520,0)</f>
        <v>81.9672131147541</v>
      </c>
      <c r="I520" s="37" t="n">
        <f aca="false">Inputs!$C$9-SUMIFS(Cash_Events!$G$6:$G$20,Cash_Events!$C$6:$C$20,"FHL",Cash_Events!$B$6:$B$20,"&lt;="&amp;A520)</f>
        <v>1500000</v>
      </c>
      <c r="J520" s="38" t="n">
        <f aca="false">VLOOKUP(A520,Inputs!$F$40:$G$48,2,TRUE())</f>
        <v>0.054735</v>
      </c>
      <c r="K520" s="38" t="n">
        <f aca="false">J520+Inputs!$C$10</f>
        <v>0.122235</v>
      </c>
      <c r="L520" s="37" t="n">
        <f aca="false">I520*K520/C520</f>
        <v>500.963114754098</v>
      </c>
      <c r="M520" s="37" t="n">
        <f aca="false">IF(AND(A520&gt;=Inputs!$C$13,OR(A520&lt;Inputs!$B$19,Inputs!$B$20=1)),I520*Inputs!$C$11/C520,0)</f>
        <v>81.9672131147541</v>
      </c>
    </row>
    <row r="521" customFormat="false" ht="15" hidden="false" customHeight="false" outlineLevel="0" collapsed="false">
      <c r="A521" s="35" t="n">
        <f aca="false">A520+1</f>
        <v>45328</v>
      </c>
      <c r="B521" s="35" t="n">
        <f aca="false">EOMONTH(A521+1,0)</f>
        <v>45351</v>
      </c>
      <c r="C521" s="36" t="n">
        <f aca="false">IF(MOD(YEAR(A521),4)=0,366,365)</f>
        <v>366</v>
      </c>
      <c r="D521" s="37" t="n">
        <f aca="false">Inputs!$B$9-SUMIFS(Cash_Events!$G$6:$G$20,Cash_Events!$C$6:$C$20,"rAGMF",Cash_Events!$B$6:$B$20,"&lt;="&amp;A521)</f>
        <v>1500000</v>
      </c>
      <c r="E521" s="38" t="n">
        <f aca="false">VLOOKUP(A521,Inputs!$A$40:$B$48,2,TRUE())</f>
        <v>0.0547601</v>
      </c>
      <c r="F521" s="38" t="n">
        <f aca="false">E521+Inputs!$B$10</f>
        <v>0.1222601</v>
      </c>
      <c r="G521" s="37" t="n">
        <f aca="false">D521*F521/C521</f>
        <v>501.065983606557</v>
      </c>
      <c r="H521" s="37" t="n">
        <f aca="false">IF(AND(A521&gt;=Inputs!$B$13,OR(A521&lt;Inputs!$B$19,Inputs!$B$20=1)),D521*Inputs!$B$11/C521,0)</f>
        <v>81.9672131147541</v>
      </c>
      <c r="I521" s="37" t="n">
        <f aca="false">Inputs!$C$9-SUMIFS(Cash_Events!$G$6:$G$20,Cash_Events!$C$6:$C$20,"FHL",Cash_Events!$B$6:$B$20,"&lt;="&amp;A521)</f>
        <v>1500000</v>
      </c>
      <c r="J521" s="38" t="n">
        <f aca="false">VLOOKUP(A521,Inputs!$F$40:$G$48,2,TRUE())</f>
        <v>0.054735</v>
      </c>
      <c r="K521" s="38" t="n">
        <f aca="false">J521+Inputs!$C$10</f>
        <v>0.122235</v>
      </c>
      <c r="L521" s="37" t="n">
        <f aca="false">I521*K521/C521</f>
        <v>500.963114754098</v>
      </c>
      <c r="M521" s="37" t="n">
        <f aca="false">IF(AND(A521&gt;=Inputs!$C$13,OR(A521&lt;Inputs!$B$19,Inputs!$B$20=1)),I521*Inputs!$C$11/C521,0)</f>
        <v>81.9672131147541</v>
      </c>
    </row>
    <row r="522" customFormat="false" ht="15" hidden="false" customHeight="false" outlineLevel="0" collapsed="false">
      <c r="A522" s="35" t="n">
        <f aca="false">A521+1</f>
        <v>45329</v>
      </c>
      <c r="B522" s="35" t="n">
        <f aca="false">EOMONTH(A522+1,0)</f>
        <v>45351</v>
      </c>
      <c r="C522" s="36" t="n">
        <f aca="false">IF(MOD(YEAR(A522),4)=0,366,365)</f>
        <v>366</v>
      </c>
      <c r="D522" s="37" t="n">
        <f aca="false">Inputs!$B$9-SUMIFS(Cash_Events!$G$6:$G$20,Cash_Events!$C$6:$C$20,"rAGMF",Cash_Events!$B$6:$B$20,"&lt;="&amp;A522)</f>
        <v>1500000</v>
      </c>
      <c r="E522" s="38" t="n">
        <f aca="false">VLOOKUP(A522,Inputs!$A$40:$B$48,2,TRUE())</f>
        <v>0.0547601</v>
      </c>
      <c r="F522" s="38" t="n">
        <f aca="false">E522+Inputs!$B$10</f>
        <v>0.1222601</v>
      </c>
      <c r="G522" s="37" t="n">
        <f aca="false">D522*F522/C522</f>
        <v>501.065983606557</v>
      </c>
      <c r="H522" s="37" t="n">
        <f aca="false">IF(AND(A522&gt;=Inputs!$B$13,OR(A522&lt;Inputs!$B$19,Inputs!$B$20=1)),D522*Inputs!$B$11/C522,0)</f>
        <v>81.9672131147541</v>
      </c>
      <c r="I522" s="37" t="n">
        <f aca="false">Inputs!$C$9-SUMIFS(Cash_Events!$G$6:$G$20,Cash_Events!$C$6:$C$20,"FHL",Cash_Events!$B$6:$B$20,"&lt;="&amp;A522)</f>
        <v>1500000</v>
      </c>
      <c r="J522" s="38" t="n">
        <f aca="false">VLOOKUP(A522,Inputs!$F$40:$G$48,2,TRUE())</f>
        <v>0.054735</v>
      </c>
      <c r="K522" s="38" t="n">
        <f aca="false">J522+Inputs!$C$10</f>
        <v>0.122235</v>
      </c>
      <c r="L522" s="37" t="n">
        <f aca="false">I522*K522/C522</f>
        <v>500.963114754098</v>
      </c>
      <c r="M522" s="37" t="n">
        <f aca="false">IF(AND(A522&gt;=Inputs!$C$13,OR(A522&lt;Inputs!$B$19,Inputs!$B$20=1)),I522*Inputs!$C$11/C522,0)</f>
        <v>81.9672131147541</v>
      </c>
    </row>
    <row r="523" customFormat="false" ht="15" hidden="false" customHeight="false" outlineLevel="0" collapsed="false">
      <c r="A523" s="35" t="n">
        <f aca="false">A522+1</f>
        <v>45330</v>
      </c>
      <c r="B523" s="35" t="n">
        <f aca="false">EOMONTH(A523+1,0)</f>
        <v>45351</v>
      </c>
      <c r="C523" s="36" t="n">
        <f aca="false">IF(MOD(YEAR(A523),4)=0,366,365)</f>
        <v>366</v>
      </c>
      <c r="D523" s="37" t="n">
        <f aca="false">Inputs!$B$9-SUMIFS(Cash_Events!$G$6:$G$20,Cash_Events!$C$6:$C$20,"rAGMF",Cash_Events!$B$6:$B$20,"&lt;="&amp;A523)</f>
        <v>1500000</v>
      </c>
      <c r="E523" s="38" t="n">
        <f aca="false">VLOOKUP(A523,Inputs!$A$40:$B$48,2,TRUE())</f>
        <v>0.0547601</v>
      </c>
      <c r="F523" s="38" t="n">
        <f aca="false">E523+Inputs!$B$10</f>
        <v>0.1222601</v>
      </c>
      <c r="G523" s="37" t="n">
        <f aca="false">D523*F523/C523</f>
        <v>501.065983606557</v>
      </c>
      <c r="H523" s="37" t="n">
        <f aca="false">IF(AND(A523&gt;=Inputs!$B$13,OR(A523&lt;Inputs!$B$19,Inputs!$B$20=1)),D523*Inputs!$B$11/C523,0)</f>
        <v>81.9672131147541</v>
      </c>
      <c r="I523" s="37" t="n">
        <f aca="false">Inputs!$C$9-SUMIFS(Cash_Events!$G$6:$G$20,Cash_Events!$C$6:$C$20,"FHL",Cash_Events!$B$6:$B$20,"&lt;="&amp;A523)</f>
        <v>1500000</v>
      </c>
      <c r="J523" s="38" t="n">
        <f aca="false">VLOOKUP(A523,Inputs!$F$40:$G$48,2,TRUE())</f>
        <v>0.054735</v>
      </c>
      <c r="K523" s="38" t="n">
        <f aca="false">J523+Inputs!$C$10</f>
        <v>0.122235</v>
      </c>
      <c r="L523" s="37" t="n">
        <f aca="false">I523*K523/C523</f>
        <v>500.963114754098</v>
      </c>
      <c r="M523" s="37" t="n">
        <f aca="false">IF(AND(A523&gt;=Inputs!$C$13,OR(A523&lt;Inputs!$B$19,Inputs!$B$20=1)),I523*Inputs!$C$11/C523,0)</f>
        <v>81.9672131147541</v>
      </c>
    </row>
    <row r="524" customFormat="false" ht="15" hidden="false" customHeight="false" outlineLevel="0" collapsed="false">
      <c r="A524" s="35" t="n">
        <f aca="false">A523+1</f>
        <v>45331</v>
      </c>
      <c r="B524" s="35" t="n">
        <f aca="false">EOMONTH(A524+1,0)</f>
        <v>45351</v>
      </c>
      <c r="C524" s="36" t="n">
        <f aca="false">IF(MOD(YEAR(A524),4)=0,366,365)</f>
        <v>366</v>
      </c>
      <c r="D524" s="37" t="n">
        <f aca="false">Inputs!$B$9-SUMIFS(Cash_Events!$G$6:$G$20,Cash_Events!$C$6:$C$20,"rAGMF",Cash_Events!$B$6:$B$20,"&lt;="&amp;A524)</f>
        <v>1500000</v>
      </c>
      <c r="E524" s="38" t="n">
        <f aca="false">VLOOKUP(A524,Inputs!$A$40:$B$48,2,TRUE())</f>
        <v>0.0547601</v>
      </c>
      <c r="F524" s="38" t="n">
        <f aca="false">E524+Inputs!$B$10</f>
        <v>0.1222601</v>
      </c>
      <c r="G524" s="37" t="n">
        <f aca="false">D524*F524/C524</f>
        <v>501.065983606557</v>
      </c>
      <c r="H524" s="37" t="n">
        <f aca="false">IF(AND(A524&gt;=Inputs!$B$13,OR(A524&lt;Inputs!$B$19,Inputs!$B$20=1)),D524*Inputs!$B$11/C524,0)</f>
        <v>81.9672131147541</v>
      </c>
      <c r="I524" s="37" t="n">
        <f aca="false">Inputs!$C$9-SUMIFS(Cash_Events!$G$6:$G$20,Cash_Events!$C$6:$C$20,"FHL",Cash_Events!$B$6:$B$20,"&lt;="&amp;A524)</f>
        <v>1500000</v>
      </c>
      <c r="J524" s="38" t="n">
        <f aca="false">VLOOKUP(A524,Inputs!$F$40:$G$48,2,TRUE())</f>
        <v>0.054735</v>
      </c>
      <c r="K524" s="38" t="n">
        <f aca="false">J524+Inputs!$C$10</f>
        <v>0.122235</v>
      </c>
      <c r="L524" s="37" t="n">
        <f aca="false">I524*K524/C524</f>
        <v>500.963114754098</v>
      </c>
      <c r="M524" s="37" t="n">
        <f aca="false">IF(AND(A524&gt;=Inputs!$C$13,OR(A524&lt;Inputs!$B$19,Inputs!$B$20=1)),I524*Inputs!$C$11/C524,0)</f>
        <v>81.9672131147541</v>
      </c>
    </row>
    <row r="525" customFormat="false" ht="15" hidden="false" customHeight="false" outlineLevel="0" collapsed="false">
      <c r="A525" s="35" t="n">
        <f aca="false">A524+1</f>
        <v>45332</v>
      </c>
      <c r="B525" s="35" t="n">
        <f aca="false">EOMONTH(A525+1,0)</f>
        <v>45351</v>
      </c>
      <c r="C525" s="36" t="n">
        <f aca="false">IF(MOD(YEAR(A525),4)=0,366,365)</f>
        <v>366</v>
      </c>
      <c r="D525" s="37" t="n">
        <f aca="false">Inputs!$B$9-SUMIFS(Cash_Events!$G$6:$G$20,Cash_Events!$C$6:$C$20,"rAGMF",Cash_Events!$B$6:$B$20,"&lt;="&amp;A525)</f>
        <v>1500000</v>
      </c>
      <c r="E525" s="38" t="n">
        <f aca="false">VLOOKUP(A525,Inputs!$A$40:$B$48,2,TRUE())</f>
        <v>0.0547601</v>
      </c>
      <c r="F525" s="38" t="n">
        <f aca="false">E525+Inputs!$B$10</f>
        <v>0.1222601</v>
      </c>
      <c r="G525" s="37" t="n">
        <f aca="false">D525*F525/C525</f>
        <v>501.065983606557</v>
      </c>
      <c r="H525" s="37" t="n">
        <f aca="false">IF(AND(A525&gt;=Inputs!$B$13,OR(A525&lt;Inputs!$B$19,Inputs!$B$20=1)),D525*Inputs!$B$11/C525,0)</f>
        <v>81.9672131147541</v>
      </c>
      <c r="I525" s="37" t="n">
        <f aca="false">Inputs!$C$9-SUMIFS(Cash_Events!$G$6:$G$20,Cash_Events!$C$6:$C$20,"FHL",Cash_Events!$B$6:$B$20,"&lt;="&amp;A525)</f>
        <v>1500000</v>
      </c>
      <c r="J525" s="38" t="n">
        <f aca="false">VLOOKUP(A525,Inputs!$F$40:$G$48,2,TRUE())</f>
        <v>0.054735</v>
      </c>
      <c r="K525" s="38" t="n">
        <f aca="false">J525+Inputs!$C$10</f>
        <v>0.122235</v>
      </c>
      <c r="L525" s="37" t="n">
        <f aca="false">I525*K525/C525</f>
        <v>500.963114754098</v>
      </c>
      <c r="M525" s="37" t="n">
        <f aca="false">IF(AND(A525&gt;=Inputs!$C$13,OR(A525&lt;Inputs!$B$19,Inputs!$B$20=1)),I525*Inputs!$C$11/C525,0)</f>
        <v>81.9672131147541</v>
      </c>
    </row>
    <row r="526" customFormat="false" ht="15" hidden="false" customHeight="false" outlineLevel="0" collapsed="false">
      <c r="A526" s="35" t="n">
        <f aca="false">A525+1</f>
        <v>45333</v>
      </c>
      <c r="B526" s="35" t="n">
        <f aca="false">EOMONTH(A526+1,0)</f>
        <v>45351</v>
      </c>
      <c r="C526" s="36" t="n">
        <f aca="false">IF(MOD(YEAR(A526),4)=0,366,365)</f>
        <v>366</v>
      </c>
      <c r="D526" s="37" t="n">
        <f aca="false">Inputs!$B$9-SUMIFS(Cash_Events!$G$6:$G$20,Cash_Events!$C$6:$C$20,"rAGMF",Cash_Events!$B$6:$B$20,"&lt;="&amp;A526)</f>
        <v>1500000</v>
      </c>
      <c r="E526" s="38" t="n">
        <f aca="false">VLOOKUP(A526,Inputs!$A$40:$B$48,2,TRUE())</f>
        <v>0.0547601</v>
      </c>
      <c r="F526" s="38" t="n">
        <f aca="false">E526+Inputs!$B$10</f>
        <v>0.1222601</v>
      </c>
      <c r="G526" s="37" t="n">
        <f aca="false">D526*F526/C526</f>
        <v>501.065983606557</v>
      </c>
      <c r="H526" s="37" t="n">
        <f aca="false">IF(AND(A526&gt;=Inputs!$B$13,OR(A526&lt;Inputs!$B$19,Inputs!$B$20=1)),D526*Inputs!$B$11/C526,0)</f>
        <v>81.9672131147541</v>
      </c>
      <c r="I526" s="37" t="n">
        <f aca="false">Inputs!$C$9-SUMIFS(Cash_Events!$G$6:$G$20,Cash_Events!$C$6:$C$20,"FHL",Cash_Events!$B$6:$B$20,"&lt;="&amp;A526)</f>
        <v>1500000</v>
      </c>
      <c r="J526" s="38" t="n">
        <f aca="false">VLOOKUP(A526,Inputs!$F$40:$G$48,2,TRUE())</f>
        <v>0.054735</v>
      </c>
      <c r="K526" s="38" t="n">
        <f aca="false">J526+Inputs!$C$10</f>
        <v>0.122235</v>
      </c>
      <c r="L526" s="37" t="n">
        <f aca="false">I526*K526/C526</f>
        <v>500.963114754098</v>
      </c>
      <c r="M526" s="37" t="n">
        <f aca="false">IF(AND(A526&gt;=Inputs!$C$13,OR(A526&lt;Inputs!$B$19,Inputs!$B$20=1)),I526*Inputs!$C$11/C526,0)</f>
        <v>81.9672131147541</v>
      </c>
    </row>
    <row r="527" customFormat="false" ht="15" hidden="false" customHeight="false" outlineLevel="0" collapsed="false">
      <c r="A527" s="35" t="n">
        <f aca="false">A526+1</f>
        <v>45334</v>
      </c>
      <c r="B527" s="35" t="n">
        <f aca="false">EOMONTH(A527+1,0)</f>
        <v>45351</v>
      </c>
      <c r="C527" s="36" t="n">
        <f aca="false">IF(MOD(YEAR(A527),4)=0,366,365)</f>
        <v>366</v>
      </c>
      <c r="D527" s="37" t="n">
        <f aca="false">Inputs!$B$9-SUMIFS(Cash_Events!$G$6:$G$20,Cash_Events!$C$6:$C$20,"rAGMF",Cash_Events!$B$6:$B$20,"&lt;="&amp;A527)</f>
        <v>1500000</v>
      </c>
      <c r="E527" s="38" t="n">
        <f aca="false">VLOOKUP(A527,Inputs!$A$40:$B$48,2,TRUE())</f>
        <v>0.0547601</v>
      </c>
      <c r="F527" s="38" t="n">
        <f aca="false">E527+Inputs!$B$10</f>
        <v>0.1222601</v>
      </c>
      <c r="G527" s="37" t="n">
        <f aca="false">D527*F527/C527</f>
        <v>501.065983606557</v>
      </c>
      <c r="H527" s="37" t="n">
        <f aca="false">IF(AND(A527&gt;=Inputs!$B$13,OR(A527&lt;Inputs!$B$19,Inputs!$B$20=1)),D527*Inputs!$B$11/C527,0)</f>
        <v>81.9672131147541</v>
      </c>
      <c r="I527" s="37" t="n">
        <f aca="false">Inputs!$C$9-SUMIFS(Cash_Events!$G$6:$G$20,Cash_Events!$C$6:$C$20,"FHL",Cash_Events!$B$6:$B$20,"&lt;="&amp;A527)</f>
        <v>1500000</v>
      </c>
      <c r="J527" s="38" t="n">
        <f aca="false">VLOOKUP(A527,Inputs!$F$40:$G$48,2,TRUE())</f>
        <v>0.054735</v>
      </c>
      <c r="K527" s="38" t="n">
        <f aca="false">J527+Inputs!$C$10</f>
        <v>0.122235</v>
      </c>
      <c r="L527" s="37" t="n">
        <f aca="false">I527*K527/C527</f>
        <v>500.963114754098</v>
      </c>
      <c r="M527" s="37" t="n">
        <f aca="false">IF(AND(A527&gt;=Inputs!$C$13,OR(A527&lt;Inputs!$B$19,Inputs!$B$20=1)),I527*Inputs!$C$11/C527,0)</f>
        <v>81.9672131147541</v>
      </c>
    </row>
    <row r="528" customFormat="false" ht="15" hidden="false" customHeight="false" outlineLevel="0" collapsed="false">
      <c r="A528" s="35" t="n">
        <f aca="false">A527+1</f>
        <v>45335</v>
      </c>
      <c r="B528" s="35" t="n">
        <f aca="false">EOMONTH(A528+1,0)</f>
        <v>45351</v>
      </c>
      <c r="C528" s="36" t="n">
        <f aca="false">IF(MOD(YEAR(A528),4)=0,366,365)</f>
        <v>366</v>
      </c>
      <c r="D528" s="37" t="n">
        <f aca="false">Inputs!$B$9-SUMIFS(Cash_Events!$G$6:$G$20,Cash_Events!$C$6:$C$20,"rAGMF",Cash_Events!$B$6:$B$20,"&lt;="&amp;A528)</f>
        <v>1500000</v>
      </c>
      <c r="E528" s="38" t="n">
        <f aca="false">VLOOKUP(A528,Inputs!$A$40:$B$48,2,TRUE())</f>
        <v>0.0547601</v>
      </c>
      <c r="F528" s="38" t="n">
        <f aca="false">E528+Inputs!$B$10</f>
        <v>0.1222601</v>
      </c>
      <c r="G528" s="37" t="n">
        <f aca="false">D528*F528/C528</f>
        <v>501.065983606557</v>
      </c>
      <c r="H528" s="37" t="n">
        <f aca="false">IF(AND(A528&gt;=Inputs!$B$13,OR(A528&lt;Inputs!$B$19,Inputs!$B$20=1)),D528*Inputs!$B$11/C528,0)</f>
        <v>81.9672131147541</v>
      </c>
      <c r="I528" s="37" t="n">
        <f aca="false">Inputs!$C$9-SUMIFS(Cash_Events!$G$6:$G$20,Cash_Events!$C$6:$C$20,"FHL",Cash_Events!$B$6:$B$20,"&lt;="&amp;A528)</f>
        <v>1500000</v>
      </c>
      <c r="J528" s="38" t="n">
        <f aca="false">VLOOKUP(A528,Inputs!$F$40:$G$48,2,TRUE())</f>
        <v>0.054735</v>
      </c>
      <c r="K528" s="38" t="n">
        <f aca="false">J528+Inputs!$C$10</f>
        <v>0.122235</v>
      </c>
      <c r="L528" s="37" t="n">
        <f aca="false">I528*K528/C528</f>
        <v>500.963114754098</v>
      </c>
      <c r="M528" s="37" t="n">
        <f aca="false">IF(AND(A528&gt;=Inputs!$C$13,OR(A528&lt;Inputs!$B$19,Inputs!$B$20=1)),I528*Inputs!$C$11/C528,0)</f>
        <v>81.9672131147541</v>
      </c>
    </row>
    <row r="529" customFormat="false" ht="15" hidden="false" customHeight="false" outlineLevel="0" collapsed="false">
      <c r="A529" s="35" t="n">
        <f aca="false">A528+1</f>
        <v>45336</v>
      </c>
      <c r="B529" s="35" t="n">
        <f aca="false">EOMONTH(A529+1,0)</f>
        <v>45351</v>
      </c>
      <c r="C529" s="36" t="n">
        <f aca="false">IF(MOD(YEAR(A529),4)=0,366,365)</f>
        <v>366</v>
      </c>
      <c r="D529" s="37" t="n">
        <f aca="false">Inputs!$B$9-SUMIFS(Cash_Events!$G$6:$G$20,Cash_Events!$C$6:$C$20,"rAGMF",Cash_Events!$B$6:$B$20,"&lt;="&amp;A529)</f>
        <v>1500000</v>
      </c>
      <c r="E529" s="38" t="n">
        <f aca="false">VLOOKUP(A529,Inputs!$A$40:$B$48,2,TRUE())</f>
        <v>0.0547601</v>
      </c>
      <c r="F529" s="38" t="n">
        <f aca="false">E529+Inputs!$B$10</f>
        <v>0.1222601</v>
      </c>
      <c r="G529" s="37" t="n">
        <f aca="false">D529*F529/C529</f>
        <v>501.065983606557</v>
      </c>
      <c r="H529" s="37" t="n">
        <f aca="false">IF(AND(A529&gt;=Inputs!$B$13,OR(A529&lt;Inputs!$B$19,Inputs!$B$20=1)),D529*Inputs!$B$11/C529,0)</f>
        <v>81.9672131147541</v>
      </c>
      <c r="I529" s="37" t="n">
        <f aca="false">Inputs!$C$9-SUMIFS(Cash_Events!$G$6:$G$20,Cash_Events!$C$6:$C$20,"FHL",Cash_Events!$B$6:$B$20,"&lt;="&amp;A529)</f>
        <v>1500000</v>
      </c>
      <c r="J529" s="38" t="n">
        <f aca="false">VLOOKUP(A529,Inputs!$F$40:$G$48,2,TRUE())</f>
        <v>0.054735</v>
      </c>
      <c r="K529" s="38" t="n">
        <f aca="false">J529+Inputs!$C$10</f>
        <v>0.122235</v>
      </c>
      <c r="L529" s="37" t="n">
        <f aca="false">I529*K529/C529</f>
        <v>500.963114754098</v>
      </c>
      <c r="M529" s="37" t="n">
        <f aca="false">IF(AND(A529&gt;=Inputs!$C$13,OR(A529&lt;Inputs!$B$19,Inputs!$B$20=1)),I529*Inputs!$C$11/C529,0)</f>
        <v>81.9672131147541</v>
      </c>
    </row>
    <row r="530" customFormat="false" ht="15" hidden="false" customHeight="false" outlineLevel="0" collapsed="false">
      <c r="A530" s="35" t="n">
        <f aca="false">A529+1</f>
        <v>45337</v>
      </c>
      <c r="B530" s="35" t="n">
        <f aca="false">EOMONTH(A530+1,0)</f>
        <v>45351</v>
      </c>
      <c r="C530" s="36" t="n">
        <f aca="false">IF(MOD(YEAR(A530),4)=0,366,365)</f>
        <v>366</v>
      </c>
      <c r="D530" s="37" t="n">
        <f aca="false">Inputs!$B$9-SUMIFS(Cash_Events!$G$6:$G$20,Cash_Events!$C$6:$C$20,"rAGMF",Cash_Events!$B$6:$B$20,"&lt;="&amp;A530)</f>
        <v>1500000</v>
      </c>
      <c r="E530" s="38" t="n">
        <f aca="false">VLOOKUP(A530,Inputs!$A$40:$B$48,2,TRUE())</f>
        <v>0.0547601</v>
      </c>
      <c r="F530" s="38" t="n">
        <f aca="false">E530+Inputs!$B$10</f>
        <v>0.1222601</v>
      </c>
      <c r="G530" s="37" t="n">
        <f aca="false">D530*F530/C530</f>
        <v>501.065983606557</v>
      </c>
      <c r="H530" s="37" t="n">
        <f aca="false">IF(AND(A530&gt;=Inputs!$B$13,OR(A530&lt;Inputs!$B$19,Inputs!$B$20=1)),D530*Inputs!$B$11/C530,0)</f>
        <v>81.9672131147541</v>
      </c>
      <c r="I530" s="37" t="n">
        <f aca="false">Inputs!$C$9-SUMIFS(Cash_Events!$G$6:$G$20,Cash_Events!$C$6:$C$20,"FHL",Cash_Events!$B$6:$B$20,"&lt;="&amp;A530)</f>
        <v>1500000</v>
      </c>
      <c r="J530" s="38" t="n">
        <f aca="false">VLOOKUP(A530,Inputs!$F$40:$G$48,2,TRUE())</f>
        <v>0.054735</v>
      </c>
      <c r="K530" s="38" t="n">
        <f aca="false">J530+Inputs!$C$10</f>
        <v>0.122235</v>
      </c>
      <c r="L530" s="37" t="n">
        <f aca="false">I530*K530/C530</f>
        <v>500.963114754098</v>
      </c>
      <c r="M530" s="37" t="n">
        <f aca="false">IF(AND(A530&gt;=Inputs!$C$13,OR(A530&lt;Inputs!$B$19,Inputs!$B$20=1)),I530*Inputs!$C$11/C530,0)</f>
        <v>81.9672131147541</v>
      </c>
    </row>
    <row r="531" customFormat="false" ht="15" hidden="false" customHeight="false" outlineLevel="0" collapsed="false">
      <c r="A531" s="35" t="n">
        <f aca="false">A530+1</f>
        <v>45338</v>
      </c>
      <c r="B531" s="35" t="n">
        <f aca="false">EOMONTH(A531+1,0)</f>
        <v>45351</v>
      </c>
      <c r="C531" s="36" t="n">
        <f aca="false">IF(MOD(YEAR(A531),4)=0,366,365)</f>
        <v>366</v>
      </c>
      <c r="D531" s="37" t="n">
        <f aca="false">Inputs!$B$9-SUMIFS(Cash_Events!$G$6:$G$20,Cash_Events!$C$6:$C$20,"rAGMF",Cash_Events!$B$6:$B$20,"&lt;="&amp;A531)</f>
        <v>1500000</v>
      </c>
      <c r="E531" s="38" t="n">
        <f aca="false">VLOOKUP(A531,Inputs!$A$40:$B$48,2,TRUE())</f>
        <v>0.0547601</v>
      </c>
      <c r="F531" s="38" t="n">
        <f aca="false">E531+Inputs!$B$10</f>
        <v>0.1222601</v>
      </c>
      <c r="G531" s="37" t="n">
        <f aca="false">D531*F531/C531</f>
        <v>501.065983606557</v>
      </c>
      <c r="H531" s="37" t="n">
        <f aca="false">IF(AND(A531&gt;=Inputs!$B$13,OR(A531&lt;Inputs!$B$19,Inputs!$B$20=1)),D531*Inputs!$B$11/C531,0)</f>
        <v>81.9672131147541</v>
      </c>
      <c r="I531" s="37" t="n">
        <f aca="false">Inputs!$C$9-SUMIFS(Cash_Events!$G$6:$G$20,Cash_Events!$C$6:$C$20,"FHL",Cash_Events!$B$6:$B$20,"&lt;="&amp;A531)</f>
        <v>1500000</v>
      </c>
      <c r="J531" s="38" t="n">
        <f aca="false">VLOOKUP(A531,Inputs!$F$40:$G$48,2,TRUE())</f>
        <v>0.054735</v>
      </c>
      <c r="K531" s="38" t="n">
        <f aca="false">J531+Inputs!$C$10</f>
        <v>0.122235</v>
      </c>
      <c r="L531" s="37" t="n">
        <f aca="false">I531*K531/C531</f>
        <v>500.963114754098</v>
      </c>
      <c r="M531" s="37" t="n">
        <f aca="false">IF(AND(A531&gt;=Inputs!$C$13,OR(A531&lt;Inputs!$B$19,Inputs!$B$20=1)),I531*Inputs!$C$11/C531,0)</f>
        <v>81.9672131147541</v>
      </c>
    </row>
    <row r="532" customFormat="false" ht="15" hidden="false" customHeight="false" outlineLevel="0" collapsed="false">
      <c r="A532" s="35" t="n">
        <f aca="false">A531+1</f>
        <v>45339</v>
      </c>
      <c r="B532" s="35" t="n">
        <f aca="false">EOMONTH(A532+1,0)</f>
        <v>45351</v>
      </c>
      <c r="C532" s="36" t="n">
        <f aca="false">IF(MOD(YEAR(A532),4)=0,366,365)</f>
        <v>366</v>
      </c>
      <c r="D532" s="37" t="n">
        <f aca="false">Inputs!$B$9-SUMIFS(Cash_Events!$G$6:$G$20,Cash_Events!$C$6:$C$20,"rAGMF",Cash_Events!$B$6:$B$20,"&lt;="&amp;A532)</f>
        <v>1500000</v>
      </c>
      <c r="E532" s="38" t="n">
        <f aca="false">VLOOKUP(A532,Inputs!$A$40:$B$48,2,TRUE())</f>
        <v>0.0547601</v>
      </c>
      <c r="F532" s="38" t="n">
        <f aca="false">E532+Inputs!$B$10</f>
        <v>0.1222601</v>
      </c>
      <c r="G532" s="37" t="n">
        <f aca="false">D532*F532/C532</f>
        <v>501.065983606557</v>
      </c>
      <c r="H532" s="37" t="n">
        <f aca="false">IF(AND(A532&gt;=Inputs!$B$13,OR(A532&lt;Inputs!$B$19,Inputs!$B$20=1)),D532*Inputs!$B$11/C532,0)</f>
        <v>81.9672131147541</v>
      </c>
      <c r="I532" s="37" t="n">
        <f aca="false">Inputs!$C$9-SUMIFS(Cash_Events!$G$6:$G$20,Cash_Events!$C$6:$C$20,"FHL",Cash_Events!$B$6:$B$20,"&lt;="&amp;A532)</f>
        <v>1500000</v>
      </c>
      <c r="J532" s="38" t="n">
        <f aca="false">VLOOKUP(A532,Inputs!$F$40:$G$48,2,TRUE())</f>
        <v>0.054735</v>
      </c>
      <c r="K532" s="38" t="n">
        <f aca="false">J532+Inputs!$C$10</f>
        <v>0.122235</v>
      </c>
      <c r="L532" s="37" t="n">
        <f aca="false">I532*K532/C532</f>
        <v>500.963114754098</v>
      </c>
      <c r="M532" s="37" t="n">
        <f aca="false">IF(AND(A532&gt;=Inputs!$C$13,OR(A532&lt;Inputs!$B$19,Inputs!$B$20=1)),I532*Inputs!$C$11/C532,0)</f>
        <v>81.9672131147541</v>
      </c>
    </row>
    <row r="533" customFormat="false" ht="15" hidden="false" customHeight="false" outlineLevel="0" collapsed="false">
      <c r="A533" s="35" t="n">
        <f aca="false">A532+1</f>
        <v>45340</v>
      </c>
      <c r="B533" s="35" t="n">
        <f aca="false">EOMONTH(A533+1,0)</f>
        <v>45351</v>
      </c>
      <c r="C533" s="36" t="n">
        <f aca="false">IF(MOD(YEAR(A533),4)=0,366,365)</f>
        <v>366</v>
      </c>
      <c r="D533" s="37" t="n">
        <f aca="false">Inputs!$B$9-SUMIFS(Cash_Events!$G$6:$G$20,Cash_Events!$C$6:$C$20,"rAGMF",Cash_Events!$B$6:$B$20,"&lt;="&amp;A533)</f>
        <v>1500000</v>
      </c>
      <c r="E533" s="38" t="n">
        <f aca="false">VLOOKUP(A533,Inputs!$A$40:$B$48,2,TRUE())</f>
        <v>0.0547601</v>
      </c>
      <c r="F533" s="38" t="n">
        <f aca="false">E533+Inputs!$B$10</f>
        <v>0.1222601</v>
      </c>
      <c r="G533" s="37" t="n">
        <f aca="false">D533*F533/C533</f>
        <v>501.065983606557</v>
      </c>
      <c r="H533" s="37" t="n">
        <f aca="false">IF(AND(A533&gt;=Inputs!$B$13,OR(A533&lt;Inputs!$B$19,Inputs!$B$20=1)),D533*Inputs!$B$11/C533,0)</f>
        <v>81.9672131147541</v>
      </c>
      <c r="I533" s="37" t="n">
        <f aca="false">Inputs!$C$9-SUMIFS(Cash_Events!$G$6:$G$20,Cash_Events!$C$6:$C$20,"FHL",Cash_Events!$B$6:$B$20,"&lt;="&amp;A533)</f>
        <v>1500000</v>
      </c>
      <c r="J533" s="38" t="n">
        <f aca="false">VLOOKUP(A533,Inputs!$F$40:$G$48,2,TRUE())</f>
        <v>0.054735</v>
      </c>
      <c r="K533" s="38" t="n">
        <f aca="false">J533+Inputs!$C$10</f>
        <v>0.122235</v>
      </c>
      <c r="L533" s="37" t="n">
        <f aca="false">I533*K533/C533</f>
        <v>500.963114754098</v>
      </c>
      <c r="M533" s="37" t="n">
        <f aca="false">IF(AND(A533&gt;=Inputs!$C$13,OR(A533&lt;Inputs!$B$19,Inputs!$B$20=1)),I533*Inputs!$C$11/C533,0)</f>
        <v>81.9672131147541</v>
      </c>
    </row>
    <row r="534" customFormat="false" ht="15" hidden="false" customHeight="false" outlineLevel="0" collapsed="false">
      <c r="A534" s="35" t="n">
        <f aca="false">A533+1</f>
        <v>45341</v>
      </c>
      <c r="B534" s="35" t="n">
        <f aca="false">EOMONTH(A534+1,0)</f>
        <v>45351</v>
      </c>
      <c r="C534" s="36" t="n">
        <f aca="false">IF(MOD(YEAR(A534),4)=0,366,365)</f>
        <v>366</v>
      </c>
      <c r="D534" s="37" t="n">
        <f aca="false">Inputs!$B$9-SUMIFS(Cash_Events!$G$6:$G$20,Cash_Events!$C$6:$C$20,"rAGMF",Cash_Events!$B$6:$B$20,"&lt;="&amp;A534)</f>
        <v>1500000</v>
      </c>
      <c r="E534" s="38" t="n">
        <f aca="false">VLOOKUP(A534,Inputs!$A$40:$B$48,2,TRUE())</f>
        <v>0.0547601</v>
      </c>
      <c r="F534" s="38" t="n">
        <f aca="false">E534+Inputs!$B$10</f>
        <v>0.1222601</v>
      </c>
      <c r="G534" s="37" t="n">
        <f aca="false">D534*F534/C534</f>
        <v>501.065983606557</v>
      </c>
      <c r="H534" s="37" t="n">
        <f aca="false">IF(AND(A534&gt;=Inputs!$B$13,OR(A534&lt;Inputs!$B$19,Inputs!$B$20=1)),D534*Inputs!$B$11/C534,0)</f>
        <v>81.9672131147541</v>
      </c>
      <c r="I534" s="37" t="n">
        <f aca="false">Inputs!$C$9-SUMIFS(Cash_Events!$G$6:$G$20,Cash_Events!$C$6:$C$20,"FHL",Cash_Events!$B$6:$B$20,"&lt;="&amp;A534)</f>
        <v>1500000</v>
      </c>
      <c r="J534" s="38" t="n">
        <f aca="false">VLOOKUP(A534,Inputs!$F$40:$G$48,2,TRUE())</f>
        <v>0.054735</v>
      </c>
      <c r="K534" s="38" t="n">
        <f aca="false">J534+Inputs!$C$10</f>
        <v>0.122235</v>
      </c>
      <c r="L534" s="37" t="n">
        <f aca="false">I534*K534/C534</f>
        <v>500.963114754098</v>
      </c>
      <c r="M534" s="37" t="n">
        <f aca="false">IF(AND(A534&gt;=Inputs!$C$13,OR(A534&lt;Inputs!$B$19,Inputs!$B$20=1)),I534*Inputs!$C$11/C534,0)</f>
        <v>81.9672131147541</v>
      </c>
    </row>
    <row r="535" customFormat="false" ht="15" hidden="false" customHeight="false" outlineLevel="0" collapsed="false">
      <c r="A535" s="35" t="n">
        <f aca="false">A534+1</f>
        <v>45342</v>
      </c>
      <c r="B535" s="35" t="n">
        <f aca="false">EOMONTH(A535+1,0)</f>
        <v>45351</v>
      </c>
      <c r="C535" s="36" t="n">
        <f aca="false">IF(MOD(YEAR(A535),4)=0,366,365)</f>
        <v>366</v>
      </c>
      <c r="D535" s="37" t="n">
        <f aca="false">Inputs!$B$9-SUMIFS(Cash_Events!$G$6:$G$20,Cash_Events!$C$6:$C$20,"rAGMF",Cash_Events!$B$6:$B$20,"&lt;="&amp;A535)</f>
        <v>1500000</v>
      </c>
      <c r="E535" s="38" t="n">
        <f aca="false">VLOOKUP(A535,Inputs!$A$40:$B$48,2,TRUE())</f>
        <v>0.0547601</v>
      </c>
      <c r="F535" s="38" t="n">
        <f aca="false">E535+Inputs!$B$10</f>
        <v>0.1222601</v>
      </c>
      <c r="G535" s="37" t="n">
        <f aca="false">D535*F535/C535</f>
        <v>501.065983606557</v>
      </c>
      <c r="H535" s="37" t="n">
        <f aca="false">IF(AND(A535&gt;=Inputs!$B$13,OR(A535&lt;Inputs!$B$19,Inputs!$B$20=1)),D535*Inputs!$B$11/C535,0)</f>
        <v>81.9672131147541</v>
      </c>
      <c r="I535" s="37" t="n">
        <f aca="false">Inputs!$C$9-SUMIFS(Cash_Events!$G$6:$G$20,Cash_Events!$C$6:$C$20,"FHL",Cash_Events!$B$6:$B$20,"&lt;="&amp;A535)</f>
        <v>1500000</v>
      </c>
      <c r="J535" s="38" t="n">
        <f aca="false">VLOOKUP(A535,Inputs!$F$40:$G$48,2,TRUE())</f>
        <v>0.054735</v>
      </c>
      <c r="K535" s="38" t="n">
        <f aca="false">J535+Inputs!$C$10</f>
        <v>0.122235</v>
      </c>
      <c r="L535" s="37" t="n">
        <f aca="false">I535*K535/C535</f>
        <v>500.963114754098</v>
      </c>
      <c r="M535" s="37" t="n">
        <f aca="false">IF(AND(A535&gt;=Inputs!$C$13,OR(A535&lt;Inputs!$B$19,Inputs!$B$20=1)),I535*Inputs!$C$11/C535,0)</f>
        <v>81.9672131147541</v>
      </c>
    </row>
    <row r="536" customFormat="false" ht="15" hidden="false" customHeight="false" outlineLevel="0" collapsed="false">
      <c r="A536" s="35" t="n">
        <f aca="false">A535+1</f>
        <v>45343</v>
      </c>
      <c r="B536" s="35" t="n">
        <f aca="false">EOMONTH(A536+1,0)</f>
        <v>45351</v>
      </c>
      <c r="C536" s="36" t="n">
        <f aca="false">IF(MOD(YEAR(A536),4)=0,366,365)</f>
        <v>366</v>
      </c>
      <c r="D536" s="37" t="n">
        <f aca="false">Inputs!$B$9-SUMIFS(Cash_Events!$G$6:$G$20,Cash_Events!$C$6:$C$20,"rAGMF",Cash_Events!$B$6:$B$20,"&lt;="&amp;A536)</f>
        <v>1500000</v>
      </c>
      <c r="E536" s="38" t="n">
        <f aca="false">VLOOKUP(A536,Inputs!$A$40:$B$48,2,TRUE())</f>
        <v>0.0547601</v>
      </c>
      <c r="F536" s="38" t="n">
        <f aca="false">E536+Inputs!$B$10</f>
        <v>0.1222601</v>
      </c>
      <c r="G536" s="37" t="n">
        <f aca="false">D536*F536/C536</f>
        <v>501.065983606557</v>
      </c>
      <c r="H536" s="37" t="n">
        <f aca="false">IF(AND(A536&gt;=Inputs!$B$13,OR(A536&lt;Inputs!$B$19,Inputs!$B$20=1)),D536*Inputs!$B$11/C536,0)</f>
        <v>81.9672131147541</v>
      </c>
      <c r="I536" s="37" t="n">
        <f aca="false">Inputs!$C$9-SUMIFS(Cash_Events!$G$6:$G$20,Cash_Events!$C$6:$C$20,"FHL",Cash_Events!$B$6:$B$20,"&lt;="&amp;A536)</f>
        <v>1500000</v>
      </c>
      <c r="J536" s="38" t="n">
        <f aca="false">VLOOKUP(A536,Inputs!$F$40:$G$48,2,TRUE())</f>
        <v>0.054735</v>
      </c>
      <c r="K536" s="38" t="n">
        <f aca="false">J536+Inputs!$C$10</f>
        <v>0.122235</v>
      </c>
      <c r="L536" s="37" t="n">
        <f aca="false">I536*K536/C536</f>
        <v>500.963114754098</v>
      </c>
      <c r="M536" s="37" t="n">
        <f aca="false">IF(AND(A536&gt;=Inputs!$C$13,OR(A536&lt;Inputs!$B$19,Inputs!$B$20=1)),I536*Inputs!$C$11/C536,0)</f>
        <v>81.9672131147541</v>
      </c>
    </row>
    <row r="537" customFormat="false" ht="15" hidden="false" customHeight="false" outlineLevel="0" collapsed="false">
      <c r="A537" s="35" t="n">
        <f aca="false">A536+1</f>
        <v>45344</v>
      </c>
      <c r="B537" s="35" t="n">
        <f aca="false">EOMONTH(A537+1,0)</f>
        <v>45351</v>
      </c>
      <c r="C537" s="36" t="n">
        <f aca="false">IF(MOD(YEAR(A537),4)=0,366,365)</f>
        <v>366</v>
      </c>
      <c r="D537" s="37" t="n">
        <f aca="false">Inputs!$B$9-SUMIFS(Cash_Events!$G$6:$G$20,Cash_Events!$C$6:$C$20,"rAGMF",Cash_Events!$B$6:$B$20,"&lt;="&amp;A537)</f>
        <v>1500000</v>
      </c>
      <c r="E537" s="38" t="n">
        <f aca="false">VLOOKUP(A537,Inputs!$A$40:$B$48,2,TRUE())</f>
        <v>0.0547601</v>
      </c>
      <c r="F537" s="38" t="n">
        <f aca="false">E537+Inputs!$B$10</f>
        <v>0.1222601</v>
      </c>
      <c r="G537" s="37" t="n">
        <f aca="false">D537*F537/C537</f>
        <v>501.065983606557</v>
      </c>
      <c r="H537" s="37" t="n">
        <f aca="false">IF(AND(A537&gt;=Inputs!$B$13,OR(A537&lt;Inputs!$B$19,Inputs!$B$20=1)),D537*Inputs!$B$11/C537,0)</f>
        <v>81.9672131147541</v>
      </c>
      <c r="I537" s="37" t="n">
        <f aca="false">Inputs!$C$9-SUMIFS(Cash_Events!$G$6:$G$20,Cash_Events!$C$6:$C$20,"FHL",Cash_Events!$B$6:$B$20,"&lt;="&amp;A537)</f>
        <v>1500000</v>
      </c>
      <c r="J537" s="38" t="n">
        <f aca="false">VLOOKUP(A537,Inputs!$F$40:$G$48,2,TRUE())</f>
        <v>0.054735</v>
      </c>
      <c r="K537" s="38" t="n">
        <f aca="false">J537+Inputs!$C$10</f>
        <v>0.122235</v>
      </c>
      <c r="L537" s="37" t="n">
        <f aca="false">I537*K537/C537</f>
        <v>500.963114754098</v>
      </c>
      <c r="M537" s="37" t="n">
        <f aca="false">IF(AND(A537&gt;=Inputs!$C$13,OR(A537&lt;Inputs!$B$19,Inputs!$B$20=1)),I537*Inputs!$C$11/C537,0)</f>
        <v>81.9672131147541</v>
      </c>
    </row>
    <row r="538" customFormat="false" ht="15" hidden="false" customHeight="false" outlineLevel="0" collapsed="false">
      <c r="A538" s="35" t="n">
        <f aca="false">A537+1</f>
        <v>45345</v>
      </c>
      <c r="B538" s="35" t="n">
        <f aca="false">EOMONTH(A538+1,0)</f>
        <v>45351</v>
      </c>
      <c r="C538" s="36" t="n">
        <f aca="false">IF(MOD(YEAR(A538),4)=0,366,365)</f>
        <v>366</v>
      </c>
      <c r="D538" s="37" t="n">
        <f aca="false">Inputs!$B$9-SUMIFS(Cash_Events!$G$6:$G$20,Cash_Events!$C$6:$C$20,"rAGMF",Cash_Events!$B$6:$B$20,"&lt;="&amp;A538)</f>
        <v>1500000</v>
      </c>
      <c r="E538" s="38" t="n">
        <f aca="false">VLOOKUP(A538,Inputs!$A$40:$B$48,2,TRUE())</f>
        <v>0.0547601</v>
      </c>
      <c r="F538" s="38" t="n">
        <f aca="false">E538+Inputs!$B$10</f>
        <v>0.1222601</v>
      </c>
      <c r="G538" s="37" t="n">
        <f aca="false">D538*F538/C538</f>
        <v>501.065983606557</v>
      </c>
      <c r="H538" s="37" t="n">
        <f aca="false">IF(AND(A538&gt;=Inputs!$B$13,OR(A538&lt;Inputs!$B$19,Inputs!$B$20=1)),D538*Inputs!$B$11/C538,0)</f>
        <v>81.9672131147541</v>
      </c>
      <c r="I538" s="37" t="n">
        <f aca="false">Inputs!$C$9-SUMIFS(Cash_Events!$G$6:$G$20,Cash_Events!$C$6:$C$20,"FHL",Cash_Events!$B$6:$B$20,"&lt;="&amp;A538)</f>
        <v>1500000</v>
      </c>
      <c r="J538" s="38" t="n">
        <f aca="false">VLOOKUP(A538,Inputs!$F$40:$G$48,2,TRUE())</f>
        <v>0.054735</v>
      </c>
      <c r="K538" s="38" t="n">
        <f aca="false">J538+Inputs!$C$10</f>
        <v>0.122235</v>
      </c>
      <c r="L538" s="37" t="n">
        <f aca="false">I538*K538/C538</f>
        <v>500.963114754098</v>
      </c>
      <c r="M538" s="37" t="n">
        <f aca="false">IF(AND(A538&gt;=Inputs!$C$13,OR(A538&lt;Inputs!$B$19,Inputs!$B$20=1)),I538*Inputs!$C$11/C538,0)</f>
        <v>81.9672131147541</v>
      </c>
    </row>
    <row r="539" customFormat="false" ht="15" hidden="false" customHeight="false" outlineLevel="0" collapsed="false">
      <c r="A539" s="35" t="n">
        <f aca="false">A538+1</f>
        <v>45346</v>
      </c>
      <c r="B539" s="35" t="n">
        <f aca="false">EOMONTH(A539+1,0)</f>
        <v>45351</v>
      </c>
      <c r="C539" s="36" t="n">
        <f aca="false">IF(MOD(YEAR(A539),4)=0,366,365)</f>
        <v>366</v>
      </c>
      <c r="D539" s="37" t="n">
        <f aca="false">Inputs!$B$9-SUMIFS(Cash_Events!$G$6:$G$20,Cash_Events!$C$6:$C$20,"rAGMF",Cash_Events!$B$6:$B$20,"&lt;="&amp;A539)</f>
        <v>1500000</v>
      </c>
      <c r="E539" s="38" t="n">
        <f aca="false">VLOOKUP(A539,Inputs!$A$40:$B$48,2,TRUE())</f>
        <v>0.0547601</v>
      </c>
      <c r="F539" s="38" t="n">
        <f aca="false">E539+Inputs!$B$10</f>
        <v>0.1222601</v>
      </c>
      <c r="G539" s="37" t="n">
        <f aca="false">D539*F539/C539</f>
        <v>501.065983606557</v>
      </c>
      <c r="H539" s="37" t="n">
        <f aca="false">IF(AND(A539&gt;=Inputs!$B$13,OR(A539&lt;Inputs!$B$19,Inputs!$B$20=1)),D539*Inputs!$B$11/C539,0)</f>
        <v>81.9672131147541</v>
      </c>
      <c r="I539" s="37" t="n">
        <f aca="false">Inputs!$C$9-SUMIFS(Cash_Events!$G$6:$G$20,Cash_Events!$C$6:$C$20,"FHL",Cash_Events!$B$6:$B$20,"&lt;="&amp;A539)</f>
        <v>1500000</v>
      </c>
      <c r="J539" s="38" t="n">
        <f aca="false">VLOOKUP(A539,Inputs!$F$40:$G$48,2,TRUE())</f>
        <v>0.054735</v>
      </c>
      <c r="K539" s="38" t="n">
        <f aca="false">J539+Inputs!$C$10</f>
        <v>0.122235</v>
      </c>
      <c r="L539" s="37" t="n">
        <f aca="false">I539*K539/C539</f>
        <v>500.963114754098</v>
      </c>
      <c r="M539" s="37" t="n">
        <f aca="false">IF(AND(A539&gt;=Inputs!$C$13,OR(A539&lt;Inputs!$B$19,Inputs!$B$20=1)),I539*Inputs!$C$11/C539,0)</f>
        <v>81.9672131147541</v>
      </c>
    </row>
    <row r="540" customFormat="false" ht="15" hidden="false" customHeight="false" outlineLevel="0" collapsed="false">
      <c r="A540" s="35" t="n">
        <f aca="false">A539+1</f>
        <v>45347</v>
      </c>
      <c r="B540" s="35" t="n">
        <f aca="false">EOMONTH(A540+1,0)</f>
        <v>45351</v>
      </c>
      <c r="C540" s="36" t="n">
        <f aca="false">IF(MOD(YEAR(A540),4)=0,366,365)</f>
        <v>366</v>
      </c>
      <c r="D540" s="37" t="n">
        <f aca="false">Inputs!$B$9-SUMIFS(Cash_Events!$G$6:$G$20,Cash_Events!$C$6:$C$20,"rAGMF",Cash_Events!$B$6:$B$20,"&lt;="&amp;A540)</f>
        <v>1500000</v>
      </c>
      <c r="E540" s="38" t="n">
        <f aca="false">VLOOKUP(A540,Inputs!$A$40:$B$48,2,TRUE())</f>
        <v>0.0547601</v>
      </c>
      <c r="F540" s="38" t="n">
        <f aca="false">E540+Inputs!$B$10</f>
        <v>0.1222601</v>
      </c>
      <c r="G540" s="37" t="n">
        <f aca="false">D540*F540/C540</f>
        <v>501.065983606557</v>
      </c>
      <c r="H540" s="37" t="n">
        <f aca="false">IF(AND(A540&gt;=Inputs!$B$13,OR(A540&lt;Inputs!$B$19,Inputs!$B$20=1)),D540*Inputs!$B$11/C540,0)</f>
        <v>81.9672131147541</v>
      </c>
      <c r="I540" s="37" t="n">
        <f aca="false">Inputs!$C$9-SUMIFS(Cash_Events!$G$6:$G$20,Cash_Events!$C$6:$C$20,"FHL",Cash_Events!$B$6:$B$20,"&lt;="&amp;A540)</f>
        <v>1500000</v>
      </c>
      <c r="J540" s="38" t="n">
        <f aca="false">VLOOKUP(A540,Inputs!$F$40:$G$48,2,TRUE())</f>
        <v>0.054735</v>
      </c>
      <c r="K540" s="38" t="n">
        <f aca="false">J540+Inputs!$C$10</f>
        <v>0.122235</v>
      </c>
      <c r="L540" s="37" t="n">
        <f aca="false">I540*K540/C540</f>
        <v>500.963114754098</v>
      </c>
      <c r="M540" s="37" t="n">
        <f aca="false">IF(AND(A540&gt;=Inputs!$C$13,OR(A540&lt;Inputs!$B$19,Inputs!$B$20=1)),I540*Inputs!$C$11/C540,0)</f>
        <v>81.9672131147541</v>
      </c>
    </row>
    <row r="541" customFormat="false" ht="15" hidden="false" customHeight="false" outlineLevel="0" collapsed="false">
      <c r="A541" s="35" t="n">
        <f aca="false">A540+1</f>
        <v>45348</v>
      </c>
      <c r="B541" s="35" t="n">
        <f aca="false">EOMONTH(A541+1,0)</f>
        <v>45351</v>
      </c>
      <c r="C541" s="36" t="n">
        <f aca="false">IF(MOD(YEAR(A541),4)=0,366,365)</f>
        <v>366</v>
      </c>
      <c r="D541" s="37" t="n">
        <f aca="false">Inputs!$B$9-SUMIFS(Cash_Events!$G$6:$G$20,Cash_Events!$C$6:$C$20,"rAGMF",Cash_Events!$B$6:$B$20,"&lt;="&amp;A541)</f>
        <v>1500000</v>
      </c>
      <c r="E541" s="38" t="n">
        <f aca="false">VLOOKUP(A541,Inputs!$A$40:$B$48,2,TRUE())</f>
        <v>0.0547601</v>
      </c>
      <c r="F541" s="38" t="n">
        <f aca="false">E541+Inputs!$B$10</f>
        <v>0.1222601</v>
      </c>
      <c r="G541" s="37" t="n">
        <f aca="false">D541*F541/C541</f>
        <v>501.065983606557</v>
      </c>
      <c r="H541" s="37" t="n">
        <f aca="false">IF(AND(A541&gt;=Inputs!$B$13,OR(A541&lt;Inputs!$B$19,Inputs!$B$20=1)),D541*Inputs!$B$11/C541,0)</f>
        <v>81.9672131147541</v>
      </c>
      <c r="I541" s="37" t="n">
        <f aca="false">Inputs!$C$9-SUMIFS(Cash_Events!$G$6:$G$20,Cash_Events!$C$6:$C$20,"FHL",Cash_Events!$B$6:$B$20,"&lt;="&amp;A541)</f>
        <v>1500000</v>
      </c>
      <c r="J541" s="38" t="n">
        <f aca="false">VLOOKUP(A541,Inputs!$F$40:$G$48,2,TRUE())</f>
        <v>0.054735</v>
      </c>
      <c r="K541" s="38" t="n">
        <f aca="false">J541+Inputs!$C$10</f>
        <v>0.122235</v>
      </c>
      <c r="L541" s="37" t="n">
        <f aca="false">I541*K541/C541</f>
        <v>500.963114754098</v>
      </c>
      <c r="M541" s="37" t="n">
        <f aca="false">IF(AND(A541&gt;=Inputs!$C$13,OR(A541&lt;Inputs!$B$19,Inputs!$B$20=1)),I541*Inputs!$C$11/C541,0)</f>
        <v>81.9672131147541</v>
      </c>
    </row>
    <row r="542" customFormat="false" ht="15" hidden="false" customHeight="false" outlineLevel="0" collapsed="false">
      <c r="A542" s="35" t="n">
        <f aca="false">A541+1</f>
        <v>45349</v>
      </c>
      <c r="B542" s="35" t="n">
        <f aca="false">EOMONTH(A542+1,0)</f>
        <v>45351</v>
      </c>
      <c r="C542" s="36" t="n">
        <f aca="false">IF(MOD(YEAR(A542),4)=0,366,365)</f>
        <v>366</v>
      </c>
      <c r="D542" s="37" t="n">
        <f aca="false">Inputs!$B$9-SUMIFS(Cash_Events!$G$6:$G$20,Cash_Events!$C$6:$C$20,"rAGMF",Cash_Events!$B$6:$B$20,"&lt;="&amp;A542)</f>
        <v>1500000</v>
      </c>
      <c r="E542" s="38" t="n">
        <f aca="false">VLOOKUP(A542,Inputs!$A$40:$B$48,2,TRUE())</f>
        <v>0.0547601</v>
      </c>
      <c r="F542" s="38" t="n">
        <f aca="false">E542+Inputs!$B$10</f>
        <v>0.1222601</v>
      </c>
      <c r="G542" s="37" t="n">
        <f aca="false">D542*F542/C542</f>
        <v>501.065983606557</v>
      </c>
      <c r="H542" s="37" t="n">
        <f aca="false">IF(AND(A542&gt;=Inputs!$B$13,OR(A542&lt;Inputs!$B$19,Inputs!$B$20=1)),D542*Inputs!$B$11/C542,0)</f>
        <v>81.9672131147541</v>
      </c>
      <c r="I542" s="37" t="n">
        <f aca="false">Inputs!$C$9-SUMIFS(Cash_Events!$G$6:$G$20,Cash_Events!$C$6:$C$20,"FHL",Cash_Events!$B$6:$B$20,"&lt;="&amp;A542)</f>
        <v>1500000</v>
      </c>
      <c r="J542" s="38" t="n">
        <f aca="false">VLOOKUP(A542,Inputs!$F$40:$G$48,2,TRUE())</f>
        <v>0.054735</v>
      </c>
      <c r="K542" s="38" t="n">
        <f aca="false">J542+Inputs!$C$10</f>
        <v>0.122235</v>
      </c>
      <c r="L542" s="37" t="n">
        <f aca="false">I542*K542/C542</f>
        <v>500.963114754098</v>
      </c>
      <c r="M542" s="37" t="n">
        <f aca="false">IF(AND(A542&gt;=Inputs!$C$13,OR(A542&lt;Inputs!$B$19,Inputs!$B$20=1)),I542*Inputs!$C$11/C542,0)</f>
        <v>81.9672131147541</v>
      </c>
    </row>
    <row r="543" customFormat="false" ht="15" hidden="false" customHeight="false" outlineLevel="0" collapsed="false">
      <c r="A543" s="35" t="n">
        <f aca="false">A542+1</f>
        <v>45350</v>
      </c>
      <c r="B543" s="35" t="n">
        <f aca="false">EOMONTH(A543+1,0)</f>
        <v>45351</v>
      </c>
      <c r="C543" s="36" t="n">
        <f aca="false">IF(MOD(YEAR(A543),4)=0,366,365)</f>
        <v>366</v>
      </c>
      <c r="D543" s="37" t="n">
        <f aca="false">Inputs!$B$9-SUMIFS(Cash_Events!$G$6:$G$20,Cash_Events!$C$6:$C$20,"rAGMF",Cash_Events!$B$6:$B$20,"&lt;="&amp;A543)</f>
        <v>1500000</v>
      </c>
      <c r="E543" s="38" t="n">
        <f aca="false">VLOOKUP(A543,Inputs!$A$40:$B$48,2,TRUE())</f>
        <v>0.0547601</v>
      </c>
      <c r="F543" s="38" t="n">
        <f aca="false">E543+Inputs!$B$10</f>
        <v>0.1222601</v>
      </c>
      <c r="G543" s="37" t="n">
        <f aca="false">D543*F543/C543</f>
        <v>501.065983606557</v>
      </c>
      <c r="H543" s="37" t="n">
        <f aca="false">IF(AND(A543&gt;=Inputs!$B$13,OR(A543&lt;Inputs!$B$19,Inputs!$B$20=1)),D543*Inputs!$B$11/C543,0)</f>
        <v>81.9672131147541</v>
      </c>
      <c r="I543" s="37" t="n">
        <f aca="false">Inputs!$C$9-SUMIFS(Cash_Events!$G$6:$G$20,Cash_Events!$C$6:$C$20,"FHL",Cash_Events!$B$6:$B$20,"&lt;="&amp;A543)</f>
        <v>1500000</v>
      </c>
      <c r="J543" s="38" t="n">
        <f aca="false">VLOOKUP(A543,Inputs!$F$40:$G$48,2,TRUE())</f>
        <v>0.054735</v>
      </c>
      <c r="K543" s="38" t="n">
        <f aca="false">J543+Inputs!$C$10</f>
        <v>0.122235</v>
      </c>
      <c r="L543" s="37" t="n">
        <f aca="false">I543*K543/C543</f>
        <v>500.963114754098</v>
      </c>
      <c r="M543" s="37" t="n">
        <f aca="false">IF(AND(A543&gt;=Inputs!$C$13,OR(A543&lt;Inputs!$B$19,Inputs!$B$20=1)),I543*Inputs!$C$11/C543,0)</f>
        <v>81.9672131147541</v>
      </c>
    </row>
    <row r="544" customFormat="false" ht="15" hidden="false" customHeight="false" outlineLevel="0" collapsed="false">
      <c r="A544" s="35" t="n">
        <f aca="false">A543+1</f>
        <v>45351</v>
      </c>
      <c r="B544" s="35" t="n">
        <f aca="false">EOMONTH(A544+1,0)</f>
        <v>45382</v>
      </c>
      <c r="C544" s="36" t="n">
        <f aca="false">IF(MOD(YEAR(A544),4)=0,366,365)</f>
        <v>366</v>
      </c>
      <c r="D544" s="37" t="n">
        <f aca="false">Inputs!$B$9-SUMIFS(Cash_Events!$G$6:$G$20,Cash_Events!$C$6:$C$20,"rAGMF",Cash_Events!$B$6:$B$20,"&lt;="&amp;A544)</f>
        <v>1500000</v>
      </c>
      <c r="E544" s="38" t="n">
        <f aca="false">VLOOKUP(A544,Inputs!$A$40:$B$48,2,TRUE())</f>
        <v>0.0547601</v>
      </c>
      <c r="F544" s="38" t="n">
        <f aca="false">E544+Inputs!$B$10</f>
        <v>0.1222601</v>
      </c>
      <c r="G544" s="37" t="n">
        <f aca="false">D544*F544/C544</f>
        <v>501.065983606557</v>
      </c>
      <c r="H544" s="37" t="n">
        <f aca="false">IF(AND(A544&gt;=Inputs!$B$13,OR(A544&lt;Inputs!$B$19,Inputs!$B$20=1)),D544*Inputs!$B$11/C544,0)</f>
        <v>81.9672131147541</v>
      </c>
      <c r="I544" s="37" t="n">
        <f aca="false">Inputs!$C$9-SUMIFS(Cash_Events!$G$6:$G$20,Cash_Events!$C$6:$C$20,"FHL",Cash_Events!$B$6:$B$20,"&lt;="&amp;A544)</f>
        <v>1500000</v>
      </c>
      <c r="J544" s="38" t="n">
        <f aca="false">VLOOKUP(A544,Inputs!$F$40:$G$48,2,TRUE())</f>
        <v>0.054735</v>
      </c>
      <c r="K544" s="38" t="n">
        <f aca="false">J544+Inputs!$C$10</f>
        <v>0.122235</v>
      </c>
      <c r="L544" s="37" t="n">
        <f aca="false">I544*K544/C544</f>
        <v>500.963114754098</v>
      </c>
      <c r="M544" s="37" t="n">
        <f aca="false">IF(AND(A544&gt;=Inputs!$C$13,OR(A544&lt;Inputs!$B$19,Inputs!$B$20=1)),I544*Inputs!$C$11/C544,0)</f>
        <v>81.9672131147541</v>
      </c>
    </row>
    <row r="545" customFormat="false" ht="15" hidden="false" customHeight="false" outlineLevel="0" collapsed="false">
      <c r="A545" s="35" t="n">
        <f aca="false">A544+1</f>
        <v>45352</v>
      </c>
      <c r="B545" s="35" t="n">
        <f aca="false">EOMONTH(A545+1,0)</f>
        <v>45382</v>
      </c>
      <c r="C545" s="36" t="n">
        <f aca="false">IF(MOD(YEAR(A545),4)=0,366,365)</f>
        <v>366</v>
      </c>
      <c r="D545" s="37" t="n">
        <f aca="false">Inputs!$B$9-SUMIFS(Cash_Events!$G$6:$G$20,Cash_Events!$C$6:$C$20,"rAGMF",Cash_Events!$B$6:$B$20,"&lt;="&amp;A545)</f>
        <v>1500000</v>
      </c>
      <c r="E545" s="38" t="n">
        <f aca="false">VLOOKUP(A545,Inputs!$A$40:$B$48,2,TRUE())</f>
        <v>0.0547601</v>
      </c>
      <c r="F545" s="38" t="n">
        <f aca="false">E545+Inputs!$B$10</f>
        <v>0.1222601</v>
      </c>
      <c r="G545" s="37" t="n">
        <f aca="false">D545*F545/C545</f>
        <v>501.065983606557</v>
      </c>
      <c r="H545" s="37" t="n">
        <f aca="false">IF(AND(A545&gt;=Inputs!$B$13,OR(A545&lt;Inputs!$B$19,Inputs!$B$20=1)),D545*Inputs!$B$11/C545,0)</f>
        <v>81.9672131147541</v>
      </c>
      <c r="I545" s="37" t="n">
        <f aca="false">Inputs!$C$9-SUMIFS(Cash_Events!$G$6:$G$20,Cash_Events!$C$6:$C$20,"FHL",Cash_Events!$B$6:$B$20,"&lt;="&amp;A545)</f>
        <v>1500000</v>
      </c>
      <c r="J545" s="38" t="n">
        <f aca="false">VLOOKUP(A545,Inputs!$F$40:$G$48,2,TRUE())</f>
        <v>0.054735</v>
      </c>
      <c r="K545" s="38" t="n">
        <f aca="false">J545+Inputs!$C$10</f>
        <v>0.122235</v>
      </c>
      <c r="L545" s="37" t="n">
        <f aca="false">I545*K545/C545</f>
        <v>500.963114754098</v>
      </c>
      <c r="M545" s="37" t="n">
        <f aca="false">IF(AND(A545&gt;=Inputs!$C$13,OR(A545&lt;Inputs!$B$19,Inputs!$B$20=1)),I545*Inputs!$C$11/C545,0)</f>
        <v>81.9672131147541</v>
      </c>
    </row>
    <row r="546" customFormat="false" ht="15" hidden="false" customHeight="false" outlineLevel="0" collapsed="false">
      <c r="A546" s="35" t="n">
        <f aca="false">A545+1</f>
        <v>45353</v>
      </c>
      <c r="B546" s="35" t="n">
        <f aca="false">EOMONTH(A546+1,0)</f>
        <v>45382</v>
      </c>
      <c r="C546" s="36" t="n">
        <f aca="false">IF(MOD(YEAR(A546),4)=0,366,365)</f>
        <v>366</v>
      </c>
      <c r="D546" s="37" t="n">
        <f aca="false">Inputs!$B$9-SUMIFS(Cash_Events!$G$6:$G$20,Cash_Events!$C$6:$C$20,"rAGMF",Cash_Events!$B$6:$B$20,"&lt;="&amp;A546)</f>
        <v>1500000</v>
      </c>
      <c r="E546" s="38" t="n">
        <f aca="false">VLOOKUP(A546,Inputs!$A$40:$B$48,2,TRUE())</f>
        <v>0.0547601</v>
      </c>
      <c r="F546" s="38" t="n">
        <f aca="false">E546+Inputs!$B$10</f>
        <v>0.1222601</v>
      </c>
      <c r="G546" s="37" t="n">
        <f aca="false">D546*F546/C546</f>
        <v>501.065983606557</v>
      </c>
      <c r="H546" s="37" t="n">
        <f aca="false">IF(AND(A546&gt;=Inputs!$B$13,OR(A546&lt;Inputs!$B$19,Inputs!$B$20=1)),D546*Inputs!$B$11/C546,0)</f>
        <v>81.9672131147541</v>
      </c>
      <c r="I546" s="37" t="n">
        <f aca="false">Inputs!$C$9-SUMIFS(Cash_Events!$G$6:$G$20,Cash_Events!$C$6:$C$20,"FHL",Cash_Events!$B$6:$B$20,"&lt;="&amp;A546)</f>
        <v>1500000</v>
      </c>
      <c r="J546" s="38" t="n">
        <f aca="false">VLOOKUP(A546,Inputs!$F$40:$G$48,2,TRUE())</f>
        <v>0.054735</v>
      </c>
      <c r="K546" s="38" t="n">
        <f aca="false">J546+Inputs!$C$10</f>
        <v>0.122235</v>
      </c>
      <c r="L546" s="37" t="n">
        <f aca="false">I546*K546/C546</f>
        <v>500.963114754098</v>
      </c>
      <c r="M546" s="37" t="n">
        <f aca="false">IF(AND(A546&gt;=Inputs!$C$13,OR(A546&lt;Inputs!$B$19,Inputs!$B$20=1)),I546*Inputs!$C$11/C546,0)</f>
        <v>81.9672131147541</v>
      </c>
    </row>
    <row r="547" customFormat="false" ht="15" hidden="false" customHeight="false" outlineLevel="0" collapsed="false">
      <c r="A547" s="35" t="n">
        <f aca="false">A546+1</f>
        <v>45354</v>
      </c>
      <c r="B547" s="35" t="n">
        <f aca="false">EOMONTH(A547+1,0)</f>
        <v>45382</v>
      </c>
      <c r="C547" s="36" t="n">
        <f aca="false">IF(MOD(YEAR(A547),4)=0,366,365)</f>
        <v>366</v>
      </c>
      <c r="D547" s="37" t="n">
        <f aca="false">Inputs!$B$9-SUMIFS(Cash_Events!$G$6:$G$20,Cash_Events!$C$6:$C$20,"rAGMF",Cash_Events!$B$6:$B$20,"&lt;="&amp;A547)</f>
        <v>1500000</v>
      </c>
      <c r="E547" s="38" t="n">
        <f aca="false">VLOOKUP(A547,Inputs!$A$40:$B$48,2,TRUE())</f>
        <v>0.0547601</v>
      </c>
      <c r="F547" s="38" t="n">
        <f aca="false">E547+Inputs!$B$10</f>
        <v>0.1222601</v>
      </c>
      <c r="G547" s="37" t="n">
        <f aca="false">D547*F547/C547</f>
        <v>501.065983606557</v>
      </c>
      <c r="H547" s="37" t="n">
        <f aca="false">IF(AND(A547&gt;=Inputs!$B$13,OR(A547&lt;Inputs!$B$19,Inputs!$B$20=1)),D547*Inputs!$B$11/C547,0)</f>
        <v>81.9672131147541</v>
      </c>
      <c r="I547" s="37" t="n">
        <f aca="false">Inputs!$C$9-SUMIFS(Cash_Events!$G$6:$G$20,Cash_Events!$C$6:$C$20,"FHL",Cash_Events!$B$6:$B$20,"&lt;="&amp;A547)</f>
        <v>1500000</v>
      </c>
      <c r="J547" s="38" t="n">
        <f aca="false">VLOOKUP(A547,Inputs!$F$40:$G$48,2,TRUE())</f>
        <v>0.054735</v>
      </c>
      <c r="K547" s="38" t="n">
        <f aca="false">J547+Inputs!$C$10</f>
        <v>0.122235</v>
      </c>
      <c r="L547" s="37" t="n">
        <f aca="false">I547*K547/C547</f>
        <v>500.963114754098</v>
      </c>
      <c r="M547" s="37" t="n">
        <f aca="false">IF(AND(A547&gt;=Inputs!$C$13,OR(A547&lt;Inputs!$B$19,Inputs!$B$20=1)),I547*Inputs!$C$11/C547,0)</f>
        <v>81.9672131147541</v>
      </c>
    </row>
    <row r="548" customFormat="false" ht="15" hidden="false" customHeight="false" outlineLevel="0" collapsed="false">
      <c r="A548" s="35" t="n">
        <f aca="false">A547+1</f>
        <v>45355</v>
      </c>
      <c r="B548" s="35" t="n">
        <f aca="false">EOMONTH(A548+1,0)</f>
        <v>45382</v>
      </c>
      <c r="C548" s="36" t="n">
        <f aca="false">IF(MOD(YEAR(A548),4)=0,366,365)</f>
        <v>366</v>
      </c>
      <c r="D548" s="37" t="n">
        <f aca="false">Inputs!$B$9-SUMIFS(Cash_Events!$G$6:$G$20,Cash_Events!$C$6:$C$20,"rAGMF",Cash_Events!$B$6:$B$20,"&lt;="&amp;A548)</f>
        <v>1500000</v>
      </c>
      <c r="E548" s="38" t="n">
        <f aca="false">VLOOKUP(A548,Inputs!$A$40:$B$48,2,TRUE())</f>
        <v>0.0547601</v>
      </c>
      <c r="F548" s="38" t="n">
        <f aca="false">E548+Inputs!$B$10</f>
        <v>0.1222601</v>
      </c>
      <c r="G548" s="37" t="n">
        <f aca="false">D548*F548/C548</f>
        <v>501.065983606557</v>
      </c>
      <c r="H548" s="37" t="n">
        <f aca="false">IF(AND(A548&gt;=Inputs!$B$13,OR(A548&lt;Inputs!$B$19,Inputs!$B$20=1)),D548*Inputs!$B$11/C548,0)</f>
        <v>81.9672131147541</v>
      </c>
      <c r="I548" s="37" t="n">
        <f aca="false">Inputs!$C$9-SUMIFS(Cash_Events!$G$6:$G$20,Cash_Events!$C$6:$C$20,"FHL",Cash_Events!$B$6:$B$20,"&lt;="&amp;A548)</f>
        <v>1500000</v>
      </c>
      <c r="J548" s="38" t="n">
        <f aca="false">VLOOKUP(A548,Inputs!$F$40:$G$48,2,TRUE())</f>
        <v>0.054735</v>
      </c>
      <c r="K548" s="38" t="n">
        <f aca="false">J548+Inputs!$C$10</f>
        <v>0.122235</v>
      </c>
      <c r="L548" s="37" t="n">
        <f aca="false">I548*K548/C548</f>
        <v>500.963114754098</v>
      </c>
      <c r="M548" s="37" t="n">
        <f aca="false">IF(AND(A548&gt;=Inputs!$C$13,OR(A548&lt;Inputs!$B$19,Inputs!$B$20=1)),I548*Inputs!$C$11/C548,0)</f>
        <v>81.9672131147541</v>
      </c>
    </row>
    <row r="549" customFormat="false" ht="15" hidden="false" customHeight="false" outlineLevel="0" collapsed="false">
      <c r="A549" s="35" t="n">
        <f aca="false">A548+1</f>
        <v>45356</v>
      </c>
      <c r="B549" s="35" t="n">
        <f aca="false">EOMONTH(A549+1,0)</f>
        <v>45382</v>
      </c>
      <c r="C549" s="36" t="n">
        <f aca="false">IF(MOD(YEAR(A549),4)=0,366,365)</f>
        <v>366</v>
      </c>
      <c r="D549" s="37" t="n">
        <f aca="false">Inputs!$B$9-SUMIFS(Cash_Events!$G$6:$G$20,Cash_Events!$C$6:$C$20,"rAGMF",Cash_Events!$B$6:$B$20,"&lt;="&amp;A549)</f>
        <v>1500000</v>
      </c>
      <c r="E549" s="38" t="n">
        <f aca="false">VLOOKUP(A549,Inputs!$A$40:$B$48,2,TRUE())</f>
        <v>0.0547601</v>
      </c>
      <c r="F549" s="38" t="n">
        <f aca="false">E549+Inputs!$B$10</f>
        <v>0.1222601</v>
      </c>
      <c r="G549" s="37" t="n">
        <f aca="false">D549*F549/C549</f>
        <v>501.065983606557</v>
      </c>
      <c r="H549" s="37" t="n">
        <f aca="false">IF(AND(A549&gt;=Inputs!$B$13,OR(A549&lt;Inputs!$B$19,Inputs!$B$20=1)),D549*Inputs!$B$11/C549,0)</f>
        <v>81.9672131147541</v>
      </c>
      <c r="I549" s="37" t="n">
        <f aca="false">Inputs!$C$9-SUMIFS(Cash_Events!$G$6:$G$20,Cash_Events!$C$6:$C$20,"FHL",Cash_Events!$B$6:$B$20,"&lt;="&amp;A549)</f>
        <v>1500000</v>
      </c>
      <c r="J549" s="38" t="n">
        <f aca="false">VLOOKUP(A549,Inputs!$F$40:$G$48,2,TRUE())</f>
        <v>0.054735</v>
      </c>
      <c r="K549" s="38" t="n">
        <f aca="false">J549+Inputs!$C$10</f>
        <v>0.122235</v>
      </c>
      <c r="L549" s="37" t="n">
        <f aca="false">I549*K549/C549</f>
        <v>500.963114754098</v>
      </c>
      <c r="M549" s="37" t="n">
        <f aca="false">IF(AND(A549&gt;=Inputs!$C$13,OR(A549&lt;Inputs!$B$19,Inputs!$B$20=1)),I549*Inputs!$C$11/C549,0)</f>
        <v>81.9672131147541</v>
      </c>
    </row>
    <row r="550" customFormat="false" ht="15" hidden="false" customHeight="false" outlineLevel="0" collapsed="false">
      <c r="A550" s="35" t="n">
        <f aca="false">A549+1</f>
        <v>45357</v>
      </c>
      <c r="B550" s="35" t="n">
        <f aca="false">EOMONTH(A550+1,0)</f>
        <v>45382</v>
      </c>
      <c r="C550" s="36" t="n">
        <f aca="false">IF(MOD(YEAR(A550),4)=0,366,365)</f>
        <v>366</v>
      </c>
      <c r="D550" s="37" t="n">
        <f aca="false">Inputs!$B$9-SUMIFS(Cash_Events!$G$6:$G$20,Cash_Events!$C$6:$C$20,"rAGMF",Cash_Events!$B$6:$B$20,"&lt;="&amp;A550)</f>
        <v>1500000</v>
      </c>
      <c r="E550" s="38" t="n">
        <f aca="false">VLOOKUP(A550,Inputs!$A$40:$B$48,2,TRUE())</f>
        <v>0.0547601</v>
      </c>
      <c r="F550" s="38" t="n">
        <f aca="false">E550+Inputs!$B$10</f>
        <v>0.1222601</v>
      </c>
      <c r="G550" s="37" t="n">
        <f aca="false">D550*F550/C550</f>
        <v>501.065983606557</v>
      </c>
      <c r="H550" s="37" t="n">
        <f aca="false">IF(AND(A550&gt;=Inputs!$B$13,OR(A550&lt;Inputs!$B$19,Inputs!$B$20=1)),D550*Inputs!$B$11/C550,0)</f>
        <v>81.9672131147541</v>
      </c>
      <c r="I550" s="37" t="n">
        <f aca="false">Inputs!$C$9-SUMIFS(Cash_Events!$G$6:$G$20,Cash_Events!$C$6:$C$20,"FHL",Cash_Events!$B$6:$B$20,"&lt;="&amp;A550)</f>
        <v>1500000</v>
      </c>
      <c r="J550" s="38" t="n">
        <f aca="false">VLOOKUP(A550,Inputs!$F$40:$G$48,2,TRUE())</f>
        <v>0.054735</v>
      </c>
      <c r="K550" s="38" t="n">
        <f aca="false">J550+Inputs!$C$10</f>
        <v>0.122235</v>
      </c>
      <c r="L550" s="37" t="n">
        <f aca="false">I550*K550/C550</f>
        <v>500.963114754098</v>
      </c>
      <c r="M550" s="37" t="n">
        <f aca="false">IF(AND(A550&gt;=Inputs!$C$13,OR(A550&lt;Inputs!$B$19,Inputs!$B$20=1)),I550*Inputs!$C$11/C550,0)</f>
        <v>81.9672131147541</v>
      </c>
    </row>
    <row r="551" customFormat="false" ht="15" hidden="false" customHeight="false" outlineLevel="0" collapsed="false">
      <c r="A551" s="35" t="n">
        <f aca="false">A550+1</f>
        <v>45358</v>
      </c>
      <c r="B551" s="35" t="n">
        <f aca="false">EOMONTH(A551+1,0)</f>
        <v>45382</v>
      </c>
      <c r="C551" s="36" t="n">
        <f aca="false">IF(MOD(YEAR(A551),4)=0,366,365)</f>
        <v>366</v>
      </c>
      <c r="D551" s="37" t="n">
        <f aca="false">Inputs!$B$9-SUMIFS(Cash_Events!$G$6:$G$20,Cash_Events!$C$6:$C$20,"rAGMF",Cash_Events!$B$6:$B$20,"&lt;="&amp;A551)</f>
        <v>1500000</v>
      </c>
      <c r="E551" s="38" t="n">
        <f aca="false">VLOOKUP(A551,Inputs!$A$40:$B$48,2,TRUE())</f>
        <v>0.0547601</v>
      </c>
      <c r="F551" s="38" t="n">
        <f aca="false">E551+Inputs!$B$10</f>
        <v>0.1222601</v>
      </c>
      <c r="G551" s="37" t="n">
        <f aca="false">D551*F551/C551</f>
        <v>501.065983606557</v>
      </c>
      <c r="H551" s="37" t="n">
        <f aca="false">IF(AND(A551&gt;=Inputs!$B$13,OR(A551&lt;Inputs!$B$19,Inputs!$B$20=1)),D551*Inputs!$B$11/C551,0)</f>
        <v>81.9672131147541</v>
      </c>
      <c r="I551" s="37" t="n">
        <f aca="false">Inputs!$C$9-SUMIFS(Cash_Events!$G$6:$G$20,Cash_Events!$C$6:$C$20,"FHL",Cash_Events!$B$6:$B$20,"&lt;="&amp;A551)</f>
        <v>1500000</v>
      </c>
      <c r="J551" s="38" t="n">
        <f aca="false">VLOOKUP(A551,Inputs!$F$40:$G$48,2,TRUE())</f>
        <v>0.054735</v>
      </c>
      <c r="K551" s="38" t="n">
        <f aca="false">J551+Inputs!$C$10</f>
        <v>0.122235</v>
      </c>
      <c r="L551" s="37" t="n">
        <f aca="false">I551*K551/C551</f>
        <v>500.963114754098</v>
      </c>
      <c r="M551" s="37" t="n">
        <f aca="false">IF(AND(A551&gt;=Inputs!$C$13,OR(A551&lt;Inputs!$B$19,Inputs!$B$20=1)),I551*Inputs!$C$11/C551,0)</f>
        <v>81.9672131147541</v>
      </c>
    </row>
    <row r="552" customFormat="false" ht="15" hidden="false" customHeight="false" outlineLevel="0" collapsed="false">
      <c r="A552" s="35" t="n">
        <f aca="false">A551+1</f>
        <v>45359</v>
      </c>
      <c r="B552" s="35" t="n">
        <f aca="false">EOMONTH(A552+1,0)</f>
        <v>45382</v>
      </c>
      <c r="C552" s="36" t="n">
        <f aca="false">IF(MOD(YEAR(A552),4)=0,366,365)</f>
        <v>366</v>
      </c>
      <c r="D552" s="37" t="n">
        <f aca="false">Inputs!$B$9-SUMIFS(Cash_Events!$G$6:$G$20,Cash_Events!$C$6:$C$20,"rAGMF",Cash_Events!$B$6:$B$20,"&lt;="&amp;A552)</f>
        <v>1500000</v>
      </c>
      <c r="E552" s="38" t="n">
        <f aca="false">VLOOKUP(A552,Inputs!$A$40:$B$48,2,TRUE())</f>
        <v>0.0547601</v>
      </c>
      <c r="F552" s="38" t="n">
        <f aca="false">E552+Inputs!$B$10</f>
        <v>0.1222601</v>
      </c>
      <c r="G552" s="37" t="n">
        <f aca="false">D552*F552/C552</f>
        <v>501.065983606557</v>
      </c>
      <c r="H552" s="37" t="n">
        <f aca="false">IF(AND(A552&gt;=Inputs!$B$13,OR(A552&lt;Inputs!$B$19,Inputs!$B$20=1)),D552*Inputs!$B$11/C552,0)</f>
        <v>81.9672131147541</v>
      </c>
      <c r="I552" s="37" t="n">
        <f aca="false">Inputs!$C$9-SUMIFS(Cash_Events!$G$6:$G$20,Cash_Events!$C$6:$C$20,"FHL",Cash_Events!$B$6:$B$20,"&lt;="&amp;A552)</f>
        <v>1500000</v>
      </c>
      <c r="J552" s="38" t="n">
        <f aca="false">VLOOKUP(A552,Inputs!$F$40:$G$48,2,TRUE())</f>
        <v>0.054735</v>
      </c>
      <c r="K552" s="38" t="n">
        <f aca="false">J552+Inputs!$C$10</f>
        <v>0.122235</v>
      </c>
      <c r="L552" s="37" t="n">
        <f aca="false">I552*K552/C552</f>
        <v>500.963114754098</v>
      </c>
      <c r="M552" s="37" t="n">
        <f aca="false">IF(AND(A552&gt;=Inputs!$C$13,OR(A552&lt;Inputs!$B$19,Inputs!$B$20=1)),I552*Inputs!$C$11/C552,0)</f>
        <v>81.9672131147541</v>
      </c>
    </row>
    <row r="553" customFormat="false" ht="15" hidden="false" customHeight="false" outlineLevel="0" collapsed="false">
      <c r="A553" s="35" t="n">
        <f aca="false">A552+1</f>
        <v>45360</v>
      </c>
      <c r="B553" s="35" t="n">
        <f aca="false">EOMONTH(A553+1,0)</f>
        <v>45382</v>
      </c>
      <c r="C553" s="36" t="n">
        <f aca="false">IF(MOD(YEAR(A553),4)=0,366,365)</f>
        <v>366</v>
      </c>
      <c r="D553" s="37" t="n">
        <f aca="false">Inputs!$B$9-SUMIFS(Cash_Events!$G$6:$G$20,Cash_Events!$C$6:$C$20,"rAGMF",Cash_Events!$B$6:$B$20,"&lt;="&amp;A553)</f>
        <v>1500000</v>
      </c>
      <c r="E553" s="38" t="n">
        <f aca="false">VLOOKUP(A553,Inputs!$A$40:$B$48,2,TRUE())</f>
        <v>0.0547601</v>
      </c>
      <c r="F553" s="38" t="n">
        <f aca="false">E553+Inputs!$B$10</f>
        <v>0.1222601</v>
      </c>
      <c r="G553" s="37" t="n">
        <f aca="false">D553*F553/C553</f>
        <v>501.065983606557</v>
      </c>
      <c r="H553" s="37" t="n">
        <f aca="false">IF(AND(A553&gt;=Inputs!$B$13,OR(A553&lt;Inputs!$B$19,Inputs!$B$20=1)),D553*Inputs!$B$11/C553,0)</f>
        <v>81.9672131147541</v>
      </c>
      <c r="I553" s="37" t="n">
        <f aca="false">Inputs!$C$9-SUMIFS(Cash_Events!$G$6:$G$20,Cash_Events!$C$6:$C$20,"FHL",Cash_Events!$B$6:$B$20,"&lt;="&amp;A553)</f>
        <v>1500000</v>
      </c>
      <c r="J553" s="38" t="n">
        <f aca="false">VLOOKUP(A553,Inputs!$F$40:$G$48,2,TRUE())</f>
        <v>0.054735</v>
      </c>
      <c r="K553" s="38" t="n">
        <f aca="false">J553+Inputs!$C$10</f>
        <v>0.122235</v>
      </c>
      <c r="L553" s="37" t="n">
        <f aca="false">I553*K553/C553</f>
        <v>500.963114754098</v>
      </c>
      <c r="M553" s="37" t="n">
        <f aca="false">IF(AND(A553&gt;=Inputs!$C$13,OR(A553&lt;Inputs!$B$19,Inputs!$B$20=1)),I553*Inputs!$C$11/C553,0)</f>
        <v>81.9672131147541</v>
      </c>
    </row>
    <row r="554" customFormat="false" ht="15" hidden="false" customHeight="false" outlineLevel="0" collapsed="false">
      <c r="A554" s="35" t="n">
        <f aca="false">A553+1</f>
        <v>45361</v>
      </c>
      <c r="B554" s="35" t="n">
        <f aca="false">EOMONTH(A554+1,0)</f>
        <v>45382</v>
      </c>
      <c r="C554" s="36" t="n">
        <f aca="false">IF(MOD(YEAR(A554),4)=0,366,365)</f>
        <v>366</v>
      </c>
      <c r="D554" s="37" t="n">
        <f aca="false">Inputs!$B$9-SUMIFS(Cash_Events!$G$6:$G$20,Cash_Events!$C$6:$C$20,"rAGMF",Cash_Events!$B$6:$B$20,"&lt;="&amp;A554)</f>
        <v>1500000</v>
      </c>
      <c r="E554" s="38" t="n">
        <f aca="false">VLOOKUP(A554,Inputs!$A$40:$B$48,2,TRUE())</f>
        <v>0.0547601</v>
      </c>
      <c r="F554" s="38" t="n">
        <f aca="false">E554+Inputs!$B$10</f>
        <v>0.1222601</v>
      </c>
      <c r="G554" s="37" t="n">
        <f aca="false">D554*F554/C554</f>
        <v>501.065983606557</v>
      </c>
      <c r="H554" s="37" t="n">
        <f aca="false">IF(AND(A554&gt;=Inputs!$B$13,OR(A554&lt;Inputs!$B$19,Inputs!$B$20=1)),D554*Inputs!$B$11/C554,0)</f>
        <v>81.9672131147541</v>
      </c>
      <c r="I554" s="37" t="n">
        <f aca="false">Inputs!$C$9-SUMIFS(Cash_Events!$G$6:$G$20,Cash_Events!$C$6:$C$20,"FHL",Cash_Events!$B$6:$B$20,"&lt;="&amp;A554)</f>
        <v>1500000</v>
      </c>
      <c r="J554" s="38" t="n">
        <f aca="false">VLOOKUP(A554,Inputs!$F$40:$G$48,2,TRUE())</f>
        <v>0.054735</v>
      </c>
      <c r="K554" s="38" t="n">
        <f aca="false">J554+Inputs!$C$10</f>
        <v>0.122235</v>
      </c>
      <c r="L554" s="37" t="n">
        <f aca="false">I554*K554/C554</f>
        <v>500.963114754098</v>
      </c>
      <c r="M554" s="37" t="n">
        <f aca="false">IF(AND(A554&gt;=Inputs!$C$13,OR(A554&lt;Inputs!$B$19,Inputs!$B$20=1)),I554*Inputs!$C$11/C554,0)</f>
        <v>81.9672131147541</v>
      </c>
    </row>
    <row r="555" customFormat="false" ht="15" hidden="false" customHeight="false" outlineLevel="0" collapsed="false">
      <c r="A555" s="35" t="n">
        <f aca="false">A554+1</f>
        <v>45362</v>
      </c>
      <c r="B555" s="35" t="n">
        <f aca="false">EOMONTH(A555+1,0)</f>
        <v>45382</v>
      </c>
      <c r="C555" s="36" t="n">
        <f aca="false">IF(MOD(YEAR(A555),4)=0,366,365)</f>
        <v>366</v>
      </c>
      <c r="D555" s="37" t="n">
        <f aca="false">Inputs!$B$9-SUMIFS(Cash_Events!$G$6:$G$20,Cash_Events!$C$6:$C$20,"rAGMF",Cash_Events!$B$6:$B$20,"&lt;="&amp;A555)</f>
        <v>1500000</v>
      </c>
      <c r="E555" s="38" t="n">
        <f aca="false">VLOOKUP(A555,Inputs!$A$40:$B$48,2,TRUE())</f>
        <v>0.0523565</v>
      </c>
      <c r="F555" s="38" t="n">
        <f aca="false">E555+Inputs!$B$10</f>
        <v>0.1198565</v>
      </c>
      <c r="G555" s="37" t="n">
        <f aca="false">D555*F555/C555</f>
        <v>491.215163934426</v>
      </c>
      <c r="H555" s="37" t="n">
        <f aca="false">IF(AND(A555&gt;=Inputs!$B$13,OR(A555&lt;Inputs!$B$19,Inputs!$B$20=1)),D555*Inputs!$B$11/C555,0)</f>
        <v>81.9672131147541</v>
      </c>
      <c r="I555" s="37" t="n">
        <f aca="false">Inputs!$C$9-SUMIFS(Cash_Events!$G$6:$G$20,Cash_Events!$C$6:$C$20,"FHL",Cash_Events!$B$6:$B$20,"&lt;="&amp;A555)</f>
        <v>1500000</v>
      </c>
      <c r="J555" s="38" t="n">
        <f aca="false">VLOOKUP(A555,Inputs!$F$40:$G$48,2,TRUE())</f>
        <v>0.054735</v>
      </c>
      <c r="K555" s="38" t="n">
        <f aca="false">J555+Inputs!$C$10</f>
        <v>0.122235</v>
      </c>
      <c r="L555" s="37" t="n">
        <f aca="false">I555*K555/C555</f>
        <v>500.963114754098</v>
      </c>
      <c r="M555" s="37" t="n">
        <f aca="false">IF(AND(A555&gt;=Inputs!$C$13,OR(A555&lt;Inputs!$B$19,Inputs!$B$20=1)),I555*Inputs!$C$11/C555,0)</f>
        <v>81.9672131147541</v>
      </c>
    </row>
    <row r="556" customFormat="false" ht="15" hidden="false" customHeight="false" outlineLevel="0" collapsed="false">
      <c r="A556" s="35" t="n">
        <f aca="false">A555+1</f>
        <v>45363</v>
      </c>
      <c r="B556" s="35" t="n">
        <f aca="false">EOMONTH(A556+1,0)</f>
        <v>45382</v>
      </c>
      <c r="C556" s="36" t="n">
        <f aca="false">IF(MOD(YEAR(A556),4)=0,366,365)</f>
        <v>366</v>
      </c>
      <c r="D556" s="37" t="n">
        <f aca="false">Inputs!$B$9-SUMIFS(Cash_Events!$G$6:$G$20,Cash_Events!$C$6:$C$20,"rAGMF",Cash_Events!$B$6:$B$20,"&lt;="&amp;A556)</f>
        <v>1500000</v>
      </c>
      <c r="E556" s="38" t="n">
        <f aca="false">VLOOKUP(A556,Inputs!$A$40:$B$48,2,TRUE())</f>
        <v>0.0523565</v>
      </c>
      <c r="F556" s="38" t="n">
        <f aca="false">E556+Inputs!$B$10</f>
        <v>0.1198565</v>
      </c>
      <c r="G556" s="37" t="n">
        <f aca="false">D556*F556/C556</f>
        <v>491.215163934426</v>
      </c>
      <c r="H556" s="37" t="n">
        <f aca="false">IF(AND(A556&gt;=Inputs!$B$13,OR(A556&lt;Inputs!$B$19,Inputs!$B$20=1)),D556*Inputs!$B$11/C556,0)</f>
        <v>81.9672131147541</v>
      </c>
      <c r="I556" s="37" t="n">
        <f aca="false">Inputs!$C$9-SUMIFS(Cash_Events!$G$6:$G$20,Cash_Events!$C$6:$C$20,"FHL",Cash_Events!$B$6:$B$20,"&lt;="&amp;A556)</f>
        <v>1500000</v>
      </c>
      <c r="J556" s="38" t="n">
        <f aca="false">VLOOKUP(A556,Inputs!$F$40:$G$48,2,TRUE())</f>
        <v>0.054735</v>
      </c>
      <c r="K556" s="38" t="n">
        <f aca="false">J556+Inputs!$C$10</f>
        <v>0.122235</v>
      </c>
      <c r="L556" s="37" t="n">
        <f aca="false">I556*K556/C556</f>
        <v>500.963114754098</v>
      </c>
      <c r="M556" s="37" t="n">
        <f aca="false">IF(AND(A556&gt;=Inputs!$C$13,OR(A556&lt;Inputs!$B$19,Inputs!$B$20=1)),I556*Inputs!$C$11/C556,0)</f>
        <v>81.9672131147541</v>
      </c>
    </row>
    <row r="557" customFormat="false" ht="15" hidden="false" customHeight="false" outlineLevel="0" collapsed="false">
      <c r="A557" s="35" t="n">
        <f aca="false">A556+1</f>
        <v>45364</v>
      </c>
      <c r="B557" s="35" t="n">
        <f aca="false">EOMONTH(A557+1,0)</f>
        <v>45382</v>
      </c>
      <c r="C557" s="36" t="n">
        <f aca="false">IF(MOD(YEAR(A557),4)=0,366,365)</f>
        <v>366</v>
      </c>
      <c r="D557" s="37" t="n">
        <f aca="false">Inputs!$B$9-SUMIFS(Cash_Events!$G$6:$G$20,Cash_Events!$C$6:$C$20,"rAGMF",Cash_Events!$B$6:$B$20,"&lt;="&amp;A557)</f>
        <v>1500000</v>
      </c>
      <c r="E557" s="38" t="n">
        <f aca="false">VLOOKUP(A557,Inputs!$A$40:$B$48,2,TRUE())</f>
        <v>0.0523565</v>
      </c>
      <c r="F557" s="38" t="n">
        <f aca="false">E557+Inputs!$B$10</f>
        <v>0.1198565</v>
      </c>
      <c r="G557" s="37" t="n">
        <f aca="false">D557*F557/C557</f>
        <v>491.215163934426</v>
      </c>
      <c r="H557" s="37" t="n">
        <f aca="false">IF(AND(A557&gt;=Inputs!$B$13,OR(A557&lt;Inputs!$B$19,Inputs!$B$20=1)),D557*Inputs!$B$11/C557,0)</f>
        <v>81.9672131147541</v>
      </c>
      <c r="I557" s="37" t="n">
        <f aca="false">Inputs!$C$9-SUMIFS(Cash_Events!$G$6:$G$20,Cash_Events!$C$6:$C$20,"FHL",Cash_Events!$B$6:$B$20,"&lt;="&amp;A557)</f>
        <v>1500000</v>
      </c>
      <c r="J557" s="38" t="n">
        <f aca="false">VLOOKUP(A557,Inputs!$F$40:$G$48,2,TRUE())</f>
        <v>0.054735</v>
      </c>
      <c r="K557" s="38" t="n">
        <f aca="false">J557+Inputs!$C$10</f>
        <v>0.122235</v>
      </c>
      <c r="L557" s="37" t="n">
        <f aca="false">I557*K557/C557</f>
        <v>500.963114754098</v>
      </c>
      <c r="M557" s="37" t="n">
        <f aca="false">IF(AND(A557&gt;=Inputs!$C$13,OR(A557&lt;Inputs!$B$19,Inputs!$B$20=1)),I557*Inputs!$C$11/C557,0)</f>
        <v>81.9672131147541</v>
      </c>
    </row>
    <row r="558" customFormat="false" ht="15" hidden="false" customHeight="false" outlineLevel="0" collapsed="false">
      <c r="A558" s="35" t="n">
        <f aca="false">A557+1</f>
        <v>45365</v>
      </c>
      <c r="B558" s="35" t="n">
        <f aca="false">EOMONTH(A558+1,0)</f>
        <v>45382</v>
      </c>
      <c r="C558" s="36" t="n">
        <f aca="false">IF(MOD(YEAR(A558),4)=0,366,365)</f>
        <v>366</v>
      </c>
      <c r="D558" s="37" t="n">
        <f aca="false">Inputs!$B$9-SUMIFS(Cash_Events!$G$6:$G$20,Cash_Events!$C$6:$C$20,"rAGMF",Cash_Events!$B$6:$B$20,"&lt;="&amp;A558)</f>
        <v>1500000</v>
      </c>
      <c r="E558" s="38" t="n">
        <f aca="false">VLOOKUP(A558,Inputs!$A$40:$B$48,2,TRUE())</f>
        <v>0.0523565</v>
      </c>
      <c r="F558" s="38" t="n">
        <f aca="false">E558+Inputs!$B$10</f>
        <v>0.1198565</v>
      </c>
      <c r="G558" s="37" t="n">
        <f aca="false">D558*F558/C558</f>
        <v>491.215163934426</v>
      </c>
      <c r="H558" s="37" t="n">
        <f aca="false">IF(AND(A558&gt;=Inputs!$B$13,OR(A558&lt;Inputs!$B$19,Inputs!$B$20=1)),D558*Inputs!$B$11/C558,0)</f>
        <v>81.9672131147541</v>
      </c>
      <c r="I558" s="37" t="n">
        <f aca="false">Inputs!$C$9-SUMIFS(Cash_Events!$G$6:$G$20,Cash_Events!$C$6:$C$20,"FHL",Cash_Events!$B$6:$B$20,"&lt;="&amp;A558)</f>
        <v>1500000</v>
      </c>
      <c r="J558" s="38" t="n">
        <f aca="false">VLOOKUP(A558,Inputs!$F$40:$G$48,2,TRUE())</f>
        <v>0.054735</v>
      </c>
      <c r="K558" s="38" t="n">
        <f aca="false">J558+Inputs!$C$10</f>
        <v>0.122235</v>
      </c>
      <c r="L558" s="37" t="n">
        <f aca="false">I558*K558/C558</f>
        <v>500.963114754098</v>
      </c>
      <c r="M558" s="37" t="n">
        <f aca="false">IF(AND(A558&gt;=Inputs!$C$13,OR(A558&lt;Inputs!$B$19,Inputs!$B$20=1)),I558*Inputs!$C$11/C558,0)</f>
        <v>81.9672131147541</v>
      </c>
    </row>
    <row r="559" customFormat="false" ht="15" hidden="false" customHeight="false" outlineLevel="0" collapsed="false">
      <c r="A559" s="35" t="n">
        <f aca="false">A558+1</f>
        <v>45366</v>
      </c>
      <c r="B559" s="35" t="n">
        <f aca="false">EOMONTH(A559+1,0)</f>
        <v>45382</v>
      </c>
      <c r="C559" s="36" t="n">
        <f aca="false">IF(MOD(YEAR(A559),4)=0,366,365)</f>
        <v>366</v>
      </c>
      <c r="D559" s="37" t="n">
        <f aca="false">Inputs!$B$9-SUMIFS(Cash_Events!$G$6:$G$20,Cash_Events!$C$6:$C$20,"rAGMF",Cash_Events!$B$6:$B$20,"&lt;="&amp;A559)</f>
        <v>1500000</v>
      </c>
      <c r="E559" s="38" t="n">
        <f aca="false">VLOOKUP(A559,Inputs!$A$40:$B$48,2,TRUE())</f>
        <v>0.0523565</v>
      </c>
      <c r="F559" s="38" t="n">
        <f aca="false">E559+Inputs!$B$10</f>
        <v>0.1198565</v>
      </c>
      <c r="G559" s="37" t="n">
        <f aca="false">D559*F559/C559</f>
        <v>491.215163934426</v>
      </c>
      <c r="H559" s="37" t="n">
        <f aca="false">IF(AND(A559&gt;=Inputs!$B$13,OR(A559&lt;Inputs!$B$19,Inputs!$B$20=1)),D559*Inputs!$B$11/C559,0)</f>
        <v>81.9672131147541</v>
      </c>
      <c r="I559" s="37" t="n">
        <f aca="false">Inputs!$C$9-SUMIFS(Cash_Events!$G$6:$G$20,Cash_Events!$C$6:$C$20,"FHL",Cash_Events!$B$6:$B$20,"&lt;="&amp;A559)</f>
        <v>1500000</v>
      </c>
      <c r="J559" s="38" t="n">
        <f aca="false">VLOOKUP(A559,Inputs!$F$40:$G$48,2,TRUE())</f>
        <v>0.0525075</v>
      </c>
      <c r="K559" s="38" t="n">
        <f aca="false">J559+Inputs!$C$10</f>
        <v>0.1200075</v>
      </c>
      <c r="L559" s="37" t="n">
        <f aca="false">I559*K559/C559</f>
        <v>491.834016393443</v>
      </c>
      <c r="M559" s="37" t="n">
        <f aca="false">IF(AND(A559&gt;=Inputs!$C$13,OR(A559&lt;Inputs!$B$19,Inputs!$B$20=1)),I559*Inputs!$C$11/C559,0)</f>
        <v>81.9672131147541</v>
      </c>
    </row>
    <row r="560" customFormat="false" ht="15" hidden="false" customHeight="false" outlineLevel="0" collapsed="false">
      <c r="A560" s="35" t="n">
        <f aca="false">A559+1</f>
        <v>45367</v>
      </c>
      <c r="B560" s="35" t="n">
        <f aca="false">EOMONTH(A560+1,0)</f>
        <v>45382</v>
      </c>
      <c r="C560" s="36" t="n">
        <f aca="false">IF(MOD(YEAR(A560),4)=0,366,365)</f>
        <v>366</v>
      </c>
      <c r="D560" s="37" t="n">
        <f aca="false">Inputs!$B$9-SUMIFS(Cash_Events!$G$6:$G$20,Cash_Events!$C$6:$C$20,"rAGMF",Cash_Events!$B$6:$B$20,"&lt;="&amp;A560)</f>
        <v>1500000</v>
      </c>
      <c r="E560" s="38" t="n">
        <f aca="false">VLOOKUP(A560,Inputs!$A$40:$B$48,2,TRUE())</f>
        <v>0.0523565</v>
      </c>
      <c r="F560" s="38" t="n">
        <f aca="false">E560+Inputs!$B$10</f>
        <v>0.1198565</v>
      </c>
      <c r="G560" s="37" t="n">
        <f aca="false">D560*F560/C560</f>
        <v>491.215163934426</v>
      </c>
      <c r="H560" s="37" t="n">
        <f aca="false">IF(AND(A560&gt;=Inputs!$B$13,OR(A560&lt;Inputs!$B$19,Inputs!$B$20=1)),D560*Inputs!$B$11/C560,0)</f>
        <v>81.9672131147541</v>
      </c>
      <c r="I560" s="37" t="n">
        <f aca="false">Inputs!$C$9-SUMIFS(Cash_Events!$G$6:$G$20,Cash_Events!$C$6:$C$20,"FHL",Cash_Events!$B$6:$B$20,"&lt;="&amp;A560)</f>
        <v>1500000</v>
      </c>
      <c r="J560" s="38" t="n">
        <f aca="false">VLOOKUP(A560,Inputs!$F$40:$G$48,2,TRUE())</f>
        <v>0.0525075</v>
      </c>
      <c r="K560" s="38" t="n">
        <f aca="false">J560+Inputs!$C$10</f>
        <v>0.1200075</v>
      </c>
      <c r="L560" s="37" t="n">
        <f aca="false">I560*K560/C560</f>
        <v>491.834016393443</v>
      </c>
      <c r="M560" s="37" t="n">
        <f aca="false">IF(AND(A560&gt;=Inputs!$C$13,OR(A560&lt;Inputs!$B$19,Inputs!$B$20=1)),I560*Inputs!$C$11/C560,0)</f>
        <v>81.9672131147541</v>
      </c>
    </row>
    <row r="561" customFormat="false" ht="15" hidden="false" customHeight="false" outlineLevel="0" collapsed="false">
      <c r="A561" s="35" t="n">
        <f aca="false">A560+1</f>
        <v>45368</v>
      </c>
      <c r="B561" s="35" t="n">
        <f aca="false">EOMONTH(A561+1,0)</f>
        <v>45382</v>
      </c>
      <c r="C561" s="36" t="n">
        <f aca="false">IF(MOD(YEAR(A561),4)=0,366,365)</f>
        <v>366</v>
      </c>
      <c r="D561" s="37" t="n">
        <f aca="false">Inputs!$B$9-SUMIFS(Cash_Events!$G$6:$G$20,Cash_Events!$C$6:$C$20,"rAGMF",Cash_Events!$B$6:$B$20,"&lt;="&amp;A561)</f>
        <v>1500000</v>
      </c>
      <c r="E561" s="38" t="n">
        <f aca="false">VLOOKUP(A561,Inputs!$A$40:$B$48,2,TRUE())</f>
        <v>0.0523565</v>
      </c>
      <c r="F561" s="38" t="n">
        <f aca="false">E561+Inputs!$B$10</f>
        <v>0.1198565</v>
      </c>
      <c r="G561" s="37" t="n">
        <f aca="false">D561*F561/C561</f>
        <v>491.215163934426</v>
      </c>
      <c r="H561" s="37" t="n">
        <f aca="false">IF(AND(A561&gt;=Inputs!$B$13,OR(A561&lt;Inputs!$B$19,Inputs!$B$20=1)),D561*Inputs!$B$11/C561,0)</f>
        <v>81.9672131147541</v>
      </c>
      <c r="I561" s="37" t="n">
        <f aca="false">Inputs!$C$9-SUMIFS(Cash_Events!$G$6:$G$20,Cash_Events!$C$6:$C$20,"FHL",Cash_Events!$B$6:$B$20,"&lt;="&amp;A561)</f>
        <v>1500000</v>
      </c>
      <c r="J561" s="38" t="n">
        <f aca="false">VLOOKUP(A561,Inputs!$F$40:$G$48,2,TRUE())</f>
        <v>0.0525075</v>
      </c>
      <c r="K561" s="38" t="n">
        <f aca="false">J561+Inputs!$C$10</f>
        <v>0.1200075</v>
      </c>
      <c r="L561" s="37" t="n">
        <f aca="false">I561*K561/C561</f>
        <v>491.834016393443</v>
      </c>
      <c r="M561" s="37" t="n">
        <f aca="false">IF(AND(A561&gt;=Inputs!$C$13,OR(A561&lt;Inputs!$B$19,Inputs!$B$20=1)),I561*Inputs!$C$11/C561,0)</f>
        <v>81.9672131147541</v>
      </c>
    </row>
    <row r="562" customFormat="false" ht="15" hidden="false" customHeight="false" outlineLevel="0" collapsed="false">
      <c r="A562" s="35" t="n">
        <f aca="false">A561+1</f>
        <v>45369</v>
      </c>
      <c r="B562" s="35" t="n">
        <f aca="false">EOMONTH(A562+1,0)</f>
        <v>45382</v>
      </c>
      <c r="C562" s="36" t="n">
        <f aca="false">IF(MOD(YEAR(A562),4)=0,366,365)</f>
        <v>366</v>
      </c>
      <c r="D562" s="37" t="n">
        <f aca="false">Inputs!$B$9-SUMIFS(Cash_Events!$G$6:$G$20,Cash_Events!$C$6:$C$20,"rAGMF",Cash_Events!$B$6:$B$20,"&lt;="&amp;A562)</f>
        <v>1500000</v>
      </c>
      <c r="E562" s="38" t="n">
        <f aca="false">VLOOKUP(A562,Inputs!$A$40:$B$48,2,TRUE())</f>
        <v>0.0523565</v>
      </c>
      <c r="F562" s="38" t="n">
        <f aca="false">E562+Inputs!$B$10</f>
        <v>0.1198565</v>
      </c>
      <c r="G562" s="37" t="n">
        <f aca="false">D562*F562/C562</f>
        <v>491.215163934426</v>
      </c>
      <c r="H562" s="37" t="n">
        <f aca="false">IF(AND(A562&gt;=Inputs!$B$13,OR(A562&lt;Inputs!$B$19,Inputs!$B$20=1)),D562*Inputs!$B$11/C562,0)</f>
        <v>81.9672131147541</v>
      </c>
      <c r="I562" s="37" t="n">
        <f aca="false">Inputs!$C$9-SUMIFS(Cash_Events!$G$6:$G$20,Cash_Events!$C$6:$C$20,"FHL",Cash_Events!$B$6:$B$20,"&lt;="&amp;A562)</f>
        <v>1500000</v>
      </c>
      <c r="J562" s="38" t="n">
        <f aca="false">VLOOKUP(A562,Inputs!$F$40:$G$48,2,TRUE())</f>
        <v>0.0525075</v>
      </c>
      <c r="K562" s="38" t="n">
        <f aca="false">J562+Inputs!$C$10</f>
        <v>0.1200075</v>
      </c>
      <c r="L562" s="37" t="n">
        <f aca="false">I562*K562/C562</f>
        <v>491.834016393443</v>
      </c>
      <c r="M562" s="37" t="n">
        <f aca="false">IF(AND(A562&gt;=Inputs!$C$13,OR(A562&lt;Inputs!$B$19,Inputs!$B$20=1)),I562*Inputs!$C$11/C562,0)</f>
        <v>81.9672131147541</v>
      </c>
    </row>
    <row r="563" customFormat="false" ht="15" hidden="false" customHeight="false" outlineLevel="0" collapsed="false">
      <c r="A563" s="35" t="n">
        <f aca="false">A562+1</f>
        <v>45370</v>
      </c>
      <c r="B563" s="35" t="n">
        <f aca="false">EOMONTH(A563+1,0)</f>
        <v>45382</v>
      </c>
      <c r="C563" s="36" t="n">
        <f aca="false">IF(MOD(YEAR(A563),4)=0,366,365)</f>
        <v>366</v>
      </c>
      <c r="D563" s="37" t="n">
        <f aca="false">Inputs!$B$9-SUMIFS(Cash_Events!$G$6:$G$20,Cash_Events!$C$6:$C$20,"rAGMF",Cash_Events!$B$6:$B$20,"&lt;="&amp;A563)</f>
        <v>1500000</v>
      </c>
      <c r="E563" s="38" t="n">
        <f aca="false">VLOOKUP(A563,Inputs!$A$40:$B$48,2,TRUE())</f>
        <v>0.0523565</v>
      </c>
      <c r="F563" s="38" t="n">
        <f aca="false">E563+Inputs!$B$10</f>
        <v>0.1198565</v>
      </c>
      <c r="G563" s="37" t="n">
        <f aca="false">D563*F563/C563</f>
        <v>491.215163934426</v>
      </c>
      <c r="H563" s="37" t="n">
        <f aca="false">IF(AND(A563&gt;=Inputs!$B$13,OR(A563&lt;Inputs!$B$19,Inputs!$B$20=1)),D563*Inputs!$B$11/C563,0)</f>
        <v>81.9672131147541</v>
      </c>
      <c r="I563" s="37" t="n">
        <f aca="false">Inputs!$C$9-SUMIFS(Cash_Events!$G$6:$G$20,Cash_Events!$C$6:$C$20,"FHL",Cash_Events!$B$6:$B$20,"&lt;="&amp;A563)</f>
        <v>1500000</v>
      </c>
      <c r="J563" s="38" t="n">
        <f aca="false">VLOOKUP(A563,Inputs!$F$40:$G$48,2,TRUE())</f>
        <v>0.0525075</v>
      </c>
      <c r="K563" s="38" t="n">
        <f aca="false">J563+Inputs!$C$10</f>
        <v>0.1200075</v>
      </c>
      <c r="L563" s="37" t="n">
        <f aca="false">I563*K563/C563</f>
        <v>491.834016393443</v>
      </c>
      <c r="M563" s="37" t="n">
        <f aca="false">IF(AND(A563&gt;=Inputs!$C$13,OR(A563&lt;Inputs!$B$19,Inputs!$B$20=1)),I563*Inputs!$C$11/C563,0)</f>
        <v>81.9672131147541</v>
      </c>
    </row>
    <row r="564" customFormat="false" ht="15" hidden="false" customHeight="false" outlineLevel="0" collapsed="false">
      <c r="A564" s="35" t="n">
        <f aca="false">A563+1</f>
        <v>45371</v>
      </c>
      <c r="B564" s="35" t="n">
        <f aca="false">EOMONTH(A564+1,0)</f>
        <v>45382</v>
      </c>
      <c r="C564" s="36" t="n">
        <f aca="false">IF(MOD(YEAR(A564),4)=0,366,365)</f>
        <v>366</v>
      </c>
      <c r="D564" s="37" t="n">
        <f aca="false">Inputs!$B$9-SUMIFS(Cash_Events!$G$6:$G$20,Cash_Events!$C$6:$C$20,"rAGMF",Cash_Events!$B$6:$B$20,"&lt;="&amp;A564)</f>
        <v>1500000</v>
      </c>
      <c r="E564" s="38" t="n">
        <f aca="false">VLOOKUP(A564,Inputs!$A$40:$B$48,2,TRUE())</f>
        <v>0.0523565</v>
      </c>
      <c r="F564" s="38" t="n">
        <f aca="false">E564+Inputs!$B$10</f>
        <v>0.1198565</v>
      </c>
      <c r="G564" s="37" t="n">
        <f aca="false">D564*F564/C564</f>
        <v>491.215163934426</v>
      </c>
      <c r="H564" s="37" t="n">
        <f aca="false">IF(AND(A564&gt;=Inputs!$B$13,OR(A564&lt;Inputs!$B$19,Inputs!$B$20=1)),D564*Inputs!$B$11/C564,0)</f>
        <v>81.9672131147541</v>
      </c>
      <c r="I564" s="37" t="n">
        <f aca="false">Inputs!$C$9-SUMIFS(Cash_Events!$G$6:$G$20,Cash_Events!$C$6:$C$20,"FHL",Cash_Events!$B$6:$B$20,"&lt;="&amp;A564)</f>
        <v>1500000</v>
      </c>
      <c r="J564" s="38" t="n">
        <f aca="false">VLOOKUP(A564,Inputs!$F$40:$G$48,2,TRUE())</f>
        <v>0.0525075</v>
      </c>
      <c r="K564" s="38" t="n">
        <f aca="false">J564+Inputs!$C$10</f>
        <v>0.1200075</v>
      </c>
      <c r="L564" s="37" t="n">
        <f aca="false">I564*K564/C564</f>
        <v>491.834016393443</v>
      </c>
      <c r="M564" s="37" t="n">
        <f aca="false">IF(AND(A564&gt;=Inputs!$C$13,OR(A564&lt;Inputs!$B$19,Inputs!$B$20=1)),I564*Inputs!$C$11/C564,0)</f>
        <v>81.9672131147541</v>
      </c>
    </row>
    <row r="565" customFormat="false" ht="15" hidden="false" customHeight="false" outlineLevel="0" collapsed="false">
      <c r="A565" s="35" t="n">
        <f aca="false">A564+1</f>
        <v>45372</v>
      </c>
      <c r="B565" s="35" t="n">
        <f aca="false">EOMONTH(A565+1,0)</f>
        <v>45382</v>
      </c>
      <c r="C565" s="36" t="n">
        <f aca="false">IF(MOD(YEAR(A565),4)=0,366,365)</f>
        <v>366</v>
      </c>
      <c r="D565" s="37" t="n">
        <f aca="false">Inputs!$B$9-SUMIFS(Cash_Events!$G$6:$G$20,Cash_Events!$C$6:$C$20,"rAGMF",Cash_Events!$B$6:$B$20,"&lt;="&amp;A565)</f>
        <v>1500000</v>
      </c>
      <c r="E565" s="38" t="n">
        <f aca="false">VLOOKUP(A565,Inputs!$A$40:$B$48,2,TRUE())</f>
        <v>0.0523565</v>
      </c>
      <c r="F565" s="38" t="n">
        <f aca="false">E565+Inputs!$B$10</f>
        <v>0.1198565</v>
      </c>
      <c r="G565" s="37" t="n">
        <f aca="false">D565*F565/C565</f>
        <v>491.215163934426</v>
      </c>
      <c r="H565" s="37" t="n">
        <f aca="false">IF(AND(A565&gt;=Inputs!$B$13,OR(A565&lt;Inputs!$B$19,Inputs!$B$20=1)),D565*Inputs!$B$11/C565,0)</f>
        <v>81.9672131147541</v>
      </c>
      <c r="I565" s="37" t="n">
        <f aca="false">Inputs!$C$9-SUMIFS(Cash_Events!$G$6:$G$20,Cash_Events!$C$6:$C$20,"FHL",Cash_Events!$B$6:$B$20,"&lt;="&amp;A565)</f>
        <v>1500000</v>
      </c>
      <c r="J565" s="38" t="n">
        <f aca="false">VLOOKUP(A565,Inputs!$F$40:$G$48,2,TRUE())</f>
        <v>0.0525075</v>
      </c>
      <c r="K565" s="38" t="n">
        <f aca="false">J565+Inputs!$C$10</f>
        <v>0.1200075</v>
      </c>
      <c r="L565" s="37" t="n">
        <f aca="false">I565*K565/C565</f>
        <v>491.834016393443</v>
      </c>
      <c r="M565" s="37" t="n">
        <f aca="false">IF(AND(A565&gt;=Inputs!$C$13,OR(A565&lt;Inputs!$B$19,Inputs!$B$20=1)),I565*Inputs!$C$11/C565,0)</f>
        <v>81.9672131147541</v>
      </c>
    </row>
    <row r="566" customFormat="false" ht="15" hidden="false" customHeight="false" outlineLevel="0" collapsed="false">
      <c r="A566" s="35" t="n">
        <f aca="false">A565+1</f>
        <v>45373</v>
      </c>
      <c r="B566" s="35" t="n">
        <f aca="false">EOMONTH(A566+1,0)</f>
        <v>45382</v>
      </c>
      <c r="C566" s="36" t="n">
        <f aca="false">IF(MOD(YEAR(A566),4)=0,366,365)</f>
        <v>366</v>
      </c>
      <c r="D566" s="37" t="n">
        <f aca="false">Inputs!$B$9-SUMIFS(Cash_Events!$G$6:$G$20,Cash_Events!$C$6:$C$20,"rAGMF",Cash_Events!$B$6:$B$20,"&lt;="&amp;A566)</f>
        <v>1500000</v>
      </c>
      <c r="E566" s="38" t="n">
        <f aca="false">VLOOKUP(A566,Inputs!$A$40:$B$48,2,TRUE())</f>
        <v>0.0523565</v>
      </c>
      <c r="F566" s="38" t="n">
        <f aca="false">E566+Inputs!$B$10</f>
        <v>0.1198565</v>
      </c>
      <c r="G566" s="37" t="n">
        <f aca="false">D566*F566/C566</f>
        <v>491.215163934426</v>
      </c>
      <c r="H566" s="37" t="n">
        <f aca="false">IF(AND(A566&gt;=Inputs!$B$13,OR(A566&lt;Inputs!$B$19,Inputs!$B$20=1)),D566*Inputs!$B$11/C566,0)</f>
        <v>81.9672131147541</v>
      </c>
      <c r="I566" s="37" t="n">
        <f aca="false">Inputs!$C$9-SUMIFS(Cash_Events!$G$6:$G$20,Cash_Events!$C$6:$C$20,"FHL",Cash_Events!$B$6:$B$20,"&lt;="&amp;A566)</f>
        <v>1500000</v>
      </c>
      <c r="J566" s="38" t="n">
        <f aca="false">VLOOKUP(A566,Inputs!$F$40:$G$48,2,TRUE())</f>
        <v>0.0525075</v>
      </c>
      <c r="K566" s="38" t="n">
        <f aca="false">J566+Inputs!$C$10</f>
        <v>0.1200075</v>
      </c>
      <c r="L566" s="37" t="n">
        <f aca="false">I566*K566/C566</f>
        <v>491.834016393443</v>
      </c>
      <c r="M566" s="37" t="n">
        <f aca="false">IF(AND(A566&gt;=Inputs!$C$13,OR(A566&lt;Inputs!$B$19,Inputs!$B$20=1)),I566*Inputs!$C$11/C566,0)</f>
        <v>81.9672131147541</v>
      </c>
    </row>
    <row r="567" customFormat="false" ht="15" hidden="false" customHeight="false" outlineLevel="0" collapsed="false">
      <c r="A567" s="35" t="n">
        <f aca="false">A566+1</f>
        <v>45374</v>
      </c>
      <c r="B567" s="35" t="n">
        <f aca="false">EOMONTH(A567+1,0)</f>
        <v>45382</v>
      </c>
      <c r="C567" s="36" t="n">
        <f aca="false">IF(MOD(YEAR(A567),4)=0,366,365)</f>
        <v>366</v>
      </c>
      <c r="D567" s="37" t="n">
        <f aca="false">Inputs!$B$9-SUMIFS(Cash_Events!$G$6:$G$20,Cash_Events!$C$6:$C$20,"rAGMF",Cash_Events!$B$6:$B$20,"&lt;="&amp;A567)</f>
        <v>1500000</v>
      </c>
      <c r="E567" s="38" t="n">
        <f aca="false">VLOOKUP(A567,Inputs!$A$40:$B$48,2,TRUE())</f>
        <v>0.0523565</v>
      </c>
      <c r="F567" s="38" t="n">
        <f aca="false">E567+Inputs!$B$10</f>
        <v>0.1198565</v>
      </c>
      <c r="G567" s="37" t="n">
        <f aca="false">D567*F567/C567</f>
        <v>491.215163934426</v>
      </c>
      <c r="H567" s="37" t="n">
        <f aca="false">IF(AND(A567&gt;=Inputs!$B$13,OR(A567&lt;Inputs!$B$19,Inputs!$B$20=1)),D567*Inputs!$B$11/C567,0)</f>
        <v>81.9672131147541</v>
      </c>
      <c r="I567" s="37" t="n">
        <f aca="false">Inputs!$C$9-SUMIFS(Cash_Events!$G$6:$G$20,Cash_Events!$C$6:$C$20,"FHL",Cash_Events!$B$6:$B$20,"&lt;="&amp;A567)</f>
        <v>1500000</v>
      </c>
      <c r="J567" s="38" t="n">
        <f aca="false">VLOOKUP(A567,Inputs!$F$40:$G$48,2,TRUE())</f>
        <v>0.0525075</v>
      </c>
      <c r="K567" s="38" t="n">
        <f aca="false">J567+Inputs!$C$10</f>
        <v>0.1200075</v>
      </c>
      <c r="L567" s="37" t="n">
        <f aca="false">I567*K567/C567</f>
        <v>491.834016393443</v>
      </c>
      <c r="M567" s="37" t="n">
        <f aca="false">IF(AND(A567&gt;=Inputs!$C$13,OR(A567&lt;Inputs!$B$19,Inputs!$B$20=1)),I567*Inputs!$C$11/C567,0)</f>
        <v>81.9672131147541</v>
      </c>
    </row>
    <row r="568" customFormat="false" ht="15" hidden="false" customHeight="false" outlineLevel="0" collapsed="false">
      <c r="A568" s="35" t="n">
        <f aca="false">A567+1</f>
        <v>45375</v>
      </c>
      <c r="B568" s="35" t="n">
        <f aca="false">EOMONTH(A568+1,0)</f>
        <v>45382</v>
      </c>
      <c r="C568" s="36" t="n">
        <f aca="false">IF(MOD(YEAR(A568),4)=0,366,365)</f>
        <v>366</v>
      </c>
      <c r="D568" s="37" t="n">
        <f aca="false">Inputs!$B$9-SUMIFS(Cash_Events!$G$6:$G$20,Cash_Events!$C$6:$C$20,"rAGMF",Cash_Events!$B$6:$B$20,"&lt;="&amp;A568)</f>
        <v>1500000</v>
      </c>
      <c r="E568" s="38" t="n">
        <f aca="false">VLOOKUP(A568,Inputs!$A$40:$B$48,2,TRUE())</f>
        <v>0.0523565</v>
      </c>
      <c r="F568" s="38" t="n">
        <f aca="false">E568+Inputs!$B$10</f>
        <v>0.1198565</v>
      </c>
      <c r="G568" s="37" t="n">
        <f aca="false">D568*F568/C568</f>
        <v>491.215163934426</v>
      </c>
      <c r="H568" s="37" t="n">
        <f aca="false">IF(AND(A568&gt;=Inputs!$B$13,OR(A568&lt;Inputs!$B$19,Inputs!$B$20=1)),D568*Inputs!$B$11/C568,0)</f>
        <v>81.9672131147541</v>
      </c>
      <c r="I568" s="37" t="n">
        <f aca="false">Inputs!$C$9-SUMIFS(Cash_Events!$G$6:$G$20,Cash_Events!$C$6:$C$20,"FHL",Cash_Events!$B$6:$B$20,"&lt;="&amp;A568)</f>
        <v>1500000</v>
      </c>
      <c r="J568" s="38" t="n">
        <f aca="false">VLOOKUP(A568,Inputs!$F$40:$G$48,2,TRUE())</f>
        <v>0.0525075</v>
      </c>
      <c r="K568" s="38" t="n">
        <f aca="false">J568+Inputs!$C$10</f>
        <v>0.1200075</v>
      </c>
      <c r="L568" s="37" t="n">
        <f aca="false">I568*K568/C568</f>
        <v>491.834016393443</v>
      </c>
      <c r="M568" s="37" t="n">
        <f aca="false">IF(AND(A568&gt;=Inputs!$C$13,OR(A568&lt;Inputs!$B$19,Inputs!$B$20=1)),I568*Inputs!$C$11/C568,0)</f>
        <v>81.9672131147541</v>
      </c>
    </row>
    <row r="569" customFormat="false" ht="15" hidden="false" customHeight="false" outlineLevel="0" collapsed="false">
      <c r="A569" s="35" t="n">
        <f aca="false">A568+1</f>
        <v>45376</v>
      </c>
      <c r="B569" s="35" t="n">
        <f aca="false">EOMONTH(A569+1,0)</f>
        <v>45382</v>
      </c>
      <c r="C569" s="36" t="n">
        <f aca="false">IF(MOD(YEAR(A569),4)=0,366,365)</f>
        <v>366</v>
      </c>
      <c r="D569" s="37" t="n">
        <f aca="false">Inputs!$B$9-SUMIFS(Cash_Events!$G$6:$G$20,Cash_Events!$C$6:$C$20,"rAGMF",Cash_Events!$B$6:$B$20,"&lt;="&amp;A569)</f>
        <v>1500000</v>
      </c>
      <c r="E569" s="38" t="n">
        <f aca="false">VLOOKUP(A569,Inputs!$A$40:$B$48,2,TRUE())</f>
        <v>0.0523565</v>
      </c>
      <c r="F569" s="38" t="n">
        <f aca="false">E569+Inputs!$B$10</f>
        <v>0.1198565</v>
      </c>
      <c r="G569" s="37" t="n">
        <f aca="false">D569*F569/C569</f>
        <v>491.215163934426</v>
      </c>
      <c r="H569" s="37" t="n">
        <f aca="false">IF(AND(A569&gt;=Inputs!$B$13,OR(A569&lt;Inputs!$B$19,Inputs!$B$20=1)),D569*Inputs!$B$11/C569,0)</f>
        <v>81.9672131147541</v>
      </c>
      <c r="I569" s="37" t="n">
        <f aca="false">Inputs!$C$9-SUMIFS(Cash_Events!$G$6:$G$20,Cash_Events!$C$6:$C$20,"FHL",Cash_Events!$B$6:$B$20,"&lt;="&amp;A569)</f>
        <v>1500000</v>
      </c>
      <c r="J569" s="38" t="n">
        <f aca="false">VLOOKUP(A569,Inputs!$F$40:$G$48,2,TRUE())</f>
        <v>0.0525075</v>
      </c>
      <c r="K569" s="38" t="n">
        <f aca="false">J569+Inputs!$C$10</f>
        <v>0.1200075</v>
      </c>
      <c r="L569" s="37" t="n">
        <f aca="false">I569*K569/C569</f>
        <v>491.834016393443</v>
      </c>
      <c r="M569" s="37" t="n">
        <f aca="false">IF(AND(A569&gt;=Inputs!$C$13,OR(A569&lt;Inputs!$B$19,Inputs!$B$20=1)),I569*Inputs!$C$11/C569,0)</f>
        <v>81.9672131147541</v>
      </c>
    </row>
    <row r="570" customFormat="false" ht="15" hidden="false" customHeight="false" outlineLevel="0" collapsed="false">
      <c r="A570" s="35" t="n">
        <f aca="false">A569+1</f>
        <v>45377</v>
      </c>
      <c r="B570" s="35" t="n">
        <f aca="false">EOMONTH(A570+1,0)</f>
        <v>45382</v>
      </c>
      <c r="C570" s="36" t="n">
        <f aca="false">IF(MOD(YEAR(A570),4)=0,366,365)</f>
        <v>366</v>
      </c>
      <c r="D570" s="37" t="n">
        <f aca="false">Inputs!$B$9-SUMIFS(Cash_Events!$G$6:$G$20,Cash_Events!$C$6:$C$20,"rAGMF",Cash_Events!$B$6:$B$20,"&lt;="&amp;A570)</f>
        <v>1500000</v>
      </c>
      <c r="E570" s="38" t="n">
        <f aca="false">VLOOKUP(A570,Inputs!$A$40:$B$48,2,TRUE())</f>
        <v>0.0523565</v>
      </c>
      <c r="F570" s="38" t="n">
        <f aca="false">E570+Inputs!$B$10</f>
        <v>0.1198565</v>
      </c>
      <c r="G570" s="37" t="n">
        <f aca="false">D570*F570/C570</f>
        <v>491.215163934426</v>
      </c>
      <c r="H570" s="37" t="n">
        <f aca="false">IF(AND(A570&gt;=Inputs!$B$13,OR(A570&lt;Inputs!$B$19,Inputs!$B$20=1)),D570*Inputs!$B$11/C570,0)</f>
        <v>81.9672131147541</v>
      </c>
      <c r="I570" s="37" t="n">
        <f aca="false">Inputs!$C$9-SUMIFS(Cash_Events!$G$6:$G$20,Cash_Events!$C$6:$C$20,"FHL",Cash_Events!$B$6:$B$20,"&lt;="&amp;A570)</f>
        <v>1500000</v>
      </c>
      <c r="J570" s="38" t="n">
        <f aca="false">VLOOKUP(A570,Inputs!$F$40:$G$48,2,TRUE())</f>
        <v>0.0525075</v>
      </c>
      <c r="K570" s="38" t="n">
        <f aca="false">J570+Inputs!$C$10</f>
        <v>0.1200075</v>
      </c>
      <c r="L570" s="37" t="n">
        <f aca="false">I570*K570/C570</f>
        <v>491.834016393443</v>
      </c>
      <c r="M570" s="37" t="n">
        <f aca="false">IF(AND(A570&gt;=Inputs!$C$13,OR(A570&lt;Inputs!$B$19,Inputs!$B$20=1)),I570*Inputs!$C$11/C570,0)</f>
        <v>81.9672131147541</v>
      </c>
    </row>
    <row r="571" customFormat="false" ht="15" hidden="false" customHeight="false" outlineLevel="0" collapsed="false">
      <c r="A571" s="35" t="n">
        <f aca="false">A570+1</f>
        <v>45378</v>
      </c>
      <c r="B571" s="35" t="n">
        <f aca="false">EOMONTH(A571+1,0)</f>
        <v>45382</v>
      </c>
      <c r="C571" s="36" t="n">
        <f aca="false">IF(MOD(YEAR(A571),4)=0,366,365)</f>
        <v>366</v>
      </c>
      <c r="D571" s="37" t="n">
        <f aca="false">Inputs!$B$9-SUMIFS(Cash_Events!$G$6:$G$20,Cash_Events!$C$6:$C$20,"rAGMF",Cash_Events!$B$6:$B$20,"&lt;="&amp;A571)</f>
        <v>1500000</v>
      </c>
      <c r="E571" s="38" t="n">
        <f aca="false">VLOOKUP(A571,Inputs!$A$40:$B$48,2,TRUE())</f>
        <v>0.0523565</v>
      </c>
      <c r="F571" s="38" t="n">
        <f aca="false">E571+Inputs!$B$10</f>
        <v>0.1198565</v>
      </c>
      <c r="G571" s="37" t="n">
        <f aca="false">D571*F571/C571</f>
        <v>491.215163934426</v>
      </c>
      <c r="H571" s="37" t="n">
        <f aca="false">IF(AND(A571&gt;=Inputs!$B$13,OR(A571&lt;Inputs!$B$19,Inputs!$B$20=1)),D571*Inputs!$B$11/C571,0)</f>
        <v>81.9672131147541</v>
      </c>
      <c r="I571" s="37" t="n">
        <f aca="false">Inputs!$C$9-SUMIFS(Cash_Events!$G$6:$G$20,Cash_Events!$C$6:$C$20,"FHL",Cash_Events!$B$6:$B$20,"&lt;="&amp;A571)</f>
        <v>1500000</v>
      </c>
      <c r="J571" s="38" t="n">
        <f aca="false">VLOOKUP(A571,Inputs!$F$40:$G$48,2,TRUE())</f>
        <v>0.0525075</v>
      </c>
      <c r="K571" s="38" t="n">
        <f aca="false">J571+Inputs!$C$10</f>
        <v>0.1200075</v>
      </c>
      <c r="L571" s="37" t="n">
        <f aca="false">I571*K571/C571</f>
        <v>491.834016393443</v>
      </c>
      <c r="M571" s="37" t="n">
        <f aca="false">IF(AND(A571&gt;=Inputs!$C$13,OR(A571&lt;Inputs!$B$19,Inputs!$B$20=1)),I571*Inputs!$C$11/C571,0)</f>
        <v>81.9672131147541</v>
      </c>
    </row>
    <row r="572" customFormat="false" ht="15" hidden="false" customHeight="false" outlineLevel="0" collapsed="false">
      <c r="A572" s="35" t="n">
        <f aca="false">A571+1</f>
        <v>45379</v>
      </c>
      <c r="B572" s="35" t="n">
        <f aca="false">EOMONTH(A572+1,0)</f>
        <v>45382</v>
      </c>
      <c r="C572" s="36" t="n">
        <f aca="false">IF(MOD(YEAR(A572),4)=0,366,365)</f>
        <v>366</v>
      </c>
      <c r="D572" s="37" t="n">
        <f aca="false">Inputs!$B$9-SUMIFS(Cash_Events!$G$6:$G$20,Cash_Events!$C$6:$C$20,"rAGMF",Cash_Events!$B$6:$B$20,"&lt;="&amp;A572)</f>
        <v>1500000</v>
      </c>
      <c r="E572" s="38" t="n">
        <f aca="false">VLOOKUP(A572,Inputs!$A$40:$B$48,2,TRUE())</f>
        <v>0.0523565</v>
      </c>
      <c r="F572" s="38" t="n">
        <f aca="false">E572+Inputs!$B$10</f>
        <v>0.1198565</v>
      </c>
      <c r="G572" s="37" t="n">
        <f aca="false">D572*F572/C572</f>
        <v>491.215163934426</v>
      </c>
      <c r="H572" s="37" t="n">
        <f aca="false">IF(AND(A572&gt;=Inputs!$B$13,OR(A572&lt;Inputs!$B$19,Inputs!$B$20=1)),D572*Inputs!$B$11/C572,0)</f>
        <v>81.9672131147541</v>
      </c>
      <c r="I572" s="37" t="n">
        <f aca="false">Inputs!$C$9-SUMIFS(Cash_Events!$G$6:$G$20,Cash_Events!$C$6:$C$20,"FHL",Cash_Events!$B$6:$B$20,"&lt;="&amp;A572)</f>
        <v>1500000</v>
      </c>
      <c r="J572" s="38" t="n">
        <f aca="false">VLOOKUP(A572,Inputs!$F$40:$G$48,2,TRUE())</f>
        <v>0.0525075</v>
      </c>
      <c r="K572" s="38" t="n">
        <f aca="false">J572+Inputs!$C$10</f>
        <v>0.1200075</v>
      </c>
      <c r="L572" s="37" t="n">
        <f aca="false">I572*K572/C572</f>
        <v>491.834016393443</v>
      </c>
      <c r="M572" s="37" t="n">
        <f aca="false">IF(AND(A572&gt;=Inputs!$C$13,OR(A572&lt;Inputs!$B$19,Inputs!$B$20=1)),I572*Inputs!$C$11/C572,0)</f>
        <v>81.9672131147541</v>
      </c>
    </row>
    <row r="573" customFormat="false" ht="15" hidden="false" customHeight="false" outlineLevel="0" collapsed="false">
      <c r="A573" s="35" t="n">
        <f aca="false">A572+1</f>
        <v>45380</v>
      </c>
      <c r="B573" s="35" t="n">
        <f aca="false">EOMONTH(A573+1,0)</f>
        <v>45382</v>
      </c>
      <c r="C573" s="36" t="n">
        <f aca="false">IF(MOD(YEAR(A573),4)=0,366,365)</f>
        <v>366</v>
      </c>
      <c r="D573" s="37" t="n">
        <f aca="false">Inputs!$B$9-SUMIFS(Cash_Events!$G$6:$G$20,Cash_Events!$C$6:$C$20,"rAGMF",Cash_Events!$B$6:$B$20,"&lt;="&amp;A573)</f>
        <v>1500000</v>
      </c>
      <c r="E573" s="38" t="n">
        <f aca="false">VLOOKUP(A573,Inputs!$A$40:$B$48,2,TRUE())</f>
        <v>0.0523565</v>
      </c>
      <c r="F573" s="38" t="n">
        <f aca="false">E573+Inputs!$B$10</f>
        <v>0.1198565</v>
      </c>
      <c r="G573" s="37" t="n">
        <f aca="false">D573*F573/C573</f>
        <v>491.215163934426</v>
      </c>
      <c r="H573" s="37" t="n">
        <f aca="false">IF(AND(A573&gt;=Inputs!$B$13,OR(A573&lt;Inputs!$B$19,Inputs!$B$20=1)),D573*Inputs!$B$11/C573,0)</f>
        <v>81.9672131147541</v>
      </c>
      <c r="I573" s="37" t="n">
        <f aca="false">Inputs!$C$9-SUMIFS(Cash_Events!$G$6:$G$20,Cash_Events!$C$6:$C$20,"FHL",Cash_Events!$B$6:$B$20,"&lt;="&amp;A573)</f>
        <v>1500000</v>
      </c>
      <c r="J573" s="38" t="n">
        <f aca="false">VLOOKUP(A573,Inputs!$F$40:$G$48,2,TRUE())</f>
        <v>0.0525075</v>
      </c>
      <c r="K573" s="38" t="n">
        <f aca="false">J573+Inputs!$C$10</f>
        <v>0.1200075</v>
      </c>
      <c r="L573" s="37" t="n">
        <f aca="false">I573*K573/C573</f>
        <v>491.834016393443</v>
      </c>
      <c r="M573" s="37" t="n">
        <f aca="false">IF(AND(A573&gt;=Inputs!$C$13,OR(A573&lt;Inputs!$B$19,Inputs!$B$20=1)),I573*Inputs!$C$11/C573,0)</f>
        <v>81.9672131147541</v>
      </c>
    </row>
    <row r="574" customFormat="false" ht="15" hidden="false" customHeight="false" outlineLevel="0" collapsed="false">
      <c r="A574" s="35" t="n">
        <f aca="false">A573+1</f>
        <v>45381</v>
      </c>
      <c r="B574" s="35" t="n">
        <f aca="false">EOMONTH(A574+1,0)</f>
        <v>45382</v>
      </c>
      <c r="C574" s="36" t="n">
        <f aca="false">IF(MOD(YEAR(A574),4)=0,366,365)</f>
        <v>366</v>
      </c>
      <c r="D574" s="37" t="n">
        <f aca="false">Inputs!$B$9-SUMIFS(Cash_Events!$G$6:$G$20,Cash_Events!$C$6:$C$20,"rAGMF",Cash_Events!$B$6:$B$20,"&lt;="&amp;A574)</f>
        <v>1500000</v>
      </c>
      <c r="E574" s="38" t="n">
        <f aca="false">VLOOKUP(A574,Inputs!$A$40:$B$48,2,TRUE())</f>
        <v>0.0523565</v>
      </c>
      <c r="F574" s="38" t="n">
        <f aca="false">E574+Inputs!$B$10</f>
        <v>0.1198565</v>
      </c>
      <c r="G574" s="37" t="n">
        <f aca="false">D574*F574/C574</f>
        <v>491.215163934426</v>
      </c>
      <c r="H574" s="37" t="n">
        <f aca="false">IF(AND(A574&gt;=Inputs!$B$13,OR(A574&lt;Inputs!$B$19,Inputs!$B$20=1)),D574*Inputs!$B$11/C574,0)</f>
        <v>81.9672131147541</v>
      </c>
      <c r="I574" s="37" t="n">
        <f aca="false">Inputs!$C$9-SUMIFS(Cash_Events!$G$6:$G$20,Cash_Events!$C$6:$C$20,"FHL",Cash_Events!$B$6:$B$20,"&lt;="&amp;A574)</f>
        <v>1500000</v>
      </c>
      <c r="J574" s="38" t="n">
        <f aca="false">VLOOKUP(A574,Inputs!$F$40:$G$48,2,TRUE())</f>
        <v>0.0525075</v>
      </c>
      <c r="K574" s="38" t="n">
        <f aca="false">J574+Inputs!$C$10</f>
        <v>0.1200075</v>
      </c>
      <c r="L574" s="37" t="n">
        <f aca="false">I574*K574/C574</f>
        <v>491.834016393443</v>
      </c>
      <c r="M574" s="37" t="n">
        <f aca="false">IF(AND(A574&gt;=Inputs!$C$13,OR(A574&lt;Inputs!$B$19,Inputs!$B$20=1)),I574*Inputs!$C$11/C574,0)</f>
        <v>81.9672131147541</v>
      </c>
    </row>
    <row r="575" customFormat="false" ht="15" hidden="false" customHeight="false" outlineLevel="0" collapsed="false">
      <c r="A575" s="35" t="n">
        <f aca="false">A574+1</f>
        <v>45382</v>
      </c>
      <c r="B575" s="35" t="n">
        <f aca="false">EOMONTH(A575+1,0)</f>
        <v>45412</v>
      </c>
      <c r="C575" s="36" t="n">
        <f aca="false">IF(MOD(YEAR(A575),4)=0,366,365)</f>
        <v>366</v>
      </c>
      <c r="D575" s="37" t="n">
        <f aca="false">Inputs!$B$9-SUMIFS(Cash_Events!$G$6:$G$20,Cash_Events!$C$6:$C$20,"rAGMF",Cash_Events!$B$6:$B$20,"&lt;="&amp;A575)</f>
        <v>1500000</v>
      </c>
      <c r="E575" s="38" t="n">
        <f aca="false">VLOOKUP(A575,Inputs!$A$40:$B$48,2,TRUE())</f>
        <v>0.0523565</v>
      </c>
      <c r="F575" s="38" t="n">
        <f aca="false">E575+Inputs!$B$10</f>
        <v>0.1198565</v>
      </c>
      <c r="G575" s="37" t="n">
        <f aca="false">D575*F575/C575</f>
        <v>491.215163934426</v>
      </c>
      <c r="H575" s="37" t="n">
        <f aca="false">IF(AND(A575&gt;=Inputs!$B$13,OR(A575&lt;Inputs!$B$19,Inputs!$B$20=1)),D575*Inputs!$B$11/C575,0)</f>
        <v>81.9672131147541</v>
      </c>
      <c r="I575" s="37" t="n">
        <f aca="false">Inputs!$C$9-SUMIFS(Cash_Events!$G$6:$G$20,Cash_Events!$C$6:$C$20,"FHL",Cash_Events!$B$6:$B$20,"&lt;="&amp;A575)</f>
        <v>1500000</v>
      </c>
      <c r="J575" s="38" t="n">
        <f aca="false">VLOOKUP(A575,Inputs!$F$40:$G$48,2,TRUE())</f>
        <v>0.0525075</v>
      </c>
      <c r="K575" s="38" t="n">
        <f aca="false">J575+Inputs!$C$10</f>
        <v>0.1200075</v>
      </c>
      <c r="L575" s="37" t="n">
        <f aca="false">I575*K575/C575</f>
        <v>491.834016393443</v>
      </c>
      <c r="M575" s="37" t="n">
        <f aca="false">IF(AND(A575&gt;=Inputs!$C$13,OR(A575&lt;Inputs!$B$19,Inputs!$B$20=1)),I575*Inputs!$C$11/C575,0)</f>
        <v>81.9672131147541</v>
      </c>
    </row>
    <row r="576" customFormat="false" ht="15" hidden="false" customHeight="false" outlineLevel="0" collapsed="false">
      <c r="A576" s="35" t="n">
        <f aca="false">A575+1</f>
        <v>45383</v>
      </c>
      <c r="B576" s="35" t="n">
        <f aca="false">EOMONTH(A576+1,0)</f>
        <v>45412</v>
      </c>
      <c r="C576" s="36" t="n">
        <f aca="false">IF(MOD(YEAR(A576),4)=0,366,365)</f>
        <v>366</v>
      </c>
      <c r="D576" s="37" t="n">
        <f aca="false">Inputs!$B$9-SUMIFS(Cash_Events!$G$6:$G$20,Cash_Events!$C$6:$C$20,"rAGMF",Cash_Events!$B$6:$B$20,"&lt;="&amp;A576)</f>
        <v>1500000</v>
      </c>
      <c r="E576" s="38" t="n">
        <f aca="false">VLOOKUP(A576,Inputs!$A$40:$B$48,2,TRUE())</f>
        <v>0.0523565</v>
      </c>
      <c r="F576" s="38" t="n">
        <f aca="false">E576+Inputs!$B$10</f>
        <v>0.1198565</v>
      </c>
      <c r="G576" s="37" t="n">
        <f aca="false">D576*F576/C576</f>
        <v>491.215163934426</v>
      </c>
      <c r="H576" s="37" t="n">
        <f aca="false">IF(AND(A576&gt;=Inputs!$B$13,OR(A576&lt;Inputs!$B$19,Inputs!$B$20=1)),D576*Inputs!$B$11/C576,0)</f>
        <v>81.9672131147541</v>
      </c>
      <c r="I576" s="37" t="n">
        <f aca="false">Inputs!$C$9-SUMIFS(Cash_Events!$G$6:$G$20,Cash_Events!$C$6:$C$20,"FHL",Cash_Events!$B$6:$B$20,"&lt;="&amp;A576)</f>
        <v>1500000</v>
      </c>
      <c r="J576" s="38" t="n">
        <f aca="false">VLOOKUP(A576,Inputs!$F$40:$G$48,2,TRUE())</f>
        <v>0.0525075</v>
      </c>
      <c r="K576" s="38" t="n">
        <f aca="false">J576+Inputs!$C$10</f>
        <v>0.1200075</v>
      </c>
      <c r="L576" s="37" t="n">
        <f aca="false">I576*K576/C576</f>
        <v>491.834016393443</v>
      </c>
      <c r="M576" s="37" t="n">
        <f aca="false">IF(AND(A576&gt;=Inputs!$C$13,OR(A576&lt;Inputs!$B$19,Inputs!$B$20=1)),I576*Inputs!$C$11/C576,0)</f>
        <v>81.9672131147541</v>
      </c>
    </row>
    <row r="577" customFormat="false" ht="15" hidden="false" customHeight="false" outlineLevel="0" collapsed="false">
      <c r="A577" s="35" t="n">
        <f aca="false">A576+1</f>
        <v>45384</v>
      </c>
      <c r="B577" s="35" t="n">
        <f aca="false">EOMONTH(A577+1,0)</f>
        <v>45412</v>
      </c>
      <c r="C577" s="36" t="n">
        <f aca="false">IF(MOD(YEAR(A577),4)=0,366,365)</f>
        <v>366</v>
      </c>
      <c r="D577" s="37" t="n">
        <f aca="false">Inputs!$B$9-SUMIFS(Cash_Events!$G$6:$G$20,Cash_Events!$C$6:$C$20,"rAGMF",Cash_Events!$B$6:$B$20,"&lt;="&amp;A577)</f>
        <v>1500000</v>
      </c>
      <c r="E577" s="38" t="n">
        <f aca="false">VLOOKUP(A577,Inputs!$A$40:$B$48,2,TRUE())</f>
        <v>0.0523565</v>
      </c>
      <c r="F577" s="38" t="n">
        <f aca="false">E577+Inputs!$B$10</f>
        <v>0.1198565</v>
      </c>
      <c r="G577" s="37" t="n">
        <f aca="false">D577*F577/C577</f>
        <v>491.215163934426</v>
      </c>
      <c r="H577" s="37" t="n">
        <f aca="false">IF(AND(A577&gt;=Inputs!$B$13,OR(A577&lt;Inputs!$B$19,Inputs!$B$20=1)),D577*Inputs!$B$11/C577,0)</f>
        <v>81.9672131147541</v>
      </c>
      <c r="I577" s="37" t="n">
        <f aca="false">Inputs!$C$9-SUMIFS(Cash_Events!$G$6:$G$20,Cash_Events!$C$6:$C$20,"FHL",Cash_Events!$B$6:$B$20,"&lt;="&amp;A577)</f>
        <v>1500000</v>
      </c>
      <c r="J577" s="38" t="n">
        <f aca="false">VLOOKUP(A577,Inputs!$F$40:$G$48,2,TRUE())</f>
        <v>0.0525075</v>
      </c>
      <c r="K577" s="38" t="n">
        <f aca="false">J577+Inputs!$C$10</f>
        <v>0.1200075</v>
      </c>
      <c r="L577" s="37" t="n">
        <f aca="false">I577*K577/C577</f>
        <v>491.834016393443</v>
      </c>
      <c r="M577" s="37" t="n">
        <f aca="false">IF(AND(A577&gt;=Inputs!$C$13,OR(A577&lt;Inputs!$B$19,Inputs!$B$20=1)),I577*Inputs!$C$11/C577,0)</f>
        <v>81.9672131147541</v>
      </c>
    </row>
    <row r="578" customFormat="false" ht="15" hidden="false" customHeight="false" outlineLevel="0" collapsed="false">
      <c r="A578" s="35" t="n">
        <f aca="false">A577+1</f>
        <v>45385</v>
      </c>
      <c r="B578" s="35" t="n">
        <f aca="false">EOMONTH(A578+1,0)</f>
        <v>45412</v>
      </c>
      <c r="C578" s="36" t="n">
        <f aca="false">IF(MOD(YEAR(A578),4)=0,366,365)</f>
        <v>366</v>
      </c>
      <c r="D578" s="37" t="n">
        <f aca="false">Inputs!$B$9-SUMIFS(Cash_Events!$G$6:$G$20,Cash_Events!$C$6:$C$20,"rAGMF",Cash_Events!$B$6:$B$20,"&lt;="&amp;A578)</f>
        <v>1500000</v>
      </c>
      <c r="E578" s="38" t="n">
        <f aca="false">VLOOKUP(A578,Inputs!$A$40:$B$48,2,TRUE())</f>
        <v>0.0523565</v>
      </c>
      <c r="F578" s="38" t="n">
        <f aca="false">E578+Inputs!$B$10</f>
        <v>0.1198565</v>
      </c>
      <c r="G578" s="37" t="n">
        <f aca="false">D578*F578/C578</f>
        <v>491.215163934426</v>
      </c>
      <c r="H578" s="37" t="n">
        <f aca="false">IF(AND(A578&gt;=Inputs!$B$13,OR(A578&lt;Inputs!$B$19,Inputs!$B$20=1)),D578*Inputs!$B$11/C578,0)</f>
        <v>81.9672131147541</v>
      </c>
      <c r="I578" s="37" t="n">
        <f aca="false">Inputs!$C$9-SUMIFS(Cash_Events!$G$6:$G$20,Cash_Events!$C$6:$C$20,"FHL",Cash_Events!$B$6:$B$20,"&lt;="&amp;A578)</f>
        <v>1500000</v>
      </c>
      <c r="J578" s="38" t="n">
        <f aca="false">VLOOKUP(A578,Inputs!$F$40:$G$48,2,TRUE())</f>
        <v>0.0525075</v>
      </c>
      <c r="K578" s="38" t="n">
        <f aca="false">J578+Inputs!$C$10</f>
        <v>0.1200075</v>
      </c>
      <c r="L578" s="37" t="n">
        <f aca="false">I578*K578/C578</f>
        <v>491.834016393443</v>
      </c>
      <c r="M578" s="37" t="n">
        <f aca="false">IF(AND(A578&gt;=Inputs!$C$13,OR(A578&lt;Inputs!$B$19,Inputs!$B$20=1)),I578*Inputs!$C$11/C578,0)</f>
        <v>81.9672131147541</v>
      </c>
    </row>
    <row r="579" customFormat="false" ht="15" hidden="false" customHeight="false" outlineLevel="0" collapsed="false">
      <c r="A579" s="35" t="n">
        <f aca="false">A578+1</f>
        <v>45386</v>
      </c>
      <c r="B579" s="35" t="n">
        <f aca="false">EOMONTH(A579+1,0)</f>
        <v>45412</v>
      </c>
      <c r="C579" s="36" t="n">
        <f aca="false">IF(MOD(YEAR(A579),4)=0,366,365)</f>
        <v>366</v>
      </c>
      <c r="D579" s="37" t="n">
        <f aca="false">Inputs!$B$9-SUMIFS(Cash_Events!$G$6:$G$20,Cash_Events!$C$6:$C$20,"rAGMF",Cash_Events!$B$6:$B$20,"&lt;="&amp;A579)</f>
        <v>1500000</v>
      </c>
      <c r="E579" s="38" t="n">
        <f aca="false">VLOOKUP(A579,Inputs!$A$40:$B$48,2,TRUE())</f>
        <v>0.0523565</v>
      </c>
      <c r="F579" s="38" t="n">
        <f aca="false">E579+Inputs!$B$10</f>
        <v>0.1198565</v>
      </c>
      <c r="G579" s="37" t="n">
        <f aca="false">D579*F579/C579</f>
        <v>491.215163934426</v>
      </c>
      <c r="H579" s="37" t="n">
        <f aca="false">IF(AND(A579&gt;=Inputs!$B$13,OR(A579&lt;Inputs!$B$19,Inputs!$B$20=1)),D579*Inputs!$B$11/C579,0)</f>
        <v>81.9672131147541</v>
      </c>
      <c r="I579" s="37" t="n">
        <f aca="false">Inputs!$C$9-SUMIFS(Cash_Events!$G$6:$G$20,Cash_Events!$C$6:$C$20,"FHL",Cash_Events!$B$6:$B$20,"&lt;="&amp;A579)</f>
        <v>1500000</v>
      </c>
      <c r="J579" s="38" t="n">
        <f aca="false">VLOOKUP(A579,Inputs!$F$40:$G$48,2,TRUE())</f>
        <v>0.0525075</v>
      </c>
      <c r="K579" s="38" t="n">
        <f aca="false">J579+Inputs!$C$10</f>
        <v>0.1200075</v>
      </c>
      <c r="L579" s="37" t="n">
        <f aca="false">I579*K579/C579</f>
        <v>491.834016393443</v>
      </c>
      <c r="M579" s="37" t="n">
        <f aca="false">IF(AND(A579&gt;=Inputs!$C$13,OR(A579&lt;Inputs!$B$19,Inputs!$B$20=1)),I579*Inputs!$C$11/C579,0)</f>
        <v>81.9672131147541</v>
      </c>
    </row>
    <row r="580" customFormat="false" ht="15" hidden="false" customHeight="false" outlineLevel="0" collapsed="false">
      <c r="A580" s="35" t="n">
        <f aca="false">A579+1</f>
        <v>45387</v>
      </c>
      <c r="B580" s="35" t="n">
        <f aca="false">EOMONTH(A580+1,0)</f>
        <v>45412</v>
      </c>
      <c r="C580" s="36" t="n">
        <f aca="false">IF(MOD(YEAR(A580),4)=0,366,365)</f>
        <v>366</v>
      </c>
      <c r="D580" s="37" t="n">
        <f aca="false">Inputs!$B$9-SUMIFS(Cash_Events!$G$6:$G$20,Cash_Events!$C$6:$C$20,"rAGMF",Cash_Events!$B$6:$B$20,"&lt;="&amp;A580)</f>
        <v>1500000</v>
      </c>
      <c r="E580" s="38" t="n">
        <f aca="false">VLOOKUP(A580,Inputs!$A$40:$B$48,2,TRUE())</f>
        <v>0.0523565</v>
      </c>
      <c r="F580" s="38" t="n">
        <f aca="false">E580+Inputs!$B$10</f>
        <v>0.1198565</v>
      </c>
      <c r="G580" s="37" t="n">
        <f aca="false">D580*F580/C580</f>
        <v>491.215163934426</v>
      </c>
      <c r="H580" s="37" t="n">
        <f aca="false">IF(AND(A580&gt;=Inputs!$B$13,OR(A580&lt;Inputs!$B$19,Inputs!$B$20=1)),D580*Inputs!$B$11/C580,0)</f>
        <v>81.9672131147541</v>
      </c>
      <c r="I580" s="37" t="n">
        <f aca="false">Inputs!$C$9-SUMIFS(Cash_Events!$G$6:$G$20,Cash_Events!$C$6:$C$20,"FHL",Cash_Events!$B$6:$B$20,"&lt;="&amp;A580)</f>
        <v>1500000</v>
      </c>
      <c r="J580" s="38" t="n">
        <f aca="false">VLOOKUP(A580,Inputs!$F$40:$G$48,2,TRUE())</f>
        <v>0.0525075</v>
      </c>
      <c r="K580" s="38" t="n">
        <f aca="false">J580+Inputs!$C$10</f>
        <v>0.1200075</v>
      </c>
      <c r="L580" s="37" t="n">
        <f aca="false">I580*K580/C580</f>
        <v>491.834016393443</v>
      </c>
      <c r="M580" s="37" t="n">
        <f aca="false">IF(AND(A580&gt;=Inputs!$C$13,OR(A580&lt;Inputs!$B$19,Inputs!$B$20=1)),I580*Inputs!$C$11/C580,0)</f>
        <v>81.9672131147541</v>
      </c>
    </row>
    <row r="581" customFormat="false" ht="15" hidden="false" customHeight="false" outlineLevel="0" collapsed="false">
      <c r="A581" s="35" t="n">
        <f aca="false">A580+1</f>
        <v>45388</v>
      </c>
      <c r="B581" s="35" t="n">
        <f aca="false">EOMONTH(A581+1,0)</f>
        <v>45412</v>
      </c>
      <c r="C581" s="36" t="n">
        <f aca="false">IF(MOD(YEAR(A581),4)=0,366,365)</f>
        <v>366</v>
      </c>
      <c r="D581" s="37" t="n">
        <f aca="false">Inputs!$B$9-SUMIFS(Cash_Events!$G$6:$G$20,Cash_Events!$C$6:$C$20,"rAGMF",Cash_Events!$B$6:$B$20,"&lt;="&amp;A581)</f>
        <v>1500000</v>
      </c>
      <c r="E581" s="38" t="n">
        <f aca="false">VLOOKUP(A581,Inputs!$A$40:$B$48,2,TRUE())</f>
        <v>0.0523565</v>
      </c>
      <c r="F581" s="38" t="n">
        <f aca="false">E581+Inputs!$B$10</f>
        <v>0.1198565</v>
      </c>
      <c r="G581" s="37" t="n">
        <f aca="false">D581*F581/C581</f>
        <v>491.215163934426</v>
      </c>
      <c r="H581" s="37" t="n">
        <f aca="false">IF(AND(A581&gt;=Inputs!$B$13,OR(A581&lt;Inputs!$B$19,Inputs!$B$20=1)),D581*Inputs!$B$11/C581,0)</f>
        <v>81.9672131147541</v>
      </c>
      <c r="I581" s="37" t="n">
        <f aca="false">Inputs!$C$9-SUMIFS(Cash_Events!$G$6:$G$20,Cash_Events!$C$6:$C$20,"FHL",Cash_Events!$B$6:$B$20,"&lt;="&amp;A581)</f>
        <v>1500000</v>
      </c>
      <c r="J581" s="38" t="n">
        <f aca="false">VLOOKUP(A581,Inputs!$F$40:$G$48,2,TRUE())</f>
        <v>0.0525075</v>
      </c>
      <c r="K581" s="38" t="n">
        <f aca="false">J581+Inputs!$C$10</f>
        <v>0.1200075</v>
      </c>
      <c r="L581" s="37" t="n">
        <f aca="false">I581*K581/C581</f>
        <v>491.834016393443</v>
      </c>
      <c r="M581" s="37" t="n">
        <f aca="false">IF(AND(A581&gt;=Inputs!$C$13,OR(A581&lt;Inputs!$B$19,Inputs!$B$20=1)),I581*Inputs!$C$11/C581,0)</f>
        <v>81.9672131147541</v>
      </c>
    </row>
    <row r="582" customFormat="false" ht="15" hidden="false" customHeight="false" outlineLevel="0" collapsed="false">
      <c r="A582" s="35" t="n">
        <f aca="false">A581+1</f>
        <v>45389</v>
      </c>
      <c r="B582" s="35" t="n">
        <f aca="false">EOMONTH(A582+1,0)</f>
        <v>45412</v>
      </c>
      <c r="C582" s="36" t="n">
        <f aca="false">IF(MOD(YEAR(A582),4)=0,366,365)</f>
        <v>366</v>
      </c>
      <c r="D582" s="37" t="n">
        <f aca="false">Inputs!$B$9-SUMIFS(Cash_Events!$G$6:$G$20,Cash_Events!$C$6:$C$20,"rAGMF",Cash_Events!$B$6:$B$20,"&lt;="&amp;A582)</f>
        <v>1500000</v>
      </c>
      <c r="E582" s="38" t="n">
        <f aca="false">VLOOKUP(A582,Inputs!$A$40:$B$48,2,TRUE())</f>
        <v>0.0523565</v>
      </c>
      <c r="F582" s="38" t="n">
        <f aca="false">E582+Inputs!$B$10</f>
        <v>0.1198565</v>
      </c>
      <c r="G582" s="37" t="n">
        <f aca="false">D582*F582/C582</f>
        <v>491.215163934426</v>
      </c>
      <c r="H582" s="37" t="n">
        <f aca="false">IF(AND(A582&gt;=Inputs!$B$13,OR(A582&lt;Inputs!$B$19,Inputs!$B$20=1)),D582*Inputs!$B$11/C582,0)</f>
        <v>81.9672131147541</v>
      </c>
      <c r="I582" s="37" t="n">
        <f aca="false">Inputs!$C$9-SUMIFS(Cash_Events!$G$6:$G$20,Cash_Events!$C$6:$C$20,"FHL",Cash_Events!$B$6:$B$20,"&lt;="&amp;A582)</f>
        <v>1500000</v>
      </c>
      <c r="J582" s="38" t="n">
        <f aca="false">VLOOKUP(A582,Inputs!$F$40:$G$48,2,TRUE())</f>
        <v>0.0525075</v>
      </c>
      <c r="K582" s="38" t="n">
        <f aca="false">J582+Inputs!$C$10</f>
        <v>0.1200075</v>
      </c>
      <c r="L582" s="37" t="n">
        <f aca="false">I582*K582/C582</f>
        <v>491.834016393443</v>
      </c>
      <c r="M582" s="37" t="n">
        <f aca="false">IF(AND(A582&gt;=Inputs!$C$13,OR(A582&lt;Inputs!$B$19,Inputs!$B$20=1)),I582*Inputs!$C$11/C582,0)</f>
        <v>81.9672131147541</v>
      </c>
    </row>
    <row r="583" customFormat="false" ht="15" hidden="false" customHeight="false" outlineLevel="0" collapsed="false">
      <c r="A583" s="35" t="n">
        <f aca="false">A582+1</f>
        <v>45390</v>
      </c>
      <c r="B583" s="35" t="n">
        <f aca="false">EOMONTH(A583+1,0)</f>
        <v>45412</v>
      </c>
      <c r="C583" s="36" t="n">
        <f aca="false">IF(MOD(YEAR(A583),4)=0,366,365)</f>
        <v>366</v>
      </c>
      <c r="D583" s="37" t="n">
        <f aca="false">Inputs!$B$9-SUMIFS(Cash_Events!$G$6:$G$20,Cash_Events!$C$6:$C$20,"rAGMF",Cash_Events!$B$6:$B$20,"&lt;="&amp;A583)</f>
        <v>1500000</v>
      </c>
      <c r="E583" s="38" t="n">
        <f aca="false">VLOOKUP(A583,Inputs!$A$40:$B$48,2,TRUE())</f>
        <v>0.0523565</v>
      </c>
      <c r="F583" s="38" t="n">
        <f aca="false">E583+Inputs!$B$10</f>
        <v>0.1198565</v>
      </c>
      <c r="G583" s="37" t="n">
        <f aca="false">D583*F583/C583</f>
        <v>491.215163934426</v>
      </c>
      <c r="H583" s="37" t="n">
        <f aca="false">IF(AND(A583&gt;=Inputs!$B$13,OR(A583&lt;Inputs!$B$19,Inputs!$B$20=1)),D583*Inputs!$B$11/C583,0)</f>
        <v>81.9672131147541</v>
      </c>
      <c r="I583" s="37" t="n">
        <f aca="false">Inputs!$C$9-SUMIFS(Cash_Events!$G$6:$G$20,Cash_Events!$C$6:$C$20,"FHL",Cash_Events!$B$6:$B$20,"&lt;="&amp;A583)</f>
        <v>1500000</v>
      </c>
      <c r="J583" s="38" t="n">
        <f aca="false">VLOOKUP(A583,Inputs!$F$40:$G$48,2,TRUE())</f>
        <v>0.0525075</v>
      </c>
      <c r="K583" s="38" t="n">
        <f aca="false">J583+Inputs!$C$10</f>
        <v>0.1200075</v>
      </c>
      <c r="L583" s="37" t="n">
        <f aca="false">I583*K583/C583</f>
        <v>491.834016393443</v>
      </c>
      <c r="M583" s="37" t="n">
        <f aca="false">IF(AND(A583&gt;=Inputs!$C$13,OR(A583&lt;Inputs!$B$19,Inputs!$B$20=1)),I583*Inputs!$C$11/C583,0)</f>
        <v>81.9672131147541</v>
      </c>
    </row>
    <row r="584" customFormat="false" ht="15" hidden="false" customHeight="false" outlineLevel="0" collapsed="false">
      <c r="A584" s="35" t="n">
        <f aca="false">A583+1</f>
        <v>45391</v>
      </c>
      <c r="B584" s="35" t="n">
        <f aca="false">EOMONTH(A584+1,0)</f>
        <v>45412</v>
      </c>
      <c r="C584" s="36" t="n">
        <f aca="false">IF(MOD(YEAR(A584),4)=0,366,365)</f>
        <v>366</v>
      </c>
      <c r="D584" s="37" t="n">
        <f aca="false">Inputs!$B$9-SUMIFS(Cash_Events!$G$6:$G$20,Cash_Events!$C$6:$C$20,"rAGMF",Cash_Events!$B$6:$B$20,"&lt;="&amp;A584)</f>
        <v>1500000</v>
      </c>
      <c r="E584" s="38" t="n">
        <f aca="false">VLOOKUP(A584,Inputs!$A$40:$B$48,2,TRUE())</f>
        <v>0.0523565</v>
      </c>
      <c r="F584" s="38" t="n">
        <f aca="false">E584+Inputs!$B$10</f>
        <v>0.1198565</v>
      </c>
      <c r="G584" s="37" t="n">
        <f aca="false">D584*F584/C584</f>
        <v>491.215163934426</v>
      </c>
      <c r="H584" s="37" t="n">
        <f aca="false">IF(AND(A584&gt;=Inputs!$B$13,OR(A584&lt;Inputs!$B$19,Inputs!$B$20=1)),D584*Inputs!$B$11/C584,0)</f>
        <v>81.9672131147541</v>
      </c>
      <c r="I584" s="37" t="n">
        <f aca="false">Inputs!$C$9-SUMIFS(Cash_Events!$G$6:$G$20,Cash_Events!$C$6:$C$20,"FHL",Cash_Events!$B$6:$B$20,"&lt;="&amp;A584)</f>
        <v>1500000</v>
      </c>
      <c r="J584" s="38" t="n">
        <f aca="false">VLOOKUP(A584,Inputs!$F$40:$G$48,2,TRUE())</f>
        <v>0.0525075</v>
      </c>
      <c r="K584" s="38" t="n">
        <f aca="false">J584+Inputs!$C$10</f>
        <v>0.1200075</v>
      </c>
      <c r="L584" s="37" t="n">
        <f aca="false">I584*K584/C584</f>
        <v>491.834016393443</v>
      </c>
      <c r="M584" s="37" t="n">
        <f aca="false">IF(AND(A584&gt;=Inputs!$C$13,OR(A584&lt;Inputs!$B$19,Inputs!$B$20=1)),I584*Inputs!$C$11/C584,0)</f>
        <v>81.9672131147541</v>
      </c>
    </row>
    <row r="585" customFormat="false" ht="15" hidden="false" customHeight="false" outlineLevel="0" collapsed="false">
      <c r="A585" s="35" t="n">
        <f aca="false">A584+1</f>
        <v>45392</v>
      </c>
      <c r="B585" s="35" t="n">
        <f aca="false">EOMONTH(A585+1,0)</f>
        <v>45412</v>
      </c>
      <c r="C585" s="36" t="n">
        <f aca="false">IF(MOD(YEAR(A585),4)=0,366,365)</f>
        <v>366</v>
      </c>
      <c r="D585" s="37" t="n">
        <f aca="false">Inputs!$B$9-SUMIFS(Cash_Events!$G$6:$G$20,Cash_Events!$C$6:$C$20,"rAGMF",Cash_Events!$B$6:$B$20,"&lt;="&amp;A585)</f>
        <v>1500000</v>
      </c>
      <c r="E585" s="38" t="n">
        <f aca="false">VLOOKUP(A585,Inputs!$A$40:$B$48,2,TRUE())</f>
        <v>0.0523565</v>
      </c>
      <c r="F585" s="38" t="n">
        <f aca="false">E585+Inputs!$B$10</f>
        <v>0.1198565</v>
      </c>
      <c r="G585" s="37" t="n">
        <f aca="false">D585*F585/C585</f>
        <v>491.215163934426</v>
      </c>
      <c r="H585" s="37" t="n">
        <f aca="false">IF(AND(A585&gt;=Inputs!$B$13,OR(A585&lt;Inputs!$B$19,Inputs!$B$20=1)),D585*Inputs!$B$11/C585,0)</f>
        <v>81.9672131147541</v>
      </c>
      <c r="I585" s="37" t="n">
        <f aca="false">Inputs!$C$9-SUMIFS(Cash_Events!$G$6:$G$20,Cash_Events!$C$6:$C$20,"FHL",Cash_Events!$B$6:$B$20,"&lt;="&amp;A585)</f>
        <v>1500000</v>
      </c>
      <c r="J585" s="38" t="n">
        <f aca="false">VLOOKUP(A585,Inputs!$F$40:$G$48,2,TRUE())</f>
        <v>0.0525075</v>
      </c>
      <c r="K585" s="38" t="n">
        <f aca="false">J585+Inputs!$C$10</f>
        <v>0.1200075</v>
      </c>
      <c r="L585" s="37" t="n">
        <f aca="false">I585*K585/C585</f>
        <v>491.834016393443</v>
      </c>
      <c r="M585" s="37" t="n">
        <f aca="false">IF(AND(A585&gt;=Inputs!$C$13,OR(A585&lt;Inputs!$B$19,Inputs!$B$20=1)),I585*Inputs!$C$11/C585,0)</f>
        <v>81.9672131147541</v>
      </c>
    </row>
    <row r="586" customFormat="false" ht="15" hidden="false" customHeight="false" outlineLevel="0" collapsed="false">
      <c r="A586" s="35" t="n">
        <f aca="false">A585+1</f>
        <v>45393</v>
      </c>
      <c r="B586" s="35" t="n">
        <f aca="false">EOMONTH(A586+1,0)</f>
        <v>45412</v>
      </c>
      <c r="C586" s="36" t="n">
        <f aca="false">IF(MOD(YEAR(A586),4)=0,366,365)</f>
        <v>366</v>
      </c>
      <c r="D586" s="37" t="n">
        <f aca="false">Inputs!$B$9-SUMIFS(Cash_Events!$G$6:$G$20,Cash_Events!$C$6:$C$20,"rAGMF",Cash_Events!$B$6:$B$20,"&lt;="&amp;A586)</f>
        <v>1500000</v>
      </c>
      <c r="E586" s="38" t="n">
        <f aca="false">VLOOKUP(A586,Inputs!$A$40:$B$48,2,TRUE())</f>
        <v>0.0523565</v>
      </c>
      <c r="F586" s="38" t="n">
        <f aca="false">E586+Inputs!$B$10</f>
        <v>0.1198565</v>
      </c>
      <c r="G586" s="37" t="n">
        <f aca="false">D586*F586/C586</f>
        <v>491.215163934426</v>
      </c>
      <c r="H586" s="37" t="n">
        <f aca="false">IF(AND(A586&gt;=Inputs!$B$13,OR(A586&lt;Inputs!$B$19,Inputs!$B$20=1)),D586*Inputs!$B$11/C586,0)</f>
        <v>81.9672131147541</v>
      </c>
      <c r="I586" s="37" t="n">
        <f aca="false">Inputs!$C$9-SUMIFS(Cash_Events!$G$6:$G$20,Cash_Events!$C$6:$C$20,"FHL",Cash_Events!$B$6:$B$20,"&lt;="&amp;A586)</f>
        <v>1500000</v>
      </c>
      <c r="J586" s="38" t="n">
        <f aca="false">VLOOKUP(A586,Inputs!$F$40:$G$48,2,TRUE())</f>
        <v>0.0525075</v>
      </c>
      <c r="K586" s="38" t="n">
        <f aca="false">J586+Inputs!$C$10</f>
        <v>0.1200075</v>
      </c>
      <c r="L586" s="37" t="n">
        <f aca="false">I586*K586/C586</f>
        <v>491.834016393443</v>
      </c>
      <c r="M586" s="37" t="n">
        <f aca="false">IF(AND(A586&gt;=Inputs!$C$13,OR(A586&lt;Inputs!$B$19,Inputs!$B$20=1)),I586*Inputs!$C$11/C586,0)</f>
        <v>81.9672131147541</v>
      </c>
    </row>
    <row r="587" customFormat="false" ht="15" hidden="false" customHeight="false" outlineLevel="0" collapsed="false">
      <c r="A587" s="35" t="n">
        <f aca="false">A586+1</f>
        <v>45394</v>
      </c>
      <c r="B587" s="35" t="n">
        <f aca="false">EOMONTH(A587+1,0)</f>
        <v>45412</v>
      </c>
      <c r="C587" s="36" t="n">
        <f aca="false">IF(MOD(YEAR(A587),4)=0,366,365)</f>
        <v>366</v>
      </c>
      <c r="D587" s="37" t="n">
        <f aca="false">Inputs!$B$9-SUMIFS(Cash_Events!$G$6:$G$20,Cash_Events!$C$6:$C$20,"rAGMF",Cash_Events!$B$6:$B$20,"&lt;="&amp;A587)</f>
        <v>1500000</v>
      </c>
      <c r="E587" s="38" t="n">
        <f aca="false">VLOOKUP(A587,Inputs!$A$40:$B$48,2,TRUE())</f>
        <v>0.0523565</v>
      </c>
      <c r="F587" s="38" t="n">
        <f aca="false">E587+Inputs!$B$10</f>
        <v>0.1198565</v>
      </c>
      <c r="G587" s="37" t="n">
        <f aca="false">D587*F587/C587</f>
        <v>491.215163934426</v>
      </c>
      <c r="H587" s="37" t="n">
        <f aca="false">IF(AND(A587&gt;=Inputs!$B$13,OR(A587&lt;Inputs!$B$19,Inputs!$B$20=1)),D587*Inputs!$B$11/C587,0)</f>
        <v>81.9672131147541</v>
      </c>
      <c r="I587" s="37" t="n">
        <f aca="false">Inputs!$C$9-SUMIFS(Cash_Events!$G$6:$G$20,Cash_Events!$C$6:$C$20,"FHL",Cash_Events!$B$6:$B$20,"&lt;="&amp;A587)</f>
        <v>1500000</v>
      </c>
      <c r="J587" s="38" t="n">
        <f aca="false">VLOOKUP(A587,Inputs!$F$40:$G$48,2,TRUE())</f>
        <v>0.0525075</v>
      </c>
      <c r="K587" s="38" t="n">
        <f aca="false">J587+Inputs!$C$10</f>
        <v>0.1200075</v>
      </c>
      <c r="L587" s="37" t="n">
        <f aca="false">I587*K587/C587</f>
        <v>491.834016393443</v>
      </c>
      <c r="M587" s="37" t="n">
        <f aca="false">IF(AND(A587&gt;=Inputs!$C$13,OR(A587&lt;Inputs!$B$19,Inputs!$B$20=1)),I587*Inputs!$C$11/C587,0)</f>
        <v>81.9672131147541</v>
      </c>
    </row>
    <row r="588" customFormat="false" ht="15" hidden="false" customHeight="false" outlineLevel="0" collapsed="false">
      <c r="A588" s="35" t="n">
        <f aca="false">A587+1</f>
        <v>45395</v>
      </c>
      <c r="B588" s="35" t="n">
        <f aca="false">EOMONTH(A588+1,0)</f>
        <v>45412</v>
      </c>
      <c r="C588" s="36" t="n">
        <f aca="false">IF(MOD(YEAR(A588),4)=0,366,365)</f>
        <v>366</v>
      </c>
      <c r="D588" s="37" t="n">
        <f aca="false">Inputs!$B$9-SUMIFS(Cash_Events!$G$6:$G$20,Cash_Events!$C$6:$C$20,"rAGMF",Cash_Events!$B$6:$B$20,"&lt;="&amp;A588)</f>
        <v>1500000</v>
      </c>
      <c r="E588" s="38" t="n">
        <f aca="false">VLOOKUP(A588,Inputs!$A$40:$B$48,2,TRUE())</f>
        <v>0.0523565</v>
      </c>
      <c r="F588" s="38" t="n">
        <f aca="false">E588+Inputs!$B$10</f>
        <v>0.1198565</v>
      </c>
      <c r="G588" s="37" t="n">
        <f aca="false">D588*F588/C588</f>
        <v>491.215163934426</v>
      </c>
      <c r="H588" s="37" t="n">
        <f aca="false">IF(AND(A588&gt;=Inputs!$B$13,OR(A588&lt;Inputs!$B$19,Inputs!$B$20=1)),D588*Inputs!$B$11/C588,0)</f>
        <v>81.9672131147541</v>
      </c>
      <c r="I588" s="37" t="n">
        <f aca="false">Inputs!$C$9-SUMIFS(Cash_Events!$G$6:$G$20,Cash_Events!$C$6:$C$20,"FHL",Cash_Events!$B$6:$B$20,"&lt;="&amp;A588)</f>
        <v>1500000</v>
      </c>
      <c r="J588" s="38" t="n">
        <f aca="false">VLOOKUP(A588,Inputs!$F$40:$G$48,2,TRUE())</f>
        <v>0.0525075</v>
      </c>
      <c r="K588" s="38" t="n">
        <f aca="false">J588+Inputs!$C$10</f>
        <v>0.1200075</v>
      </c>
      <c r="L588" s="37" t="n">
        <f aca="false">I588*K588/C588</f>
        <v>491.834016393443</v>
      </c>
      <c r="M588" s="37" t="n">
        <f aca="false">IF(AND(A588&gt;=Inputs!$C$13,OR(A588&lt;Inputs!$B$19,Inputs!$B$20=1)),I588*Inputs!$C$11/C588,0)</f>
        <v>81.9672131147541</v>
      </c>
    </row>
    <row r="589" customFormat="false" ht="15" hidden="false" customHeight="false" outlineLevel="0" collapsed="false">
      <c r="A589" s="35" t="n">
        <f aca="false">A588+1</f>
        <v>45396</v>
      </c>
      <c r="B589" s="35" t="n">
        <f aca="false">EOMONTH(A589+1,0)</f>
        <v>45412</v>
      </c>
      <c r="C589" s="36" t="n">
        <f aca="false">IF(MOD(YEAR(A589),4)=0,366,365)</f>
        <v>366</v>
      </c>
      <c r="D589" s="37" t="n">
        <f aca="false">Inputs!$B$9-SUMIFS(Cash_Events!$G$6:$G$20,Cash_Events!$C$6:$C$20,"rAGMF",Cash_Events!$B$6:$B$20,"&lt;="&amp;A589)</f>
        <v>1500000</v>
      </c>
      <c r="E589" s="38" t="n">
        <f aca="false">VLOOKUP(A589,Inputs!$A$40:$B$48,2,TRUE())</f>
        <v>0.0523565</v>
      </c>
      <c r="F589" s="38" t="n">
        <f aca="false">E589+Inputs!$B$10</f>
        <v>0.1198565</v>
      </c>
      <c r="G589" s="37" t="n">
        <f aca="false">D589*F589/C589</f>
        <v>491.215163934426</v>
      </c>
      <c r="H589" s="37" t="n">
        <f aca="false">IF(AND(A589&gt;=Inputs!$B$13,OR(A589&lt;Inputs!$B$19,Inputs!$B$20=1)),D589*Inputs!$B$11/C589,0)</f>
        <v>81.9672131147541</v>
      </c>
      <c r="I589" s="37" t="n">
        <f aca="false">Inputs!$C$9-SUMIFS(Cash_Events!$G$6:$G$20,Cash_Events!$C$6:$C$20,"FHL",Cash_Events!$B$6:$B$20,"&lt;="&amp;A589)</f>
        <v>1500000</v>
      </c>
      <c r="J589" s="38" t="n">
        <f aca="false">VLOOKUP(A589,Inputs!$F$40:$G$48,2,TRUE())</f>
        <v>0.0525075</v>
      </c>
      <c r="K589" s="38" t="n">
        <f aca="false">J589+Inputs!$C$10</f>
        <v>0.1200075</v>
      </c>
      <c r="L589" s="37" t="n">
        <f aca="false">I589*K589/C589</f>
        <v>491.834016393443</v>
      </c>
      <c r="M589" s="37" t="n">
        <f aca="false">IF(AND(A589&gt;=Inputs!$C$13,OR(A589&lt;Inputs!$B$19,Inputs!$B$20=1)),I589*Inputs!$C$11/C589,0)</f>
        <v>81.9672131147541</v>
      </c>
    </row>
    <row r="590" customFormat="false" ht="15" hidden="false" customHeight="false" outlineLevel="0" collapsed="false">
      <c r="A590" s="35" t="n">
        <f aca="false">A589+1</f>
        <v>45397</v>
      </c>
      <c r="B590" s="35" t="n">
        <f aca="false">EOMONTH(A590+1,0)</f>
        <v>45412</v>
      </c>
      <c r="C590" s="36" t="n">
        <f aca="false">IF(MOD(YEAR(A590),4)=0,366,365)</f>
        <v>366</v>
      </c>
      <c r="D590" s="37" t="n">
        <f aca="false">Inputs!$B$9-SUMIFS(Cash_Events!$G$6:$G$20,Cash_Events!$C$6:$C$20,"rAGMF",Cash_Events!$B$6:$B$20,"&lt;="&amp;A590)</f>
        <v>1500000</v>
      </c>
      <c r="E590" s="38" t="n">
        <f aca="false">VLOOKUP(A590,Inputs!$A$40:$B$48,2,TRUE())</f>
        <v>0.0523565</v>
      </c>
      <c r="F590" s="38" t="n">
        <f aca="false">E590+Inputs!$B$10</f>
        <v>0.1198565</v>
      </c>
      <c r="G590" s="37" t="n">
        <f aca="false">D590*F590/C590</f>
        <v>491.215163934426</v>
      </c>
      <c r="H590" s="37" t="n">
        <f aca="false">IF(AND(A590&gt;=Inputs!$B$13,OR(A590&lt;Inputs!$B$19,Inputs!$B$20=1)),D590*Inputs!$B$11/C590,0)</f>
        <v>81.9672131147541</v>
      </c>
      <c r="I590" s="37" t="n">
        <f aca="false">Inputs!$C$9-SUMIFS(Cash_Events!$G$6:$G$20,Cash_Events!$C$6:$C$20,"FHL",Cash_Events!$B$6:$B$20,"&lt;="&amp;A590)</f>
        <v>1500000</v>
      </c>
      <c r="J590" s="38" t="n">
        <f aca="false">VLOOKUP(A590,Inputs!$F$40:$G$48,2,TRUE())</f>
        <v>0.0525075</v>
      </c>
      <c r="K590" s="38" t="n">
        <f aca="false">J590+Inputs!$C$10</f>
        <v>0.1200075</v>
      </c>
      <c r="L590" s="37" t="n">
        <f aca="false">I590*K590/C590</f>
        <v>491.834016393443</v>
      </c>
      <c r="M590" s="37" t="n">
        <f aca="false">IF(AND(A590&gt;=Inputs!$C$13,OR(A590&lt;Inputs!$B$19,Inputs!$B$20=1)),I590*Inputs!$C$11/C590,0)</f>
        <v>81.9672131147541</v>
      </c>
    </row>
    <row r="591" customFormat="false" ht="15" hidden="false" customHeight="false" outlineLevel="0" collapsed="false">
      <c r="A591" s="35" t="n">
        <f aca="false">A590+1</f>
        <v>45398</v>
      </c>
      <c r="B591" s="35" t="n">
        <f aca="false">EOMONTH(A591+1,0)</f>
        <v>45412</v>
      </c>
      <c r="C591" s="36" t="n">
        <f aca="false">IF(MOD(YEAR(A591),4)=0,366,365)</f>
        <v>366</v>
      </c>
      <c r="D591" s="37" t="n">
        <f aca="false">Inputs!$B$9-SUMIFS(Cash_Events!$G$6:$G$20,Cash_Events!$C$6:$C$20,"rAGMF",Cash_Events!$B$6:$B$20,"&lt;="&amp;A591)</f>
        <v>1500000</v>
      </c>
      <c r="E591" s="38" t="n">
        <f aca="false">VLOOKUP(A591,Inputs!$A$40:$B$48,2,TRUE())</f>
        <v>0.0523565</v>
      </c>
      <c r="F591" s="38" t="n">
        <f aca="false">E591+Inputs!$B$10</f>
        <v>0.1198565</v>
      </c>
      <c r="G591" s="37" t="n">
        <f aca="false">D591*F591/C591</f>
        <v>491.215163934426</v>
      </c>
      <c r="H591" s="37" t="n">
        <f aca="false">IF(AND(A591&gt;=Inputs!$B$13,OR(A591&lt;Inputs!$B$19,Inputs!$B$20=1)),D591*Inputs!$B$11/C591,0)</f>
        <v>81.9672131147541</v>
      </c>
      <c r="I591" s="37" t="n">
        <f aca="false">Inputs!$C$9-SUMIFS(Cash_Events!$G$6:$G$20,Cash_Events!$C$6:$C$20,"FHL",Cash_Events!$B$6:$B$20,"&lt;="&amp;A591)</f>
        <v>1500000</v>
      </c>
      <c r="J591" s="38" t="n">
        <f aca="false">VLOOKUP(A591,Inputs!$F$40:$G$48,2,TRUE())</f>
        <v>0.0525075</v>
      </c>
      <c r="K591" s="38" t="n">
        <f aca="false">J591+Inputs!$C$10</f>
        <v>0.1200075</v>
      </c>
      <c r="L591" s="37" t="n">
        <f aca="false">I591*K591/C591</f>
        <v>491.834016393443</v>
      </c>
      <c r="M591" s="37" t="n">
        <f aca="false">IF(AND(A591&gt;=Inputs!$C$13,OR(A591&lt;Inputs!$B$19,Inputs!$B$20=1)),I591*Inputs!$C$11/C591,0)</f>
        <v>81.9672131147541</v>
      </c>
    </row>
    <row r="592" customFormat="false" ht="15" hidden="false" customHeight="false" outlineLevel="0" collapsed="false">
      <c r="A592" s="35" t="n">
        <f aca="false">A591+1</f>
        <v>45399</v>
      </c>
      <c r="B592" s="35" t="n">
        <f aca="false">EOMONTH(A592+1,0)</f>
        <v>45412</v>
      </c>
      <c r="C592" s="36" t="n">
        <f aca="false">IF(MOD(YEAR(A592),4)=0,366,365)</f>
        <v>366</v>
      </c>
      <c r="D592" s="37" t="n">
        <f aca="false">Inputs!$B$9-SUMIFS(Cash_Events!$G$6:$G$20,Cash_Events!$C$6:$C$20,"rAGMF",Cash_Events!$B$6:$B$20,"&lt;="&amp;A592)</f>
        <v>1500000</v>
      </c>
      <c r="E592" s="38" t="n">
        <f aca="false">VLOOKUP(A592,Inputs!$A$40:$B$48,2,TRUE())</f>
        <v>0.0523565</v>
      </c>
      <c r="F592" s="38" t="n">
        <f aca="false">E592+Inputs!$B$10</f>
        <v>0.1198565</v>
      </c>
      <c r="G592" s="37" t="n">
        <f aca="false">D592*F592/C592</f>
        <v>491.215163934426</v>
      </c>
      <c r="H592" s="37" t="n">
        <f aca="false">IF(AND(A592&gt;=Inputs!$B$13,OR(A592&lt;Inputs!$B$19,Inputs!$B$20=1)),D592*Inputs!$B$11/C592,0)</f>
        <v>81.9672131147541</v>
      </c>
      <c r="I592" s="37" t="n">
        <f aca="false">Inputs!$C$9-SUMIFS(Cash_Events!$G$6:$G$20,Cash_Events!$C$6:$C$20,"FHL",Cash_Events!$B$6:$B$20,"&lt;="&amp;A592)</f>
        <v>1500000</v>
      </c>
      <c r="J592" s="38" t="n">
        <f aca="false">VLOOKUP(A592,Inputs!$F$40:$G$48,2,TRUE())</f>
        <v>0.0525075</v>
      </c>
      <c r="K592" s="38" t="n">
        <f aca="false">J592+Inputs!$C$10</f>
        <v>0.1200075</v>
      </c>
      <c r="L592" s="37" t="n">
        <f aca="false">I592*K592/C592</f>
        <v>491.834016393443</v>
      </c>
      <c r="M592" s="37" t="n">
        <f aca="false">IF(AND(A592&gt;=Inputs!$C$13,OR(A592&lt;Inputs!$B$19,Inputs!$B$20=1)),I592*Inputs!$C$11/C592,0)</f>
        <v>81.9672131147541</v>
      </c>
    </row>
    <row r="593" customFormat="false" ht="15" hidden="false" customHeight="false" outlineLevel="0" collapsed="false">
      <c r="A593" s="35" t="n">
        <f aca="false">A592+1</f>
        <v>45400</v>
      </c>
      <c r="B593" s="35" t="n">
        <f aca="false">EOMONTH(A593+1,0)</f>
        <v>45412</v>
      </c>
      <c r="C593" s="36" t="n">
        <f aca="false">IF(MOD(YEAR(A593),4)=0,366,365)</f>
        <v>366</v>
      </c>
      <c r="D593" s="37" t="n">
        <f aca="false">Inputs!$B$9-SUMIFS(Cash_Events!$G$6:$G$20,Cash_Events!$C$6:$C$20,"rAGMF",Cash_Events!$B$6:$B$20,"&lt;="&amp;A593)</f>
        <v>1500000</v>
      </c>
      <c r="E593" s="38" t="n">
        <f aca="false">VLOOKUP(A593,Inputs!$A$40:$B$48,2,TRUE())</f>
        <v>0.0523565</v>
      </c>
      <c r="F593" s="38" t="n">
        <f aca="false">E593+Inputs!$B$10</f>
        <v>0.1198565</v>
      </c>
      <c r="G593" s="37" t="n">
        <f aca="false">D593*F593/C593</f>
        <v>491.215163934426</v>
      </c>
      <c r="H593" s="37" t="n">
        <f aca="false">IF(AND(A593&gt;=Inputs!$B$13,OR(A593&lt;Inputs!$B$19,Inputs!$B$20=1)),D593*Inputs!$B$11/C593,0)</f>
        <v>81.9672131147541</v>
      </c>
      <c r="I593" s="37" t="n">
        <f aca="false">Inputs!$C$9-SUMIFS(Cash_Events!$G$6:$G$20,Cash_Events!$C$6:$C$20,"FHL",Cash_Events!$B$6:$B$20,"&lt;="&amp;A593)</f>
        <v>1500000</v>
      </c>
      <c r="J593" s="38" t="n">
        <f aca="false">VLOOKUP(A593,Inputs!$F$40:$G$48,2,TRUE())</f>
        <v>0.0525075</v>
      </c>
      <c r="K593" s="38" t="n">
        <f aca="false">J593+Inputs!$C$10</f>
        <v>0.1200075</v>
      </c>
      <c r="L593" s="37" t="n">
        <f aca="false">I593*K593/C593</f>
        <v>491.834016393443</v>
      </c>
      <c r="M593" s="37" t="n">
        <f aca="false">IF(AND(A593&gt;=Inputs!$C$13,OR(A593&lt;Inputs!$B$19,Inputs!$B$20=1)),I593*Inputs!$C$11/C593,0)</f>
        <v>81.9672131147541</v>
      </c>
    </row>
    <row r="594" customFormat="false" ht="15" hidden="false" customHeight="false" outlineLevel="0" collapsed="false">
      <c r="A594" s="35" t="n">
        <f aca="false">A593+1</f>
        <v>45401</v>
      </c>
      <c r="B594" s="35" t="n">
        <f aca="false">EOMONTH(A594+1,0)</f>
        <v>45412</v>
      </c>
      <c r="C594" s="36" t="n">
        <f aca="false">IF(MOD(YEAR(A594),4)=0,366,365)</f>
        <v>366</v>
      </c>
      <c r="D594" s="37" t="n">
        <f aca="false">Inputs!$B$9-SUMIFS(Cash_Events!$G$6:$G$20,Cash_Events!$C$6:$C$20,"rAGMF",Cash_Events!$B$6:$B$20,"&lt;="&amp;A594)</f>
        <v>1500000</v>
      </c>
      <c r="E594" s="38" t="n">
        <f aca="false">VLOOKUP(A594,Inputs!$A$40:$B$48,2,TRUE())</f>
        <v>0.0523565</v>
      </c>
      <c r="F594" s="38" t="n">
        <f aca="false">E594+Inputs!$B$10</f>
        <v>0.1198565</v>
      </c>
      <c r="G594" s="37" t="n">
        <f aca="false">D594*F594/C594</f>
        <v>491.215163934426</v>
      </c>
      <c r="H594" s="37" t="n">
        <f aca="false">IF(AND(A594&gt;=Inputs!$B$13,OR(A594&lt;Inputs!$B$19,Inputs!$B$20=1)),D594*Inputs!$B$11/C594,0)</f>
        <v>81.9672131147541</v>
      </c>
      <c r="I594" s="37" t="n">
        <f aca="false">Inputs!$C$9-SUMIFS(Cash_Events!$G$6:$G$20,Cash_Events!$C$6:$C$20,"FHL",Cash_Events!$B$6:$B$20,"&lt;="&amp;A594)</f>
        <v>1500000</v>
      </c>
      <c r="J594" s="38" t="n">
        <f aca="false">VLOOKUP(A594,Inputs!$F$40:$G$48,2,TRUE())</f>
        <v>0.0525075</v>
      </c>
      <c r="K594" s="38" t="n">
        <f aca="false">J594+Inputs!$C$10</f>
        <v>0.1200075</v>
      </c>
      <c r="L594" s="37" t="n">
        <f aca="false">I594*K594/C594</f>
        <v>491.834016393443</v>
      </c>
      <c r="M594" s="37" t="n">
        <f aca="false">IF(AND(A594&gt;=Inputs!$C$13,OR(A594&lt;Inputs!$B$19,Inputs!$B$20=1)),I594*Inputs!$C$11/C594,0)</f>
        <v>81.9672131147541</v>
      </c>
    </row>
    <row r="595" customFormat="false" ht="15" hidden="false" customHeight="false" outlineLevel="0" collapsed="false">
      <c r="A595" s="35" t="n">
        <f aca="false">A594+1</f>
        <v>45402</v>
      </c>
      <c r="B595" s="35" t="n">
        <f aca="false">EOMONTH(A595+1,0)</f>
        <v>45412</v>
      </c>
      <c r="C595" s="36" t="n">
        <f aca="false">IF(MOD(YEAR(A595),4)=0,366,365)</f>
        <v>366</v>
      </c>
      <c r="D595" s="37" t="n">
        <f aca="false">Inputs!$B$9-SUMIFS(Cash_Events!$G$6:$G$20,Cash_Events!$C$6:$C$20,"rAGMF",Cash_Events!$B$6:$B$20,"&lt;="&amp;A595)</f>
        <v>1500000</v>
      </c>
      <c r="E595" s="38" t="n">
        <f aca="false">VLOOKUP(A595,Inputs!$A$40:$B$48,2,TRUE())</f>
        <v>0.0523565</v>
      </c>
      <c r="F595" s="38" t="n">
        <f aca="false">E595+Inputs!$B$10</f>
        <v>0.1198565</v>
      </c>
      <c r="G595" s="37" t="n">
        <f aca="false">D595*F595/C595</f>
        <v>491.215163934426</v>
      </c>
      <c r="H595" s="37" t="n">
        <f aca="false">IF(AND(A595&gt;=Inputs!$B$13,OR(A595&lt;Inputs!$B$19,Inputs!$B$20=1)),D595*Inputs!$B$11/C595,0)</f>
        <v>81.9672131147541</v>
      </c>
      <c r="I595" s="37" t="n">
        <f aca="false">Inputs!$C$9-SUMIFS(Cash_Events!$G$6:$G$20,Cash_Events!$C$6:$C$20,"FHL",Cash_Events!$B$6:$B$20,"&lt;="&amp;A595)</f>
        <v>1500000</v>
      </c>
      <c r="J595" s="38" t="n">
        <f aca="false">VLOOKUP(A595,Inputs!$F$40:$G$48,2,TRUE())</f>
        <v>0.0525075</v>
      </c>
      <c r="K595" s="38" t="n">
        <f aca="false">J595+Inputs!$C$10</f>
        <v>0.1200075</v>
      </c>
      <c r="L595" s="37" t="n">
        <f aca="false">I595*K595/C595</f>
        <v>491.834016393443</v>
      </c>
      <c r="M595" s="37" t="n">
        <f aca="false">IF(AND(A595&gt;=Inputs!$C$13,OR(A595&lt;Inputs!$B$19,Inputs!$B$20=1)),I595*Inputs!$C$11/C595,0)</f>
        <v>81.9672131147541</v>
      </c>
    </row>
    <row r="596" customFormat="false" ht="15" hidden="false" customHeight="false" outlineLevel="0" collapsed="false">
      <c r="A596" s="35" t="n">
        <f aca="false">A595+1</f>
        <v>45403</v>
      </c>
      <c r="B596" s="35" t="n">
        <f aca="false">EOMONTH(A596+1,0)</f>
        <v>45412</v>
      </c>
      <c r="C596" s="36" t="n">
        <f aca="false">IF(MOD(YEAR(A596),4)=0,366,365)</f>
        <v>366</v>
      </c>
      <c r="D596" s="37" t="n">
        <f aca="false">Inputs!$B$9-SUMIFS(Cash_Events!$G$6:$G$20,Cash_Events!$C$6:$C$20,"rAGMF",Cash_Events!$B$6:$B$20,"&lt;="&amp;A596)</f>
        <v>1500000</v>
      </c>
      <c r="E596" s="38" t="n">
        <f aca="false">VLOOKUP(A596,Inputs!$A$40:$B$48,2,TRUE())</f>
        <v>0.0523565</v>
      </c>
      <c r="F596" s="38" t="n">
        <f aca="false">E596+Inputs!$B$10</f>
        <v>0.1198565</v>
      </c>
      <c r="G596" s="37" t="n">
        <f aca="false">D596*F596/C596</f>
        <v>491.215163934426</v>
      </c>
      <c r="H596" s="37" t="n">
        <f aca="false">IF(AND(A596&gt;=Inputs!$B$13,OR(A596&lt;Inputs!$B$19,Inputs!$B$20=1)),D596*Inputs!$B$11/C596,0)</f>
        <v>81.9672131147541</v>
      </c>
      <c r="I596" s="37" t="n">
        <f aca="false">Inputs!$C$9-SUMIFS(Cash_Events!$G$6:$G$20,Cash_Events!$C$6:$C$20,"FHL",Cash_Events!$B$6:$B$20,"&lt;="&amp;A596)</f>
        <v>1500000</v>
      </c>
      <c r="J596" s="38" t="n">
        <f aca="false">VLOOKUP(A596,Inputs!$F$40:$G$48,2,TRUE())</f>
        <v>0.0525075</v>
      </c>
      <c r="K596" s="38" t="n">
        <f aca="false">J596+Inputs!$C$10</f>
        <v>0.1200075</v>
      </c>
      <c r="L596" s="37" t="n">
        <f aca="false">I596*K596/C596</f>
        <v>491.834016393443</v>
      </c>
      <c r="M596" s="37" t="n">
        <f aca="false">IF(AND(A596&gt;=Inputs!$C$13,OR(A596&lt;Inputs!$B$19,Inputs!$B$20=1)),I596*Inputs!$C$11/C596,0)</f>
        <v>81.9672131147541</v>
      </c>
    </row>
    <row r="597" customFormat="false" ht="15" hidden="false" customHeight="false" outlineLevel="0" collapsed="false">
      <c r="A597" s="35" t="n">
        <f aca="false">A596+1</f>
        <v>45404</v>
      </c>
      <c r="B597" s="35" t="n">
        <f aca="false">EOMONTH(A597+1,0)</f>
        <v>45412</v>
      </c>
      <c r="C597" s="36" t="n">
        <f aca="false">IF(MOD(YEAR(A597),4)=0,366,365)</f>
        <v>366</v>
      </c>
      <c r="D597" s="37" t="n">
        <f aca="false">Inputs!$B$9-SUMIFS(Cash_Events!$G$6:$G$20,Cash_Events!$C$6:$C$20,"rAGMF",Cash_Events!$B$6:$B$20,"&lt;="&amp;A597)</f>
        <v>1500000</v>
      </c>
      <c r="E597" s="38" t="n">
        <f aca="false">VLOOKUP(A597,Inputs!$A$40:$B$48,2,TRUE())</f>
        <v>0.0523565</v>
      </c>
      <c r="F597" s="38" t="n">
        <f aca="false">E597+Inputs!$B$10</f>
        <v>0.1198565</v>
      </c>
      <c r="G597" s="37" t="n">
        <f aca="false">D597*F597/C597</f>
        <v>491.215163934426</v>
      </c>
      <c r="H597" s="37" t="n">
        <f aca="false">IF(AND(A597&gt;=Inputs!$B$13,OR(A597&lt;Inputs!$B$19,Inputs!$B$20=1)),D597*Inputs!$B$11/C597,0)</f>
        <v>81.9672131147541</v>
      </c>
      <c r="I597" s="37" t="n">
        <f aca="false">Inputs!$C$9-SUMIFS(Cash_Events!$G$6:$G$20,Cash_Events!$C$6:$C$20,"FHL",Cash_Events!$B$6:$B$20,"&lt;="&amp;A597)</f>
        <v>1500000</v>
      </c>
      <c r="J597" s="38" t="n">
        <f aca="false">VLOOKUP(A597,Inputs!$F$40:$G$48,2,TRUE())</f>
        <v>0.0525075</v>
      </c>
      <c r="K597" s="38" t="n">
        <f aca="false">J597+Inputs!$C$10</f>
        <v>0.1200075</v>
      </c>
      <c r="L597" s="37" t="n">
        <f aca="false">I597*K597/C597</f>
        <v>491.834016393443</v>
      </c>
      <c r="M597" s="37" t="n">
        <f aca="false">IF(AND(A597&gt;=Inputs!$C$13,OR(A597&lt;Inputs!$B$19,Inputs!$B$20=1)),I597*Inputs!$C$11/C597,0)</f>
        <v>81.9672131147541</v>
      </c>
    </row>
    <row r="598" customFormat="false" ht="15" hidden="false" customHeight="false" outlineLevel="0" collapsed="false">
      <c r="A598" s="35" t="n">
        <f aca="false">A597+1</f>
        <v>45405</v>
      </c>
      <c r="B598" s="35" t="n">
        <f aca="false">EOMONTH(A598+1,0)</f>
        <v>45412</v>
      </c>
      <c r="C598" s="36" t="n">
        <f aca="false">IF(MOD(YEAR(A598),4)=0,366,365)</f>
        <v>366</v>
      </c>
      <c r="D598" s="37" t="n">
        <f aca="false">Inputs!$B$9-SUMIFS(Cash_Events!$G$6:$G$20,Cash_Events!$C$6:$C$20,"rAGMF",Cash_Events!$B$6:$B$20,"&lt;="&amp;A598)</f>
        <v>1500000</v>
      </c>
      <c r="E598" s="38" t="n">
        <f aca="false">VLOOKUP(A598,Inputs!$A$40:$B$48,2,TRUE())</f>
        <v>0.0523565</v>
      </c>
      <c r="F598" s="38" t="n">
        <f aca="false">E598+Inputs!$B$10</f>
        <v>0.1198565</v>
      </c>
      <c r="G598" s="37" t="n">
        <f aca="false">D598*F598/C598</f>
        <v>491.215163934426</v>
      </c>
      <c r="H598" s="37" t="n">
        <f aca="false">IF(AND(A598&gt;=Inputs!$B$13,OR(A598&lt;Inputs!$B$19,Inputs!$B$20=1)),D598*Inputs!$B$11/C598,0)</f>
        <v>81.9672131147541</v>
      </c>
      <c r="I598" s="37" t="n">
        <f aca="false">Inputs!$C$9-SUMIFS(Cash_Events!$G$6:$G$20,Cash_Events!$C$6:$C$20,"FHL",Cash_Events!$B$6:$B$20,"&lt;="&amp;A598)</f>
        <v>1500000</v>
      </c>
      <c r="J598" s="38" t="n">
        <f aca="false">VLOOKUP(A598,Inputs!$F$40:$G$48,2,TRUE())</f>
        <v>0.0525075</v>
      </c>
      <c r="K598" s="38" t="n">
        <f aca="false">J598+Inputs!$C$10</f>
        <v>0.1200075</v>
      </c>
      <c r="L598" s="37" t="n">
        <f aca="false">I598*K598/C598</f>
        <v>491.834016393443</v>
      </c>
      <c r="M598" s="37" t="n">
        <f aca="false">IF(AND(A598&gt;=Inputs!$C$13,OR(A598&lt;Inputs!$B$19,Inputs!$B$20=1)),I598*Inputs!$C$11/C598,0)</f>
        <v>81.9672131147541</v>
      </c>
    </row>
    <row r="599" customFormat="false" ht="15" hidden="false" customHeight="false" outlineLevel="0" collapsed="false">
      <c r="A599" s="35" t="n">
        <f aca="false">A598+1</f>
        <v>45406</v>
      </c>
      <c r="B599" s="35" t="n">
        <f aca="false">EOMONTH(A599+1,0)</f>
        <v>45412</v>
      </c>
      <c r="C599" s="36" t="n">
        <f aca="false">IF(MOD(YEAR(A599),4)=0,366,365)</f>
        <v>366</v>
      </c>
      <c r="D599" s="37" t="n">
        <f aca="false">Inputs!$B$9-SUMIFS(Cash_Events!$G$6:$G$20,Cash_Events!$C$6:$C$20,"rAGMF",Cash_Events!$B$6:$B$20,"&lt;="&amp;A599)</f>
        <v>1500000</v>
      </c>
      <c r="E599" s="38" t="n">
        <f aca="false">VLOOKUP(A599,Inputs!$A$40:$B$48,2,TRUE())</f>
        <v>0.0523565</v>
      </c>
      <c r="F599" s="38" t="n">
        <f aca="false">E599+Inputs!$B$10</f>
        <v>0.1198565</v>
      </c>
      <c r="G599" s="37" t="n">
        <f aca="false">D599*F599/C599</f>
        <v>491.215163934426</v>
      </c>
      <c r="H599" s="37" t="n">
        <f aca="false">IF(AND(A599&gt;=Inputs!$B$13,OR(A599&lt;Inputs!$B$19,Inputs!$B$20=1)),D599*Inputs!$B$11/C599,0)</f>
        <v>81.9672131147541</v>
      </c>
      <c r="I599" s="37" t="n">
        <f aca="false">Inputs!$C$9-SUMIFS(Cash_Events!$G$6:$G$20,Cash_Events!$C$6:$C$20,"FHL",Cash_Events!$B$6:$B$20,"&lt;="&amp;A599)</f>
        <v>1500000</v>
      </c>
      <c r="J599" s="38" t="n">
        <f aca="false">VLOOKUP(A599,Inputs!$F$40:$G$48,2,TRUE())</f>
        <v>0.0525075</v>
      </c>
      <c r="K599" s="38" t="n">
        <f aca="false">J599+Inputs!$C$10</f>
        <v>0.1200075</v>
      </c>
      <c r="L599" s="37" t="n">
        <f aca="false">I599*K599/C599</f>
        <v>491.834016393443</v>
      </c>
      <c r="M599" s="37" t="n">
        <f aca="false">IF(AND(A599&gt;=Inputs!$C$13,OR(A599&lt;Inputs!$B$19,Inputs!$B$20=1)),I599*Inputs!$C$11/C599,0)</f>
        <v>81.9672131147541</v>
      </c>
    </row>
    <row r="600" customFormat="false" ht="15" hidden="false" customHeight="false" outlineLevel="0" collapsed="false">
      <c r="A600" s="35" t="n">
        <f aca="false">A599+1</f>
        <v>45407</v>
      </c>
      <c r="B600" s="35" t="n">
        <f aca="false">EOMONTH(A600+1,0)</f>
        <v>45412</v>
      </c>
      <c r="C600" s="36" t="n">
        <f aca="false">IF(MOD(YEAR(A600),4)=0,366,365)</f>
        <v>366</v>
      </c>
      <c r="D600" s="37" t="n">
        <f aca="false">Inputs!$B$9-SUMIFS(Cash_Events!$G$6:$G$20,Cash_Events!$C$6:$C$20,"rAGMF",Cash_Events!$B$6:$B$20,"&lt;="&amp;A600)</f>
        <v>1500000</v>
      </c>
      <c r="E600" s="38" t="n">
        <f aca="false">VLOOKUP(A600,Inputs!$A$40:$B$48,2,TRUE())</f>
        <v>0.0523565</v>
      </c>
      <c r="F600" s="38" t="n">
        <f aca="false">E600+Inputs!$B$10</f>
        <v>0.1198565</v>
      </c>
      <c r="G600" s="37" t="n">
        <f aca="false">D600*F600/C600</f>
        <v>491.215163934426</v>
      </c>
      <c r="H600" s="37" t="n">
        <f aca="false">IF(AND(A600&gt;=Inputs!$B$13,OR(A600&lt;Inputs!$B$19,Inputs!$B$20=1)),D600*Inputs!$B$11/C600,0)</f>
        <v>81.9672131147541</v>
      </c>
      <c r="I600" s="37" t="n">
        <f aca="false">Inputs!$C$9-SUMIFS(Cash_Events!$G$6:$G$20,Cash_Events!$C$6:$C$20,"FHL",Cash_Events!$B$6:$B$20,"&lt;="&amp;A600)</f>
        <v>1500000</v>
      </c>
      <c r="J600" s="38" t="n">
        <f aca="false">VLOOKUP(A600,Inputs!$F$40:$G$48,2,TRUE())</f>
        <v>0.0525075</v>
      </c>
      <c r="K600" s="38" t="n">
        <f aca="false">J600+Inputs!$C$10</f>
        <v>0.1200075</v>
      </c>
      <c r="L600" s="37" t="n">
        <f aca="false">I600*K600/C600</f>
        <v>491.834016393443</v>
      </c>
      <c r="M600" s="37" t="n">
        <f aca="false">IF(AND(A600&gt;=Inputs!$C$13,OR(A600&lt;Inputs!$B$19,Inputs!$B$20=1)),I600*Inputs!$C$11/C600,0)</f>
        <v>81.9672131147541</v>
      </c>
    </row>
    <row r="601" customFormat="false" ht="15" hidden="false" customHeight="false" outlineLevel="0" collapsed="false">
      <c r="A601" s="35" t="n">
        <f aca="false">A600+1</f>
        <v>45408</v>
      </c>
      <c r="B601" s="35" t="n">
        <f aca="false">EOMONTH(A601+1,0)</f>
        <v>45412</v>
      </c>
      <c r="C601" s="36" t="n">
        <f aca="false">IF(MOD(YEAR(A601),4)=0,366,365)</f>
        <v>366</v>
      </c>
      <c r="D601" s="37" t="n">
        <f aca="false">Inputs!$B$9-SUMIFS(Cash_Events!$G$6:$G$20,Cash_Events!$C$6:$C$20,"rAGMF",Cash_Events!$B$6:$B$20,"&lt;="&amp;A601)</f>
        <v>1500000</v>
      </c>
      <c r="E601" s="38" t="n">
        <f aca="false">VLOOKUP(A601,Inputs!$A$40:$B$48,2,TRUE())</f>
        <v>0.0523565</v>
      </c>
      <c r="F601" s="38" t="n">
        <f aca="false">E601+Inputs!$B$10</f>
        <v>0.1198565</v>
      </c>
      <c r="G601" s="37" t="n">
        <f aca="false">D601*F601/C601</f>
        <v>491.215163934426</v>
      </c>
      <c r="H601" s="37" t="n">
        <f aca="false">IF(AND(A601&gt;=Inputs!$B$13,OR(A601&lt;Inputs!$B$19,Inputs!$B$20=1)),D601*Inputs!$B$11/C601,0)</f>
        <v>81.9672131147541</v>
      </c>
      <c r="I601" s="37" t="n">
        <f aca="false">Inputs!$C$9-SUMIFS(Cash_Events!$G$6:$G$20,Cash_Events!$C$6:$C$20,"FHL",Cash_Events!$B$6:$B$20,"&lt;="&amp;A601)</f>
        <v>1500000</v>
      </c>
      <c r="J601" s="38" t="n">
        <f aca="false">VLOOKUP(A601,Inputs!$F$40:$G$48,2,TRUE())</f>
        <v>0.0525075</v>
      </c>
      <c r="K601" s="38" t="n">
        <f aca="false">J601+Inputs!$C$10</f>
        <v>0.1200075</v>
      </c>
      <c r="L601" s="37" t="n">
        <f aca="false">I601*K601/C601</f>
        <v>491.834016393443</v>
      </c>
      <c r="M601" s="37" t="n">
        <f aca="false">IF(AND(A601&gt;=Inputs!$C$13,OR(A601&lt;Inputs!$B$19,Inputs!$B$20=1)),I601*Inputs!$C$11/C601,0)</f>
        <v>81.9672131147541</v>
      </c>
    </row>
    <row r="602" customFormat="false" ht="15" hidden="false" customHeight="false" outlineLevel="0" collapsed="false">
      <c r="A602" s="35" t="n">
        <f aca="false">A601+1</f>
        <v>45409</v>
      </c>
      <c r="B602" s="35" t="n">
        <f aca="false">EOMONTH(A602+1,0)</f>
        <v>45412</v>
      </c>
      <c r="C602" s="36" t="n">
        <f aca="false">IF(MOD(YEAR(A602),4)=0,366,365)</f>
        <v>366</v>
      </c>
      <c r="D602" s="37" t="n">
        <f aca="false">Inputs!$B$9-SUMIFS(Cash_Events!$G$6:$G$20,Cash_Events!$C$6:$C$20,"rAGMF",Cash_Events!$B$6:$B$20,"&lt;="&amp;A602)</f>
        <v>1500000</v>
      </c>
      <c r="E602" s="38" t="n">
        <f aca="false">VLOOKUP(A602,Inputs!$A$40:$B$48,2,TRUE())</f>
        <v>0.0523565</v>
      </c>
      <c r="F602" s="38" t="n">
        <f aca="false">E602+Inputs!$B$10</f>
        <v>0.1198565</v>
      </c>
      <c r="G602" s="37" t="n">
        <f aca="false">D602*F602/C602</f>
        <v>491.215163934426</v>
      </c>
      <c r="H602" s="37" t="n">
        <f aca="false">IF(AND(A602&gt;=Inputs!$B$13,OR(A602&lt;Inputs!$B$19,Inputs!$B$20=1)),D602*Inputs!$B$11/C602,0)</f>
        <v>81.9672131147541</v>
      </c>
      <c r="I602" s="37" t="n">
        <f aca="false">Inputs!$C$9-SUMIFS(Cash_Events!$G$6:$G$20,Cash_Events!$C$6:$C$20,"FHL",Cash_Events!$B$6:$B$20,"&lt;="&amp;A602)</f>
        <v>1500000</v>
      </c>
      <c r="J602" s="38" t="n">
        <f aca="false">VLOOKUP(A602,Inputs!$F$40:$G$48,2,TRUE())</f>
        <v>0.0525075</v>
      </c>
      <c r="K602" s="38" t="n">
        <f aca="false">J602+Inputs!$C$10</f>
        <v>0.1200075</v>
      </c>
      <c r="L602" s="37" t="n">
        <f aca="false">I602*K602/C602</f>
        <v>491.834016393443</v>
      </c>
      <c r="M602" s="37" t="n">
        <f aca="false">IF(AND(A602&gt;=Inputs!$C$13,OR(A602&lt;Inputs!$B$19,Inputs!$B$20=1)),I602*Inputs!$C$11/C602,0)</f>
        <v>81.9672131147541</v>
      </c>
    </row>
    <row r="603" customFormat="false" ht="15" hidden="false" customHeight="false" outlineLevel="0" collapsed="false">
      <c r="A603" s="35" t="n">
        <f aca="false">A602+1</f>
        <v>45410</v>
      </c>
      <c r="B603" s="35" t="n">
        <f aca="false">EOMONTH(A603+1,0)</f>
        <v>45412</v>
      </c>
      <c r="C603" s="36" t="n">
        <f aca="false">IF(MOD(YEAR(A603),4)=0,366,365)</f>
        <v>366</v>
      </c>
      <c r="D603" s="37" t="n">
        <f aca="false">Inputs!$B$9-SUMIFS(Cash_Events!$G$6:$G$20,Cash_Events!$C$6:$C$20,"rAGMF",Cash_Events!$B$6:$B$20,"&lt;="&amp;A603)</f>
        <v>1500000</v>
      </c>
      <c r="E603" s="38" t="n">
        <f aca="false">VLOOKUP(A603,Inputs!$A$40:$B$48,2,TRUE())</f>
        <v>0.0523565</v>
      </c>
      <c r="F603" s="38" t="n">
        <f aca="false">E603+Inputs!$B$10</f>
        <v>0.1198565</v>
      </c>
      <c r="G603" s="37" t="n">
        <f aca="false">D603*F603/C603</f>
        <v>491.215163934426</v>
      </c>
      <c r="H603" s="37" t="n">
        <f aca="false">IF(AND(A603&gt;=Inputs!$B$13,OR(A603&lt;Inputs!$B$19,Inputs!$B$20=1)),D603*Inputs!$B$11/C603,0)</f>
        <v>81.9672131147541</v>
      </c>
      <c r="I603" s="37" t="n">
        <f aca="false">Inputs!$C$9-SUMIFS(Cash_Events!$G$6:$G$20,Cash_Events!$C$6:$C$20,"FHL",Cash_Events!$B$6:$B$20,"&lt;="&amp;A603)</f>
        <v>1500000</v>
      </c>
      <c r="J603" s="38" t="n">
        <f aca="false">VLOOKUP(A603,Inputs!$F$40:$G$48,2,TRUE())</f>
        <v>0.0525075</v>
      </c>
      <c r="K603" s="38" t="n">
        <f aca="false">J603+Inputs!$C$10</f>
        <v>0.1200075</v>
      </c>
      <c r="L603" s="37" t="n">
        <f aca="false">I603*K603/C603</f>
        <v>491.834016393443</v>
      </c>
      <c r="M603" s="37" t="n">
        <f aca="false">IF(AND(A603&gt;=Inputs!$C$13,OR(A603&lt;Inputs!$B$19,Inputs!$B$20=1)),I603*Inputs!$C$11/C603,0)</f>
        <v>81.9672131147541</v>
      </c>
    </row>
    <row r="604" customFormat="false" ht="15" hidden="false" customHeight="false" outlineLevel="0" collapsed="false">
      <c r="A604" s="35" t="n">
        <f aca="false">A603+1</f>
        <v>45411</v>
      </c>
      <c r="B604" s="35" t="n">
        <f aca="false">EOMONTH(A604+1,0)</f>
        <v>45412</v>
      </c>
      <c r="C604" s="36" t="n">
        <f aca="false">IF(MOD(YEAR(A604),4)=0,366,365)</f>
        <v>366</v>
      </c>
      <c r="D604" s="37" t="n">
        <f aca="false">Inputs!$B$9-SUMIFS(Cash_Events!$G$6:$G$20,Cash_Events!$C$6:$C$20,"rAGMF",Cash_Events!$B$6:$B$20,"&lt;="&amp;A604)</f>
        <v>1500000</v>
      </c>
      <c r="E604" s="38" t="n">
        <f aca="false">VLOOKUP(A604,Inputs!$A$40:$B$48,2,TRUE())</f>
        <v>0.0523565</v>
      </c>
      <c r="F604" s="38" t="n">
        <f aca="false">E604+Inputs!$B$10</f>
        <v>0.1198565</v>
      </c>
      <c r="G604" s="37" t="n">
        <f aca="false">D604*F604/C604</f>
        <v>491.215163934426</v>
      </c>
      <c r="H604" s="37" t="n">
        <f aca="false">IF(AND(A604&gt;=Inputs!$B$13,OR(A604&lt;Inputs!$B$19,Inputs!$B$20=1)),D604*Inputs!$B$11/C604,0)</f>
        <v>81.9672131147541</v>
      </c>
      <c r="I604" s="37" t="n">
        <f aca="false">Inputs!$C$9-SUMIFS(Cash_Events!$G$6:$G$20,Cash_Events!$C$6:$C$20,"FHL",Cash_Events!$B$6:$B$20,"&lt;="&amp;A604)</f>
        <v>1500000</v>
      </c>
      <c r="J604" s="38" t="n">
        <f aca="false">VLOOKUP(A604,Inputs!$F$40:$G$48,2,TRUE())</f>
        <v>0.0525075</v>
      </c>
      <c r="K604" s="38" t="n">
        <f aca="false">J604+Inputs!$C$10</f>
        <v>0.1200075</v>
      </c>
      <c r="L604" s="37" t="n">
        <f aca="false">I604*K604/C604</f>
        <v>491.834016393443</v>
      </c>
      <c r="M604" s="37" t="n">
        <f aca="false">IF(AND(A604&gt;=Inputs!$C$13,OR(A604&lt;Inputs!$B$19,Inputs!$B$20=1)),I604*Inputs!$C$11/C604,0)</f>
        <v>81.9672131147541</v>
      </c>
    </row>
    <row r="605" customFormat="false" ht="15" hidden="false" customHeight="false" outlineLevel="0" collapsed="false">
      <c r="A605" s="35" t="n">
        <f aca="false">A604+1</f>
        <v>45412</v>
      </c>
      <c r="B605" s="35" t="n">
        <f aca="false">EOMONTH(A605+1,0)</f>
        <v>45443</v>
      </c>
      <c r="C605" s="36" t="n">
        <f aca="false">IF(MOD(YEAR(A605),4)=0,366,365)</f>
        <v>366</v>
      </c>
      <c r="D605" s="37" t="n">
        <f aca="false">Inputs!$B$9-SUMIFS(Cash_Events!$G$6:$G$20,Cash_Events!$C$6:$C$20,"rAGMF",Cash_Events!$B$6:$B$20,"&lt;="&amp;A605)</f>
        <v>1500000</v>
      </c>
      <c r="E605" s="38" t="n">
        <f aca="false">VLOOKUP(A605,Inputs!$A$40:$B$48,2,TRUE())</f>
        <v>0.0523565</v>
      </c>
      <c r="F605" s="38" t="n">
        <f aca="false">E605+Inputs!$B$10</f>
        <v>0.1198565</v>
      </c>
      <c r="G605" s="37" t="n">
        <f aca="false">D605*F605/C605</f>
        <v>491.215163934426</v>
      </c>
      <c r="H605" s="37" t="n">
        <f aca="false">IF(AND(A605&gt;=Inputs!$B$13,OR(A605&lt;Inputs!$B$19,Inputs!$B$20=1)),D605*Inputs!$B$11/C605,0)</f>
        <v>81.9672131147541</v>
      </c>
      <c r="I605" s="37" t="n">
        <f aca="false">Inputs!$C$9-SUMIFS(Cash_Events!$G$6:$G$20,Cash_Events!$C$6:$C$20,"FHL",Cash_Events!$B$6:$B$20,"&lt;="&amp;A605)</f>
        <v>1500000</v>
      </c>
      <c r="J605" s="38" t="n">
        <f aca="false">VLOOKUP(A605,Inputs!$F$40:$G$48,2,TRUE())</f>
        <v>0.0525075</v>
      </c>
      <c r="K605" s="38" t="n">
        <f aca="false">J605+Inputs!$C$10</f>
        <v>0.1200075</v>
      </c>
      <c r="L605" s="37" t="n">
        <f aca="false">I605*K605/C605</f>
        <v>491.834016393443</v>
      </c>
      <c r="M605" s="37" t="n">
        <f aca="false">IF(AND(A605&gt;=Inputs!$C$13,OR(A605&lt;Inputs!$B$19,Inputs!$B$20=1)),I605*Inputs!$C$11/C605,0)</f>
        <v>81.9672131147541</v>
      </c>
    </row>
    <row r="606" customFormat="false" ht="15" hidden="false" customHeight="false" outlineLevel="0" collapsed="false">
      <c r="A606" s="35" t="n">
        <f aca="false">A605+1</f>
        <v>45413</v>
      </c>
      <c r="B606" s="35" t="n">
        <f aca="false">EOMONTH(A606+1,0)</f>
        <v>45443</v>
      </c>
      <c r="C606" s="36" t="n">
        <f aca="false">IF(MOD(YEAR(A606),4)=0,366,365)</f>
        <v>366</v>
      </c>
      <c r="D606" s="37" t="n">
        <f aca="false">Inputs!$B$9-SUMIFS(Cash_Events!$G$6:$G$20,Cash_Events!$C$6:$C$20,"rAGMF",Cash_Events!$B$6:$B$20,"&lt;="&amp;A606)</f>
        <v>1500000</v>
      </c>
      <c r="E606" s="38" t="n">
        <f aca="false">VLOOKUP(A606,Inputs!$A$40:$B$48,2,TRUE())</f>
        <v>0.0523565</v>
      </c>
      <c r="F606" s="38" t="n">
        <f aca="false">E606+Inputs!$B$10</f>
        <v>0.1198565</v>
      </c>
      <c r="G606" s="37" t="n">
        <f aca="false">D606*F606/C606</f>
        <v>491.215163934426</v>
      </c>
      <c r="H606" s="37" t="n">
        <f aca="false">IF(AND(A606&gt;=Inputs!$B$13,OR(A606&lt;Inputs!$B$19,Inputs!$B$20=1)),D606*Inputs!$B$11/C606,0)</f>
        <v>81.9672131147541</v>
      </c>
      <c r="I606" s="37" t="n">
        <f aca="false">Inputs!$C$9-SUMIFS(Cash_Events!$G$6:$G$20,Cash_Events!$C$6:$C$20,"FHL",Cash_Events!$B$6:$B$20,"&lt;="&amp;A606)</f>
        <v>1500000</v>
      </c>
      <c r="J606" s="38" t="n">
        <f aca="false">VLOOKUP(A606,Inputs!$F$40:$G$48,2,TRUE())</f>
        <v>0.0525075</v>
      </c>
      <c r="K606" s="38" t="n">
        <f aca="false">J606+Inputs!$C$10</f>
        <v>0.1200075</v>
      </c>
      <c r="L606" s="37" t="n">
        <f aca="false">I606*K606/C606</f>
        <v>491.834016393443</v>
      </c>
      <c r="M606" s="37" t="n">
        <f aca="false">IF(AND(A606&gt;=Inputs!$C$13,OR(A606&lt;Inputs!$B$19,Inputs!$B$20=1)),I606*Inputs!$C$11/C606,0)</f>
        <v>81.9672131147541</v>
      </c>
    </row>
    <row r="607" customFormat="false" ht="15" hidden="false" customHeight="false" outlineLevel="0" collapsed="false">
      <c r="A607" s="35" t="n">
        <f aca="false">A606+1</f>
        <v>45414</v>
      </c>
      <c r="B607" s="35" t="n">
        <f aca="false">EOMONTH(A607+1,0)</f>
        <v>45443</v>
      </c>
      <c r="C607" s="36" t="n">
        <f aca="false">IF(MOD(YEAR(A607),4)=0,366,365)</f>
        <v>366</v>
      </c>
      <c r="D607" s="37" t="n">
        <f aca="false">Inputs!$B$9-SUMIFS(Cash_Events!$G$6:$G$20,Cash_Events!$C$6:$C$20,"rAGMF",Cash_Events!$B$6:$B$20,"&lt;="&amp;A607)</f>
        <v>1500000</v>
      </c>
      <c r="E607" s="38" t="n">
        <f aca="false">VLOOKUP(A607,Inputs!$A$40:$B$48,2,TRUE())</f>
        <v>0.0523565</v>
      </c>
      <c r="F607" s="38" t="n">
        <f aca="false">E607+Inputs!$B$10</f>
        <v>0.1198565</v>
      </c>
      <c r="G607" s="37" t="n">
        <f aca="false">D607*F607/C607</f>
        <v>491.215163934426</v>
      </c>
      <c r="H607" s="37" t="n">
        <f aca="false">IF(AND(A607&gt;=Inputs!$B$13,OR(A607&lt;Inputs!$B$19,Inputs!$B$20=1)),D607*Inputs!$B$11/C607,0)</f>
        <v>81.9672131147541</v>
      </c>
      <c r="I607" s="37" t="n">
        <f aca="false">Inputs!$C$9-SUMIFS(Cash_Events!$G$6:$G$20,Cash_Events!$C$6:$C$20,"FHL",Cash_Events!$B$6:$B$20,"&lt;="&amp;A607)</f>
        <v>1500000</v>
      </c>
      <c r="J607" s="38" t="n">
        <f aca="false">VLOOKUP(A607,Inputs!$F$40:$G$48,2,TRUE())</f>
        <v>0.0525075</v>
      </c>
      <c r="K607" s="38" t="n">
        <f aca="false">J607+Inputs!$C$10</f>
        <v>0.1200075</v>
      </c>
      <c r="L607" s="37" t="n">
        <f aca="false">I607*K607/C607</f>
        <v>491.834016393443</v>
      </c>
      <c r="M607" s="37" t="n">
        <f aca="false">IF(AND(A607&gt;=Inputs!$C$13,OR(A607&lt;Inputs!$B$19,Inputs!$B$20=1)),I607*Inputs!$C$11/C607,0)</f>
        <v>81.9672131147541</v>
      </c>
    </row>
    <row r="608" customFormat="false" ht="15" hidden="false" customHeight="false" outlineLevel="0" collapsed="false">
      <c r="A608" s="35" t="n">
        <f aca="false">A607+1</f>
        <v>45415</v>
      </c>
      <c r="B608" s="35" t="n">
        <f aca="false">EOMONTH(A608+1,0)</f>
        <v>45443</v>
      </c>
      <c r="C608" s="36" t="n">
        <f aca="false">IF(MOD(YEAR(A608),4)=0,366,365)</f>
        <v>366</v>
      </c>
      <c r="D608" s="37" t="n">
        <f aca="false">Inputs!$B$9-SUMIFS(Cash_Events!$G$6:$G$20,Cash_Events!$C$6:$C$20,"rAGMF",Cash_Events!$B$6:$B$20,"&lt;="&amp;A608)</f>
        <v>1500000</v>
      </c>
      <c r="E608" s="38" t="n">
        <f aca="false">VLOOKUP(A608,Inputs!$A$40:$B$48,2,TRUE())</f>
        <v>0.0523565</v>
      </c>
      <c r="F608" s="38" t="n">
        <f aca="false">E608+Inputs!$B$10</f>
        <v>0.1198565</v>
      </c>
      <c r="G608" s="37" t="n">
        <f aca="false">D608*F608/C608</f>
        <v>491.215163934426</v>
      </c>
      <c r="H608" s="37" t="n">
        <f aca="false">IF(AND(A608&gt;=Inputs!$B$13,OR(A608&lt;Inputs!$B$19,Inputs!$B$20=1)),D608*Inputs!$B$11/C608,0)</f>
        <v>81.9672131147541</v>
      </c>
      <c r="I608" s="37" t="n">
        <f aca="false">Inputs!$C$9-SUMIFS(Cash_Events!$G$6:$G$20,Cash_Events!$C$6:$C$20,"FHL",Cash_Events!$B$6:$B$20,"&lt;="&amp;A608)</f>
        <v>1500000</v>
      </c>
      <c r="J608" s="38" t="n">
        <f aca="false">VLOOKUP(A608,Inputs!$F$40:$G$48,2,TRUE())</f>
        <v>0.0525075</v>
      </c>
      <c r="K608" s="38" t="n">
        <f aca="false">J608+Inputs!$C$10</f>
        <v>0.1200075</v>
      </c>
      <c r="L608" s="37" t="n">
        <f aca="false">I608*K608/C608</f>
        <v>491.834016393443</v>
      </c>
      <c r="M608" s="37" t="n">
        <f aca="false">IF(AND(A608&gt;=Inputs!$C$13,OR(A608&lt;Inputs!$B$19,Inputs!$B$20=1)),I608*Inputs!$C$11/C608,0)</f>
        <v>81.9672131147541</v>
      </c>
    </row>
    <row r="609" customFormat="false" ht="15" hidden="false" customHeight="false" outlineLevel="0" collapsed="false">
      <c r="A609" s="35" t="n">
        <f aca="false">A608+1</f>
        <v>45416</v>
      </c>
      <c r="B609" s="35" t="n">
        <f aca="false">EOMONTH(A609+1,0)</f>
        <v>45443</v>
      </c>
      <c r="C609" s="36" t="n">
        <f aca="false">IF(MOD(YEAR(A609),4)=0,366,365)</f>
        <v>366</v>
      </c>
      <c r="D609" s="37" t="n">
        <f aca="false">Inputs!$B$9-SUMIFS(Cash_Events!$G$6:$G$20,Cash_Events!$C$6:$C$20,"rAGMF",Cash_Events!$B$6:$B$20,"&lt;="&amp;A609)</f>
        <v>1500000</v>
      </c>
      <c r="E609" s="38" t="n">
        <f aca="false">VLOOKUP(A609,Inputs!$A$40:$B$48,2,TRUE())</f>
        <v>0.0523565</v>
      </c>
      <c r="F609" s="38" t="n">
        <f aca="false">E609+Inputs!$B$10</f>
        <v>0.1198565</v>
      </c>
      <c r="G609" s="37" t="n">
        <f aca="false">D609*F609/C609</f>
        <v>491.215163934426</v>
      </c>
      <c r="H609" s="37" t="n">
        <f aca="false">IF(AND(A609&gt;=Inputs!$B$13,OR(A609&lt;Inputs!$B$19,Inputs!$B$20=1)),D609*Inputs!$B$11/C609,0)</f>
        <v>81.9672131147541</v>
      </c>
      <c r="I609" s="37" t="n">
        <f aca="false">Inputs!$C$9-SUMIFS(Cash_Events!$G$6:$G$20,Cash_Events!$C$6:$C$20,"FHL",Cash_Events!$B$6:$B$20,"&lt;="&amp;A609)</f>
        <v>1500000</v>
      </c>
      <c r="J609" s="38" t="n">
        <f aca="false">VLOOKUP(A609,Inputs!$F$40:$G$48,2,TRUE())</f>
        <v>0.0525075</v>
      </c>
      <c r="K609" s="38" t="n">
        <f aca="false">J609+Inputs!$C$10</f>
        <v>0.1200075</v>
      </c>
      <c r="L609" s="37" t="n">
        <f aca="false">I609*K609/C609</f>
        <v>491.834016393443</v>
      </c>
      <c r="M609" s="37" t="n">
        <f aca="false">IF(AND(A609&gt;=Inputs!$C$13,OR(A609&lt;Inputs!$B$19,Inputs!$B$20=1)),I609*Inputs!$C$11/C609,0)</f>
        <v>81.9672131147541</v>
      </c>
    </row>
    <row r="610" customFormat="false" ht="15" hidden="false" customHeight="false" outlineLevel="0" collapsed="false">
      <c r="A610" s="35" t="n">
        <f aca="false">A609+1</f>
        <v>45417</v>
      </c>
      <c r="B610" s="35" t="n">
        <f aca="false">EOMONTH(A610+1,0)</f>
        <v>45443</v>
      </c>
      <c r="C610" s="36" t="n">
        <f aca="false">IF(MOD(YEAR(A610),4)=0,366,365)</f>
        <v>366</v>
      </c>
      <c r="D610" s="37" t="n">
        <f aca="false">Inputs!$B$9-SUMIFS(Cash_Events!$G$6:$G$20,Cash_Events!$C$6:$C$20,"rAGMF",Cash_Events!$B$6:$B$20,"&lt;="&amp;A610)</f>
        <v>1500000</v>
      </c>
      <c r="E610" s="38" t="n">
        <f aca="false">VLOOKUP(A610,Inputs!$A$40:$B$48,2,TRUE())</f>
        <v>0.0523565</v>
      </c>
      <c r="F610" s="38" t="n">
        <f aca="false">E610+Inputs!$B$10</f>
        <v>0.1198565</v>
      </c>
      <c r="G610" s="37" t="n">
        <f aca="false">D610*F610/C610</f>
        <v>491.215163934426</v>
      </c>
      <c r="H610" s="37" t="n">
        <f aca="false">IF(AND(A610&gt;=Inputs!$B$13,OR(A610&lt;Inputs!$B$19,Inputs!$B$20=1)),D610*Inputs!$B$11/C610,0)</f>
        <v>81.9672131147541</v>
      </c>
      <c r="I610" s="37" t="n">
        <f aca="false">Inputs!$C$9-SUMIFS(Cash_Events!$G$6:$G$20,Cash_Events!$C$6:$C$20,"FHL",Cash_Events!$B$6:$B$20,"&lt;="&amp;A610)</f>
        <v>1500000</v>
      </c>
      <c r="J610" s="38" t="n">
        <f aca="false">VLOOKUP(A610,Inputs!$F$40:$G$48,2,TRUE())</f>
        <v>0.0525075</v>
      </c>
      <c r="K610" s="38" t="n">
        <f aca="false">J610+Inputs!$C$10</f>
        <v>0.1200075</v>
      </c>
      <c r="L610" s="37" t="n">
        <f aca="false">I610*K610/C610</f>
        <v>491.834016393443</v>
      </c>
      <c r="M610" s="37" t="n">
        <f aca="false">IF(AND(A610&gt;=Inputs!$C$13,OR(A610&lt;Inputs!$B$19,Inputs!$B$20=1)),I610*Inputs!$C$11/C610,0)</f>
        <v>81.9672131147541</v>
      </c>
    </row>
    <row r="611" customFormat="false" ht="15" hidden="false" customHeight="false" outlineLevel="0" collapsed="false">
      <c r="A611" s="35" t="n">
        <f aca="false">A610+1</f>
        <v>45418</v>
      </c>
      <c r="B611" s="35" t="n">
        <f aca="false">EOMONTH(A611+1,0)</f>
        <v>45443</v>
      </c>
      <c r="C611" s="36" t="n">
        <f aca="false">IF(MOD(YEAR(A611),4)=0,366,365)</f>
        <v>366</v>
      </c>
      <c r="D611" s="37" t="n">
        <f aca="false">Inputs!$B$9-SUMIFS(Cash_Events!$G$6:$G$20,Cash_Events!$C$6:$C$20,"rAGMF",Cash_Events!$B$6:$B$20,"&lt;="&amp;A611)</f>
        <v>1500000</v>
      </c>
      <c r="E611" s="38" t="n">
        <f aca="false">VLOOKUP(A611,Inputs!$A$40:$B$48,2,TRUE())</f>
        <v>0.0523565</v>
      </c>
      <c r="F611" s="38" t="n">
        <f aca="false">E611+Inputs!$B$10</f>
        <v>0.1198565</v>
      </c>
      <c r="G611" s="37" t="n">
        <f aca="false">D611*F611/C611</f>
        <v>491.215163934426</v>
      </c>
      <c r="H611" s="37" t="n">
        <f aca="false">IF(AND(A611&gt;=Inputs!$B$13,OR(A611&lt;Inputs!$B$19,Inputs!$B$20=1)),D611*Inputs!$B$11/C611,0)</f>
        <v>81.9672131147541</v>
      </c>
      <c r="I611" s="37" t="n">
        <f aca="false">Inputs!$C$9-SUMIFS(Cash_Events!$G$6:$G$20,Cash_Events!$C$6:$C$20,"FHL",Cash_Events!$B$6:$B$20,"&lt;="&amp;A611)</f>
        <v>1500000</v>
      </c>
      <c r="J611" s="38" t="n">
        <f aca="false">VLOOKUP(A611,Inputs!$F$40:$G$48,2,TRUE())</f>
        <v>0.0525075</v>
      </c>
      <c r="K611" s="38" t="n">
        <f aca="false">J611+Inputs!$C$10</f>
        <v>0.1200075</v>
      </c>
      <c r="L611" s="37" t="n">
        <f aca="false">I611*K611/C611</f>
        <v>491.834016393443</v>
      </c>
      <c r="M611" s="37" t="n">
        <f aca="false">IF(AND(A611&gt;=Inputs!$C$13,OR(A611&lt;Inputs!$B$19,Inputs!$B$20=1)),I611*Inputs!$C$11/C611,0)</f>
        <v>81.9672131147541</v>
      </c>
    </row>
    <row r="612" customFormat="false" ht="15" hidden="false" customHeight="false" outlineLevel="0" collapsed="false">
      <c r="A612" s="35" t="n">
        <f aca="false">A611+1</f>
        <v>45419</v>
      </c>
      <c r="B612" s="35" t="n">
        <f aca="false">EOMONTH(A612+1,0)</f>
        <v>45443</v>
      </c>
      <c r="C612" s="36" t="n">
        <f aca="false">IF(MOD(YEAR(A612),4)=0,366,365)</f>
        <v>366</v>
      </c>
      <c r="D612" s="37" t="n">
        <f aca="false">Inputs!$B$9-SUMIFS(Cash_Events!$G$6:$G$20,Cash_Events!$C$6:$C$20,"rAGMF",Cash_Events!$B$6:$B$20,"&lt;="&amp;A612)</f>
        <v>1500000</v>
      </c>
      <c r="E612" s="38" t="n">
        <f aca="false">VLOOKUP(A612,Inputs!$A$40:$B$48,2,TRUE())</f>
        <v>0.0523565</v>
      </c>
      <c r="F612" s="38" t="n">
        <f aca="false">E612+Inputs!$B$10</f>
        <v>0.1198565</v>
      </c>
      <c r="G612" s="37" t="n">
        <f aca="false">D612*F612/C612</f>
        <v>491.215163934426</v>
      </c>
      <c r="H612" s="37" t="n">
        <f aca="false">IF(AND(A612&gt;=Inputs!$B$13,OR(A612&lt;Inputs!$B$19,Inputs!$B$20=1)),D612*Inputs!$B$11/C612,0)</f>
        <v>81.9672131147541</v>
      </c>
      <c r="I612" s="37" t="n">
        <f aca="false">Inputs!$C$9-SUMIFS(Cash_Events!$G$6:$G$20,Cash_Events!$C$6:$C$20,"FHL",Cash_Events!$B$6:$B$20,"&lt;="&amp;A612)</f>
        <v>1500000</v>
      </c>
      <c r="J612" s="38" t="n">
        <f aca="false">VLOOKUP(A612,Inputs!$F$40:$G$48,2,TRUE())</f>
        <v>0.0525075</v>
      </c>
      <c r="K612" s="38" t="n">
        <f aca="false">J612+Inputs!$C$10</f>
        <v>0.1200075</v>
      </c>
      <c r="L612" s="37" t="n">
        <f aca="false">I612*K612/C612</f>
        <v>491.834016393443</v>
      </c>
      <c r="M612" s="37" t="n">
        <f aca="false">IF(AND(A612&gt;=Inputs!$C$13,OR(A612&lt;Inputs!$B$19,Inputs!$B$20=1)),I612*Inputs!$C$11/C612,0)</f>
        <v>81.9672131147541</v>
      </c>
    </row>
    <row r="613" customFormat="false" ht="15" hidden="false" customHeight="false" outlineLevel="0" collapsed="false">
      <c r="A613" s="35" t="n">
        <f aca="false">A612+1</f>
        <v>45420</v>
      </c>
      <c r="B613" s="35" t="n">
        <f aca="false">EOMONTH(A613+1,0)</f>
        <v>45443</v>
      </c>
      <c r="C613" s="36" t="n">
        <f aca="false">IF(MOD(YEAR(A613),4)=0,366,365)</f>
        <v>366</v>
      </c>
      <c r="D613" s="37" t="n">
        <f aca="false">Inputs!$B$9-SUMIFS(Cash_Events!$G$6:$G$20,Cash_Events!$C$6:$C$20,"rAGMF",Cash_Events!$B$6:$B$20,"&lt;="&amp;A613)</f>
        <v>1500000</v>
      </c>
      <c r="E613" s="38" t="n">
        <f aca="false">VLOOKUP(A613,Inputs!$A$40:$B$48,2,TRUE())</f>
        <v>0.0523565</v>
      </c>
      <c r="F613" s="38" t="n">
        <f aca="false">E613+Inputs!$B$10</f>
        <v>0.1198565</v>
      </c>
      <c r="G613" s="37" t="n">
        <f aca="false">D613*F613/C613</f>
        <v>491.215163934426</v>
      </c>
      <c r="H613" s="37" t="n">
        <f aca="false">IF(AND(A613&gt;=Inputs!$B$13,OR(A613&lt;Inputs!$B$19,Inputs!$B$20=1)),D613*Inputs!$B$11/C613,0)</f>
        <v>81.9672131147541</v>
      </c>
      <c r="I613" s="37" t="n">
        <f aca="false">Inputs!$C$9-SUMIFS(Cash_Events!$G$6:$G$20,Cash_Events!$C$6:$C$20,"FHL",Cash_Events!$B$6:$B$20,"&lt;="&amp;A613)</f>
        <v>1500000</v>
      </c>
      <c r="J613" s="38" t="n">
        <f aca="false">VLOOKUP(A613,Inputs!$F$40:$G$48,2,TRUE())</f>
        <v>0.0525075</v>
      </c>
      <c r="K613" s="38" t="n">
        <f aca="false">J613+Inputs!$C$10</f>
        <v>0.1200075</v>
      </c>
      <c r="L613" s="37" t="n">
        <f aca="false">I613*K613/C613</f>
        <v>491.834016393443</v>
      </c>
      <c r="M613" s="37" t="n">
        <f aca="false">IF(AND(A613&gt;=Inputs!$C$13,OR(A613&lt;Inputs!$B$19,Inputs!$B$20=1)),I613*Inputs!$C$11/C613,0)</f>
        <v>81.9672131147541</v>
      </c>
    </row>
    <row r="614" customFormat="false" ht="15" hidden="false" customHeight="false" outlineLevel="0" collapsed="false">
      <c r="A614" s="35" t="n">
        <f aca="false">A613+1</f>
        <v>45421</v>
      </c>
      <c r="B614" s="35" t="n">
        <f aca="false">EOMONTH(A614+1,0)</f>
        <v>45443</v>
      </c>
      <c r="C614" s="36" t="n">
        <f aca="false">IF(MOD(YEAR(A614),4)=0,366,365)</f>
        <v>366</v>
      </c>
      <c r="D614" s="37" t="n">
        <f aca="false">Inputs!$B$9-SUMIFS(Cash_Events!$G$6:$G$20,Cash_Events!$C$6:$C$20,"rAGMF",Cash_Events!$B$6:$B$20,"&lt;="&amp;A614)</f>
        <v>1500000</v>
      </c>
      <c r="E614" s="38" t="n">
        <f aca="false">VLOOKUP(A614,Inputs!$A$40:$B$48,2,TRUE())</f>
        <v>0.0523565</v>
      </c>
      <c r="F614" s="38" t="n">
        <f aca="false">E614+Inputs!$B$10</f>
        <v>0.1198565</v>
      </c>
      <c r="G614" s="37" t="n">
        <f aca="false">D614*F614/C614</f>
        <v>491.215163934426</v>
      </c>
      <c r="H614" s="37" t="n">
        <f aca="false">IF(AND(A614&gt;=Inputs!$B$13,OR(A614&lt;Inputs!$B$19,Inputs!$B$20=1)),D614*Inputs!$B$11/C614,0)</f>
        <v>81.9672131147541</v>
      </c>
      <c r="I614" s="37" t="n">
        <f aca="false">Inputs!$C$9-SUMIFS(Cash_Events!$G$6:$G$20,Cash_Events!$C$6:$C$20,"FHL",Cash_Events!$B$6:$B$20,"&lt;="&amp;A614)</f>
        <v>1500000</v>
      </c>
      <c r="J614" s="38" t="n">
        <f aca="false">VLOOKUP(A614,Inputs!$F$40:$G$48,2,TRUE())</f>
        <v>0.0525075</v>
      </c>
      <c r="K614" s="38" t="n">
        <f aca="false">J614+Inputs!$C$10</f>
        <v>0.1200075</v>
      </c>
      <c r="L614" s="37" t="n">
        <f aca="false">I614*K614/C614</f>
        <v>491.834016393443</v>
      </c>
      <c r="M614" s="37" t="n">
        <f aca="false">IF(AND(A614&gt;=Inputs!$C$13,OR(A614&lt;Inputs!$B$19,Inputs!$B$20=1)),I614*Inputs!$C$11/C614,0)</f>
        <v>81.9672131147541</v>
      </c>
    </row>
    <row r="615" customFormat="false" ht="15" hidden="false" customHeight="false" outlineLevel="0" collapsed="false">
      <c r="A615" s="35" t="n">
        <f aca="false">A614+1</f>
        <v>45422</v>
      </c>
      <c r="B615" s="35" t="n">
        <f aca="false">EOMONTH(A615+1,0)</f>
        <v>45443</v>
      </c>
      <c r="C615" s="36" t="n">
        <f aca="false">IF(MOD(YEAR(A615),4)=0,366,365)</f>
        <v>366</v>
      </c>
      <c r="D615" s="37" t="n">
        <f aca="false">Inputs!$B$9-SUMIFS(Cash_Events!$G$6:$G$20,Cash_Events!$C$6:$C$20,"rAGMF",Cash_Events!$B$6:$B$20,"&lt;="&amp;A615)</f>
        <v>1500000</v>
      </c>
      <c r="E615" s="38" t="n">
        <f aca="false">VLOOKUP(A615,Inputs!$A$40:$B$48,2,TRUE())</f>
        <v>0.0523565</v>
      </c>
      <c r="F615" s="38" t="n">
        <f aca="false">E615+Inputs!$B$10</f>
        <v>0.1198565</v>
      </c>
      <c r="G615" s="37" t="n">
        <f aca="false">D615*F615/C615</f>
        <v>491.215163934426</v>
      </c>
      <c r="H615" s="37" t="n">
        <f aca="false">IF(AND(A615&gt;=Inputs!$B$13,OR(A615&lt;Inputs!$B$19,Inputs!$B$20=1)),D615*Inputs!$B$11/C615,0)</f>
        <v>81.9672131147541</v>
      </c>
      <c r="I615" s="37" t="n">
        <f aca="false">Inputs!$C$9-SUMIFS(Cash_Events!$G$6:$G$20,Cash_Events!$C$6:$C$20,"FHL",Cash_Events!$B$6:$B$20,"&lt;="&amp;A615)</f>
        <v>1500000</v>
      </c>
      <c r="J615" s="38" t="n">
        <f aca="false">VLOOKUP(A615,Inputs!$F$40:$G$48,2,TRUE())</f>
        <v>0.0525075</v>
      </c>
      <c r="K615" s="38" t="n">
        <f aca="false">J615+Inputs!$C$10</f>
        <v>0.1200075</v>
      </c>
      <c r="L615" s="37" t="n">
        <f aca="false">I615*K615/C615</f>
        <v>491.834016393443</v>
      </c>
      <c r="M615" s="37" t="n">
        <f aca="false">IF(AND(A615&gt;=Inputs!$C$13,OR(A615&lt;Inputs!$B$19,Inputs!$B$20=1)),I615*Inputs!$C$11/C615,0)</f>
        <v>81.9672131147541</v>
      </c>
    </row>
    <row r="616" customFormat="false" ht="15" hidden="false" customHeight="false" outlineLevel="0" collapsed="false">
      <c r="A616" s="35" t="n">
        <f aca="false">A615+1</f>
        <v>45423</v>
      </c>
      <c r="B616" s="35" t="n">
        <f aca="false">EOMONTH(A616+1,0)</f>
        <v>45443</v>
      </c>
      <c r="C616" s="36" t="n">
        <f aca="false">IF(MOD(YEAR(A616),4)=0,366,365)</f>
        <v>366</v>
      </c>
      <c r="D616" s="37" t="n">
        <f aca="false">Inputs!$B$9-SUMIFS(Cash_Events!$G$6:$G$20,Cash_Events!$C$6:$C$20,"rAGMF",Cash_Events!$B$6:$B$20,"&lt;="&amp;A616)</f>
        <v>1500000</v>
      </c>
      <c r="E616" s="38" t="n">
        <f aca="false">VLOOKUP(A616,Inputs!$A$40:$B$48,2,TRUE())</f>
        <v>0.0523565</v>
      </c>
      <c r="F616" s="38" t="n">
        <f aca="false">E616+Inputs!$B$10</f>
        <v>0.1198565</v>
      </c>
      <c r="G616" s="37" t="n">
        <f aca="false">D616*F616/C616</f>
        <v>491.215163934426</v>
      </c>
      <c r="H616" s="37" t="n">
        <f aca="false">IF(AND(A616&gt;=Inputs!$B$13,OR(A616&lt;Inputs!$B$19,Inputs!$B$20=1)),D616*Inputs!$B$11/C616,0)</f>
        <v>81.9672131147541</v>
      </c>
      <c r="I616" s="37" t="n">
        <f aca="false">Inputs!$C$9-SUMIFS(Cash_Events!$G$6:$G$20,Cash_Events!$C$6:$C$20,"FHL",Cash_Events!$B$6:$B$20,"&lt;="&amp;A616)</f>
        <v>1500000</v>
      </c>
      <c r="J616" s="38" t="n">
        <f aca="false">VLOOKUP(A616,Inputs!$F$40:$G$48,2,TRUE())</f>
        <v>0.0525075</v>
      </c>
      <c r="K616" s="38" t="n">
        <f aca="false">J616+Inputs!$C$10</f>
        <v>0.1200075</v>
      </c>
      <c r="L616" s="37" t="n">
        <f aca="false">I616*K616/C616</f>
        <v>491.834016393443</v>
      </c>
      <c r="M616" s="37" t="n">
        <f aca="false">IF(AND(A616&gt;=Inputs!$C$13,OR(A616&lt;Inputs!$B$19,Inputs!$B$20=1)),I616*Inputs!$C$11/C616,0)</f>
        <v>81.9672131147541</v>
      </c>
    </row>
    <row r="617" customFormat="false" ht="15" hidden="false" customHeight="false" outlineLevel="0" collapsed="false">
      <c r="A617" s="35" t="n">
        <f aca="false">A616+1</f>
        <v>45424</v>
      </c>
      <c r="B617" s="35" t="n">
        <f aca="false">EOMONTH(A617+1,0)</f>
        <v>45443</v>
      </c>
      <c r="C617" s="36" t="n">
        <f aca="false">IF(MOD(YEAR(A617),4)=0,366,365)</f>
        <v>366</v>
      </c>
      <c r="D617" s="37" t="n">
        <f aca="false">Inputs!$B$9-SUMIFS(Cash_Events!$G$6:$G$20,Cash_Events!$C$6:$C$20,"rAGMF",Cash_Events!$B$6:$B$20,"&lt;="&amp;A617)</f>
        <v>1500000</v>
      </c>
      <c r="E617" s="38" t="n">
        <f aca="false">VLOOKUP(A617,Inputs!$A$40:$B$48,2,TRUE())</f>
        <v>0.0523565</v>
      </c>
      <c r="F617" s="38" t="n">
        <f aca="false">E617+Inputs!$B$10</f>
        <v>0.1198565</v>
      </c>
      <c r="G617" s="37" t="n">
        <f aca="false">D617*F617/C617</f>
        <v>491.215163934426</v>
      </c>
      <c r="H617" s="37" t="n">
        <f aca="false">IF(AND(A617&gt;=Inputs!$B$13,OR(A617&lt;Inputs!$B$19,Inputs!$B$20=1)),D617*Inputs!$B$11/C617,0)</f>
        <v>81.9672131147541</v>
      </c>
      <c r="I617" s="37" t="n">
        <f aca="false">Inputs!$C$9-SUMIFS(Cash_Events!$G$6:$G$20,Cash_Events!$C$6:$C$20,"FHL",Cash_Events!$B$6:$B$20,"&lt;="&amp;A617)</f>
        <v>1500000</v>
      </c>
      <c r="J617" s="38" t="n">
        <f aca="false">VLOOKUP(A617,Inputs!$F$40:$G$48,2,TRUE())</f>
        <v>0.0525075</v>
      </c>
      <c r="K617" s="38" t="n">
        <f aca="false">J617+Inputs!$C$10</f>
        <v>0.1200075</v>
      </c>
      <c r="L617" s="37" t="n">
        <f aca="false">I617*K617/C617</f>
        <v>491.834016393443</v>
      </c>
      <c r="M617" s="37" t="n">
        <f aca="false">IF(AND(A617&gt;=Inputs!$C$13,OR(A617&lt;Inputs!$B$19,Inputs!$B$20=1)),I617*Inputs!$C$11/C617,0)</f>
        <v>81.9672131147541</v>
      </c>
    </row>
    <row r="618" customFormat="false" ht="15" hidden="false" customHeight="false" outlineLevel="0" collapsed="false">
      <c r="A618" s="35" t="n">
        <f aca="false">A617+1</f>
        <v>45425</v>
      </c>
      <c r="B618" s="35" t="n">
        <f aca="false">EOMONTH(A618+1,0)</f>
        <v>45443</v>
      </c>
      <c r="C618" s="36" t="n">
        <f aca="false">IF(MOD(YEAR(A618),4)=0,366,365)</f>
        <v>366</v>
      </c>
      <c r="D618" s="37" t="n">
        <f aca="false">Inputs!$B$9-SUMIFS(Cash_Events!$G$6:$G$20,Cash_Events!$C$6:$C$20,"rAGMF",Cash_Events!$B$6:$B$20,"&lt;="&amp;A618)</f>
        <v>1500000</v>
      </c>
      <c r="E618" s="38" t="n">
        <f aca="false">VLOOKUP(A618,Inputs!$A$40:$B$48,2,TRUE())</f>
        <v>0.0523565</v>
      </c>
      <c r="F618" s="38" t="n">
        <f aca="false">E618+Inputs!$B$10</f>
        <v>0.1198565</v>
      </c>
      <c r="G618" s="37" t="n">
        <f aca="false">D618*F618/C618</f>
        <v>491.215163934426</v>
      </c>
      <c r="H618" s="37" t="n">
        <f aca="false">IF(AND(A618&gt;=Inputs!$B$13,OR(A618&lt;Inputs!$B$19,Inputs!$B$20=1)),D618*Inputs!$B$11/C618,0)</f>
        <v>81.9672131147541</v>
      </c>
      <c r="I618" s="37" t="n">
        <f aca="false">Inputs!$C$9-SUMIFS(Cash_Events!$G$6:$G$20,Cash_Events!$C$6:$C$20,"FHL",Cash_Events!$B$6:$B$20,"&lt;="&amp;A618)</f>
        <v>1500000</v>
      </c>
      <c r="J618" s="38" t="n">
        <f aca="false">VLOOKUP(A618,Inputs!$F$40:$G$48,2,TRUE())</f>
        <v>0.0525075</v>
      </c>
      <c r="K618" s="38" t="n">
        <f aca="false">J618+Inputs!$C$10</f>
        <v>0.1200075</v>
      </c>
      <c r="L618" s="37" t="n">
        <f aca="false">I618*K618/C618</f>
        <v>491.834016393443</v>
      </c>
      <c r="M618" s="37" t="n">
        <f aca="false">IF(AND(A618&gt;=Inputs!$C$13,OR(A618&lt;Inputs!$B$19,Inputs!$B$20=1)),I618*Inputs!$C$11/C618,0)</f>
        <v>81.9672131147541</v>
      </c>
    </row>
    <row r="619" customFormat="false" ht="15" hidden="false" customHeight="false" outlineLevel="0" collapsed="false">
      <c r="A619" s="35" t="n">
        <f aca="false">A618+1</f>
        <v>45426</v>
      </c>
      <c r="B619" s="35" t="n">
        <f aca="false">EOMONTH(A619+1,0)</f>
        <v>45443</v>
      </c>
      <c r="C619" s="36" t="n">
        <f aca="false">IF(MOD(YEAR(A619),4)=0,366,365)</f>
        <v>366</v>
      </c>
      <c r="D619" s="37" t="n">
        <f aca="false">Inputs!$B$9-SUMIFS(Cash_Events!$G$6:$G$20,Cash_Events!$C$6:$C$20,"rAGMF",Cash_Events!$B$6:$B$20,"&lt;="&amp;A619)</f>
        <v>1500000</v>
      </c>
      <c r="E619" s="38" t="n">
        <f aca="false">VLOOKUP(A619,Inputs!$A$40:$B$48,2,TRUE())</f>
        <v>0.0523565</v>
      </c>
      <c r="F619" s="38" t="n">
        <f aca="false">E619+Inputs!$B$10</f>
        <v>0.1198565</v>
      </c>
      <c r="G619" s="37" t="n">
        <f aca="false">D619*F619/C619</f>
        <v>491.215163934426</v>
      </c>
      <c r="H619" s="37" t="n">
        <f aca="false">IF(AND(A619&gt;=Inputs!$B$13,OR(A619&lt;Inputs!$B$19,Inputs!$B$20=1)),D619*Inputs!$B$11/C619,0)</f>
        <v>81.9672131147541</v>
      </c>
      <c r="I619" s="37" t="n">
        <f aca="false">Inputs!$C$9-SUMIFS(Cash_Events!$G$6:$G$20,Cash_Events!$C$6:$C$20,"FHL",Cash_Events!$B$6:$B$20,"&lt;="&amp;A619)</f>
        <v>1500000</v>
      </c>
      <c r="J619" s="38" t="n">
        <f aca="false">VLOOKUP(A619,Inputs!$F$40:$G$48,2,TRUE())</f>
        <v>0.0525075</v>
      </c>
      <c r="K619" s="38" t="n">
        <f aca="false">J619+Inputs!$C$10</f>
        <v>0.1200075</v>
      </c>
      <c r="L619" s="37" t="n">
        <f aca="false">I619*K619/C619</f>
        <v>491.834016393443</v>
      </c>
      <c r="M619" s="37" t="n">
        <f aca="false">IF(AND(A619&gt;=Inputs!$C$13,OR(A619&lt;Inputs!$B$19,Inputs!$B$20=1)),I619*Inputs!$C$11/C619,0)</f>
        <v>81.9672131147541</v>
      </c>
    </row>
    <row r="620" customFormat="false" ht="15" hidden="false" customHeight="false" outlineLevel="0" collapsed="false">
      <c r="A620" s="35" t="n">
        <f aca="false">A619+1</f>
        <v>45427</v>
      </c>
      <c r="B620" s="35" t="n">
        <f aca="false">EOMONTH(A620+1,0)</f>
        <v>45443</v>
      </c>
      <c r="C620" s="36" t="n">
        <f aca="false">IF(MOD(YEAR(A620),4)=0,366,365)</f>
        <v>366</v>
      </c>
      <c r="D620" s="37" t="n">
        <f aca="false">Inputs!$B$9-SUMIFS(Cash_Events!$G$6:$G$20,Cash_Events!$C$6:$C$20,"rAGMF",Cash_Events!$B$6:$B$20,"&lt;="&amp;A620)</f>
        <v>1500000</v>
      </c>
      <c r="E620" s="38" t="n">
        <f aca="false">VLOOKUP(A620,Inputs!$A$40:$B$48,2,TRUE())</f>
        <v>0.0523565</v>
      </c>
      <c r="F620" s="38" t="n">
        <f aca="false">E620+Inputs!$B$10</f>
        <v>0.1198565</v>
      </c>
      <c r="G620" s="37" t="n">
        <f aca="false">D620*F620/C620</f>
        <v>491.215163934426</v>
      </c>
      <c r="H620" s="37" t="n">
        <f aca="false">IF(AND(A620&gt;=Inputs!$B$13,OR(A620&lt;Inputs!$B$19,Inputs!$B$20=1)),D620*Inputs!$B$11/C620,0)</f>
        <v>81.9672131147541</v>
      </c>
      <c r="I620" s="37" t="n">
        <f aca="false">Inputs!$C$9-SUMIFS(Cash_Events!$G$6:$G$20,Cash_Events!$C$6:$C$20,"FHL",Cash_Events!$B$6:$B$20,"&lt;="&amp;A620)</f>
        <v>1500000</v>
      </c>
      <c r="J620" s="38" t="n">
        <f aca="false">VLOOKUP(A620,Inputs!$F$40:$G$48,2,TRUE())</f>
        <v>0.0525075</v>
      </c>
      <c r="K620" s="38" t="n">
        <f aca="false">J620+Inputs!$C$10</f>
        <v>0.1200075</v>
      </c>
      <c r="L620" s="37" t="n">
        <f aca="false">I620*K620/C620</f>
        <v>491.834016393443</v>
      </c>
      <c r="M620" s="37" t="n">
        <f aca="false">IF(AND(A620&gt;=Inputs!$C$13,OR(A620&lt;Inputs!$B$19,Inputs!$B$20=1)),I620*Inputs!$C$11/C620,0)</f>
        <v>81.9672131147541</v>
      </c>
    </row>
    <row r="621" customFormat="false" ht="15" hidden="false" customHeight="false" outlineLevel="0" collapsed="false">
      <c r="A621" s="35" t="n">
        <f aca="false">A620+1</f>
        <v>45428</v>
      </c>
      <c r="B621" s="35" t="n">
        <f aca="false">EOMONTH(A621+1,0)</f>
        <v>45443</v>
      </c>
      <c r="C621" s="36" t="n">
        <f aca="false">IF(MOD(YEAR(A621),4)=0,366,365)</f>
        <v>366</v>
      </c>
      <c r="D621" s="37" t="n">
        <f aca="false">Inputs!$B$9-SUMIFS(Cash_Events!$G$6:$G$20,Cash_Events!$C$6:$C$20,"rAGMF",Cash_Events!$B$6:$B$20,"&lt;="&amp;A621)</f>
        <v>1500000</v>
      </c>
      <c r="E621" s="38" t="n">
        <f aca="false">VLOOKUP(A621,Inputs!$A$40:$B$48,2,TRUE())</f>
        <v>0.0523565</v>
      </c>
      <c r="F621" s="38" t="n">
        <f aca="false">E621+Inputs!$B$10</f>
        <v>0.1198565</v>
      </c>
      <c r="G621" s="37" t="n">
        <f aca="false">D621*F621/C621</f>
        <v>491.215163934426</v>
      </c>
      <c r="H621" s="37" t="n">
        <f aca="false">IF(AND(A621&gt;=Inputs!$B$13,OR(A621&lt;Inputs!$B$19,Inputs!$B$20=1)),D621*Inputs!$B$11/C621,0)</f>
        <v>81.9672131147541</v>
      </c>
      <c r="I621" s="37" t="n">
        <f aca="false">Inputs!$C$9-SUMIFS(Cash_Events!$G$6:$G$20,Cash_Events!$C$6:$C$20,"FHL",Cash_Events!$B$6:$B$20,"&lt;="&amp;A621)</f>
        <v>1500000</v>
      </c>
      <c r="J621" s="38" t="n">
        <f aca="false">VLOOKUP(A621,Inputs!$F$40:$G$48,2,TRUE())</f>
        <v>0.0525075</v>
      </c>
      <c r="K621" s="38" t="n">
        <f aca="false">J621+Inputs!$C$10</f>
        <v>0.1200075</v>
      </c>
      <c r="L621" s="37" t="n">
        <f aca="false">I621*K621/C621</f>
        <v>491.834016393443</v>
      </c>
      <c r="M621" s="37" t="n">
        <f aca="false">IF(AND(A621&gt;=Inputs!$C$13,OR(A621&lt;Inputs!$B$19,Inputs!$B$20=1)),I621*Inputs!$C$11/C621,0)</f>
        <v>81.9672131147541</v>
      </c>
    </row>
    <row r="622" customFormat="false" ht="15" hidden="false" customHeight="false" outlineLevel="0" collapsed="false">
      <c r="A622" s="35" t="n">
        <f aca="false">A621+1</f>
        <v>45429</v>
      </c>
      <c r="B622" s="35" t="n">
        <f aca="false">EOMONTH(A622+1,0)</f>
        <v>45443</v>
      </c>
      <c r="C622" s="36" t="n">
        <f aca="false">IF(MOD(YEAR(A622),4)=0,366,365)</f>
        <v>366</v>
      </c>
      <c r="D622" s="37" t="n">
        <f aca="false">Inputs!$B$9-SUMIFS(Cash_Events!$G$6:$G$20,Cash_Events!$C$6:$C$20,"rAGMF",Cash_Events!$B$6:$B$20,"&lt;="&amp;A622)</f>
        <v>1500000</v>
      </c>
      <c r="E622" s="38" t="n">
        <f aca="false">VLOOKUP(A622,Inputs!$A$40:$B$48,2,TRUE())</f>
        <v>0.0523565</v>
      </c>
      <c r="F622" s="38" t="n">
        <f aca="false">E622+Inputs!$B$10</f>
        <v>0.1198565</v>
      </c>
      <c r="G622" s="37" t="n">
        <f aca="false">D622*F622/C622</f>
        <v>491.215163934426</v>
      </c>
      <c r="H622" s="37" t="n">
        <f aca="false">IF(AND(A622&gt;=Inputs!$B$13,OR(A622&lt;Inputs!$B$19,Inputs!$B$20=1)),D622*Inputs!$B$11/C622,0)</f>
        <v>81.9672131147541</v>
      </c>
      <c r="I622" s="37" t="n">
        <f aca="false">Inputs!$C$9-SUMIFS(Cash_Events!$G$6:$G$20,Cash_Events!$C$6:$C$20,"FHL",Cash_Events!$B$6:$B$20,"&lt;="&amp;A622)</f>
        <v>1500000</v>
      </c>
      <c r="J622" s="38" t="n">
        <f aca="false">VLOOKUP(A622,Inputs!$F$40:$G$48,2,TRUE())</f>
        <v>0.0525075</v>
      </c>
      <c r="K622" s="38" t="n">
        <f aca="false">J622+Inputs!$C$10</f>
        <v>0.1200075</v>
      </c>
      <c r="L622" s="37" t="n">
        <f aca="false">I622*K622/C622</f>
        <v>491.834016393443</v>
      </c>
      <c r="M622" s="37" t="n">
        <f aca="false">IF(AND(A622&gt;=Inputs!$C$13,OR(A622&lt;Inputs!$B$19,Inputs!$B$20=1)),I622*Inputs!$C$11/C622,0)</f>
        <v>81.9672131147541</v>
      </c>
    </row>
    <row r="623" customFormat="false" ht="15" hidden="false" customHeight="false" outlineLevel="0" collapsed="false">
      <c r="A623" s="35" t="n">
        <f aca="false">A622+1</f>
        <v>45430</v>
      </c>
      <c r="B623" s="35" t="n">
        <f aca="false">EOMONTH(A623+1,0)</f>
        <v>45443</v>
      </c>
      <c r="C623" s="36" t="n">
        <f aca="false">IF(MOD(YEAR(A623),4)=0,366,365)</f>
        <v>366</v>
      </c>
      <c r="D623" s="37" t="n">
        <f aca="false">Inputs!$B$9-SUMIFS(Cash_Events!$G$6:$G$20,Cash_Events!$C$6:$C$20,"rAGMF",Cash_Events!$B$6:$B$20,"&lt;="&amp;A623)</f>
        <v>1500000</v>
      </c>
      <c r="E623" s="38" t="n">
        <f aca="false">VLOOKUP(A623,Inputs!$A$40:$B$48,2,TRUE())</f>
        <v>0.0523565</v>
      </c>
      <c r="F623" s="38" t="n">
        <f aca="false">E623+Inputs!$B$10</f>
        <v>0.1198565</v>
      </c>
      <c r="G623" s="37" t="n">
        <f aca="false">D623*F623/C623</f>
        <v>491.215163934426</v>
      </c>
      <c r="H623" s="37" t="n">
        <f aca="false">IF(AND(A623&gt;=Inputs!$B$13,OR(A623&lt;Inputs!$B$19,Inputs!$B$20=1)),D623*Inputs!$B$11/C623,0)</f>
        <v>81.9672131147541</v>
      </c>
      <c r="I623" s="37" t="n">
        <f aca="false">Inputs!$C$9-SUMIFS(Cash_Events!$G$6:$G$20,Cash_Events!$C$6:$C$20,"FHL",Cash_Events!$B$6:$B$20,"&lt;="&amp;A623)</f>
        <v>1500000</v>
      </c>
      <c r="J623" s="38" t="n">
        <f aca="false">VLOOKUP(A623,Inputs!$F$40:$G$48,2,TRUE())</f>
        <v>0.0525075</v>
      </c>
      <c r="K623" s="38" t="n">
        <f aca="false">J623+Inputs!$C$10</f>
        <v>0.1200075</v>
      </c>
      <c r="L623" s="37" t="n">
        <f aca="false">I623*K623/C623</f>
        <v>491.834016393443</v>
      </c>
      <c r="M623" s="37" t="n">
        <f aca="false">IF(AND(A623&gt;=Inputs!$C$13,OR(A623&lt;Inputs!$B$19,Inputs!$B$20=1)),I623*Inputs!$C$11/C623,0)</f>
        <v>81.9672131147541</v>
      </c>
    </row>
    <row r="624" customFormat="false" ht="15" hidden="false" customHeight="false" outlineLevel="0" collapsed="false">
      <c r="A624" s="35" t="n">
        <f aca="false">A623+1</f>
        <v>45431</v>
      </c>
      <c r="B624" s="35" t="n">
        <f aca="false">EOMONTH(A624+1,0)</f>
        <v>45443</v>
      </c>
      <c r="C624" s="36" t="n">
        <f aca="false">IF(MOD(YEAR(A624),4)=0,366,365)</f>
        <v>366</v>
      </c>
      <c r="D624" s="37" t="n">
        <f aca="false">Inputs!$B$9-SUMIFS(Cash_Events!$G$6:$G$20,Cash_Events!$C$6:$C$20,"rAGMF",Cash_Events!$B$6:$B$20,"&lt;="&amp;A624)</f>
        <v>1500000</v>
      </c>
      <c r="E624" s="38" t="n">
        <f aca="false">VLOOKUP(A624,Inputs!$A$40:$B$48,2,TRUE())</f>
        <v>0.0523565</v>
      </c>
      <c r="F624" s="38" t="n">
        <f aca="false">E624+Inputs!$B$10</f>
        <v>0.1198565</v>
      </c>
      <c r="G624" s="37" t="n">
        <f aca="false">D624*F624/C624</f>
        <v>491.215163934426</v>
      </c>
      <c r="H624" s="37" t="n">
        <f aca="false">IF(AND(A624&gt;=Inputs!$B$13,OR(A624&lt;Inputs!$B$19,Inputs!$B$20=1)),D624*Inputs!$B$11/C624,0)</f>
        <v>81.9672131147541</v>
      </c>
      <c r="I624" s="37" t="n">
        <f aca="false">Inputs!$C$9-SUMIFS(Cash_Events!$G$6:$G$20,Cash_Events!$C$6:$C$20,"FHL",Cash_Events!$B$6:$B$20,"&lt;="&amp;A624)</f>
        <v>1500000</v>
      </c>
      <c r="J624" s="38" t="n">
        <f aca="false">VLOOKUP(A624,Inputs!$F$40:$G$48,2,TRUE())</f>
        <v>0.0525075</v>
      </c>
      <c r="K624" s="38" t="n">
        <f aca="false">J624+Inputs!$C$10</f>
        <v>0.1200075</v>
      </c>
      <c r="L624" s="37" t="n">
        <f aca="false">I624*K624/C624</f>
        <v>491.834016393443</v>
      </c>
      <c r="M624" s="37" t="n">
        <f aca="false">IF(AND(A624&gt;=Inputs!$C$13,OR(A624&lt;Inputs!$B$19,Inputs!$B$20=1)),I624*Inputs!$C$11/C624,0)</f>
        <v>81.9672131147541</v>
      </c>
    </row>
    <row r="625" customFormat="false" ht="15" hidden="false" customHeight="false" outlineLevel="0" collapsed="false">
      <c r="A625" s="35" t="n">
        <f aca="false">A624+1</f>
        <v>45432</v>
      </c>
      <c r="B625" s="35" t="n">
        <f aca="false">EOMONTH(A625+1,0)</f>
        <v>45443</v>
      </c>
      <c r="C625" s="36" t="n">
        <f aca="false">IF(MOD(YEAR(A625),4)=0,366,365)</f>
        <v>366</v>
      </c>
      <c r="D625" s="37" t="n">
        <f aca="false">Inputs!$B$9-SUMIFS(Cash_Events!$G$6:$G$20,Cash_Events!$C$6:$C$20,"rAGMF",Cash_Events!$B$6:$B$20,"&lt;="&amp;A625)</f>
        <v>1500000</v>
      </c>
      <c r="E625" s="38" t="n">
        <f aca="false">VLOOKUP(A625,Inputs!$A$40:$B$48,2,TRUE())</f>
        <v>0.0523565</v>
      </c>
      <c r="F625" s="38" t="n">
        <f aca="false">E625+Inputs!$B$10</f>
        <v>0.1198565</v>
      </c>
      <c r="G625" s="37" t="n">
        <f aca="false">D625*F625/C625</f>
        <v>491.215163934426</v>
      </c>
      <c r="H625" s="37" t="n">
        <f aca="false">IF(AND(A625&gt;=Inputs!$B$13,OR(A625&lt;Inputs!$B$19,Inputs!$B$20=1)),D625*Inputs!$B$11/C625,0)</f>
        <v>81.9672131147541</v>
      </c>
      <c r="I625" s="37" t="n">
        <f aca="false">Inputs!$C$9-SUMIFS(Cash_Events!$G$6:$G$20,Cash_Events!$C$6:$C$20,"FHL",Cash_Events!$B$6:$B$20,"&lt;="&amp;A625)</f>
        <v>1500000</v>
      </c>
      <c r="J625" s="38" t="n">
        <f aca="false">VLOOKUP(A625,Inputs!$F$40:$G$48,2,TRUE())</f>
        <v>0.0525075</v>
      </c>
      <c r="K625" s="38" t="n">
        <f aca="false">J625+Inputs!$C$10</f>
        <v>0.1200075</v>
      </c>
      <c r="L625" s="37" t="n">
        <f aca="false">I625*K625/C625</f>
        <v>491.834016393443</v>
      </c>
      <c r="M625" s="37" t="n">
        <f aca="false">IF(AND(A625&gt;=Inputs!$C$13,OR(A625&lt;Inputs!$B$19,Inputs!$B$20=1)),I625*Inputs!$C$11/C625,0)</f>
        <v>81.9672131147541</v>
      </c>
    </row>
    <row r="626" customFormat="false" ht="15" hidden="false" customHeight="false" outlineLevel="0" collapsed="false">
      <c r="A626" s="35" t="n">
        <f aca="false">A625+1</f>
        <v>45433</v>
      </c>
      <c r="B626" s="35" t="n">
        <f aca="false">EOMONTH(A626+1,0)</f>
        <v>45443</v>
      </c>
      <c r="C626" s="36" t="n">
        <f aca="false">IF(MOD(YEAR(A626),4)=0,366,365)</f>
        <v>366</v>
      </c>
      <c r="D626" s="37" t="n">
        <f aca="false">Inputs!$B$9-SUMIFS(Cash_Events!$G$6:$G$20,Cash_Events!$C$6:$C$20,"rAGMF",Cash_Events!$B$6:$B$20,"&lt;="&amp;A626)</f>
        <v>1500000</v>
      </c>
      <c r="E626" s="38" t="n">
        <f aca="false">VLOOKUP(A626,Inputs!$A$40:$B$48,2,TRUE())</f>
        <v>0.0523565</v>
      </c>
      <c r="F626" s="38" t="n">
        <f aca="false">E626+Inputs!$B$10</f>
        <v>0.1198565</v>
      </c>
      <c r="G626" s="37" t="n">
        <f aca="false">D626*F626/C626</f>
        <v>491.215163934426</v>
      </c>
      <c r="H626" s="37" t="n">
        <f aca="false">IF(AND(A626&gt;=Inputs!$B$13,OR(A626&lt;Inputs!$B$19,Inputs!$B$20=1)),D626*Inputs!$B$11/C626,0)</f>
        <v>81.9672131147541</v>
      </c>
      <c r="I626" s="37" t="n">
        <f aca="false">Inputs!$C$9-SUMIFS(Cash_Events!$G$6:$G$20,Cash_Events!$C$6:$C$20,"FHL",Cash_Events!$B$6:$B$20,"&lt;="&amp;A626)</f>
        <v>1500000</v>
      </c>
      <c r="J626" s="38" t="n">
        <f aca="false">VLOOKUP(A626,Inputs!$F$40:$G$48,2,TRUE())</f>
        <v>0.0525075</v>
      </c>
      <c r="K626" s="38" t="n">
        <f aca="false">J626+Inputs!$C$10</f>
        <v>0.1200075</v>
      </c>
      <c r="L626" s="37" t="n">
        <f aca="false">I626*K626/C626</f>
        <v>491.834016393443</v>
      </c>
      <c r="M626" s="37" t="n">
        <f aca="false">IF(AND(A626&gt;=Inputs!$C$13,OR(A626&lt;Inputs!$B$19,Inputs!$B$20=1)),I626*Inputs!$C$11/C626,0)</f>
        <v>81.9672131147541</v>
      </c>
    </row>
    <row r="627" customFormat="false" ht="15" hidden="false" customHeight="false" outlineLevel="0" collapsed="false">
      <c r="A627" s="35" t="n">
        <f aca="false">A626+1</f>
        <v>45434</v>
      </c>
      <c r="B627" s="35" t="n">
        <f aca="false">EOMONTH(A627+1,0)</f>
        <v>45443</v>
      </c>
      <c r="C627" s="36" t="n">
        <f aca="false">IF(MOD(YEAR(A627),4)=0,366,365)</f>
        <v>366</v>
      </c>
      <c r="D627" s="37" t="n">
        <f aca="false">Inputs!$B$9-SUMIFS(Cash_Events!$G$6:$G$20,Cash_Events!$C$6:$C$20,"rAGMF",Cash_Events!$B$6:$B$20,"&lt;="&amp;A627)</f>
        <v>1500000</v>
      </c>
      <c r="E627" s="38" t="n">
        <f aca="false">VLOOKUP(A627,Inputs!$A$40:$B$48,2,TRUE())</f>
        <v>0.0523565</v>
      </c>
      <c r="F627" s="38" t="n">
        <f aca="false">E627+Inputs!$B$10</f>
        <v>0.1198565</v>
      </c>
      <c r="G627" s="37" t="n">
        <f aca="false">D627*F627/C627</f>
        <v>491.215163934426</v>
      </c>
      <c r="H627" s="37" t="n">
        <f aca="false">IF(AND(A627&gt;=Inputs!$B$13,OR(A627&lt;Inputs!$B$19,Inputs!$B$20=1)),D627*Inputs!$B$11/C627,0)</f>
        <v>81.9672131147541</v>
      </c>
      <c r="I627" s="37" t="n">
        <f aca="false">Inputs!$C$9-SUMIFS(Cash_Events!$G$6:$G$20,Cash_Events!$C$6:$C$20,"FHL",Cash_Events!$B$6:$B$20,"&lt;="&amp;A627)</f>
        <v>1500000</v>
      </c>
      <c r="J627" s="38" t="n">
        <f aca="false">VLOOKUP(A627,Inputs!$F$40:$G$48,2,TRUE())</f>
        <v>0.0525075</v>
      </c>
      <c r="K627" s="38" t="n">
        <f aca="false">J627+Inputs!$C$10</f>
        <v>0.1200075</v>
      </c>
      <c r="L627" s="37" t="n">
        <f aca="false">I627*K627/C627</f>
        <v>491.834016393443</v>
      </c>
      <c r="M627" s="37" t="n">
        <f aca="false">IF(AND(A627&gt;=Inputs!$C$13,OR(A627&lt;Inputs!$B$19,Inputs!$B$20=1)),I627*Inputs!$C$11/C627,0)</f>
        <v>81.9672131147541</v>
      </c>
    </row>
    <row r="628" customFormat="false" ht="15" hidden="false" customHeight="false" outlineLevel="0" collapsed="false">
      <c r="A628" s="35" t="n">
        <f aca="false">A627+1</f>
        <v>45435</v>
      </c>
      <c r="B628" s="35" t="n">
        <f aca="false">EOMONTH(A628+1,0)</f>
        <v>45443</v>
      </c>
      <c r="C628" s="36" t="n">
        <f aca="false">IF(MOD(YEAR(A628),4)=0,366,365)</f>
        <v>366</v>
      </c>
      <c r="D628" s="37" t="n">
        <f aca="false">Inputs!$B$9-SUMIFS(Cash_Events!$G$6:$G$20,Cash_Events!$C$6:$C$20,"rAGMF",Cash_Events!$B$6:$B$20,"&lt;="&amp;A628)</f>
        <v>1500000</v>
      </c>
      <c r="E628" s="38" t="n">
        <f aca="false">VLOOKUP(A628,Inputs!$A$40:$B$48,2,TRUE())</f>
        <v>0.0523565</v>
      </c>
      <c r="F628" s="38" t="n">
        <f aca="false">E628+Inputs!$B$10</f>
        <v>0.1198565</v>
      </c>
      <c r="G628" s="37" t="n">
        <f aca="false">D628*F628/C628</f>
        <v>491.215163934426</v>
      </c>
      <c r="H628" s="37" t="n">
        <f aca="false">IF(AND(A628&gt;=Inputs!$B$13,OR(A628&lt;Inputs!$B$19,Inputs!$B$20=1)),D628*Inputs!$B$11/C628,0)</f>
        <v>81.9672131147541</v>
      </c>
      <c r="I628" s="37" t="n">
        <f aca="false">Inputs!$C$9-SUMIFS(Cash_Events!$G$6:$G$20,Cash_Events!$C$6:$C$20,"FHL",Cash_Events!$B$6:$B$20,"&lt;="&amp;A628)</f>
        <v>1500000</v>
      </c>
      <c r="J628" s="38" t="n">
        <f aca="false">VLOOKUP(A628,Inputs!$F$40:$G$48,2,TRUE())</f>
        <v>0.0525075</v>
      </c>
      <c r="K628" s="38" t="n">
        <f aca="false">J628+Inputs!$C$10</f>
        <v>0.1200075</v>
      </c>
      <c r="L628" s="37" t="n">
        <f aca="false">I628*K628/C628</f>
        <v>491.834016393443</v>
      </c>
      <c r="M628" s="37" t="n">
        <f aca="false">IF(AND(A628&gt;=Inputs!$C$13,OR(A628&lt;Inputs!$B$19,Inputs!$B$20=1)),I628*Inputs!$C$11/C628,0)</f>
        <v>81.9672131147541</v>
      </c>
    </row>
    <row r="629" customFormat="false" ht="15" hidden="false" customHeight="false" outlineLevel="0" collapsed="false">
      <c r="A629" s="35" t="n">
        <f aca="false">A628+1</f>
        <v>45436</v>
      </c>
      <c r="B629" s="35" t="n">
        <f aca="false">EOMONTH(A629+1,0)</f>
        <v>45443</v>
      </c>
      <c r="C629" s="36" t="n">
        <f aca="false">IF(MOD(YEAR(A629),4)=0,366,365)</f>
        <v>366</v>
      </c>
      <c r="D629" s="37" t="n">
        <f aca="false">Inputs!$B$9-SUMIFS(Cash_Events!$G$6:$G$20,Cash_Events!$C$6:$C$20,"rAGMF",Cash_Events!$B$6:$B$20,"&lt;="&amp;A629)</f>
        <v>1500000</v>
      </c>
      <c r="E629" s="38" t="n">
        <f aca="false">VLOOKUP(A629,Inputs!$A$40:$B$48,2,TRUE())</f>
        <v>0.0523565</v>
      </c>
      <c r="F629" s="38" t="n">
        <f aca="false">E629+Inputs!$B$10</f>
        <v>0.1198565</v>
      </c>
      <c r="G629" s="37" t="n">
        <f aca="false">D629*F629/C629</f>
        <v>491.215163934426</v>
      </c>
      <c r="H629" s="37" t="n">
        <f aca="false">IF(AND(A629&gt;=Inputs!$B$13,OR(A629&lt;Inputs!$B$19,Inputs!$B$20=1)),D629*Inputs!$B$11/C629,0)</f>
        <v>81.9672131147541</v>
      </c>
      <c r="I629" s="37" t="n">
        <f aca="false">Inputs!$C$9-SUMIFS(Cash_Events!$G$6:$G$20,Cash_Events!$C$6:$C$20,"FHL",Cash_Events!$B$6:$B$20,"&lt;="&amp;A629)</f>
        <v>1500000</v>
      </c>
      <c r="J629" s="38" t="n">
        <f aca="false">VLOOKUP(A629,Inputs!$F$40:$G$48,2,TRUE())</f>
        <v>0.0525075</v>
      </c>
      <c r="K629" s="38" t="n">
        <f aca="false">J629+Inputs!$C$10</f>
        <v>0.1200075</v>
      </c>
      <c r="L629" s="37" t="n">
        <f aca="false">I629*K629/C629</f>
        <v>491.834016393443</v>
      </c>
      <c r="M629" s="37" t="n">
        <f aca="false">IF(AND(A629&gt;=Inputs!$C$13,OR(A629&lt;Inputs!$B$19,Inputs!$B$20=1)),I629*Inputs!$C$11/C629,0)</f>
        <v>81.9672131147541</v>
      </c>
    </row>
    <row r="630" customFormat="false" ht="15" hidden="false" customHeight="false" outlineLevel="0" collapsed="false">
      <c r="A630" s="35" t="n">
        <f aca="false">A629+1</f>
        <v>45437</v>
      </c>
      <c r="B630" s="35" t="n">
        <f aca="false">EOMONTH(A630+1,0)</f>
        <v>45443</v>
      </c>
      <c r="C630" s="36" t="n">
        <f aca="false">IF(MOD(YEAR(A630),4)=0,366,365)</f>
        <v>366</v>
      </c>
      <c r="D630" s="37" t="n">
        <f aca="false">Inputs!$B$9-SUMIFS(Cash_Events!$G$6:$G$20,Cash_Events!$C$6:$C$20,"rAGMF",Cash_Events!$B$6:$B$20,"&lt;="&amp;A630)</f>
        <v>1500000</v>
      </c>
      <c r="E630" s="38" t="n">
        <f aca="false">VLOOKUP(A630,Inputs!$A$40:$B$48,2,TRUE())</f>
        <v>0.0523565</v>
      </c>
      <c r="F630" s="38" t="n">
        <f aca="false">E630+Inputs!$B$10</f>
        <v>0.1198565</v>
      </c>
      <c r="G630" s="37" t="n">
        <f aca="false">D630*F630/C630</f>
        <v>491.215163934426</v>
      </c>
      <c r="H630" s="37" t="n">
        <f aca="false">IF(AND(A630&gt;=Inputs!$B$13,OR(A630&lt;Inputs!$B$19,Inputs!$B$20=1)),D630*Inputs!$B$11/C630,0)</f>
        <v>81.9672131147541</v>
      </c>
      <c r="I630" s="37" t="n">
        <f aca="false">Inputs!$C$9-SUMIFS(Cash_Events!$G$6:$G$20,Cash_Events!$C$6:$C$20,"FHL",Cash_Events!$B$6:$B$20,"&lt;="&amp;A630)</f>
        <v>1500000</v>
      </c>
      <c r="J630" s="38" t="n">
        <f aca="false">VLOOKUP(A630,Inputs!$F$40:$G$48,2,TRUE())</f>
        <v>0.0525075</v>
      </c>
      <c r="K630" s="38" t="n">
        <f aca="false">J630+Inputs!$C$10</f>
        <v>0.1200075</v>
      </c>
      <c r="L630" s="37" t="n">
        <f aca="false">I630*K630/C630</f>
        <v>491.834016393443</v>
      </c>
      <c r="M630" s="37" t="n">
        <f aca="false">IF(AND(A630&gt;=Inputs!$C$13,OR(A630&lt;Inputs!$B$19,Inputs!$B$20=1)),I630*Inputs!$C$11/C630,0)</f>
        <v>81.9672131147541</v>
      </c>
    </row>
    <row r="631" customFormat="false" ht="15" hidden="false" customHeight="false" outlineLevel="0" collapsed="false">
      <c r="A631" s="35" t="n">
        <f aca="false">A630+1</f>
        <v>45438</v>
      </c>
      <c r="B631" s="35" t="n">
        <f aca="false">EOMONTH(A631+1,0)</f>
        <v>45443</v>
      </c>
      <c r="C631" s="36" t="n">
        <f aca="false">IF(MOD(YEAR(A631),4)=0,366,365)</f>
        <v>366</v>
      </c>
      <c r="D631" s="37" t="n">
        <f aca="false">Inputs!$B$9-SUMIFS(Cash_Events!$G$6:$G$20,Cash_Events!$C$6:$C$20,"rAGMF",Cash_Events!$B$6:$B$20,"&lt;="&amp;A631)</f>
        <v>1500000</v>
      </c>
      <c r="E631" s="38" t="n">
        <f aca="false">VLOOKUP(A631,Inputs!$A$40:$B$48,2,TRUE())</f>
        <v>0.0523565</v>
      </c>
      <c r="F631" s="38" t="n">
        <f aca="false">E631+Inputs!$B$10</f>
        <v>0.1198565</v>
      </c>
      <c r="G631" s="37" t="n">
        <f aca="false">D631*F631/C631</f>
        <v>491.215163934426</v>
      </c>
      <c r="H631" s="37" t="n">
        <f aca="false">IF(AND(A631&gt;=Inputs!$B$13,OR(A631&lt;Inputs!$B$19,Inputs!$B$20=1)),D631*Inputs!$B$11/C631,0)</f>
        <v>81.9672131147541</v>
      </c>
      <c r="I631" s="37" t="n">
        <f aca="false">Inputs!$C$9-SUMIFS(Cash_Events!$G$6:$G$20,Cash_Events!$C$6:$C$20,"FHL",Cash_Events!$B$6:$B$20,"&lt;="&amp;A631)</f>
        <v>1500000</v>
      </c>
      <c r="J631" s="38" t="n">
        <f aca="false">VLOOKUP(A631,Inputs!$F$40:$G$48,2,TRUE())</f>
        <v>0.0525075</v>
      </c>
      <c r="K631" s="38" t="n">
        <f aca="false">J631+Inputs!$C$10</f>
        <v>0.1200075</v>
      </c>
      <c r="L631" s="37" t="n">
        <f aca="false">I631*K631/C631</f>
        <v>491.834016393443</v>
      </c>
      <c r="M631" s="37" t="n">
        <f aca="false">IF(AND(A631&gt;=Inputs!$C$13,OR(A631&lt;Inputs!$B$19,Inputs!$B$20=1)),I631*Inputs!$C$11/C631,0)</f>
        <v>81.9672131147541</v>
      </c>
    </row>
    <row r="632" customFormat="false" ht="15" hidden="false" customHeight="false" outlineLevel="0" collapsed="false">
      <c r="A632" s="35" t="n">
        <f aca="false">A631+1</f>
        <v>45439</v>
      </c>
      <c r="B632" s="35" t="n">
        <f aca="false">EOMONTH(A632+1,0)</f>
        <v>45443</v>
      </c>
      <c r="C632" s="36" t="n">
        <f aca="false">IF(MOD(YEAR(A632),4)=0,366,365)</f>
        <v>366</v>
      </c>
      <c r="D632" s="37" t="n">
        <f aca="false">Inputs!$B$9-SUMIFS(Cash_Events!$G$6:$G$20,Cash_Events!$C$6:$C$20,"rAGMF",Cash_Events!$B$6:$B$20,"&lt;="&amp;A632)</f>
        <v>1500000</v>
      </c>
      <c r="E632" s="38" t="n">
        <f aca="false">VLOOKUP(A632,Inputs!$A$40:$B$48,2,TRUE())</f>
        <v>0.0523565</v>
      </c>
      <c r="F632" s="38" t="n">
        <f aca="false">E632+Inputs!$B$10</f>
        <v>0.1198565</v>
      </c>
      <c r="G632" s="37" t="n">
        <f aca="false">D632*F632/C632</f>
        <v>491.215163934426</v>
      </c>
      <c r="H632" s="37" t="n">
        <f aca="false">IF(AND(A632&gt;=Inputs!$B$13,OR(A632&lt;Inputs!$B$19,Inputs!$B$20=1)),D632*Inputs!$B$11/C632,0)</f>
        <v>81.9672131147541</v>
      </c>
      <c r="I632" s="37" t="n">
        <f aca="false">Inputs!$C$9-SUMIFS(Cash_Events!$G$6:$G$20,Cash_Events!$C$6:$C$20,"FHL",Cash_Events!$B$6:$B$20,"&lt;="&amp;A632)</f>
        <v>1500000</v>
      </c>
      <c r="J632" s="38" t="n">
        <f aca="false">VLOOKUP(A632,Inputs!$F$40:$G$48,2,TRUE())</f>
        <v>0.0525075</v>
      </c>
      <c r="K632" s="38" t="n">
        <f aca="false">J632+Inputs!$C$10</f>
        <v>0.1200075</v>
      </c>
      <c r="L632" s="37" t="n">
        <f aca="false">I632*K632/C632</f>
        <v>491.834016393443</v>
      </c>
      <c r="M632" s="37" t="n">
        <f aca="false">IF(AND(A632&gt;=Inputs!$C$13,OR(A632&lt;Inputs!$B$19,Inputs!$B$20=1)),I632*Inputs!$C$11/C632,0)</f>
        <v>81.9672131147541</v>
      </c>
    </row>
    <row r="633" customFormat="false" ht="15" hidden="false" customHeight="false" outlineLevel="0" collapsed="false">
      <c r="A633" s="35" t="n">
        <f aca="false">A632+1</f>
        <v>45440</v>
      </c>
      <c r="B633" s="35" t="n">
        <f aca="false">EOMONTH(A633+1,0)</f>
        <v>45443</v>
      </c>
      <c r="C633" s="36" t="n">
        <f aca="false">IF(MOD(YEAR(A633),4)=0,366,365)</f>
        <v>366</v>
      </c>
      <c r="D633" s="37" t="n">
        <f aca="false">Inputs!$B$9-SUMIFS(Cash_Events!$G$6:$G$20,Cash_Events!$C$6:$C$20,"rAGMF",Cash_Events!$B$6:$B$20,"&lt;="&amp;A633)</f>
        <v>1500000</v>
      </c>
      <c r="E633" s="38" t="n">
        <f aca="false">VLOOKUP(A633,Inputs!$A$40:$B$48,2,TRUE())</f>
        <v>0.0523565</v>
      </c>
      <c r="F633" s="38" t="n">
        <f aca="false">E633+Inputs!$B$10</f>
        <v>0.1198565</v>
      </c>
      <c r="G633" s="37" t="n">
        <f aca="false">D633*F633/C633</f>
        <v>491.215163934426</v>
      </c>
      <c r="H633" s="37" t="n">
        <f aca="false">IF(AND(A633&gt;=Inputs!$B$13,OR(A633&lt;Inputs!$B$19,Inputs!$B$20=1)),D633*Inputs!$B$11/C633,0)</f>
        <v>81.9672131147541</v>
      </c>
      <c r="I633" s="37" t="n">
        <f aca="false">Inputs!$C$9-SUMIFS(Cash_Events!$G$6:$G$20,Cash_Events!$C$6:$C$20,"FHL",Cash_Events!$B$6:$B$20,"&lt;="&amp;A633)</f>
        <v>1500000</v>
      </c>
      <c r="J633" s="38" t="n">
        <f aca="false">VLOOKUP(A633,Inputs!$F$40:$G$48,2,TRUE())</f>
        <v>0.0525075</v>
      </c>
      <c r="K633" s="38" t="n">
        <f aca="false">J633+Inputs!$C$10</f>
        <v>0.1200075</v>
      </c>
      <c r="L633" s="37" t="n">
        <f aca="false">I633*K633/C633</f>
        <v>491.834016393443</v>
      </c>
      <c r="M633" s="37" t="n">
        <f aca="false">IF(AND(A633&gt;=Inputs!$C$13,OR(A633&lt;Inputs!$B$19,Inputs!$B$20=1)),I633*Inputs!$C$11/C633,0)</f>
        <v>81.9672131147541</v>
      </c>
    </row>
    <row r="634" customFormat="false" ht="15" hidden="false" customHeight="false" outlineLevel="0" collapsed="false">
      <c r="A634" s="35" t="n">
        <f aca="false">A633+1</f>
        <v>45441</v>
      </c>
      <c r="B634" s="35" t="n">
        <f aca="false">EOMONTH(A634+1,0)</f>
        <v>45443</v>
      </c>
      <c r="C634" s="36" t="n">
        <f aca="false">IF(MOD(YEAR(A634),4)=0,366,365)</f>
        <v>366</v>
      </c>
      <c r="D634" s="37" t="n">
        <f aca="false">Inputs!$B$9-SUMIFS(Cash_Events!$G$6:$G$20,Cash_Events!$C$6:$C$20,"rAGMF",Cash_Events!$B$6:$B$20,"&lt;="&amp;A634)</f>
        <v>1500000</v>
      </c>
      <c r="E634" s="38" t="n">
        <f aca="false">VLOOKUP(A634,Inputs!$A$40:$B$48,2,TRUE())</f>
        <v>0.0523565</v>
      </c>
      <c r="F634" s="38" t="n">
        <f aca="false">E634+Inputs!$B$10</f>
        <v>0.1198565</v>
      </c>
      <c r="G634" s="37" t="n">
        <f aca="false">D634*F634/C634</f>
        <v>491.215163934426</v>
      </c>
      <c r="H634" s="37" t="n">
        <f aca="false">IF(AND(A634&gt;=Inputs!$B$13,OR(A634&lt;Inputs!$B$19,Inputs!$B$20=1)),D634*Inputs!$B$11/C634,0)</f>
        <v>81.9672131147541</v>
      </c>
      <c r="I634" s="37" t="n">
        <f aca="false">Inputs!$C$9-SUMIFS(Cash_Events!$G$6:$G$20,Cash_Events!$C$6:$C$20,"FHL",Cash_Events!$B$6:$B$20,"&lt;="&amp;A634)</f>
        <v>1500000</v>
      </c>
      <c r="J634" s="38" t="n">
        <f aca="false">VLOOKUP(A634,Inputs!$F$40:$G$48,2,TRUE())</f>
        <v>0.0525075</v>
      </c>
      <c r="K634" s="38" t="n">
        <f aca="false">J634+Inputs!$C$10</f>
        <v>0.1200075</v>
      </c>
      <c r="L634" s="37" t="n">
        <f aca="false">I634*K634/C634</f>
        <v>491.834016393443</v>
      </c>
      <c r="M634" s="37" t="n">
        <f aca="false">IF(AND(A634&gt;=Inputs!$C$13,OR(A634&lt;Inputs!$B$19,Inputs!$B$20=1)),I634*Inputs!$C$11/C634,0)</f>
        <v>81.9672131147541</v>
      </c>
    </row>
    <row r="635" customFormat="false" ht="15" hidden="false" customHeight="false" outlineLevel="0" collapsed="false">
      <c r="A635" s="35" t="n">
        <f aca="false">A634+1</f>
        <v>45442</v>
      </c>
      <c r="B635" s="35" t="n">
        <f aca="false">EOMONTH(A635+1,0)</f>
        <v>45443</v>
      </c>
      <c r="C635" s="36" t="n">
        <f aca="false">IF(MOD(YEAR(A635),4)=0,366,365)</f>
        <v>366</v>
      </c>
      <c r="D635" s="37" t="n">
        <f aca="false">Inputs!$B$9-SUMIFS(Cash_Events!$G$6:$G$20,Cash_Events!$C$6:$C$20,"rAGMF",Cash_Events!$B$6:$B$20,"&lt;="&amp;A635)</f>
        <v>1500000</v>
      </c>
      <c r="E635" s="38" t="n">
        <f aca="false">VLOOKUP(A635,Inputs!$A$40:$B$48,2,TRUE())</f>
        <v>0.0523565</v>
      </c>
      <c r="F635" s="38" t="n">
        <f aca="false">E635+Inputs!$B$10</f>
        <v>0.1198565</v>
      </c>
      <c r="G635" s="37" t="n">
        <f aca="false">D635*F635/C635</f>
        <v>491.215163934426</v>
      </c>
      <c r="H635" s="37" t="n">
        <f aca="false">IF(AND(A635&gt;=Inputs!$B$13,OR(A635&lt;Inputs!$B$19,Inputs!$B$20=1)),D635*Inputs!$B$11/C635,0)</f>
        <v>81.9672131147541</v>
      </c>
      <c r="I635" s="37" t="n">
        <f aca="false">Inputs!$C$9-SUMIFS(Cash_Events!$G$6:$G$20,Cash_Events!$C$6:$C$20,"FHL",Cash_Events!$B$6:$B$20,"&lt;="&amp;A635)</f>
        <v>1500000</v>
      </c>
      <c r="J635" s="38" t="n">
        <f aca="false">VLOOKUP(A635,Inputs!$F$40:$G$48,2,TRUE())</f>
        <v>0.0525075</v>
      </c>
      <c r="K635" s="38" t="n">
        <f aca="false">J635+Inputs!$C$10</f>
        <v>0.1200075</v>
      </c>
      <c r="L635" s="37" t="n">
        <f aca="false">I635*K635/C635</f>
        <v>491.834016393443</v>
      </c>
      <c r="M635" s="37" t="n">
        <f aca="false">IF(AND(A635&gt;=Inputs!$C$13,OR(A635&lt;Inputs!$B$19,Inputs!$B$20=1)),I635*Inputs!$C$11/C635,0)</f>
        <v>81.9672131147541</v>
      </c>
    </row>
    <row r="636" customFormat="false" ht="15" hidden="false" customHeight="false" outlineLevel="0" collapsed="false">
      <c r="A636" s="35" t="n">
        <f aca="false">A635+1</f>
        <v>45443</v>
      </c>
      <c r="B636" s="35" t="n">
        <f aca="false">EOMONTH(A636+1,0)</f>
        <v>45473</v>
      </c>
      <c r="C636" s="36" t="n">
        <f aca="false">IF(MOD(YEAR(A636),4)=0,366,365)</f>
        <v>366</v>
      </c>
      <c r="D636" s="37" t="n">
        <f aca="false">Inputs!$B$9-SUMIFS(Cash_Events!$G$6:$G$20,Cash_Events!$C$6:$C$20,"rAGMF",Cash_Events!$B$6:$B$20,"&lt;="&amp;A636)</f>
        <v>1500000</v>
      </c>
      <c r="E636" s="38" t="n">
        <f aca="false">VLOOKUP(A636,Inputs!$A$40:$B$48,2,TRUE())</f>
        <v>0.0523565</v>
      </c>
      <c r="F636" s="38" t="n">
        <f aca="false">E636+Inputs!$B$10</f>
        <v>0.1198565</v>
      </c>
      <c r="G636" s="37" t="n">
        <f aca="false">D636*F636/C636</f>
        <v>491.215163934426</v>
      </c>
      <c r="H636" s="37" t="n">
        <f aca="false">IF(AND(A636&gt;=Inputs!$B$13,OR(A636&lt;Inputs!$B$19,Inputs!$B$20=1)),D636*Inputs!$B$11/C636,0)</f>
        <v>81.9672131147541</v>
      </c>
      <c r="I636" s="37" t="n">
        <f aca="false">Inputs!$C$9-SUMIFS(Cash_Events!$G$6:$G$20,Cash_Events!$C$6:$C$20,"FHL",Cash_Events!$B$6:$B$20,"&lt;="&amp;A636)</f>
        <v>1500000</v>
      </c>
      <c r="J636" s="38" t="n">
        <f aca="false">VLOOKUP(A636,Inputs!$F$40:$G$48,2,TRUE())</f>
        <v>0.0525075</v>
      </c>
      <c r="K636" s="38" t="n">
        <f aca="false">J636+Inputs!$C$10</f>
        <v>0.1200075</v>
      </c>
      <c r="L636" s="37" t="n">
        <f aca="false">I636*K636/C636</f>
        <v>491.834016393443</v>
      </c>
      <c r="M636" s="37" t="n">
        <f aca="false">IF(AND(A636&gt;=Inputs!$C$13,OR(A636&lt;Inputs!$B$19,Inputs!$B$20=1)),I636*Inputs!$C$11/C636,0)</f>
        <v>81.9672131147541</v>
      </c>
    </row>
    <row r="637" customFormat="false" ht="15" hidden="false" customHeight="false" outlineLevel="0" collapsed="false">
      <c r="A637" s="35" t="n">
        <f aca="false">A636+1</f>
        <v>45444</v>
      </c>
      <c r="B637" s="35" t="n">
        <f aca="false">EOMONTH(A637+1,0)</f>
        <v>45473</v>
      </c>
      <c r="C637" s="36" t="n">
        <f aca="false">IF(MOD(YEAR(A637),4)=0,366,365)</f>
        <v>366</v>
      </c>
      <c r="D637" s="37" t="n">
        <f aca="false">Inputs!$B$9-SUMIFS(Cash_Events!$G$6:$G$20,Cash_Events!$C$6:$C$20,"rAGMF",Cash_Events!$B$6:$B$20,"&lt;="&amp;A637)</f>
        <v>1500000</v>
      </c>
      <c r="E637" s="38" t="n">
        <f aca="false">VLOOKUP(A637,Inputs!$A$40:$B$48,2,TRUE())</f>
        <v>0.0523565</v>
      </c>
      <c r="F637" s="38" t="n">
        <f aca="false">E637+Inputs!$B$10</f>
        <v>0.1198565</v>
      </c>
      <c r="G637" s="37" t="n">
        <f aca="false">D637*F637/C637</f>
        <v>491.215163934426</v>
      </c>
      <c r="H637" s="37" t="n">
        <f aca="false">IF(AND(A637&gt;=Inputs!$B$13,OR(A637&lt;Inputs!$B$19,Inputs!$B$20=1)),D637*Inputs!$B$11/C637,0)</f>
        <v>81.9672131147541</v>
      </c>
      <c r="I637" s="37" t="n">
        <f aca="false">Inputs!$C$9-SUMIFS(Cash_Events!$G$6:$G$20,Cash_Events!$C$6:$C$20,"FHL",Cash_Events!$B$6:$B$20,"&lt;="&amp;A637)</f>
        <v>1500000</v>
      </c>
      <c r="J637" s="38" t="n">
        <f aca="false">VLOOKUP(A637,Inputs!$F$40:$G$48,2,TRUE())</f>
        <v>0.0525075</v>
      </c>
      <c r="K637" s="38" t="n">
        <f aca="false">J637+Inputs!$C$10</f>
        <v>0.1200075</v>
      </c>
      <c r="L637" s="37" t="n">
        <f aca="false">I637*K637/C637</f>
        <v>491.834016393443</v>
      </c>
      <c r="M637" s="37" t="n">
        <f aca="false">IF(AND(A637&gt;=Inputs!$C$13,OR(A637&lt;Inputs!$B$19,Inputs!$B$20=1)),I637*Inputs!$C$11/C637,0)</f>
        <v>81.9672131147541</v>
      </c>
    </row>
    <row r="638" customFormat="false" ht="15" hidden="false" customHeight="false" outlineLevel="0" collapsed="false">
      <c r="A638" s="35" t="n">
        <f aca="false">A637+1</f>
        <v>45445</v>
      </c>
      <c r="B638" s="35" t="n">
        <f aca="false">EOMONTH(A638+1,0)</f>
        <v>45473</v>
      </c>
      <c r="C638" s="36" t="n">
        <f aca="false">IF(MOD(YEAR(A638),4)=0,366,365)</f>
        <v>366</v>
      </c>
      <c r="D638" s="37" t="n">
        <f aca="false">Inputs!$B$9-SUMIFS(Cash_Events!$G$6:$G$20,Cash_Events!$C$6:$C$20,"rAGMF",Cash_Events!$B$6:$B$20,"&lt;="&amp;A638)</f>
        <v>1500000</v>
      </c>
      <c r="E638" s="38" t="n">
        <f aca="false">VLOOKUP(A638,Inputs!$A$40:$B$48,2,TRUE())</f>
        <v>0.0523565</v>
      </c>
      <c r="F638" s="38" t="n">
        <f aca="false">E638+Inputs!$B$10</f>
        <v>0.1198565</v>
      </c>
      <c r="G638" s="37" t="n">
        <f aca="false">D638*F638/C638</f>
        <v>491.215163934426</v>
      </c>
      <c r="H638" s="37" t="n">
        <f aca="false">IF(AND(A638&gt;=Inputs!$B$13,OR(A638&lt;Inputs!$B$19,Inputs!$B$20=1)),D638*Inputs!$B$11/C638,0)</f>
        <v>81.9672131147541</v>
      </c>
      <c r="I638" s="37" t="n">
        <f aca="false">Inputs!$C$9-SUMIFS(Cash_Events!$G$6:$G$20,Cash_Events!$C$6:$C$20,"FHL",Cash_Events!$B$6:$B$20,"&lt;="&amp;A638)</f>
        <v>1500000</v>
      </c>
      <c r="J638" s="38" t="n">
        <f aca="false">VLOOKUP(A638,Inputs!$F$40:$G$48,2,TRUE())</f>
        <v>0.0525075</v>
      </c>
      <c r="K638" s="38" t="n">
        <f aca="false">J638+Inputs!$C$10</f>
        <v>0.1200075</v>
      </c>
      <c r="L638" s="37" t="n">
        <f aca="false">I638*K638/C638</f>
        <v>491.834016393443</v>
      </c>
      <c r="M638" s="37" t="n">
        <f aca="false">IF(AND(A638&gt;=Inputs!$C$13,OR(A638&lt;Inputs!$B$19,Inputs!$B$20=1)),I638*Inputs!$C$11/C638,0)</f>
        <v>81.9672131147541</v>
      </c>
    </row>
    <row r="639" customFormat="false" ht="15" hidden="false" customHeight="false" outlineLevel="0" collapsed="false">
      <c r="A639" s="35" t="n">
        <f aca="false">A638+1</f>
        <v>45446</v>
      </c>
      <c r="B639" s="35" t="n">
        <f aca="false">EOMONTH(A639+1,0)</f>
        <v>45473</v>
      </c>
      <c r="C639" s="36" t="n">
        <f aca="false">IF(MOD(YEAR(A639),4)=0,366,365)</f>
        <v>366</v>
      </c>
      <c r="D639" s="37" t="n">
        <f aca="false">Inputs!$B$9-SUMIFS(Cash_Events!$G$6:$G$20,Cash_Events!$C$6:$C$20,"rAGMF",Cash_Events!$B$6:$B$20,"&lt;="&amp;A639)</f>
        <v>1500000</v>
      </c>
      <c r="E639" s="38" t="n">
        <f aca="false">VLOOKUP(A639,Inputs!$A$40:$B$48,2,TRUE())</f>
        <v>0.0523565</v>
      </c>
      <c r="F639" s="38" t="n">
        <f aca="false">E639+Inputs!$B$10</f>
        <v>0.1198565</v>
      </c>
      <c r="G639" s="37" t="n">
        <f aca="false">D639*F639/C639</f>
        <v>491.215163934426</v>
      </c>
      <c r="H639" s="37" t="n">
        <f aca="false">IF(AND(A639&gt;=Inputs!$B$13,OR(A639&lt;Inputs!$B$19,Inputs!$B$20=1)),D639*Inputs!$B$11/C639,0)</f>
        <v>81.9672131147541</v>
      </c>
      <c r="I639" s="37" t="n">
        <f aca="false">Inputs!$C$9-SUMIFS(Cash_Events!$G$6:$G$20,Cash_Events!$C$6:$C$20,"FHL",Cash_Events!$B$6:$B$20,"&lt;="&amp;A639)</f>
        <v>1500000</v>
      </c>
      <c r="J639" s="38" t="n">
        <f aca="false">VLOOKUP(A639,Inputs!$F$40:$G$48,2,TRUE())</f>
        <v>0.0525075</v>
      </c>
      <c r="K639" s="38" t="n">
        <f aca="false">J639+Inputs!$C$10</f>
        <v>0.1200075</v>
      </c>
      <c r="L639" s="37" t="n">
        <f aca="false">I639*K639/C639</f>
        <v>491.834016393443</v>
      </c>
      <c r="M639" s="37" t="n">
        <f aca="false">IF(AND(A639&gt;=Inputs!$C$13,OR(A639&lt;Inputs!$B$19,Inputs!$B$20=1)),I639*Inputs!$C$11/C639,0)</f>
        <v>81.9672131147541</v>
      </c>
    </row>
    <row r="640" customFormat="false" ht="15" hidden="false" customHeight="false" outlineLevel="0" collapsed="false">
      <c r="A640" s="35" t="n">
        <f aca="false">A639+1</f>
        <v>45447</v>
      </c>
      <c r="B640" s="35" t="n">
        <f aca="false">EOMONTH(A640+1,0)</f>
        <v>45473</v>
      </c>
      <c r="C640" s="36" t="n">
        <f aca="false">IF(MOD(YEAR(A640),4)=0,366,365)</f>
        <v>366</v>
      </c>
      <c r="D640" s="37" t="n">
        <f aca="false">Inputs!$B$9-SUMIFS(Cash_Events!$G$6:$G$20,Cash_Events!$C$6:$C$20,"rAGMF",Cash_Events!$B$6:$B$20,"&lt;="&amp;A640)</f>
        <v>1500000</v>
      </c>
      <c r="E640" s="38" t="n">
        <f aca="false">VLOOKUP(A640,Inputs!$A$40:$B$48,2,TRUE())</f>
        <v>0.0523565</v>
      </c>
      <c r="F640" s="38" t="n">
        <f aca="false">E640+Inputs!$B$10</f>
        <v>0.1198565</v>
      </c>
      <c r="G640" s="37" t="n">
        <f aca="false">D640*F640/C640</f>
        <v>491.215163934426</v>
      </c>
      <c r="H640" s="37" t="n">
        <f aca="false">IF(AND(A640&gt;=Inputs!$B$13,OR(A640&lt;Inputs!$B$19,Inputs!$B$20=1)),D640*Inputs!$B$11/C640,0)</f>
        <v>81.9672131147541</v>
      </c>
      <c r="I640" s="37" t="n">
        <f aca="false">Inputs!$C$9-SUMIFS(Cash_Events!$G$6:$G$20,Cash_Events!$C$6:$C$20,"FHL",Cash_Events!$B$6:$B$20,"&lt;="&amp;A640)</f>
        <v>1500000</v>
      </c>
      <c r="J640" s="38" t="n">
        <f aca="false">VLOOKUP(A640,Inputs!$F$40:$G$48,2,TRUE())</f>
        <v>0.0525075</v>
      </c>
      <c r="K640" s="38" t="n">
        <f aca="false">J640+Inputs!$C$10</f>
        <v>0.1200075</v>
      </c>
      <c r="L640" s="37" t="n">
        <f aca="false">I640*K640/C640</f>
        <v>491.834016393443</v>
      </c>
      <c r="M640" s="37" t="n">
        <f aca="false">IF(AND(A640&gt;=Inputs!$C$13,OR(A640&lt;Inputs!$B$19,Inputs!$B$20=1)),I640*Inputs!$C$11/C640,0)</f>
        <v>81.9672131147541</v>
      </c>
    </row>
    <row r="641" customFormat="false" ht="15" hidden="false" customHeight="false" outlineLevel="0" collapsed="false">
      <c r="A641" s="35" t="n">
        <f aca="false">A640+1</f>
        <v>45448</v>
      </c>
      <c r="B641" s="35" t="n">
        <f aca="false">EOMONTH(A641+1,0)</f>
        <v>45473</v>
      </c>
      <c r="C641" s="36" t="n">
        <f aca="false">IF(MOD(YEAR(A641),4)=0,366,365)</f>
        <v>366</v>
      </c>
      <c r="D641" s="37" t="n">
        <f aca="false">Inputs!$B$9-SUMIFS(Cash_Events!$G$6:$G$20,Cash_Events!$C$6:$C$20,"rAGMF",Cash_Events!$B$6:$B$20,"&lt;="&amp;A641)</f>
        <v>1500000</v>
      </c>
      <c r="E641" s="38" t="n">
        <f aca="false">VLOOKUP(A641,Inputs!$A$40:$B$48,2,TRUE())</f>
        <v>0.0523565</v>
      </c>
      <c r="F641" s="38" t="n">
        <f aca="false">E641+Inputs!$B$10</f>
        <v>0.1198565</v>
      </c>
      <c r="G641" s="37" t="n">
        <f aca="false">D641*F641/C641</f>
        <v>491.215163934426</v>
      </c>
      <c r="H641" s="37" t="n">
        <f aca="false">IF(AND(A641&gt;=Inputs!$B$13,OR(A641&lt;Inputs!$B$19,Inputs!$B$20=1)),D641*Inputs!$B$11/C641,0)</f>
        <v>81.9672131147541</v>
      </c>
      <c r="I641" s="37" t="n">
        <f aca="false">Inputs!$C$9-SUMIFS(Cash_Events!$G$6:$G$20,Cash_Events!$C$6:$C$20,"FHL",Cash_Events!$B$6:$B$20,"&lt;="&amp;A641)</f>
        <v>1500000</v>
      </c>
      <c r="J641" s="38" t="n">
        <f aca="false">VLOOKUP(A641,Inputs!$F$40:$G$48,2,TRUE())</f>
        <v>0.0525075</v>
      </c>
      <c r="K641" s="38" t="n">
        <f aca="false">J641+Inputs!$C$10</f>
        <v>0.1200075</v>
      </c>
      <c r="L641" s="37" t="n">
        <f aca="false">I641*K641/C641</f>
        <v>491.834016393443</v>
      </c>
      <c r="M641" s="37" t="n">
        <f aca="false">IF(AND(A641&gt;=Inputs!$C$13,OR(A641&lt;Inputs!$B$19,Inputs!$B$20=1)),I641*Inputs!$C$11/C641,0)</f>
        <v>81.9672131147541</v>
      </c>
    </row>
    <row r="642" customFormat="false" ht="15" hidden="false" customHeight="false" outlineLevel="0" collapsed="false">
      <c r="A642" s="35" t="n">
        <f aca="false">A641+1</f>
        <v>45449</v>
      </c>
      <c r="B642" s="35" t="n">
        <f aca="false">EOMONTH(A642+1,0)</f>
        <v>45473</v>
      </c>
      <c r="C642" s="36" t="n">
        <f aca="false">IF(MOD(YEAR(A642),4)=0,366,365)</f>
        <v>366</v>
      </c>
      <c r="D642" s="37" t="n">
        <f aca="false">Inputs!$B$9-SUMIFS(Cash_Events!$G$6:$G$20,Cash_Events!$C$6:$C$20,"rAGMF",Cash_Events!$B$6:$B$20,"&lt;="&amp;A642)</f>
        <v>1500000</v>
      </c>
      <c r="E642" s="38" t="n">
        <f aca="false">VLOOKUP(A642,Inputs!$A$40:$B$48,2,TRUE())</f>
        <v>0.0523565</v>
      </c>
      <c r="F642" s="38" t="n">
        <f aca="false">E642+Inputs!$B$10</f>
        <v>0.1198565</v>
      </c>
      <c r="G642" s="37" t="n">
        <f aca="false">D642*F642/C642</f>
        <v>491.215163934426</v>
      </c>
      <c r="H642" s="37" t="n">
        <f aca="false">IF(AND(A642&gt;=Inputs!$B$13,OR(A642&lt;Inputs!$B$19,Inputs!$B$20=1)),D642*Inputs!$B$11/C642,0)</f>
        <v>81.9672131147541</v>
      </c>
      <c r="I642" s="37" t="n">
        <f aca="false">Inputs!$C$9-SUMIFS(Cash_Events!$G$6:$G$20,Cash_Events!$C$6:$C$20,"FHL",Cash_Events!$B$6:$B$20,"&lt;="&amp;A642)</f>
        <v>1500000</v>
      </c>
      <c r="J642" s="38" t="n">
        <f aca="false">VLOOKUP(A642,Inputs!$F$40:$G$48,2,TRUE())</f>
        <v>0.0525075</v>
      </c>
      <c r="K642" s="38" t="n">
        <f aca="false">J642+Inputs!$C$10</f>
        <v>0.1200075</v>
      </c>
      <c r="L642" s="37" t="n">
        <f aca="false">I642*K642/C642</f>
        <v>491.834016393443</v>
      </c>
      <c r="M642" s="37" t="n">
        <f aca="false">IF(AND(A642&gt;=Inputs!$C$13,OR(A642&lt;Inputs!$B$19,Inputs!$B$20=1)),I642*Inputs!$C$11/C642,0)</f>
        <v>81.9672131147541</v>
      </c>
    </row>
    <row r="643" customFormat="false" ht="15" hidden="false" customHeight="false" outlineLevel="0" collapsed="false">
      <c r="A643" s="35" t="n">
        <f aca="false">A642+1</f>
        <v>45450</v>
      </c>
      <c r="B643" s="35" t="n">
        <f aca="false">EOMONTH(A643+1,0)</f>
        <v>45473</v>
      </c>
      <c r="C643" s="36" t="n">
        <f aca="false">IF(MOD(YEAR(A643),4)=0,366,365)</f>
        <v>366</v>
      </c>
      <c r="D643" s="37" t="n">
        <f aca="false">Inputs!$B$9-SUMIFS(Cash_Events!$G$6:$G$20,Cash_Events!$C$6:$C$20,"rAGMF",Cash_Events!$B$6:$B$20,"&lt;="&amp;A643)</f>
        <v>1500000</v>
      </c>
      <c r="E643" s="38" t="n">
        <f aca="false">VLOOKUP(A643,Inputs!$A$40:$B$48,2,TRUE())</f>
        <v>0.0523565</v>
      </c>
      <c r="F643" s="38" t="n">
        <f aca="false">E643+Inputs!$B$10</f>
        <v>0.1198565</v>
      </c>
      <c r="G643" s="37" t="n">
        <f aca="false">D643*F643/C643</f>
        <v>491.215163934426</v>
      </c>
      <c r="H643" s="37" t="n">
        <f aca="false">IF(AND(A643&gt;=Inputs!$B$13,OR(A643&lt;Inputs!$B$19,Inputs!$B$20=1)),D643*Inputs!$B$11/C643,0)</f>
        <v>81.9672131147541</v>
      </c>
      <c r="I643" s="37" t="n">
        <f aca="false">Inputs!$C$9-SUMIFS(Cash_Events!$G$6:$G$20,Cash_Events!$C$6:$C$20,"FHL",Cash_Events!$B$6:$B$20,"&lt;="&amp;A643)</f>
        <v>1500000</v>
      </c>
      <c r="J643" s="38" t="n">
        <f aca="false">VLOOKUP(A643,Inputs!$F$40:$G$48,2,TRUE())</f>
        <v>0.0525075</v>
      </c>
      <c r="K643" s="38" t="n">
        <f aca="false">J643+Inputs!$C$10</f>
        <v>0.1200075</v>
      </c>
      <c r="L643" s="37" t="n">
        <f aca="false">I643*K643/C643</f>
        <v>491.834016393443</v>
      </c>
      <c r="M643" s="37" t="n">
        <f aca="false">IF(AND(A643&gt;=Inputs!$C$13,OR(A643&lt;Inputs!$B$19,Inputs!$B$20=1)),I643*Inputs!$C$11/C643,0)</f>
        <v>81.9672131147541</v>
      </c>
    </row>
    <row r="644" customFormat="false" ht="15" hidden="false" customHeight="false" outlineLevel="0" collapsed="false">
      <c r="A644" s="35" t="n">
        <f aca="false">A643+1</f>
        <v>45451</v>
      </c>
      <c r="B644" s="35" t="n">
        <f aca="false">EOMONTH(A644+1,0)</f>
        <v>45473</v>
      </c>
      <c r="C644" s="36" t="n">
        <f aca="false">IF(MOD(YEAR(A644),4)=0,366,365)</f>
        <v>366</v>
      </c>
      <c r="D644" s="37" t="n">
        <f aca="false">Inputs!$B$9-SUMIFS(Cash_Events!$G$6:$G$20,Cash_Events!$C$6:$C$20,"rAGMF",Cash_Events!$B$6:$B$20,"&lt;="&amp;A644)</f>
        <v>1500000</v>
      </c>
      <c r="E644" s="38" t="n">
        <f aca="false">VLOOKUP(A644,Inputs!$A$40:$B$48,2,TRUE())</f>
        <v>0.0523565</v>
      </c>
      <c r="F644" s="38" t="n">
        <f aca="false">E644+Inputs!$B$10</f>
        <v>0.1198565</v>
      </c>
      <c r="G644" s="37" t="n">
        <f aca="false">D644*F644/C644</f>
        <v>491.215163934426</v>
      </c>
      <c r="H644" s="37" t="n">
        <f aca="false">IF(AND(A644&gt;=Inputs!$B$13,OR(A644&lt;Inputs!$B$19,Inputs!$B$20=1)),D644*Inputs!$B$11/C644,0)</f>
        <v>81.9672131147541</v>
      </c>
      <c r="I644" s="37" t="n">
        <f aca="false">Inputs!$C$9-SUMIFS(Cash_Events!$G$6:$G$20,Cash_Events!$C$6:$C$20,"FHL",Cash_Events!$B$6:$B$20,"&lt;="&amp;A644)</f>
        <v>1500000</v>
      </c>
      <c r="J644" s="38" t="n">
        <f aca="false">VLOOKUP(A644,Inputs!$F$40:$G$48,2,TRUE())</f>
        <v>0.0525075</v>
      </c>
      <c r="K644" s="38" t="n">
        <f aca="false">J644+Inputs!$C$10</f>
        <v>0.1200075</v>
      </c>
      <c r="L644" s="37" t="n">
        <f aca="false">I644*K644/C644</f>
        <v>491.834016393443</v>
      </c>
      <c r="M644" s="37" t="n">
        <f aca="false">IF(AND(A644&gt;=Inputs!$C$13,OR(A644&lt;Inputs!$B$19,Inputs!$B$20=1)),I644*Inputs!$C$11/C644,0)</f>
        <v>81.9672131147541</v>
      </c>
    </row>
    <row r="645" customFormat="false" ht="15" hidden="false" customHeight="false" outlineLevel="0" collapsed="false">
      <c r="A645" s="35" t="n">
        <f aca="false">A644+1</f>
        <v>45452</v>
      </c>
      <c r="B645" s="35" t="n">
        <f aca="false">EOMONTH(A645+1,0)</f>
        <v>45473</v>
      </c>
      <c r="C645" s="36" t="n">
        <f aca="false">IF(MOD(YEAR(A645),4)=0,366,365)</f>
        <v>366</v>
      </c>
      <c r="D645" s="37" t="n">
        <f aca="false">Inputs!$B$9-SUMIFS(Cash_Events!$G$6:$G$20,Cash_Events!$C$6:$C$20,"rAGMF",Cash_Events!$B$6:$B$20,"&lt;="&amp;A645)</f>
        <v>1500000</v>
      </c>
      <c r="E645" s="38" t="n">
        <f aca="false">VLOOKUP(A645,Inputs!$A$40:$B$48,2,TRUE())</f>
        <v>0.0523565</v>
      </c>
      <c r="F645" s="38" t="n">
        <f aca="false">E645+Inputs!$B$10</f>
        <v>0.1198565</v>
      </c>
      <c r="G645" s="37" t="n">
        <f aca="false">D645*F645/C645</f>
        <v>491.215163934426</v>
      </c>
      <c r="H645" s="37" t="n">
        <f aca="false">IF(AND(A645&gt;=Inputs!$B$13,OR(A645&lt;Inputs!$B$19,Inputs!$B$20=1)),D645*Inputs!$B$11/C645,0)</f>
        <v>81.9672131147541</v>
      </c>
      <c r="I645" s="37" t="n">
        <f aca="false">Inputs!$C$9-SUMIFS(Cash_Events!$G$6:$G$20,Cash_Events!$C$6:$C$20,"FHL",Cash_Events!$B$6:$B$20,"&lt;="&amp;A645)</f>
        <v>1500000</v>
      </c>
      <c r="J645" s="38" t="n">
        <f aca="false">VLOOKUP(A645,Inputs!$F$40:$G$48,2,TRUE())</f>
        <v>0.0525075</v>
      </c>
      <c r="K645" s="38" t="n">
        <f aca="false">J645+Inputs!$C$10</f>
        <v>0.1200075</v>
      </c>
      <c r="L645" s="37" t="n">
        <f aca="false">I645*K645/C645</f>
        <v>491.834016393443</v>
      </c>
      <c r="M645" s="37" t="n">
        <f aca="false">IF(AND(A645&gt;=Inputs!$C$13,OR(A645&lt;Inputs!$B$19,Inputs!$B$20=1)),I645*Inputs!$C$11/C645,0)</f>
        <v>81.9672131147541</v>
      </c>
    </row>
    <row r="646" customFormat="false" ht="15" hidden="false" customHeight="false" outlineLevel="0" collapsed="false">
      <c r="A646" s="35" t="n">
        <f aca="false">A645+1</f>
        <v>45453</v>
      </c>
      <c r="B646" s="35" t="n">
        <f aca="false">EOMONTH(A646+1,0)</f>
        <v>45473</v>
      </c>
      <c r="C646" s="36" t="n">
        <f aca="false">IF(MOD(YEAR(A646),4)=0,366,365)</f>
        <v>366</v>
      </c>
      <c r="D646" s="37" t="n">
        <f aca="false">Inputs!$B$9-SUMIFS(Cash_Events!$G$6:$G$20,Cash_Events!$C$6:$C$20,"rAGMF",Cash_Events!$B$6:$B$20,"&lt;="&amp;A646)</f>
        <v>1500000</v>
      </c>
      <c r="E646" s="38" t="n">
        <f aca="false">VLOOKUP(A646,Inputs!$A$40:$B$48,2,TRUE())</f>
        <v>0.0523565</v>
      </c>
      <c r="F646" s="38" t="n">
        <f aca="false">E646+Inputs!$B$10</f>
        <v>0.1198565</v>
      </c>
      <c r="G646" s="37" t="n">
        <f aca="false">D646*F646/C646</f>
        <v>491.215163934426</v>
      </c>
      <c r="H646" s="37" t="n">
        <f aca="false">IF(AND(A646&gt;=Inputs!$B$13,OR(A646&lt;Inputs!$B$19,Inputs!$B$20=1)),D646*Inputs!$B$11/C646,0)</f>
        <v>81.9672131147541</v>
      </c>
      <c r="I646" s="37" t="n">
        <f aca="false">Inputs!$C$9-SUMIFS(Cash_Events!$G$6:$G$20,Cash_Events!$C$6:$C$20,"FHL",Cash_Events!$B$6:$B$20,"&lt;="&amp;A646)</f>
        <v>1500000</v>
      </c>
      <c r="J646" s="38" t="n">
        <f aca="false">VLOOKUP(A646,Inputs!$F$40:$G$48,2,TRUE())</f>
        <v>0.0525075</v>
      </c>
      <c r="K646" s="38" t="n">
        <f aca="false">J646+Inputs!$C$10</f>
        <v>0.1200075</v>
      </c>
      <c r="L646" s="37" t="n">
        <f aca="false">I646*K646/C646</f>
        <v>491.834016393443</v>
      </c>
      <c r="M646" s="37" t="n">
        <f aca="false">IF(AND(A646&gt;=Inputs!$C$13,OR(A646&lt;Inputs!$B$19,Inputs!$B$20=1)),I646*Inputs!$C$11/C646,0)</f>
        <v>81.9672131147541</v>
      </c>
    </row>
    <row r="647" customFormat="false" ht="15" hidden="false" customHeight="false" outlineLevel="0" collapsed="false">
      <c r="A647" s="35" t="n">
        <f aca="false">A646+1</f>
        <v>45454</v>
      </c>
      <c r="B647" s="35" t="n">
        <f aca="false">EOMONTH(A647+1,0)</f>
        <v>45473</v>
      </c>
      <c r="C647" s="36" t="n">
        <f aca="false">IF(MOD(YEAR(A647),4)=0,366,365)</f>
        <v>366</v>
      </c>
      <c r="D647" s="37" t="n">
        <f aca="false">Inputs!$B$9-SUMIFS(Cash_Events!$G$6:$G$20,Cash_Events!$C$6:$C$20,"rAGMF",Cash_Events!$B$6:$B$20,"&lt;="&amp;A647)</f>
        <v>1500000</v>
      </c>
      <c r="E647" s="38" t="n">
        <f aca="false">VLOOKUP(A647,Inputs!$A$40:$B$48,2,TRUE())</f>
        <v>0.0523565</v>
      </c>
      <c r="F647" s="38" t="n">
        <f aca="false">E647+Inputs!$B$10</f>
        <v>0.1198565</v>
      </c>
      <c r="G647" s="37" t="n">
        <f aca="false">D647*F647/C647</f>
        <v>491.215163934426</v>
      </c>
      <c r="H647" s="37" t="n">
        <f aca="false">IF(AND(A647&gt;=Inputs!$B$13,OR(A647&lt;Inputs!$B$19,Inputs!$B$20=1)),D647*Inputs!$B$11/C647,0)</f>
        <v>81.9672131147541</v>
      </c>
      <c r="I647" s="37" t="n">
        <f aca="false">Inputs!$C$9-SUMIFS(Cash_Events!$G$6:$G$20,Cash_Events!$C$6:$C$20,"FHL",Cash_Events!$B$6:$B$20,"&lt;="&amp;A647)</f>
        <v>1500000</v>
      </c>
      <c r="J647" s="38" t="n">
        <f aca="false">VLOOKUP(A647,Inputs!$F$40:$G$48,2,TRUE())</f>
        <v>0.0525075</v>
      </c>
      <c r="K647" s="38" t="n">
        <f aca="false">J647+Inputs!$C$10</f>
        <v>0.1200075</v>
      </c>
      <c r="L647" s="37" t="n">
        <f aca="false">I647*K647/C647</f>
        <v>491.834016393443</v>
      </c>
      <c r="M647" s="37" t="n">
        <f aca="false">IF(AND(A647&gt;=Inputs!$C$13,OR(A647&lt;Inputs!$B$19,Inputs!$B$20=1)),I647*Inputs!$C$11/C647,0)</f>
        <v>81.9672131147541</v>
      </c>
    </row>
    <row r="648" customFormat="false" ht="15" hidden="false" customHeight="false" outlineLevel="0" collapsed="false">
      <c r="A648" s="35" t="n">
        <f aca="false">A647+1</f>
        <v>45455</v>
      </c>
      <c r="B648" s="35" t="n">
        <f aca="false">EOMONTH(A648+1,0)</f>
        <v>45473</v>
      </c>
      <c r="C648" s="36" t="n">
        <f aca="false">IF(MOD(YEAR(A648),4)=0,366,365)</f>
        <v>366</v>
      </c>
      <c r="D648" s="37" t="n">
        <f aca="false">Inputs!$B$9-SUMIFS(Cash_Events!$G$6:$G$20,Cash_Events!$C$6:$C$20,"rAGMF",Cash_Events!$B$6:$B$20,"&lt;="&amp;A648)</f>
        <v>1500000</v>
      </c>
      <c r="E648" s="38" t="n">
        <f aca="false">VLOOKUP(A648,Inputs!$A$40:$B$48,2,TRUE())</f>
        <v>0.0523565</v>
      </c>
      <c r="F648" s="38" t="n">
        <f aca="false">E648+Inputs!$B$10</f>
        <v>0.1198565</v>
      </c>
      <c r="G648" s="37" t="n">
        <f aca="false">D648*F648/C648</f>
        <v>491.215163934426</v>
      </c>
      <c r="H648" s="37" t="n">
        <f aca="false">IF(AND(A648&gt;=Inputs!$B$13,OR(A648&lt;Inputs!$B$19,Inputs!$B$20=1)),D648*Inputs!$B$11/C648,0)</f>
        <v>81.9672131147541</v>
      </c>
      <c r="I648" s="37" t="n">
        <f aca="false">Inputs!$C$9-SUMIFS(Cash_Events!$G$6:$G$20,Cash_Events!$C$6:$C$20,"FHL",Cash_Events!$B$6:$B$20,"&lt;="&amp;A648)</f>
        <v>1500000</v>
      </c>
      <c r="J648" s="38" t="n">
        <f aca="false">VLOOKUP(A648,Inputs!$F$40:$G$48,2,TRUE())</f>
        <v>0.0525075</v>
      </c>
      <c r="K648" s="38" t="n">
        <f aca="false">J648+Inputs!$C$10</f>
        <v>0.1200075</v>
      </c>
      <c r="L648" s="37" t="n">
        <f aca="false">I648*K648/C648</f>
        <v>491.834016393443</v>
      </c>
      <c r="M648" s="37" t="n">
        <f aca="false">IF(AND(A648&gt;=Inputs!$C$13,OR(A648&lt;Inputs!$B$19,Inputs!$B$20=1)),I648*Inputs!$C$11/C648,0)</f>
        <v>81.9672131147541</v>
      </c>
    </row>
    <row r="649" customFormat="false" ht="15" hidden="false" customHeight="false" outlineLevel="0" collapsed="false">
      <c r="A649" s="35" t="n">
        <f aca="false">A648+1</f>
        <v>45456</v>
      </c>
      <c r="B649" s="35" t="n">
        <f aca="false">EOMONTH(A649+1,0)</f>
        <v>45473</v>
      </c>
      <c r="C649" s="36" t="n">
        <f aca="false">IF(MOD(YEAR(A649),4)=0,366,365)</f>
        <v>366</v>
      </c>
      <c r="D649" s="37" t="n">
        <f aca="false">Inputs!$B$9-SUMIFS(Cash_Events!$G$6:$G$20,Cash_Events!$C$6:$C$20,"rAGMF",Cash_Events!$B$6:$B$20,"&lt;="&amp;A649)</f>
        <v>1500000</v>
      </c>
      <c r="E649" s="38" t="n">
        <f aca="false">VLOOKUP(A649,Inputs!$A$40:$B$48,2,TRUE())</f>
        <v>0.0523565</v>
      </c>
      <c r="F649" s="38" t="n">
        <f aca="false">E649+Inputs!$B$10</f>
        <v>0.1198565</v>
      </c>
      <c r="G649" s="37" t="n">
        <f aca="false">D649*F649/C649</f>
        <v>491.215163934426</v>
      </c>
      <c r="H649" s="37" t="n">
        <f aca="false">IF(AND(A649&gt;=Inputs!$B$13,OR(A649&lt;Inputs!$B$19,Inputs!$B$20=1)),D649*Inputs!$B$11/C649,0)</f>
        <v>81.9672131147541</v>
      </c>
      <c r="I649" s="37" t="n">
        <f aca="false">Inputs!$C$9-SUMIFS(Cash_Events!$G$6:$G$20,Cash_Events!$C$6:$C$20,"FHL",Cash_Events!$B$6:$B$20,"&lt;="&amp;A649)</f>
        <v>1500000</v>
      </c>
      <c r="J649" s="38" t="n">
        <f aca="false">VLOOKUP(A649,Inputs!$F$40:$G$48,2,TRUE())</f>
        <v>0.0525075</v>
      </c>
      <c r="K649" s="38" t="n">
        <f aca="false">J649+Inputs!$C$10</f>
        <v>0.1200075</v>
      </c>
      <c r="L649" s="37" t="n">
        <f aca="false">I649*K649/C649</f>
        <v>491.834016393443</v>
      </c>
      <c r="M649" s="37" t="n">
        <f aca="false">IF(AND(A649&gt;=Inputs!$C$13,OR(A649&lt;Inputs!$B$19,Inputs!$B$20=1)),I649*Inputs!$C$11/C649,0)</f>
        <v>81.9672131147541</v>
      </c>
    </row>
    <row r="650" customFormat="false" ht="15" hidden="false" customHeight="false" outlineLevel="0" collapsed="false">
      <c r="A650" s="35" t="n">
        <f aca="false">A649+1</f>
        <v>45457</v>
      </c>
      <c r="B650" s="35" t="n">
        <f aca="false">EOMONTH(A650+1,0)</f>
        <v>45473</v>
      </c>
      <c r="C650" s="36" t="n">
        <f aca="false">IF(MOD(YEAR(A650),4)=0,366,365)</f>
        <v>366</v>
      </c>
      <c r="D650" s="37" t="n">
        <f aca="false">Inputs!$B$9-SUMIFS(Cash_Events!$G$6:$G$20,Cash_Events!$C$6:$C$20,"rAGMF",Cash_Events!$B$6:$B$20,"&lt;="&amp;A650)</f>
        <v>1500000</v>
      </c>
      <c r="E650" s="38" t="n">
        <f aca="false">VLOOKUP(A650,Inputs!$A$40:$B$48,2,TRUE())</f>
        <v>0.0523565</v>
      </c>
      <c r="F650" s="38" t="n">
        <f aca="false">E650+Inputs!$B$10</f>
        <v>0.1198565</v>
      </c>
      <c r="G650" s="37" t="n">
        <f aca="false">D650*F650/C650</f>
        <v>491.215163934426</v>
      </c>
      <c r="H650" s="37" t="n">
        <f aca="false">IF(AND(A650&gt;=Inputs!$B$13,OR(A650&lt;Inputs!$B$19,Inputs!$B$20=1)),D650*Inputs!$B$11/C650,0)</f>
        <v>81.9672131147541</v>
      </c>
      <c r="I650" s="37" t="n">
        <f aca="false">Inputs!$C$9-SUMIFS(Cash_Events!$G$6:$G$20,Cash_Events!$C$6:$C$20,"FHL",Cash_Events!$B$6:$B$20,"&lt;="&amp;A650)</f>
        <v>1500000</v>
      </c>
      <c r="J650" s="38" t="n">
        <f aca="false">VLOOKUP(A650,Inputs!$F$40:$G$48,2,TRUE())</f>
        <v>0.0525075</v>
      </c>
      <c r="K650" s="38" t="n">
        <f aca="false">J650+Inputs!$C$10</f>
        <v>0.1200075</v>
      </c>
      <c r="L650" s="37" t="n">
        <f aca="false">I650*K650/C650</f>
        <v>491.834016393443</v>
      </c>
      <c r="M650" s="37" t="n">
        <f aca="false">IF(AND(A650&gt;=Inputs!$C$13,OR(A650&lt;Inputs!$B$19,Inputs!$B$20=1)),I650*Inputs!$C$11/C650,0)</f>
        <v>81.9672131147541</v>
      </c>
    </row>
    <row r="651" customFormat="false" ht="15" hidden="false" customHeight="false" outlineLevel="0" collapsed="false">
      <c r="A651" s="35" t="n">
        <f aca="false">A650+1</f>
        <v>45458</v>
      </c>
      <c r="B651" s="35" t="n">
        <f aca="false">EOMONTH(A651+1,0)</f>
        <v>45473</v>
      </c>
      <c r="C651" s="36" t="n">
        <f aca="false">IF(MOD(YEAR(A651),4)=0,366,365)</f>
        <v>366</v>
      </c>
      <c r="D651" s="37" t="n">
        <f aca="false">Inputs!$B$9-SUMIFS(Cash_Events!$G$6:$G$20,Cash_Events!$C$6:$C$20,"rAGMF",Cash_Events!$B$6:$B$20,"&lt;="&amp;A651)</f>
        <v>1500000</v>
      </c>
      <c r="E651" s="38" t="n">
        <f aca="false">VLOOKUP(A651,Inputs!$A$40:$B$48,2,TRUE())</f>
        <v>0.0523565</v>
      </c>
      <c r="F651" s="38" t="n">
        <f aca="false">E651+Inputs!$B$10</f>
        <v>0.1198565</v>
      </c>
      <c r="G651" s="37" t="n">
        <f aca="false">D651*F651/C651</f>
        <v>491.215163934426</v>
      </c>
      <c r="H651" s="37" t="n">
        <f aca="false">IF(AND(A651&gt;=Inputs!$B$13,OR(A651&lt;Inputs!$B$19,Inputs!$B$20=1)),D651*Inputs!$B$11/C651,0)</f>
        <v>81.9672131147541</v>
      </c>
      <c r="I651" s="37" t="n">
        <f aca="false">Inputs!$C$9-SUMIFS(Cash_Events!$G$6:$G$20,Cash_Events!$C$6:$C$20,"FHL",Cash_Events!$B$6:$B$20,"&lt;="&amp;A651)</f>
        <v>1500000</v>
      </c>
      <c r="J651" s="38" t="n">
        <f aca="false">VLOOKUP(A651,Inputs!$F$40:$G$48,2,TRUE())</f>
        <v>0.0525075</v>
      </c>
      <c r="K651" s="38" t="n">
        <f aca="false">J651+Inputs!$C$10</f>
        <v>0.1200075</v>
      </c>
      <c r="L651" s="37" t="n">
        <f aca="false">I651*K651/C651</f>
        <v>491.834016393443</v>
      </c>
      <c r="M651" s="37" t="n">
        <f aca="false">IF(AND(A651&gt;=Inputs!$C$13,OR(A651&lt;Inputs!$B$19,Inputs!$B$20=1)),I651*Inputs!$C$11/C651,0)</f>
        <v>81.9672131147541</v>
      </c>
    </row>
    <row r="652" customFormat="false" ht="15" hidden="false" customHeight="false" outlineLevel="0" collapsed="false">
      <c r="A652" s="35" t="n">
        <f aca="false">A651+1</f>
        <v>45459</v>
      </c>
      <c r="B652" s="35" t="n">
        <f aca="false">EOMONTH(A652+1,0)</f>
        <v>45473</v>
      </c>
      <c r="C652" s="36" t="n">
        <f aca="false">IF(MOD(YEAR(A652),4)=0,366,365)</f>
        <v>366</v>
      </c>
      <c r="D652" s="37" t="n">
        <f aca="false">Inputs!$B$9-SUMIFS(Cash_Events!$G$6:$G$20,Cash_Events!$C$6:$C$20,"rAGMF",Cash_Events!$B$6:$B$20,"&lt;="&amp;A652)</f>
        <v>1500000</v>
      </c>
      <c r="E652" s="38" t="n">
        <f aca="false">VLOOKUP(A652,Inputs!$A$40:$B$48,2,TRUE())</f>
        <v>0.0523565</v>
      </c>
      <c r="F652" s="38" t="n">
        <f aca="false">E652+Inputs!$B$10</f>
        <v>0.1198565</v>
      </c>
      <c r="G652" s="37" t="n">
        <f aca="false">D652*F652/C652</f>
        <v>491.215163934426</v>
      </c>
      <c r="H652" s="37" t="n">
        <f aca="false">IF(AND(A652&gt;=Inputs!$B$13,OR(A652&lt;Inputs!$B$19,Inputs!$B$20=1)),D652*Inputs!$B$11/C652,0)</f>
        <v>81.9672131147541</v>
      </c>
      <c r="I652" s="37" t="n">
        <f aca="false">Inputs!$C$9-SUMIFS(Cash_Events!$G$6:$G$20,Cash_Events!$C$6:$C$20,"FHL",Cash_Events!$B$6:$B$20,"&lt;="&amp;A652)</f>
        <v>1500000</v>
      </c>
      <c r="J652" s="38" t="n">
        <f aca="false">VLOOKUP(A652,Inputs!$F$40:$G$48,2,TRUE())</f>
        <v>0.0525075</v>
      </c>
      <c r="K652" s="38" t="n">
        <f aca="false">J652+Inputs!$C$10</f>
        <v>0.1200075</v>
      </c>
      <c r="L652" s="37" t="n">
        <f aca="false">I652*K652/C652</f>
        <v>491.834016393443</v>
      </c>
      <c r="M652" s="37" t="n">
        <f aca="false">IF(AND(A652&gt;=Inputs!$C$13,OR(A652&lt;Inputs!$B$19,Inputs!$B$20=1)),I652*Inputs!$C$11/C652,0)</f>
        <v>81.9672131147541</v>
      </c>
    </row>
    <row r="653" customFormat="false" ht="15" hidden="false" customHeight="false" outlineLevel="0" collapsed="false">
      <c r="A653" s="35" t="n">
        <f aca="false">A652+1</f>
        <v>45460</v>
      </c>
      <c r="B653" s="35" t="n">
        <f aca="false">EOMONTH(A653+1,0)</f>
        <v>45473</v>
      </c>
      <c r="C653" s="36" t="n">
        <f aca="false">IF(MOD(YEAR(A653),4)=0,366,365)</f>
        <v>366</v>
      </c>
      <c r="D653" s="37" t="n">
        <f aca="false">Inputs!$B$9-SUMIFS(Cash_Events!$G$6:$G$20,Cash_Events!$C$6:$C$20,"rAGMF",Cash_Events!$B$6:$B$20,"&lt;="&amp;A653)</f>
        <v>1500000</v>
      </c>
      <c r="E653" s="38" t="n">
        <f aca="false">VLOOKUP(A653,Inputs!$A$40:$B$48,2,TRUE())</f>
        <v>0.0523565</v>
      </c>
      <c r="F653" s="38" t="n">
        <f aca="false">E653+Inputs!$B$10</f>
        <v>0.1198565</v>
      </c>
      <c r="G653" s="37" t="n">
        <f aca="false">D653*F653/C653</f>
        <v>491.215163934426</v>
      </c>
      <c r="H653" s="37" t="n">
        <f aca="false">IF(AND(A653&gt;=Inputs!$B$13,OR(A653&lt;Inputs!$B$19,Inputs!$B$20=1)),D653*Inputs!$B$11/C653,0)</f>
        <v>81.9672131147541</v>
      </c>
      <c r="I653" s="37" t="n">
        <f aca="false">Inputs!$C$9-SUMIFS(Cash_Events!$G$6:$G$20,Cash_Events!$C$6:$C$20,"FHL",Cash_Events!$B$6:$B$20,"&lt;="&amp;A653)</f>
        <v>1500000</v>
      </c>
      <c r="J653" s="38" t="n">
        <f aca="false">VLOOKUP(A653,Inputs!$F$40:$G$48,2,TRUE())</f>
        <v>0.0525075</v>
      </c>
      <c r="K653" s="38" t="n">
        <f aca="false">J653+Inputs!$C$10</f>
        <v>0.1200075</v>
      </c>
      <c r="L653" s="37" t="n">
        <f aca="false">I653*K653/C653</f>
        <v>491.834016393443</v>
      </c>
      <c r="M653" s="37" t="n">
        <f aca="false">IF(AND(A653&gt;=Inputs!$C$13,OR(A653&lt;Inputs!$B$19,Inputs!$B$20=1)),I653*Inputs!$C$11/C653,0)</f>
        <v>81.9672131147541</v>
      </c>
    </row>
    <row r="654" customFormat="false" ht="15" hidden="false" customHeight="false" outlineLevel="0" collapsed="false">
      <c r="A654" s="35" t="n">
        <f aca="false">A653+1</f>
        <v>45461</v>
      </c>
      <c r="B654" s="35" t="n">
        <f aca="false">EOMONTH(A654+1,0)</f>
        <v>45473</v>
      </c>
      <c r="C654" s="36" t="n">
        <f aca="false">IF(MOD(YEAR(A654),4)=0,366,365)</f>
        <v>366</v>
      </c>
      <c r="D654" s="37" t="n">
        <f aca="false">Inputs!$B$9-SUMIFS(Cash_Events!$G$6:$G$20,Cash_Events!$C$6:$C$20,"rAGMF",Cash_Events!$B$6:$B$20,"&lt;="&amp;A654)</f>
        <v>1500000</v>
      </c>
      <c r="E654" s="38" t="n">
        <f aca="false">VLOOKUP(A654,Inputs!$A$40:$B$48,2,TRUE())</f>
        <v>0.0523565</v>
      </c>
      <c r="F654" s="38" t="n">
        <f aca="false">E654+Inputs!$B$10</f>
        <v>0.1198565</v>
      </c>
      <c r="G654" s="37" t="n">
        <f aca="false">D654*F654/C654</f>
        <v>491.215163934426</v>
      </c>
      <c r="H654" s="37" t="n">
        <f aca="false">IF(AND(A654&gt;=Inputs!$B$13,OR(A654&lt;Inputs!$B$19,Inputs!$B$20=1)),D654*Inputs!$B$11/C654,0)</f>
        <v>81.9672131147541</v>
      </c>
      <c r="I654" s="37" t="n">
        <f aca="false">Inputs!$C$9-SUMIFS(Cash_Events!$G$6:$G$20,Cash_Events!$C$6:$C$20,"FHL",Cash_Events!$B$6:$B$20,"&lt;="&amp;A654)</f>
        <v>1500000</v>
      </c>
      <c r="J654" s="38" t="n">
        <f aca="false">VLOOKUP(A654,Inputs!$F$40:$G$48,2,TRUE())</f>
        <v>0.0525075</v>
      </c>
      <c r="K654" s="38" t="n">
        <f aca="false">J654+Inputs!$C$10</f>
        <v>0.1200075</v>
      </c>
      <c r="L654" s="37" t="n">
        <f aca="false">I654*K654/C654</f>
        <v>491.834016393443</v>
      </c>
      <c r="M654" s="37" t="n">
        <f aca="false">IF(AND(A654&gt;=Inputs!$C$13,OR(A654&lt;Inputs!$B$19,Inputs!$B$20=1)),I654*Inputs!$C$11/C654,0)</f>
        <v>81.9672131147541</v>
      </c>
    </row>
    <row r="655" customFormat="false" ht="15" hidden="false" customHeight="false" outlineLevel="0" collapsed="false">
      <c r="A655" s="35" t="n">
        <f aca="false">A654+1</f>
        <v>45462</v>
      </c>
      <c r="B655" s="35" t="n">
        <f aca="false">EOMONTH(A655+1,0)</f>
        <v>45473</v>
      </c>
      <c r="C655" s="36" t="n">
        <f aca="false">IF(MOD(YEAR(A655),4)=0,366,365)</f>
        <v>366</v>
      </c>
      <c r="D655" s="37" t="n">
        <f aca="false">Inputs!$B$9-SUMIFS(Cash_Events!$G$6:$G$20,Cash_Events!$C$6:$C$20,"rAGMF",Cash_Events!$B$6:$B$20,"&lt;="&amp;A655)</f>
        <v>1500000</v>
      </c>
      <c r="E655" s="38" t="n">
        <f aca="false">VLOOKUP(A655,Inputs!$A$40:$B$48,2,TRUE())</f>
        <v>0.0523565</v>
      </c>
      <c r="F655" s="38" t="n">
        <f aca="false">E655+Inputs!$B$10</f>
        <v>0.1198565</v>
      </c>
      <c r="G655" s="37" t="n">
        <f aca="false">D655*F655/C655</f>
        <v>491.215163934426</v>
      </c>
      <c r="H655" s="37" t="n">
        <f aca="false">IF(AND(A655&gt;=Inputs!$B$13,OR(A655&lt;Inputs!$B$19,Inputs!$B$20=1)),D655*Inputs!$B$11/C655,0)</f>
        <v>81.9672131147541</v>
      </c>
      <c r="I655" s="37" t="n">
        <f aca="false">Inputs!$C$9-SUMIFS(Cash_Events!$G$6:$G$20,Cash_Events!$C$6:$C$20,"FHL",Cash_Events!$B$6:$B$20,"&lt;="&amp;A655)</f>
        <v>1500000</v>
      </c>
      <c r="J655" s="38" t="n">
        <f aca="false">VLOOKUP(A655,Inputs!$F$40:$G$48,2,TRUE())</f>
        <v>0.0525075</v>
      </c>
      <c r="K655" s="38" t="n">
        <f aca="false">J655+Inputs!$C$10</f>
        <v>0.1200075</v>
      </c>
      <c r="L655" s="37" t="n">
        <f aca="false">I655*K655/C655</f>
        <v>491.834016393443</v>
      </c>
      <c r="M655" s="37" t="n">
        <f aca="false">IF(AND(A655&gt;=Inputs!$C$13,OR(A655&lt;Inputs!$B$19,Inputs!$B$20=1)),I655*Inputs!$C$11/C655,0)</f>
        <v>81.9672131147541</v>
      </c>
    </row>
    <row r="656" customFormat="false" ht="15" hidden="false" customHeight="false" outlineLevel="0" collapsed="false">
      <c r="A656" s="35" t="n">
        <f aca="false">A655+1</f>
        <v>45463</v>
      </c>
      <c r="B656" s="35" t="n">
        <f aca="false">EOMONTH(A656+1,0)</f>
        <v>45473</v>
      </c>
      <c r="C656" s="36" t="n">
        <f aca="false">IF(MOD(YEAR(A656),4)=0,366,365)</f>
        <v>366</v>
      </c>
      <c r="D656" s="37" t="n">
        <f aca="false">Inputs!$B$9-SUMIFS(Cash_Events!$G$6:$G$20,Cash_Events!$C$6:$C$20,"rAGMF",Cash_Events!$B$6:$B$20,"&lt;="&amp;A656)</f>
        <v>1500000</v>
      </c>
      <c r="E656" s="38" t="n">
        <f aca="false">VLOOKUP(A656,Inputs!$A$40:$B$48,2,TRUE())</f>
        <v>0.0523565</v>
      </c>
      <c r="F656" s="38" t="n">
        <f aca="false">E656+Inputs!$B$10</f>
        <v>0.1198565</v>
      </c>
      <c r="G656" s="37" t="n">
        <f aca="false">D656*F656/C656</f>
        <v>491.215163934426</v>
      </c>
      <c r="H656" s="37" t="n">
        <f aca="false">IF(AND(A656&gt;=Inputs!$B$13,OR(A656&lt;Inputs!$B$19,Inputs!$B$20=1)),D656*Inputs!$B$11/C656,0)</f>
        <v>81.9672131147541</v>
      </c>
      <c r="I656" s="37" t="n">
        <f aca="false">Inputs!$C$9-SUMIFS(Cash_Events!$G$6:$G$20,Cash_Events!$C$6:$C$20,"FHL",Cash_Events!$B$6:$B$20,"&lt;="&amp;A656)</f>
        <v>1500000</v>
      </c>
      <c r="J656" s="38" t="n">
        <f aca="false">VLOOKUP(A656,Inputs!$F$40:$G$48,2,TRUE())</f>
        <v>0.0525075</v>
      </c>
      <c r="K656" s="38" t="n">
        <f aca="false">J656+Inputs!$C$10</f>
        <v>0.1200075</v>
      </c>
      <c r="L656" s="37" t="n">
        <f aca="false">I656*K656/C656</f>
        <v>491.834016393443</v>
      </c>
      <c r="M656" s="37" t="n">
        <f aca="false">IF(AND(A656&gt;=Inputs!$C$13,OR(A656&lt;Inputs!$B$19,Inputs!$B$20=1)),I656*Inputs!$C$11/C656,0)</f>
        <v>81.9672131147541</v>
      </c>
    </row>
    <row r="657" customFormat="false" ht="15" hidden="false" customHeight="false" outlineLevel="0" collapsed="false">
      <c r="A657" s="35" t="n">
        <f aca="false">A656+1</f>
        <v>45464</v>
      </c>
      <c r="B657" s="35" t="n">
        <f aca="false">EOMONTH(A657+1,0)</f>
        <v>45473</v>
      </c>
      <c r="C657" s="36" t="n">
        <f aca="false">IF(MOD(YEAR(A657),4)=0,366,365)</f>
        <v>366</v>
      </c>
      <c r="D657" s="37" t="n">
        <f aca="false">Inputs!$B$9-SUMIFS(Cash_Events!$G$6:$G$20,Cash_Events!$C$6:$C$20,"rAGMF",Cash_Events!$B$6:$B$20,"&lt;="&amp;A657)</f>
        <v>1500000</v>
      </c>
      <c r="E657" s="38" t="n">
        <f aca="false">VLOOKUP(A657,Inputs!$A$40:$B$48,2,TRUE())</f>
        <v>0.0523565</v>
      </c>
      <c r="F657" s="38" t="n">
        <f aca="false">E657+Inputs!$B$10</f>
        <v>0.1198565</v>
      </c>
      <c r="G657" s="37" t="n">
        <f aca="false">D657*F657/C657</f>
        <v>491.215163934426</v>
      </c>
      <c r="H657" s="37" t="n">
        <f aca="false">IF(AND(A657&gt;=Inputs!$B$13,OR(A657&lt;Inputs!$B$19,Inputs!$B$20=1)),D657*Inputs!$B$11/C657,0)</f>
        <v>81.9672131147541</v>
      </c>
      <c r="I657" s="37" t="n">
        <f aca="false">Inputs!$C$9-SUMIFS(Cash_Events!$G$6:$G$20,Cash_Events!$C$6:$C$20,"FHL",Cash_Events!$B$6:$B$20,"&lt;="&amp;A657)</f>
        <v>1500000</v>
      </c>
      <c r="J657" s="38" t="n">
        <f aca="false">VLOOKUP(A657,Inputs!$F$40:$G$48,2,TRUE())</f>
        <v>0.0525075</v>
      </c>
      <c r="K657" s="38" t="n">
        <f aca="false">J657+Inputs!$C$10</f>
        <v>0.1200075</v>
      </c>
      <c r="L657" s="37" t="n">
        <f aca="false">I657*K657/C657</f>
        <v>491.834016393443</v>
      </c>
      <c r="M657" s="37" t="n">
        <f aca="false">IF(AND(A657&gt;=Inputs!$C$13,OR(A657&lt;Inputs!$B$19,Inputs!$B$20=1)),I657*Inputs!$C$11/C657,0)</f>
        <v>81.9672131147541</v>
      </c>
    </row>
    <row r="658" customFormat="false" ht="15" hidden="false" customHeight="false" outlineLevel="0" collapsed="false">
      <c r="A658" s="35" t="n">
        <f aca="false">A657+1</f>
        <v>45465</v>
      </c>
      <c r="B658" s="35" t="n">
        <f aca="false">EOMONTH(A658+1,0)</f>
        <v>45473</v>
      </c>
      <c r="C658" s="36" t="n">
        <f aca="false">IF(MOD(YEAR(A658),4)=0,366,365)</f>
        <v>366</v>
      </c>
      <c r="D658" s="37" t="n">
        <f aca="false">Inputs!$B$9-SUMIFS(Cash_Events!$G$6:$G$20,Cash_Events!$C$6:$C$20,"rAGMF",Cash_Events!$B$6:$B$20,"&lt;="&amp;A658)</f>
        <v>1500000</v>
      </c>
      <c r="E658" s="38" t="n">
        <f aca="false">VLOOKUP(A658,Inputs!$A$40:$B$48,2,TRUE())</f>
        <v>0.0523565</v>
      </c>
      <c r="F658" s="38" t="n">
        <f aca="false">E658+Inputs!$B$10</f>
        <v>0.1198565</v>
      </c>
      <c r="G658" s="37" t="n">
        <f aca="false">D658*F658/C658</f>
        <v>491.215163934426</v>
      </c>
      <c r="H658" s="37" t="n">
        <f aca="false">IF(AND(A658&gt;=Inputs!$B$13,OR(A658&lt;Inputs!$B$19,Inputs!$B$20=1)),D658*Inputs!$B$11/C658,0)</f>
        <v>81.9672131147541</v>
      </c>
      <c r="I658" s="37" t="n">
        <f aca="false">Inputs!$C$9-SUMIFS(Cash_Events!$G$6:$G$20,Cash_Events!$C$6:$C$20,"FHL",Cash_Events!$B$6:$B$20,"&lt;="&amp;A658)</f>
        <v>1500000</v>
      </c>
      <c r="J658" s="38" t="n">
        <f aca="false">VLOOKUP(A658,Inputs!$F$40:$G$48,2,TRUE())</f>
        <v>0.0525075</v>
      </c>
      <c r="K658" s="38" t="n">
        <f aca="false">J658+Inputs!$C$10</f>
        <v>0.1200075</v>
      </c>
      <c r="L658" s="37" t="n">
        <f aca="false">I658*K658/C658</f>
        <v>491.834016393443</v>
      </c>
      <c r="M658" s="37" t="n">
        <f aca="false">IF(AND(A658&gt;=Inputs!$C$13,OR(A658&lt;Inputs!$B$19,Inputs!$B$20=1)),I658*Inputs!$C$11/C658,0)</f>
        <v>81.9672131147541</v>
      </c>
    </row>
    <row r="659" customFormat="false" ht="15" hidden="false" customHeight="false" outlineLevel="0" collapsed="false">
      <c r="A659" s="35" t="n">
        <f aca="false">A658+1</f>
        <v>45466</v>
      </c>
      <c r="B659" s="35" t="n">
        <f aca="false">EOMONTH(A659+1,0)</f>
        <v>45473</v>
      </c>
      <c r="C659" s="36" t="n">
        <f aca="false">IF(MOD(YEAR(A659),4)=0,366,365)</f>
        <v>366</v>
      </c>
      <c r="D659" s="37" t="n">
        <f aca="false">Inputs!$B$9-SUMIFS(Cash_Events!$G$6:$G$20,Cash_Events!$C$6:$C$20,"rAGMF",Cash_Events!$B$6:$B$20,"&lt;="&amp;A659)</f>
        <v>1500000</v>
      </c>
      <c r="E659" s="38" t="n">
        <f aca="false">VLOOKUP(A659,Inputs!$A$40:$B$48,2,TRUE())</f>
        <v>0.0523565</v>
      </c>
      <c r="F659" s="38" t="n">
        <f aca="false">E659+Inputs!$B$10</f>
        <v>0.1198565</v>
      </c>
      <c r="G659" s="37" t="n">
        <f aca="false">D659*F659/C659</f>
        <v>491.215163934426</v>
      </c>
      <c r="H659" s="37" t="n">
        <f aca="false">IF(AND(A659&gt;=Inputs!$B$13,OR(A659&lt;Inputs!$B$19,Inputs!$B$20=1)),D659*Inputs!$B$11/C659,0)</f>
        <v>81.9672131147541</v>
      </c>
      <c r="I659" s="37" t="n">
        <f aca="false">Inputs!$C$9-SUMIFS(Cash_Events!$G$6:$G$20,Cash_Events!$C$6:$C$20,"FHL",Cash_Events!$B$6:$B$20,"&lt;="&amp;A659)</f>
        <v>1500000</v>
      </c>
      <c r="J659" s="38" t="n">
        <f aca="false">VLOOKUP(A659,Inputs!$F$40:$G$48,2,TRUE())</f>
        <v>0.0525075</v>
      </c>
      <c r="K659" s="38" t="n">
        <f aca="false">J659+Inputs!$C$10</f>
        <v>0.1200075</v>
      </c>
      <c r="L659" s="37" t="n">
        <f aca="false">I659*K659/C659</f>
        <v>491.834016393443</v>
      </c>
      <c r="M659" s="37" t="n">
        <f aca="false">IF(AND(A659&gt;=Inputs!$C$13,OR(A659&lt;Inputs!$B$19,Inputs!$B$20=1)),I659*Inputs!$C$11/C659,0)</f>
        <v>81.9672131147541</v>
      </c>
    </row>
    <row r="660" customFormat="false" ht="15" hidden="false" customHeight="false" outlineLevel="0" collapsed="false">
      <c r="A660" s="35" t="n">
        <f aca="false">A659+1</f>
        <v>45467</v>
      </c>
      <c r="B660" s="35" t="n">
        <f aca="false">EOMONTH(A660+1,0)</f>
        <v>45473</v>
      </c>
      <c r="C660" s="36" t="n">
        <f aca="false">IF(MOD(YEAR(A660),4)=0,366,365)</f>
        <v>366</v>
      </c>
      <c r="D660" s="37" t="n">
        <f aca="false">Inputs!$B$9-SUMIFS(Cash_Events!$G$6:$G$20,Cash_Events!$C$6:$C$20,"rAGMF",Cash_Events!$B$6:$B$20,"&lt;="&amp;A660)</f>
        <v>1500000</v>
      </c>
      <c r="E660" s="38" t="n">
        <f aca="false">VLOOKUP(A660,Inputs!$A$40:$B$48,2,TRUE())</f>
        <v>0.0523565</v>
      </c>
      <c r="F660" s="38" t="n">
        <f aca="false">E660+Inputs!$B$10</f>
        <v>0.1198565</v>
      </c>
      <c r="G660" s="37" t="n">
        <f aca="false">D660*F660/C660</f>
        <v>491.215163934426</v>
      </c>
      <c r="H660" s="37" t="n">
        <f aca="false">IF(AND(A660&gt;=Inputs!$B$13,OR(A660&lt;Inputs!$B$19,Inputs!$B$20=1)),D660*Inputs!$B$11/C660,0)</f>
        <v>81.9672131147541</v>
      </c>
      <c r="I660" s="37" t="n">
        <f aca="false">Inputs!$C$9-SUMIFS(Cash_Events!$G$6:$G$20,Cash_Events!$C$6:$C$20,"FHL",Cash_Events!$B$6:$B$20,"&lt;="&amp;A660)</f>
        <v>1500000</v>
      </c>
      <c r="J660" s="38" t="n">
        <f aca="false">VLOOKUP(A660,Inputs!$F$40:$G$48,2,TRUE())</f>
        <v>0.0525075</v>
      </c>
      <c r="K660" s="38" t="n">
        <f aca="false">J660+Inputs!$C$10</f>
        <v>0.1200075</v>
      </c>
      <c r="L660" s="37" t="n">
        <f aca="false">I660*K660/C660</f>
        <v>491.834016393443</v>
      </c>
      <c r="M660" s="37" t="n">
        <f aca="false">IF(AND(A660&gt;=Inputs!$C$13,OR(A660&lt;Inputs!$B$19,Inputs!$B$20=1)),I660*Inputs!$C$11/C660,0)</f>
        <v>81.9672131147541</v>
      </c>
    </row>
    <row r="661" customFormat="false" ht="15" hidden="false" customHeight="false" outlineLevel="0" collapsed="false">
      <c r="A661" s="35" t="n">
        <f aca="false">A660+1</f>
        <v>45468</v>
      </c>
      <c r="B661" s="35" t="n">
        <f aca="false">EOMONTH(A661+1,0)</f>
        <v>45473</v>
      </c>
      <c r="C661" s="36" t="n">
        <f aca="false">IF(MOD(YEAR(A661),4)=0,366,365)</f>
        <v>366</v>
      </c>
      <c r="D661" s="37" t="n">
        <f aca="false">Inputs!$B$9-SUMIFS(Cash_Events!$G$6:$G$20,Cash_Events!$C$6:$C$20,"rAGMF",Cash_Events!$B$6:$B$20,"&lt;="&amp;A661)</f>
        <v>1500000</v>
      </c>
      <c r="E661" s="38" t="n">
        <f aca="false">VLOOKUP(A661,Inputs!$A$40:$B$48,2,TRUE())</f>
        <v>0.0523565</v>
      </c>
      <c r="F661" s="38" t="n">
        <f aca="false">E661+Inputs!$B$10</f>
        <v>0.1198565</v>
      </c>
      <c r="G661" s="37" t="n">
        <f aca="false">D661*F661/C661</f>
        <v>491.215163934426</v>
      </c>
      <c r="H661" s="37" t="n">
        <f aca="false">IF(AND(A661&gt;=Inputs!$B$13,OR(A661&lt;Inputs!$B$19,Inputs!$B$20=1)),D661*Inputs!$B$11/C661,0)</f>
        <v>81.9672131147541</v>
      </c>
      <c r="I661" s="37" t="n">
        <f aca="false">Inputs!$C$9-SUMIFS(Cash_Events!$G$6:$G$20,Cash_Events!$C$6:$C$20,"FHL",Cash_Events!$B$6:$B$20,"&lt;="&amp;A661)</f>
        <v>1500000</v>
      </c>
      <c r="J661" s="38" t="n">
        <f aca="false">VLOOKUP(A661,Inputs!$F$40:$G$48,2,TRUE())</f>
        <v>0.0525075</v>
      </c>
      <c r="K661" s="38" t="n">
        <f aca="false">J661+Inputs!$C$10</f>
        <v>0.1200075</v>
      </c>
      <c r="L661" s="37" t="n">
        <f aca="false">I661*K661/C661</f>
        <v>491.834016393443</v>
      </c>
      <c r="M661" s="37" t="n">
        <f aca="false">IF(AND(A661&gt;=Inputs!$C$13,OR(A661&lt;Inputs!$B$19,Inputs!$B$20=1)),I661*Inputs!$C$11/C661,0)</f>
        <v>81.9672131147541</v>
      </c>
    </row>
    <row r="662" customFormat="false" ht="15" hidden="false" customHeight="false" outlineLevel="0" collapsed="false">
      <c r="A662" s="35" t="n">
        <f aca="false">A661+1</f>
        <v>45469</v>
      </c>
      <c r="B662" s="35" t="n">
        <f aca="false">EOMONTH(A662+1,0)</f>
        <v>45473</v>
      </c>
      <c r="C662" s="36" t="n">
        <f aca="false">IF(MOD(YEAR(A662),4)=0,366,365)</f>
        <v>366</v>
      </c>
      <c r="D662" s="37" t="n">
        <f aca="false">Inputs!$B$9-SUMIFS(Cash_Events!$G$6:$G$20,Cash_Events!$C$6:$C$20,"rAGMF",Cash_Events!$B$6:$B$20,"&lt;="&amp;A662)</f>
        <v>1500000</v>
      </c>
      <c r="E662" s="38" t="n">
        <f aca="false">VLOOKUP(A662,Inputs!$A$40:$B$48,2,TRUE())</f>
        <v>0.0523565</v>
      </c>
      <c r="F662" s="38" t="n">
        <f aca="false">E662+Inputs!$B$10</f>
        <v>0.1198565</v>
      </c>
      <c r="G662" s="37" t="n">
        <f aca="false">D662*F662/C662</f>
        <v>491.215163934426</v>
      </c>
      <c r="H662" s="37" t="n">
        <f aca="false">IF(AND(A662&gt;=Inputs!$B$13,OR(A662&lt;Inputs!$B$19,Inputs!$B$20=1)),D662*Inputs!$B$11/C662,0)</f>
        <v>81.9672131147541</v>
      </c>
      <c r="I662" s="37" t="n">
        <f aca="false">Inputs!$C$9-SUMIFS(Cash_Events!$G$6:$G$20,Cash_Events!$C$6:$C$20,"FHL",Cash_Events!$B$6:$B$20,"&lt;="&amp;A662)</f>
        <v>1500000</v>
      </c>
      <c r="J662" s="38" t="n">
        <f aca="false">VLOOKUP(A662,Inputs!$F$40:$G$48,2,TRUE())</f>
        <v>0.0525075</v>
      </c>
      <c r="K662" s="38" t="n">
        <f aca="false">J662+Inputs!$C$10</f>
        <v>0.1200075</v>
      </c>
      <c r="L662" s="37" t="n">
        <f aca="false">I662*K662/C662</f>
        <v>491.834016393443</v>
      </c>
      <c r="M662" s="37" t="n">
        <f aca="false">IF(AND(A662&gt;=Inputs!$C$13,OR(A662&lt;Inputs!$B$19,Inputs!$B$20=1)),I662*Inputs!$C$11/C662,0)</f>
        <v>81.9672131147541</v>
      </c>
    </row>
    <row r="663" customFormat="false" ht="15" hidden="false" customHeight="false" outlineLevel="0" collapsed="false">
      <c r="A663" s="35" t="n">
        <f aca="false">A662+1</f>
        <v>45470</v>
      </c>
      <c r="B663" s="35" t="n">
        <f aca="false">EOMONTH(A663+1,0)</f>
        <v>45473</v>
      </c>
      <c r="C663" s="36" t="n">
        <f aca="false">IF(MOD(YEAR(A663),4)=0,366,365)</f>
        <v>366</v>
      </c>
      <c r="D663" s="37" t="n">
        <f aca="false">Inputs!$B$9-SUMIFS(Cash_Events!$G$6:$G$20,Cash_Events!$C$6:$C$20,"rAGMF",Cash_Events!$B$6:$B$20,"&lt;="&amp;A663)</f>
        <v>1500000</v>
      </c>
      <c r="E663" s="38" t="n">
        <f aca="false">VLOOKUP(A663,Inputs!$A$40:$B$48,2,TRUE())</f>
        <v>0.0523565</v>
      </c>
      <c r="F663" s="38" t="n">
        <f aca="false">E663+Inputs!$B$10</f>
        <v>0.1198565</v>
      </c>
      <c r="G663" s="37" t="n">
        <f aca="false">D663*F663/C663</f>
        <v>491.215163934426</v>
      </c>
      <c r="H663" s="37" t="n">
        <f aca="false">IF(AND(A663&gt;=Inputs!$B$13,OR(A663&lt;Inputs!$B$19,Inputs!$B$20=1)),D663*Inputs!$B$11/C663,0)</f>
        <v>81.9672131147541</v>
      </c>
      <c r="I663" s="37" t="n">
        <f aca="false">Inputs!$C$9-SUMIFS(Cash_Events!$G$6:$G$20,Cash_Events!$C$6:$C$20,"FHL",Cash_Events!$B$6:$B$20,"&lt;="&amp;A663)</f>
        <v>1500000</v>
      </c>
      <c r="J663" s="38" t="n">
        <f aca="false">VLOOKUP(A663,Inputs!$F$40:$G$48,2,TRUE())</f>
        <v>0.0525075</v>
      </c>
      <c r="K663" s="38" t="n">
        <f aca="false">J663+Inputs!$C$10</f>
        <v>0.1200075</v>
      </c>
      <c r="L663" s="37" t="n">
        <f aca="false">I663*K663/C663</f>
        <v>491.834016393443</v>
      </c>
      <c r="M663" s="37" t="n">
        <f aca="false">IF(AND(A663&gt;=Inputs!$C$13,OR(A663&lt;Inputs!$B$19,Inputs!$B$20=1)),I663*Inputs!$C$11/C663,0)</f>
        <v>81.9672131147541</v>
      </c>
    </row>
    <row r="664" customFormat="false" ht="15" hidden="false" customHeight="false" outlineLevel="0" collapsed="false">
      <c r="A664" s="35" t="n">
        <f aca="false">A663+1</f>
        <v>45471</v>
      </c>
      <c r="B664" s="35" t="n">
        <f aca="false">EOMONTH(A664+1,0)</f>
        <v>45473</v>
      </c>
      <c r="C664" s="36" t="n">
        <f aca="false">IF(MOD(YEAR(A664),4)=0,366,365)</f>
        <v>366</v>
      </c>
      <c r="D664" s="37" t="n">
        <f aca="false">Inputs!$B$9-SUMIFS(Cash_Events!$G$6:$G$20,Cash_Events!$C$6:$C$20,"rAGMF",Cash_Events!$B$6:$B$20,"&lt;="&amp;A664)</f>
        <v>735000</v>
      </c>
      <c r="E664" s="38" t="n">
        <f aca="false">VLOOKUP(A664,Inputs!$A$40:$B$48,2,TRUE())</f>
        <v>0.0523565</v>
      </c>
      <c r="F664" s="38" t="n">
        <f aca="false">E664+Inputs!$B$10</f>
        <v>0.1198565</v>
      </c>
      <c r="G664" s="37" t="n">
        <f aca="false">D664*F664/C664</f>
        <v>240.695430327869</v>
      </c>
      <c r="H664" s="37" t="n">
        <f aca="false">IF(AND(A664&gt;=Inputs!$B$13,OR(A664&lt;Inputs!$B$19,Inputs!$B$20=1)),D664*Inputs!$B$11/C664,0)</f>
        <v>40.1639344262295</v>
      </c>
      <c r="I664" s="37" t="n">
        <f aca="false">Inputs!$C$9-SUMIFS(Cash_Events!$G$6:$G$20,Cash_Events!$C$6:$C$20,"FHL",Cash_Events!$B$6:$B$20,"&lt;="&amp;A664)</f>
        <v>735000</v>
      </c>
      <c r="J664" s="38" t="n">
        <f aca="false">VLOOKUP(A664,Inputs!$F$40:$G$48,2,TRUE())</f>
        <v>0.0525075</v>
      </c>
      <c r="K664" s="38" t="n">
        <f aca="false">J664+Inputs!$C$10</f>
        <v>0.1200075</v>
      </c>
      <c r="L664" s="37" t="n">
        <f aca="false">I664*K664/C664</f>
        <v>240.998668032787</v>
      </c>
      <c r="M664" s="37" t="n">
        <f aca="false">IF(AND(A664&gt;=Inputs!$C$13,OR(A664&lt;Inputs!$B$19,Inputs!$B$20=1)),I664*Inputs!$C$11/C664,0)</f>
        <v>40.1639344262295</v>
      </c>
    </row>
    <row r="665" customFormat="false" ht="15" hidden="false" customHeight="false" outlineLevel="0" collapsed="false">
      <c r="A665" s="35" t="n">
        <f aca="false">A664+1</f>
        <v>45472</v>
      </c>
      <c r="B665" s="35" t="n">
        <f aca="false">EOMONTH(A665+1,0)</f>
        <v>45473</v>
      </c>
      <c r="C665" s="36" t="n">
        <f aca="false">IF(MOD(YEAR(A665),4)=0,366,365)</f>
        <v>366</v>
      </c>
      <c r="D665" s="37" t="n">
        <f aca="false">Inputs!$B$9-SUMIFS(Cash_Events!$G$6:$G$20,Cash_Events!$C$6:$C$20,"rAGMF",Cash_Events!$B$6:$B$20,"&lt;="&amp;A665)</f>
        <v>735000</v>
      </c>
      <c r="E665" s="38" t="n">
        <f aca="false">VLOOKUP(A665,Inputs!$A$40:$B$48,2,TRUE())</f>
        <v>0.0523565</v>
      </c>
      <c r="F665" s="38" t="n">
        <f aca="false">E665+Inputs!$B$10</f>
        <v>0.1198565</v>
      </c>
      <c r="G665" s="37" t="n">
        <f aca="false">D665*F665/C665</f>
        <v>240.695430327869</v>
      </c>
      <c r="H665" s="37" t="n">
        <f aca="false">IF(AND(A665&gt;=Inputs!$B$13,OR(A665&lt;Inputs!$B$19,Inputs!$B$20=1)),D665*Inputs!$B$11/C665,0)</f>
        <v>40.1639344262295</v>
      </c>
      <c r="I665" s="37" t="n">
        <f aca="false">Inputs!$C$9-SUMIFS(Cash_Events!$G$6:$G$20,Cash_Events!$C$6:$C$20,"FHL",Cash_Events!$B$6:$B$20,"&lt;="&amp;A665)</f>
        <v>735000</v>
      </c>
      <c r="J665" s="38" t="n">
        <f aca="false">VLOOKUP(A665,Inputs!$F$40:$G$48,2,TRUE())</f>
        <v>0.0525075</v>
      </c>
      <c r="K665" s="38" t="n">
        <f aca="false">J665+Inputs!$C$10</f>
        <v>0.1200075</v>
      </c>
      <c r="L665" s="37" t="n">
        <f aca="false">I665*K665/C665</f>
        <v>240.998668032787</v>
      </c>
      <c r="M665" s="37" t="n">
        <f aca="false">IF(AND(A665&gt;=Inputs!$C$13,OR(A665&lt;Inputs!$B$19,Inputs!$B$20=1)),I665*Inputs!$C$11/C665,0)</f>
        <v>40.1639344262295</v>
      </c>
    </row>
    <row r="666" customFormat="false" ht="15" hidden="false" customHeight="false" outlineLevel="0" collapsed="false">
      <c r="A666" s="35" t="n">
        <f aca="false">A665+1</f>
        <v>45473</v>
      </c>
      <c r="B666" s="35" t="n">
        <f aca="false">EOMONTH(A666+1,0)</f>
        <v>45504</v>
      </c>
      <c r="C666" s="36" t="n">
        <f aca="false">IF(MOD(YEAR(A666),4)=0,366,365)</f>
        <v>366</v>
      </c>
      <c r="D666" s="37" t="n">
        <f aca="false">Inputs!$B$9-SUMIFS(Cash_Events!$G$6:$G$20,Cash_Events!$C$6:$C$20,"rAGMF",Cash_Events!$B$6:$B$20,"&lt;="&amp;A666)</f>
        <v>735000</v>
      </c>
      <c r="E666" s="38" t="n">
        <f aca="false">VLOOKUP(A666,Inputs!$A$40:$B$48,2,TRUE())</f>
        <v>0.0523565</v>
      </c>
      <c r="F666" s="38" t="n">
        <f aca="false">E666+Inputs!$B$10</f>
        <v>0.1198565</v>
      </c>
      <c r="G666" s="37" t="n">
        <f aca="false">D666*F666/C666</f>
        <v>240.695430327869</v>
      </c>
      <c r="H666" s="37" t="n">
        <f aca="false">IF(AND(A666&gt;=Inputs!$B$13,OR(A666&lt;Inputs!$B$19,Inputs!$B$20=1)),D666*Inputs!$B$11/C666,0)</f>
        <v>40.1639344262295</v>
      </c>
      <c r="I666" s="37" t="n">
        <f aca="false">Inputs!$C$9-SUMIFS(Cash_Events!$G$6:$G$20,Cash_Events!$C$6:$C$20,"FHL",Cash_Events!$B$6:$B$20,"&lt;="&amp;A666)</f>
        <v>735000</v>
      </c>
      <c r="J666" s="38" t="n">
        <f aca="false">VLOOKUP(A666,Inputs!$F$40:$G$48,2,TRUE())</f>
        <v>0.0525075</v>
      </c>
      <c r="K666" s="38" t="n">
        <f aca="false">J666+Inputs!$C$10</f>
        <v>0.1200075</v>
      </c>
      <c r="L666" s="37" t="n">
        <f aca="false">I666*K666/C666</f>
        <v>240.998668032787</v>
      </c>
      <c r="M666" s="37" t="n">
        <f aca="false">IF(AND(A666&gt;=Inputs!$C$13,OR(A666&lt;Inputs!$B$19,Inputs!$B$20=1)),I666*Inputs!$C$11/C666,0)</f>
        <v>40.1639344262295</v>
      </c>
    </row>
    <row r="667" customFormat="false" ht="15" hidden="false" customHeight="false" outlineLevel="0" collapsed="false">
      <c r="A667" s="35" t="n">
        <f aca="false">A666+1</f>
        <v>45474</v>
      </c>
      <c r="B667" s="35" t="n">
        <f aca="false">EOMONTH(A667+1,0)</f>
        <v>45504</v>
      </c>
      <c r="C667" s="36" t="n">
        <f aca="false">IF(MOD(YEAR(A667),4)=0,366,365)</f>
        <v>366</v>
      </c>
      <c r="D667" s="37" t="n">
        <f aca="false">Inputs!$B$9-SUMIFS(Cash_Events!$G$6:$G$20,Cash_Events!$C$6:$C$20,"rAGMF",Cash_Events!$B$6:$B$20,"&lt;="&amp;A667)</f>
        <v>735000</v>
      </c>
      <c r="E667" s="38" t="n">
        <f aca="false">VLOOKUP(A667,Inputs!$A$40:$B$48,2,TRUE())</f>
        <v>0.0523565</v>
      </c>
      <c r="F667" s="38" t="n">
        <f aca="false">E667+Inputs!$B$10</f>
        <v>0.1198565</v>
      </c>
      <c r="G667" s="37" t="n">
        <f aca="false">D667*F667/C667</f>
        <v>240.695430327869</v>
      </c>
      <c r="H667" s="37" t="n">
        <f aca="false">IF(AND(A667&gt;=Inputs!$B$13,OR(A667&lt;Inputs!$B$19,Inputs!$B$20=1)),D667*Inputs!$B$11/C667,0)</f>
        <v>40.1639344262295</v>
      </c>
      <c r="I667" s="37" t="n">
        <f aca="false">Inputs!$C$9-SUMIFS(Cash_Events!$G$6:$G$20,Cash_Events!$C$6:$C$20,"FHL",Cash_Events!$B$6:$B$20,"&lt;="&amp;A667)</f>
        <v>735000</v>
      </c>
      <c r="J667" s="38" t="n">
        <f aca="false">VLOOKUP(A667,Inputs!$F$40:$G$48,2,TRUE())</f>
        <v>0.0525075</v>
      </c>
      <c r="K667" s="38" t="n">
        <f aca="false">J667+Inputs!$C$10</f>
        <v>0.1200075</v>
      </c>
      <c r="L667" s="37" t="n">
        <f aca="false">I667*K667/C667</f>
        <v>240.998668032787</v>
      </c>
      <c r="M667" s="37" t="n">
        <f aca="false">IF(AND(A667&gt;=Inputs!$C$13,OR(A667&lt;Inputs!$B$19,Inputs!$B$20=1)),I667*Inputs!$C$11/C667,0)</f>
        <v>40.1639344262295</v>
      </c>
    </row>
    <row r="668" customFormat="false" ht="15" hidden="false" customHeight="false" outlineLevel="0" collapsed="false">
      <c r="A668" s="35" t="n">
        <f aca="false">A667+1</f>
        <v>45475</v>
      </c>
      <c r="B668" s="35" t="n">
        <f aca="false">EOMONTH(A668+1,0)</f>
        <v>45504</v>
      </c>
      <c r="C668" s="36" t="n">
        <f aca="false">IF(MOD(YEAR(A668),4)=0,366,365)</f>
        <v>366</v>
      </c>
      <c r="D668" s="37" t="n">
        <f aca="false">Inputs!$B$9-SUMIFS(Cash_Events!$G$6:$G$20,Cash_Events!$C$6:$C$20,"rAGMF",Cash_Events!$B$6:$B$20,"&lt;="&amp;A668)</f>
        <v>735000</v>
      </c>
      <c r="E668" s="38" t="n">
        <f aca="false">VLOOKUP(A668,Inputs!$A$40:$B$48,2,TRUE())</f>
        <v>0.0523565</v>
      </c>
      <c r="F668" s="38" t="n">
        <f aca="false">E668+Inputs!$B$10</f>
        <v>0.1198565</v>
      </c>
      <c r="G668" s="37" t="n">
        <f aca="false">D668*F668/C668</f>
        <v>240.695430327869</v>
      </c>
      <c r="H668" s="37" t="n">
        <f aca="false">IF(AND(A668&gt;=Inputs!$B$13,OR(A668&lt;Inputs!$B$19,Inputs!$B$20=1)),D668*Inputs!$B$11/C668,0)</f>
        <v>40.1639344262295</v>
      </c>
      <c r="I668" s="37" t="n">
        <f aca="false">Inputs!$C$9-SUMIFS(Cash_Events!$G$6:$G$20,Cash_Events!$C$6:$C$20,"FHL",Cash_Events!$B$6:$B$20,"&lt;="&amp;A668)</f>
        <v>735000</v>
      </c>
      <c r="J668" s="38" t="n">
        <f aca="false">VLOOKUP(A668,Inputs!$F$40:$G$48,2,TRUE())</f>
        <v>0.0525075</v>
      </c>
      <c r="K668" s="38" t="n">
        <f aca="false">J668+Inputs!$C$10</f>
        <v>0.1200075</v>
      </c>
      <c r="L668" s="37" t="n">
        <f aca="false">I668*K668/C668</f>
        <v>240.998668032787</v>
      </c>
      <c r="M668" s="37" t="n">
        <f aca="false">IF(AND(A668&gt;=Inputs!$C$13,OR(A668&lt;Inputs!$B$19,Inputs!$B$20=1)),I668*Inputs!$C$11/C668,0)</f>
        <v>40.1639344262295</v>
      </c>
    </row>
    <row r="669" customFormat="false" ht="15" hidden="false" customHeight="false" outlineLevel="0" collapsed="false">
      <c r="A669" s="35" t="n">
        <f aca="false">A668+1</f>
        <v>45476</v>
      </c>
      <c r="B669" s="35" t="n">
        <f aca="false">EOMONTH(A669+1,0)</f>
        <v>45504</v>
      </c>
      <c r="C669" s="36" t="n">
        <f aca="false">IF(MOD(YEAR(A669),4)=0,366,365)</f>
        <v>366</v>
      </c>
      <c r="D669" s="37" t="n">
        <f aca="false">Inputs!$B$9-SUMIFS(Cash_Events!$G$6:$G$20,Cash_Events!$C$6:$C$20,"rAGMF",Cash_Events!$B$6:$B$20,"&lt;="&amp;A669)</f>
        <v>735000</v>
      </c>
      <c r="E669" s="38" t="n">
        <f aca="false">VLOOKUP(A669,Inputs!$A$40:$B$48,2,TRUE())</f>
        <v>0.0523565</v>
      </c>
      <c r="F669" s="38" t="n">
        <f aca="false">E669+Inputs!$B$10</f>
        <v>0.1198565</v>
      </c>
      <c r="G669" s="37" t="n">
        <f aca="false">D669*F669/C669</f>
        <v>240.695430327869</v>
      </c>
      <c r="H669" s="37" t="n">
        <f aca="false">IF(AND(A669&gt;=Inputs!$B$13,OR(A669&lt;Inputs!$B$19,Inputs!$B$20=1)),D669*Inputs!$B$11/C669,0)</f>
        <v>40.1639344262295</v>
      </c>
      <c r="I669" s="37" t="n">
        <f aca="false">Inputs!$C$9-SUMIFS(Cash_Events!$G$6:$G$20,Cash_Events!$C$6:$C$20,"FHL",Cash_Events!$B$6:$B$20,"&lt;="&amp;A669)</f>
        <v>735000</v>
      </c>
      <c r="J669" s="38" t="n">
        <f aca="false">VLOOKUP(A669,Inputs!$F$40:$G$48,2,TRUE())</f>
        <v>0.0525075</v>
      </c>
      <c r="K669" s="38" t="n">
        <f aca="false">J669+Inputs!$C$10</f>
        <v>0.1200075</v>
      </c>
      <c r="L669" s="37" t="n">
        <f aca="false">I669*K669/C669</f>
        <v>240.998668032787</v>
      </c>
      <c r="M669" s="37" t="n">
        <f aca="false">IF(AND(A669&gt;=Inputs!$C$13,OR(A669&lt;Inputs!$B$19,Inputs!$B$20=1)),I669*Inputs!$C$11/C669,0)</f>
        <v>40.1639344262295</v>
      </c>
    </row>
    <row r="670" customFormat="false" ht="15" hidden="false" customHeight="false" outlineLevel="0" collapsed="false">
      <c r="A670" s="35" t="n">
        <f aca="false">A669+1</f>
        <v>45477</v>
      </c>
      <c r="B670" s="35" t="n">
        <f aca="false">EOMONTH(A670+1,0)</f>
        <v>45504</v>
      </c>
      <c r="C670" s="36" t="n">
        <f aca="false">IF(MOD(YEAR(A670),4)=0,366,365)</f>
        <v>366</v>
      </c>
      <c r="D670" s="37" t="n">
        <f aca="false">Inputs!$B$9-SUMIFS(Cash_Events!$G$6:$G$20,Cash_Events!$C$6:$C$20,"rAGMF",Cash_Events!$B$6:$B$20,"&lt;="&amp;A670)</f>
        <v>735000</v>
      </c>
      <c r="E670" s="38" t="n">
        <f aca="false">VLOOKUP(A670,Inputs!$A$40:$B$48,2,TRUE())</f>
        <v>0.0523565</v>
      </c>
      <c r="F670" s="38" t="n">
        <f aca="false">E670+Inputs!$B$10</f>
        <v>0.1198565</v>
      </c>
      <c r="G670" s="37" t="n">
        <f aca="false">D670*F670/C670</f>
        <v>240.695430327869</v>
      </c>
      <c r="H670" s="37" t="n">
        <f aca="false">IF(AND(A670&gt;=Inputs!$B$13,OR(A670&lt;Inputs!$B$19,Inputs!$B$20=1)),D670*Inputs!$B$11/C670,0)</f>
        <v>40.1639344262295</v>
      </c>
      <c r="I670" s="37" t="n">
        <f aca="false">Inputs!$C$9-SUMIFS(Cash_Events!$G$6:$G$20,Cash_Events!$C$6:$C$20,"FHL",Cash_Events!$B$6:$B$20,"&lt;="&amp;A670)</f>
        <v>735000</v>
      </c>
      <c r="J670" s="38" t="n">
        <f aca="false">VLOOKUP(A670,Inputs!$F$40:$G$48,2,TRUE())</f>
        <v>0.0525075</v>
      </c>
      <c r="K670" s="38" t="n">
        <f aca="false">J670+Inputs!$C$10</f>
        <v>0.1200075</v>
      </c>
      <c r="L670" s="37" t="n">
        <f aca="false">I670*K670/C670</f>
        <v>240.998668032787</v>
      </c>
      <c r="M670" s="37" t="n">
        <f aca="false">IF(AND(A670&gt;=Inputs!$C$13,OR(A670&lt;Inputs!$B$19,Inputs!$B$20=1)),I670*Inputs!$C$11/C670,0)</f>
        <v>40.1639344262295</v>
      </c>
    </row>
    <row r="671" customFormat="false" ht="15" hidden="false" customHeight="false" outlineLevel="0" collapsed="false">
      <c r="A671" s="35" t="n">
        <f aca="false">A670+1</f>
        <v>45478</v>
      </c>
      <c r="B671" s="35" t="n">
        <f aca="false">EOMONTH(A671+1,0)</f>
        <v>45504</v>
      </c>
      <c r="C671" s="36" t="n">
        <f aca="false">IF(MOD(YEAR(A671),4)=0,366,365)</f>
        <v>366</v>
      </c>
      <c r="D671" s="37" t="n">
        <f aca="false">Inputs!$B$9-SUMIFS(Cash_Events!$G$6:$G$20,Cash_Events!$C$6:$C$20,"rAGMF",Cash_Events!$B$6:$B$20,"&lt;="&amp;A671)</f>
        <v>735000</v>
      </c>
      <c r="E671" s="38" t="n">
        <f aca="false">VLOOKUP(A671,Inputs!$A$40:$B$48,2,TRUE())</f>
        <v>0.0523565</v>
      </c>
      <c r="F671" s="38" t="n">
        <f aca="false">E671+Inputs!$B$10</f>
        <v>0.1198565</v>
      </c>
      <c r="G671" s="37" t="n">
        <f aca="false">D671*F671/C671</f>
        <v>240.695430327869</v>
      </c>
      <c r="H671" s="37" t="n">
        <f aca="false">IF(AND(A671&gt;=Inputs!$B$13,OR(A671&lt;Inputs!$B$19,Inputs!$B$20=1)),D671*Inputs!$B$11/C671,0)</f>
        <v>40.1639344262295</v>
      </c>
      <c r="I671" s="37" t="n">
        <f aca="false">Inputs!$C$9-SUMIFS(Cash_Events!$G$6:$G$20,Cash_Events!$C$6:$C$20,"FHL",Cash_Events!$B$6:$B$20,"&lt;="&amp;A671)</f>
        <v>735000</v>
      </c>
      <c r="J671" s="38" t="n">
        <f aca="false">VLOOKUP(A671,Inputs!$F$40:$G$48,2,TRUE())</f>
        <v>0.0525075</v>
      </c>
      <c r="K671" s="38" t="n">
        <f aca="false">J671+Inputs!$C$10</f>
        <v>0.1200075</v>
      </c>
      <c r="L671" s="37" t="n">
        <f aca="false">I671*K671/C671</f>
        <v>240.998668032787</v>
      </c>
      <c r="M671" s="37" t="n">
        <f aca="false">IF(AND(A671&gt;=Inputs!$C$13,OR(A671&lt;Inputs!$B$19,Inputs!$B$20=1)),I671*Inputs!$C$11/C671,0)</f>
        <v>40.1639344262295</v>
      </c>
    </row>
    <row r="672" customFormat="false" ht="15" hidden="false" customHeight="false" outlineLevel="0" collapsed="false">
      <c r="A672" s="35" t="n">
        <f aca="false">A671+1</f>
        <v>45479</v>
      </c>
      <c r="B672" s="35" t="n">
        <f aca="false">EOMONTH(A672+1,0)</f>
        <v>45504</v>
      </c>
      <c r="C672" s="36" t="n">
        <f aca="false">IF(MOD(YEAR(A672),4)=0,366,365)</f>
        <v>366</v>
      </c>
      <c r="D672" s="37" t="n">
        <f aca="false">Inputs!$B$9-SUMIFS(Cash_Events!$G$6:$G$20,Cash_Events!$C$6:$C$20,"rAGMF",Cash_Events!$B$6:$B$20,"&lt;="&amp;A672)</f>
        <v>735000</v>
      </c>
      <c r="E672" s="38" t="n">
        <f aca="false">VLOOKUP(A672,Inputs!$A$40:$B$48,2,TRUE())</f>
        <v>0.0523565</v>
      </c>
      <c r="F672" s="38" t="n">
        <f aca="false">E672+Inputs!$B$10</f>
        <v>0.1198565</v>
      </c>
      <c r="G672" s="37" t="n">
        <f aca="false">D672*F672/C672</f>
        <v>240.695430327869</v>
      </c>
      <c r="H672" s="37" t="n">
        <f aca="false">IF(AND(A672&gt;=Inputs!$B$13,OR(A672&lt;Inputs!$B$19,Inputs!$B$20=1)),D672*Inputs!$B$11/C672,0)</f>
        <v>40.1639344262295</v>
      </c>
      <c r="I672" s="37" t="n">
        <f aca="false">Inputs!$C$9-SUMIFS(Cash_Events!$G$6:$G$20,Cash_Events!$C$6:$C$20,"FHL",Cash_Events!$B$6:$B$20,"&lt;="&amp;A672)</f>
        <v>735000</v>
      </c>
      <c r="J672" s="38" t="n">
        <f aca="false">VLOOKUP(A672,Inputs!$F$40:$G$48,2,TRUE())</f>
        <v>0.0525075</v>
      </c>
      <c r="K672" s="38" t="n">
        <f aca="false">J672+Inputs!$C$10</f>
        <v>0.1200075</v>
      </c>
      <c r="L672" s="37" t="n">
        <f aca="false">I672*K672/C672</f>
        <v>240.998668032787</v>
      </c>
      <c r="M672" s="37" t="n">
        <f aca="false">IF(AND(A672&gt;=Inputs!$C$13,OR(A672&lt;Inputs!$B$19,Inputs!$B$20=1)),I672*Inputs!$C$11/C672,0)</f>
        <v>40.1639344262295</v>
      </c>
    </row>
    <row r="673" customFormat="false" ht="15" hidden="false" customHeight="false" outlineLevel="0" collapsed="false">
      <c r="A673" s="35" t="n">
        <f aca="false">A672+1</f>
        <v>45480</v>
      </c>
      <c r="B673" s="35" t="n">
        <f aca="false">EOMONTH(A673+1,0)</f>
        <v>45504</v>
      </c>
      <c r="C673" s="36" t="n">
        <f aca="false">IF(MOD(YEAR(A673),4)=0,366,365)</f>
        <v>366</v>
      </c>
      <c r="D673" s="37" t="n">
        <f aca="false">Inputs!$B$9-SUMIFS(Cash_Events!$G$6:$G$20,Cash_Events!$C$6:$C$20,"rAGMF",Cash_Events!$B$6:$B$20,"&lt;="&amp;A673)</f>
        <v>735000</v>
      </c>
      <c r="E673" s="38" t="n">
        <f aca="false">VLOOKUP(A673,Inputs!$A$40:$B$48,2,TRUE())</f>
        <v>0.0523565</v>
      </c>
      <c r="F673" s="38" t="n">
        <f aca="false">E673+Inputs!$B$10</f>
        <v>0.1198565</v>
      </c>
      <c r="G673" s="37" t="n">
        <f aca="false">D673*F673/C673</f>
        <v>240.695430327869</v>
      </c>
      <c r="H673" s="37" t="n">
        <f aca="false">IF(AND(A673&gt;=Inputs!$B$13,OR(A673&lt;Inputs!$B$19,Inputs!$B$20=1)),D673*Inputs!$B$11/C673,0)</f>
        <v>40.1639344262295</v>
      </c>
      <c r="I673" s="37" t="n">
        <f aca="false">Inputs!$C$9-SUMIFS(Cash_Events!$G$6:$G$20,Cash_Events!$C$6:$C$20,"FHL",Cash_Events!$B$6:$B$20,"&lt;="&amp;A673)</f>
        <v>735000</v>
      </c>
      <c r="J673" s="38" t="n">
        <f aca="false">VLOOKUP(A673,Inputs!$F$40:$G$48,2,TRUE())</f>
        <v>0.0525075</v>
      </c>
      <c r="K673" s="38" t="n">
        <f aca="false">J673+Inputs!$C$10</f>
        <v>0.1200075</v>
      </c>
      <c r="L673" s="37" t="n">
        <f aca="false">I673*K673/C673</f>
        <v>240.998668032787</v>
      </c>
      <c r="M673" s="37" t="n">
        <f aca="false">IF(AND(A673&gt;=Inputs!$C$13,OR(A673&lt;Inputs!$B$19,Inputs!$B$20=1)),I673*Inputs!$C$11/C673,0)</f>
        <v>40.1639344262295</v>
      </c>
    </row>
    <row r="674" customFormat="false" ht="15" hidden="false" customHeight="false" outlineLevel="0" collapsed="false">
      <c r="A674" s="35" t="n">
        <f aca="false">A673+1</f>
        <v>45481</v>
      </c>
      <c r="B674" s="35" t="n">
        <f aca="false">EOMONTH(A674+1,0)</f>
        <v>45504</v>
      </c>
      <c r="C674" s="36" t="n">
        <f aca="false">IF(MOD(YEAR(A674),4)=0,366,365)</f>
        <v>366</v>
      </c>
      <c r="D674" s="37" t="n">
        <f aca="false">Inputs!$B$9-SUMIFS(Cash_Events!$G$6:$G$20,Cash_Events!$C$6:$C$20,"rAGMF",Cash_Events!$B$6:$B$20,"&lt;="&amp;A674)</f>
        <v>735000</v>
      </c>
      <c r="E674" s="38" t="n">
        <f aca="false">VLOOKUP(A674,Inputs!$A$40:$B$48,2,TRUE())</f>
        <v>0.0523565</v>
      </c>
      <c r="F674" s="38" t="n">
        <f aca="false">E674+Inputs!$B$10</f>
        <v>0.1198565</v>
      </c>
      <c r="G674" s="37" t="n">
        <f aca="false">D674*F674/C674</f>
        <v>240.695430327869</v>
      </c>
      <c r="H674" s="37" t="n">
        <f aca="false">IF(AND(A674&gt;=Inputs!$B$13,OR(A674&lt;Inputs!$B$19,Inputs!$B$20=1)),D674*Inputs!$B$11/C674,0)</f>
        <v>40.1639344262295</v>
      </c>
      <c r="I674" s="37" t="n">
        <f aca="false">Inputs!$C$9-SUMIFS(Cash_Events!$G$6:$G$20,Cash_Events!$C$6:$C$20,"FHL",Cash_Events!$B$6:$B$20,"&lt;="&amp;A674)</f>
        <v>735000</v>
      </c>
      <c r="J674" s="38" t="n">
        <f aca="false">VLOOKUP(A674,Inputs!$F$40:$G$48,2,TRUE())</f>
        <v>0.0525075</v>
      </c>
      <c r="K674" s="38" t="n">
        <f aca="false">J674+Inputs!$C$10</f>
        <v>0.1200075</v>
      </c>
      <c r="L674" s="37" t="n">
        <f aca="false">I674*K674/C674</f>
        <v>240.998668032787</v>
      </c>
      <c r="M674" s="37" t="n">
        <f aca="false">IF(AND(A674&gt;=Inputs!$C$13,OR(A674&lt;Inputs!$B$19,Inputs!$B$20=1)),I674*Inputs!$C$11/C674,0)</f>
        <v>40.1639344262295</v>
      </c>
    </row>
    <row r="675" customFormat="false" ht="15" hidden="false" customHeight="false" outlineLevel="0" collapsed="false">
      <c r="A675" s="35" t="n">
        <f aca="false">A674+1</f>
        <v>45482</v>
      </c>
      <c r="B675" s="35" t="n">
        <f aca="false">EOMONTH(A675+1,0)</f>
        <v>45504</v>
      </c>
      <c r="C675" s="36" t="n">
        <f aca="false">IF(MOD(YEAR(A675),4)=0,366,365)</f>
        <v>366</v>
      </c>
      <c r="D675" s="37" t="n">
        <f aca="false">Inputs!$B$9-SUMIFS(Cash_Events!$G$6:$G$20,Cash_Events!$C$6:$C$20,"rAGMF",Cash_Events!$B$6:$B$20,"&lt;="&amp;A675)</f>
        <v>735000</v>
      </c>
      <c r="E675" s="38" t="n">
        <f aca="false">VLOOKUP(A675,Inputs!$A$40:$B$48,2,TRUE())</f>
        <v>0.0523565</v>
      </c>
      <c r="F675" s="38" t="n">
        <f aca="false">E675+Inputs!$B$10</f>
        <v>0.1198565</v>
      </c>
      <c r="G675" s="37" t="n">
        <f aca="false">D675*F675/C675</f>
        <v>240.695430327869</v>
      </c>
      <c r="H675" s="37" t="n">
        <f aca="false">IF(AND(A675&gt;=Inputs!$B$13,OR(A675&lt;Inputs!$B$19,Inputs!$B$20=1)),D675*Inputs!$B$11/C675,0)</f>
        <v>40.1639344262295</v>
      </c>
      <c r="I675" s="37" t="n">
        <f aca="false">Inputs!$C$9-SUMIFS(Cash_Events!$G$6:$G$20,Cash_Events!$C$6:$C$20,"FHL",Cash_Events!$B$6:$B$20,"&lt;="&amp;A675)</f>
        <v>735000</v>
      </c>
      <c r="J675" s="38" t="n">
        <f aca="false">VLOOKUP(A675,Inputs!$F$40:$G$48,2,TRUE())</f>
        <v>0.0525075</v>
      </c>
      <c r="K675" s="38" t="n">
        <f aca="false">J675+Inputs!$C$10</f>
        <v>0.1200075</v>
      </c>
      <c r="L675" s="37" t="n">
        <f aca="false">I675*K675/C675</f>
        <v>240.998668032787</v>
      </c>
      <c r="M675" s="37" t="n">
        <f aca="false">IF(AND(A675&gt;=Inputs!$C$13,OR(A675&lt;Inputs!$B$19,Inputs!$B$20=1)),I675*Inputs!$C$11/C675,0)</f>
        <v>40.1639344262295</v>
      </c>
    </row>
    <row r="676" customFormat="false" ht="15" hidden="false" customHeight="false" outlineLevel="0" collapsed="false">
      <c r="A676" s="35" t="n">
        <f aca="false">A675+1</f>
        <v>45483</v>
      </c>
      <c r="B676" s="35" t="n">
        <f aca="false">EOMONTH(A676+1,0)</f>
        <v>45504</v>
      </c>
      <c r="C676" s="36" t="n">
        <f aca="false">IF(MOD(YEAR(A676),4)=0,366,365)</f>
        <v>366</v>
      </c>
      <c r="D676" s="37" t="n">
        <f aca="false">Inputs!$B$9-SUMIFS(Cash_Events!$G$6:$G$20,Cash_Events!$C$6:$C$20,"rAGMF",Cash_Events!$B$6:$B$20,"&lt;="&amp;A676)</f>
        <v>735000</v>
      </c>
      <c r="E676" s="38" t="n">
        <f aca="false">VLOOKUP(A676,Inputs!$A$40:$B$48,2,TRUE())</f>
        <v>0.0523565</v>
      </c>
      <c r="F676" s="38" t="n">
        <f aca="false">E676+Inputs!$B$10</f>
        <v>0.1198565</v>
      </c>
      <c r="G676" s="37" t="n">
        <f aca="false">D676*F676/C676</f>
        <v>240.695430327869</v>
      </c>
      <c r="H676" s="37" t="n">
        <f aca="false">IF(AND(A676&gt;=Inputs!$B$13,OR(A676&lt;Inputs!$B$19,Inputs!$B$20=1)),D676*Inputs!$B$11/C676,0)</f>
        <v>40.1639344262295</v>
      </c>
      <c r="I676" s="37" t="n">
        <f aca="false">Inputs!$C$9-SUMIFS(Cash_Events!$G$6:$G$20,Cash_Events!$C$6:$C$20,"FHL",Cash_Events!$B$6:$B$20,"&lt;="&amp;A676)</f>
        <v>735000</v>
      </c>
      <c r="J676" s="38" t="n">
        <f aca="false">VLOOKUP(A676,Inputs!$F$40:$G$48,2,TRUE())</f>
        <v>0.0525075</v>
      </c>
      <c r="K676" s="38" t="n">
        <f aca="false">J676+Inputs!$C$10</f>
        <v>0.1200075</v>
      </c>
      <c r="L676" s="37" t="n">
        <f aca="false">I676*K676/C676</f>
        <v>240.998668032787</v>
      </c>
      <c r="M676" s="37" t="n">
        <f aca="false">IF(AND(A676&gt;=Inputs!$C$13,OR(A676&lt;Inputs!$B$19,Inputs!$B$20=1)),I676*Inputs!$C$11/C676,0)</f>
        <v>40.1639344262295</v>
      </c>
    </row>
    <row r="677" customFormat="false" ht="15" hidden="false" customHeight="false" outlineLevel="0" collapsed="false">
      <c r="A677" s="35" t="n">
        <f aca="false">A676+1</f>
        <v>45484</v>
      </c>
      <c r="B677" s="35" t="n">
        <f aca="false">EOMONTH(A677+1,0)</f>
        <v>45504</v>
      </c>
      <c r="C677" s="36" t="n">
        <f aca="false">IF(MOD(YEAR(A677),4)=0,366,365)</f>
        <v>366</v>
      </c>
      <c r="D677" s="37" t="n">
        <f aca="false">Inputs!$B$9-SUMIFS(Cash_Events!$G$6:$G$20,Cash_Events!$C$6:$C$20,"rAGMF",Cash_Events!$B$6:$B$20,"&lt;="&amp;A677)</f>
        <v>735000</v>
      </c>
      <c r="E677" s="38" t="n">
        <f aca="false">VLOOKUP(A677,Inputs!$A$40:$B$48,2,TRUE())</f>
        <v>0.0523565</v>
      </c>
      <c r="F677" s="38" t="n">
        <f aca="false">E677+Inputs!$B$10</f>
        <v>0.1198565</v>
      </c>
      <c r="G677" s="37" t="n">
        <f aca="false">D677*F677/C677</f>
        <v>240.695430327869</v>
      </c>
      <c r="H677" s="37" t="n">
        <f aca="false">IF(AND(A677&gt;=Inputs!$B$13,OR(A677&lt;Inputs!$B$19,Inputs!$B$20=1)),D677*Inputs!$B$11/C677,0)</f>
        <v>40.1639344262295</v>
      </c>
      <c r="I677" s="37" t="n">
        <f aca="false">Inputs!$C$9-SUMIFS(Cash_Events!$G$6:$G$20,Cash_Events!$C$6:$C$20,"FHL",Cash_Events!$B$6:$B$20,"&lt;="&amp;A677)</f>
        <v>735000</v>
      </c>
      <c r="J677" s="38" t="n">
        <f aca="false">VLOOKUP(A677,Inputs!$F$40:$G$48,2,TRUE())</f>
        <v>0.0525075</v>
      </c>
      <c r="K677" s="38" t="n">
        <f aca="false">J677+Inputs!$C$10</f>
        <v>0.1200075</v>
      </c>
      <c r="L677" s="37" t="n">
        <f aca="false">I677*K677/C677</f>
        <v>240.998668032787</v>
      </c>
      <c r="M677" s="37" t="n">
        <f aca="false">IF(AND(A677&gt;=Inputs!$C$13,OR(A677&lt;Inputs!$B$19,Inputs!$B$20=1)),I677*Inputs!$C$11/C677,0)</f>
        <v>40.1639344262295</v>
      </c>
    </row>
    <row r="678" customFormat="false" ht="15" hidden="false" customHeight="false" outlineLevel="0" collapsed="false">
      <c r="A678" s="35" t="n">
        <f aca="false">A677+1</f>
        <v>45485</v>
      </c>
      <c r="B678" s="35" t="n">
        <f aca="false">EOMONTH(A678+1,0)</f>
        <v>45504</v>
      </c>
      <c r="C678" s="36" t="n">
        <f aca="false">IF(MOD(YEAR(A678),4)=0,366,365)</f>
        <v>366</v>
      </c>
      <c r="D678" s="37" t="n">
        <f aca="false">Inputs!$B$9-SUMIFS(Cash_Events!$G$6:$G$20,Cash_Events!$C$6:$C$20,"rAGMF",Cash_Events!$B$6:$B$20,"&lt;="&amp;A678)</f>
        <v>735000</v>
      </c>
      <c r="E678" s="38" t="n">
        <f aca="false">VLOOKUP(A678,Inputs!$A$40:$B$48,2,TRUE())</f>
        <v>0.0523565</v>
      </c>
      <c r="F678" s="38" t="n">
        <f aca="false">E678+Inputs!$B$10</f>
        <v>0.1198565</v>
      </c>
      <c r="G678" s="37" t="n">
        <f aca="false">D678*F678/C678</f>
        <v>240.695430327869</v>
      </c>
      <c r="H678" s="37" t="n">
        <f aca="false">IF(AND(A678&gt;=Inputs!$B$13,OR(A678&lt;Inputs!$B$19,Inputs!$B$20=1)),D678*Inputs!$B$11/C678,0)</f>
        <v>40.1639344262295</v>
      </c>
      <c r="I678" s="37" t="n">
        <f aca="false">Inputs!$C$9-SUMIFS(Cash_Events!$G$6:$G$20,Cash_Events!$C$6:$C$20,"FHL",Cash_Events!$B$6:$B$20,"&lt;="&amp;A678)</f>
        <v>735000</v>
      </c>
      <c r="J678" s="38" t="n">
        <f aca="false">VLOOKUP(A678,Inputs!$F$40:$G$48,2,TRUE())</f>
        <v>0.0525075</v>
      </c>
      <c r="K678" s="38" t="n">
        <f aca="false">J678+Inputs!$C$10</f>
        <v>0.1200075</v>
      </c>
      <c r="L678" s="37" t="n">
        <f aca="false">I678*K678/C678</f>
        <v>240.998668032787</v>
      </c>
      <c r="M678" s="37" t="n">
        <f aca="false">IF(AND(A678&gt;=Inputs!$C$13,OR(A678&lt;Inputs!$B$19,Inputs!$B$20=1)),I678*Inputs!$C$11/C678,0)</f>
        <v>40.1639344262295</v>
      </c>
    </row>
    <row r="679" customFormat="false" ht="15" hidden="false" customHeight="false" outlineLevel="0" collapsed="false">
      <c r="A679" s="35" t="n">
        <f aca="false">A678+1</f>
        <v>45486</v>
      </c>
      <c r="B679" s="35" t="n">
        <f aca="false">EOMONTH(A679+1,0)</f>
        <v>45504</v>
      </c>
      <c r="C679" s="36" t="n">
        <f aca="false">IF(MOD(YEAR(A679),4)=0,366,365)</f>
        <v>366</v>
      </c>
      <c r="D679" s="37" t="n">
        <f aca="false">Inputs!$B$9-SUMIFS(Cash_Events!$G$6:$G$20,Cash_Events!$C$6:$C$20,"rAGMF",Cash_Events!$B$6:$B$20,"&lt;="&amp;A679)</f>
        <v>735000</v>
      </c>
      <c r="E679" s="38" t="n">
        <f aca="false">VLOOKUP(A679,Inputs!$A$40:$B$48,2,TRUE())</f>
        <v>0.0523565</v>
      </c>
      <c r="F679" s="38" t="n">
        <f aca="false">E679+Inputs!$B$10</f>
        <v>0.1198565</v>
      </c>
      <c r="G679" s="37" t="n">
        <f aca="false">D679*F679/C679</f>
        <v>240.695430327869</v>
      </c>
      <c r="H679" s="37" t="n">
        <f aca="false">IF(AND(A679&gt;=Inputs!$B$13,OR(A679&lt;Inputs!$B$19,Inputs!$B$20=1)),D679*Inputs!$B$11/C679,0)</f>
        <v>40.1639344262295</v>
      </c>
      <c r="I679" s="37" t="n">
        <f aca="false">Inputs!$C$9-SUMIFS(Cash_Events!$G$6:$G$20,Cash_Events!$C$6:$C$20,"FHL",Cash_Events!$B$6:$B$20,"&lt;="&amp;A679)</f>
        <v>735000</v>
      </c>
      <c r="J679" s="38" t="n">
        <f aca="false">VLOOKUP(A679,Inputs!$F$40:$G$48,2,TRUE())</f>
        <v>0.0525075</v>
      </c>
      <c r="K679" s="38" t="n">
        <f aca="false">J679+Inputs!$C$10</f>
        <v>0.1200075</v>
      </c>
      <c r="L679" s="37" t="n">
        <f aca="false">I679*K679/C679</f>
        <v>240.998668032787</v>
      </c>
      <c r="M679" s="37" t="n">
        <f aca="false">IF(AND(A679&gt;=Inputs!$C$13,OR(A679&lt;Inputs!$B$19,Inputs!$B$20=1)),I679*Inputs!$C$11/C679,0)</f>
        <v>40.1639344262295</v>
      </c>
    </row>
    <row r="680" customFormat="false" ht="15" hidden="false" customHeight="false" outlineLevel="0" collapsed="false">
      <c r="A680" s="35" t="n">
        <f aca="false">A679+1</f>
        <v>45487</v>
      </c>
      <c r="B680" s="35" t="n">
        <f aca="false">EOMONTH(A680+1,0)</f>
        <v>45504</v>
      </c>
      <c r="C680" s="36" t="n">
        <f aca="false">IF(MOD(YEAR(A680),4)=0,366,365)</f>
        <v>366</v>
      </c>
      <c r="D680" s="37" t="n">
        <f aca="false">Inputs!$B$9-SUMIFS(Cash_Events!$G$6:$G$20,Cash_Events!$C$6:$C$20,"rAGMF",Cash_Events!$B$6:$B$20,"&lt;="&amp;A680)</f>
        <v>735000</v>
      </c>
      <c r="E680" s="38" t="n">
        <f aca="false">VLOOKUP(A680,Inputs!$A$40:$B$48,2,TRUE())</f>
        <v>0.0523565</v>
      </c>
      <c r="F680" s="38" t="n">
        <f aca="false">E680+Inputs!$B$10</f>
        <v>0.1198565</v>
      </c>
      <c r="G680" s="37" t="n">
        <f aca="false">D680*F680/C680</f>
        <v>240.695430327869</v>
      </c>
      <c r="H680" s="37" t="n">
        <f aca="false">IF(AND(A680&gt;=Inputs!$B$13,OR(A680&lt;Inputs!$B$19,Inputs!$B$20=1)),D680*Inputs!$B$11/C680,0)</f>
        <v>40.1639344262295</v>
      </c>
      <c r="I680" s="37" t="n">
        <f aca="false">Inputs!$C$9-SUMIFS(Cash_Events!$G$6:$G$20,Cash_Events!$C$6:$C$20,"FHL",Cash_Events!$B$6:$B$20,"&lt;="&amp;A680)</f>
        <v>735000</v>
      </c>
      <c r="J680" s="38" t="n">
        <f aca="false">VLOOKUP(A680,Inputs!$F$40:$G$48,2,TRUE())</f>
        <v>0.0525075</v>
      </c>
      <c r="K680" s="38" t="n">
        <f aca="false">J680+Inputs!$C$10</f>
        <v>0.1200075</v>
      </c>
      <c r="L680" s="37" t="n">
        <f aca="false">I680*K680/C680</f>
        <v>240.998668032787</v>
      </c>
      <c r="M680" s="37" t="n">
        <f aca="false">IF(AND(A680&gt;=Inputs!$C$13,OR(A680&lt;Inputs!$B$19,Inputs!$B$20=1)),I680*Inputs!$C$11/C680,0)</f>
        <v>40.1639344262295</v>
      </c>
    </row>
    <row r="681" customFormat="false" ht="15" hidden="false" customHeight="false" outlineLevel="0" collapsed="false">
      <c r="A681" s="35" t="n">
        <f aca="false">A680+1</f>
        <v>45488</v>
      </c>
      <c r="B681" s="35" t="n">
        <f aca="false">EOMONTH(A681+1,0)</f>
        <v>45504</v>
      </c>
      <c r="C681" s="36" t="n">
        <f aca="false">IF(MOD(YEAR(A681),4)=0,366,365)</f>
        <v>366</v>
      </c>
      <c r="D681" s="37" t="n">
        <f aca="false">Inputs!$B$9-SUMIFS(Cash_Events!$G$6:$G$20,Cash_Events!$C$6:$C$20,"rAGMF",Cash_Events!$B$6:$B$20,"&lt;="&amp;A681)</f>
        <v>735000</v>
      </c>
      <c r="E681" s="38" t="n">
        <f aca="false">VLOOKUP(A681,Inputs!$A$40:$B$48,2,TRUE())</f>
        <v>0.0523565</v>
      </c>
      <c r="F681" s="38" t="n">
        <f aca="false">E681+Inputs!$B$10</f>
        <v>0.1198565</v>
      </c>
      <c r="G681" s="37" t="n">
        <f aca="false">D681*F681/C681</f>
        <v>240.695430327869</v>
      </c>
      <c r="H681" s="37" t="n">
        <f aca="false">IF(AND(A681&gt;=Inputs!$B$13,OR(A681&lt;Inputs!$B$19,Inputs!$B$20=1)),D681*Inputs!$B$11/C681,0)</f>
        <v>40.1639344262295</v>
      </c>
      <c r="I681" s="37" t="n">
        <f aca="false">Inputs!$C$9-SUMIFS(Cash_Events!$G$6:$G$20,Cash_Events!$C$6:$C$20,"FHL",Cash_Events!$B$6:$B$20,"&lt;="&amp;A681)</f>
        <v>735000</v>
      </c>
      <c r="J681" s="38" t="n">
        <f aca="false">VLOOKUP(A681,Inputs!$F$40:$G$48,2,TRUE())</f>
        <v>0.0525075</v>
      </c>
      <c r="K681" s="38" t="n">
        <f aca="false">J681+Inputs!$C$10</f>
        <v>0.1200075</v>
      </c>
      <c r="L681" s="37" t="n">
        <f aca="false">I681*K681/C681</f>
        <v>240.998668032787</v>
      </c>
      <c r="M681" s="37" t="n">
        <f aca="false">IF(AND(A681&gt;=Inputs!$C$13,OR(A681&lt;Inputs!$B$19,Inputs!$B$20=1)),I681*Inputs!$C$11/C681,0)</f>
        <v>40.1639344262295</v>
      </c>
    </row>
    <row r="682" customFormat="false" ht="15" hidden="false" customHeight="false" outlineLevel="0" collapsed="false">
      <c r="A682" s="35" t="n">
        <f aca="false">A681+1</f>
        <v>45489</v>
      </c>
      <c r="B682" s="35" t="n">
        <f aca="false">EOMONTH(A682+1,0)</f>
        <v>45504</v>
      </c>
      <c r="C682" s="36" t="n">
        <f aca="false">IF(MOD(YEAR(A682),4)=0,366,365)</f>
        <v>366</v>
      </c>
      <c r="D682" s="37" t="n">
        <f aca="false">Inputs!$B$9-SUMIFS(Cash_Events!$G$6:$G$20,Cash_Events!$C$6:$C$20,"rAGMF",Cash_Events!$B$6:$B$20,"&lt;="&amp;A682)</f>
        <v>735000</v>
      </c>
      <c r="E682" s="38" t="n">
        <f aca="false">VLOOKUP(A682,Inputs!$A$40:$B$48,2,TRUE())</f>
        <v>0.0523565</v>
      </c>
      <c r="F682" s="38" t="n">
        <f aca="false">E682+Inputs!$B$10</f>
        <v>0.1198565</v>
      </c>
      <c r="G682" s="37" t="n">
        <f aca="false">D682*F682/C682</f>
        <v>240.695430327869</v>
      </c>
      <c r="H682" s="37" t="n">
        <f aca="false">IF(AND(A682&gt;=Inputs!$B$13,OR(A682&lt;Inputs!$B$19,Inputs!$B$20=1)),D682*Inputs!$B$11/C682,0)</f>
        <v>40.1639344262295</v>
      </c>
      <c r="I682" s="37" t="n">
        <f aca="false">Inputs!$C$9-SUMIFS(Cash_Events!$G$6:$G$20,Cash_Events!$C$6:$C$20,"FHL",Cash_Events!$B$6:$B$20,"&lt;="&amp;A682)</f>
        <v>735000</v>
      </c>
      <c r="J682" s="38" t="n">
        <f aca="false">VLOOKUP(A682,Inputs!$F$40:$G$48,2,TRUE())</f>
        <v>0.0525075</v>
      </c>
      <c r="K682" s="38" t="n">
        <f aca="false">J682+Inputs!$C$10</f>
        <v>0.1200075</v>
      </c>
      <c r="L682" s="37" t="n">
        <f aca="false">I682*K682/C682</f>
        <v>240.998668032787</v>
      </c>
      <c r="M682" s="37" t="n">
        <f aca="false">IF(AND(A682&gt;=Inputs!$C$13,OR(A682&lt;Inputs!$B$19,Inputs!$B$20=1)),I682*Inputs!$C$11/C682,0)</f>
        <v>40.1639344262295</v>
      </c>
    </row>
    <row r="683" customFormat="false" ht="15" hidden="false" customHeight="false" outlineLevel="0" collapsed="false">
      <c r="A683" s="35" t="n">
        <f aca="false">A682+1</f>
        <v>45490</v>
      </c>
      <c r="B683" s="35" t="n">
        <f aca="false">EOMONTH(A683+1,0)</f>
        <v>45504</v>
      </c>
      <c r="C683" s="36" t="n">
        <f aca="false">IF(MOD(YEAR(A683),4)=0,366,365)</f>
        <v>366</v>
      </c>
      <c r="D683" s="37" t="n">
        <f aca="false">Inputs!$B$9-SUMIFS(Cash_Events!$G$6:$G$20,Cash_Events!$C$6:$C$20,"rAGMF",Cash_Events!$B$6:$B$20,"&lt;="&amp;A683)</f>
        <v>735000</v>
      </c>
      <c r="E683" s="38" t="n">
        <f aca="false">VLOOKUP(A683,Inputs!$A$40:$B$48,2,TRUE())</f>
        <v>0.0523565</v>
      </c>
      <c r="F683" s="38" t="n">
        <f aca="false">E683+Inputs!$B$10</f>
        <v>0.1198565</v>
      </c>
      <c r="G683" s="37" t="n">
        <f aca="false">D683*F683/C683</f>
        <v>240.695430327869</v>
      </c>
      <c r="H683" s="37" t="n">
        <f aca="false">IF(AND(A683&gt;=Inputs!$B$13,OR(A683&lt;Inputs!$B$19,Inputs!$B$20=1)),D683*Inputs!$B$11/C683,0)</f>
        <v>40.1639344262295</v>
      </c>
      <c r="I683" s="37" t="n">
        <f aca="false">Inputs!$C$9-SUMIFS(Cash_Events!$G$6:$G$20,Cash_Events!$C$6:$C$20,"FHL",Cash_Events!$B$6:$B$20,"&lt;="&amp;A683)</f>
        <v>735000</v>
      </c>
      <c r="J683" s="38" t="n">
        <f aca="false">VLOOKUP(A683,Inputs!$F$40:$G$48,2,TRUE())</f>
        <v>0.0525075</v>
      </c>
      <c r="K683" s="38" t="n">
        <f aca="false">J683+Inputs!$C$10</f>
        <v>0.1200075</v>
      </c>
      <c r="L683" s="37" t="n">
        <f aca="false">I683*K683/C683</f>
        <v>240.998668032787</v>
      </c>
      <c r="M683" s="37" t="n">
        <f aca="false">IF(AND(A683&gt;=Inputs!$C$13,OR(A683&lt;Inputs!$B$19,Inputs!$B$20=1)),I683*Inputs!$C$11/C683,0)</f>
        <v>40.1639344262295</v>
      </c>
    </row>
    <row r="684" customFormat="false" ht="15" hidden="false" customHeight="false" outlineLevel="0" collapsed="false">
      <c r="A684" s="35" t="n">
        <f aca="false">A683+1</f>
        <v>45491</v>
      </c>
      <c r="B684" s="35" t="n">
        <f aca="false">EOMONTH(A684+1,0)</f>
        <v>45504</v>
      </c>
      <c r="C684" s="36" t="n">
        <f aca="false">IF(MOD(YEAR(A684),4)=0,366,365)</f>
        <v>366</v>
      </c>
      <c r="D684" s="37" t="n">
        <f aca="false">Inputs!$B$9-SUMIFS(Cash_Events!$G$6:$G$20,Cash_Events!$C$6:$C$20,"rAGMF",Cash_Events!$B$6:$B$20,"&lt;="&amp;A684)</f>
        <v>735000</v>
      </c>
      <c r="E684" s="38" t="n">
        <f aca="false">VLOOKUP(A684,Inputs!$A$40:$B$48,2,TRUE())</f>
        <v>0.0523565</v>
      </c>
      <c r="F684" s="38" t="n">
        <f aca="false">E684+Inputs!$B$10</f>
        <v>0.1198565</v>
      </c>
      <c r="G684" s="37" t="n">
        <f aca="false">D684*F684/C684</f>
        <v>240.695430327869</v>
      </c>
      <c r="H684" s="37" t="n">
        <f aca="false">IF(AND(A684&gt;=Inputs!$B$13,OR(A684&lt;Inputs!$B$19,Inputs!$B$20=1)),D684*Inputs!$B$11/C684,0)</f>
        <v>40.1639344262295</v>
      </c>
      <c r="I684" s="37" t="n">
        <f aca="false">Inputs!$C$9-SUMIFS(Cash_Events!$G$6:$G$20,Cash_Events!$C$6:$C$20,"FHL",Cash_Events!$B$6:$B$20,"&lt;="&amp;A684)</f>
        <v>735000</v>
      </c>
      <c r="J684" s="38" t="n">
        <f aca="false">VLOOKUP(A684,Inputs!$F$40:$G$48,2,TRUE())</f>
        <v>0.0525075</v>
      </c>
      <c r="K684" s="38" t="n">
        <f aca="false">J684+Inputs!$C$10</f>
        <v>0.1200075</v>
      </c>
      <c r="L684" s="37" t="n">
        <f aca="false">I684*K684/C684</f>
        <v>240.998668032787</v>
      </c>
      <c r="M684" s="37" t="n">
        <f aca="false">IF(AND(A684&gt;=Inputs!$C$13,OR(A684&lt;Inputs!$B$19,Inputs!$B$20=1)),I684*Inputs!$C$11/C684,0)</f>
        <v>40.1639344262295</v>
      </c>
    </row>
    <row r="685" customFormat="false" ht="15" hidden="false" customHeight="false" outlineLevel="0" collapsed="false">
      <c r="A685" s="35" t="n">
        <f aca="false">A684+1</f>
        <v>45492</v>
      </c>
      <c r="B685" s="35" t="n">
        <f aca="false">EOMONTH(A685+1,0)</f>
        <v>45504</v>
      </c>
      <c r="C685" s="36" t="n">
        <f aca="false">IF(MOD(YEAR(A685),4)=0,366,365)</f>
        <v>366</v>
      </c>
      <c r="D685" s="37" t="n">
        <f aca="false">Inputs!$B$9-SUMIFS(Cash_Events!$G$6:$G$20,Cash_Events!$C$6:$C$20,"rAGMF",Cash_Events!$B$6:$B$20,"&lt;="&amp;A685)</f>
        <v>735000</v>
      </c>
      <c r="E685" s="38" t="n">
        <f aca="false">VLOOKUP(A685,Inputs!$A$40:$B$48,2,TRUE())</f>
        <v>0.0523565</v>
      </c>
      <c r="F685" s="38" t="n">
        <f aca="false">E685+Inputs!$B$10</f>
        <v>0.1198565</v>
      </c>
      <c r="G685" s="37" t="n">
        <f aca="false">D685*F685/C685</f>
        <v>240.695430327869</v>
      </c>
      <c r="H685" s="37" t="n">
        <f aca="false">IF(AND(A685&gt;=Inputs!$B$13,OR(A685&lt;Inputs!$B$19,Inputs!$B$20=1)),D685*Inputs!$B$11/C685,0)</f>
        <v>40.1639344262295</v>
      </c>
      <c r="I685" s="37" t="n">
        <f aca="false">Inputs!$C$9-SUMIFS(Cash_Events!$G$6:$G$20,Cash_Events!$C$6:$C$20,"FHL",Cash_Events!$B$6:$B$20,"&lt;="&amp;A685)</f>
        <v>735000</v>
      </c>
      <c r="J685" s="38" t="n">
        <f aca="false">VLOOKUP(A685,Inputs!$F$40:$G$48,2,TRUE())</f>
        <v>0.0525075</v>
      </c>
      <c r="K685" s="38" t="n">
        <f aca="false">J685+Inputs!$C$10</f>
        <v>0.1200075</v>
      </c>
      <c r="L685" s="37" t="n">
        <f aca="false">I685*K685/C685</f>
        <v>240.998668032787</v>
      </c>
      <c r="M685" s="37" t="n">
        <f aca="false">IF(AND(A685&gt;=Inputs!$C$13,OR(A685&lt;Inputs!$B$19,Inputs!$B$20=1)),I685*Inputs!$C$11/C685,0)</f>
        <v>40.1639344262295</v>
      </c>
    </row>
    <row r="686" customFormat="false" ht="15" hidden="false" customHeight="false" outlineLevel="0" collapsed="false">
      <c r="A686" s="35" t="n">
        <f aca="false">A685+1</f>
        <v>45493</v>
      </c>
      <c r="B686" s="35" t="n">
        <f aca="false">EOMONTH(A686+1,0)</f>
        <v>45504</v>
      </c>
      <c r="C686" s="36" t="n">
        <f aca="false">IF(MOD(YEAR(A686),4)=0,366,365)</f>
        <v>366</v>
      </c>
      <c r="D686" s="37" t="n">
        <f aca="false">Inputs!$B$9-SUMIFS(Cash_Events!$G$6:$G$20,Cash_Events!$C$6:$C$20,"rAGMF",Cash_Events!$B$6:$B$20,"&lt;="&amp;A686)</f>
        <v>735000</v>
      </c>
      <c r="E686" s="38" t="n">
        <f aca="false">VLOOKUP(A686,Inputs!$A$40:$B$48,2,TRUE())</f>
        <v>0.0523565</v>
      </c>
      <c r="F686" s="38" t="n">
        <f aca="false">E686+Inputs!$B$10</f>
        <v>0.1198565</v>
      </c>
      <c r="G686" s="37" t="n">
        <f aca="false">D686*F686/C686</f>
        <v>240.695430327869</v>
      </c>
      <c r="H686" s="37" t="n">
        <f aca="false">IF(AND(A686&gt;=Inputs!$B$13,OR(A686&lt;Inputs!$B$19,Inputs!$B$20=1)),D686*Inputs!$B$11/C686,0)</f>
        <v>40.1639344262295</v>
      </c>
      <c r="I686" s="37" t="n">
        <f aca="false">Inputs!$C$9-SUMIFS(Cash_Events!$G$6:$G$20,Cash_Events!$C$6:$C$20,"FHL",Cash_Events!$B$6:$B$20,"&lt;="&amp;A686)</f>
        <v>735000</v>
      </c>
      <c r="J686" s="38" t="n">
        <f aca="false">VLOOKUP(A686,Inputs!$F$40:$G$48,2,TRUE())</f>
        <v>0.0525075</v>
      </c>
      <c r="K686" s="38" t="n">
        <f aca="false">J686+Inputs!$C$10</f>
        <v>0.1200075</v>
      </c>
      <c r="L686" s="37" t="n">
        <f aca="false">I686*K686/C686</f>
        <v>240.998668032787</v>
      </c>
      <c r="M686" s="37" t="n">
        <f aca="false">IF(AND(A686&gt;=Inputs!$C$13,OR(A686&lt;Inputs!$B$19,Inputs!$B$20=1)),I686*Inputs!$C$11/C686,0)</f>
        <v>40.1639344262295</v>
      </c>
    </row>
    <row r="687" customFormat="false" ht="15" hidden="false" customHeight="false" outlineLevel="0" collapsed="false">
      <c r="A687" s="35" t="n">
        <f aca="false">A686+1</f>
        <v>45494</v>
      </c>
      <c r="B687" s="35" t="n">
        <f aca="false">EOMONTH(A687+1,0)</f>
        <v>45504</v>
      </c>
      <c r="C687" s="36" t="n">
        <f aca="false">IF(MOD(YEAR(A687),4)=0,366,365)</f>
        <v>366</v>
      </c>
      <c r="D687" s="37" t="n">
        <f aca="false">Inputs!$B$9-SUMIFS(Cash_Events!$G$6:$G$20,Cash_Events!$C$6:$C$20,"rAGMF",Cash_Events!$B$6:$B$20,"&lt;="&amp;A687)</f>
        <v>735000</v>
      </c>
      <c r="E687" s="38" t="n">
        <f aca="false">VLOOKUP(A687,Inputs!$A$40:$B$48,2,TRUE())</f>
        <v>0.0523565</v>
      </c>
      <c r="F687" s="38" t="n">
        <f aca="false">E687+Inputs!$B$10</f>
        <v>0.1198565</v>
      </c>
      <c r="G687" s="37" t="n">
        <f aca="false">D687*F687/C687</f>
        <v>240.695430327869</v>
      </c>
      <c r="H687" s="37" t="n">
        <f aca="false">IF(AND(A687&gt;=Inputs!$B$13,OR(A687&lt;Inputs!$B$19,Inputs!$B$20=1)),D687*Inputs!$B$11/C687,0)</f>
        <v>40.1639344262295</v>
      </c>
      <c r="I687" s="37" t="n">
        <f aca="false">Inputs!$C$9-SUMIFS(Cash_Events!$G$6:$G$20,Cash_Events!$C$6:$C$20,"FHL",Cash_Events!$B$6:$B$20,"&lt;="&amp;A687)</f>
        <v>735000</v>
      </c>
      <c r="J687" s="38" t="n">
        <f aca="false">VLOOKUP(A687,Inputs!$F$40:$G$48,2,TRUE())</f>
        <v>0.0525075</v>
      </c>
      <c r="K687" s="38" t="n">
        <f aca="false">J687+Inputs!$C$10</f>
        <v>0.1200075</v>
      </c>
      <c r="L687" s="37" t="n">
        <f aca="false">I687*K687/C687</f>
        <v>240.998668032787</v>
      </c>
      <c r="M687" s="37" t="n">
        <f aca="false">IF(AND(A687&gt;=Inputs!$C$13,OR(A687&lt;Inputs!$B$19,Inputs!$B$20=1)),I687*Inputs!$C$11/C687,0)</f>
        <v>40.1639344262295</v>
      </c>
    </row>
    <row r="688" customFormat="false" ht="15" hidden="false" customHeight="false" outlineLevel="0" collapsed="false">
      <c r="A688" s="35" t="n">
        <f aca="false">A687+1</f>
        <v>45495</v>
      </c>
      <c r="B688" s="35" t="n">
        <f aca="false">EOMONTH(A688+1,0)</f>
        <v>45504</v>
      </c>
      <c r="C688" s="36" t="n">
        <f aca="false">IF(MOD(YEAR(A688),4)=0,366,365)</f>
        <v>366</v>
      </c>
      <c r="D688" s="37" t="n">
        <f aca="false">Inputs!$B$9-SUMIFS(Cash_Events!$G$6:$G$20,Cash_Events!$C$6:$C$20,"rAGMF",Cash_Events!$B$6:$B$20,"&lt;="&amp;A688)</f>
        <v>735000</v>
      </c>
      <c r="E688" s="38" t="n">
        <f aca="false">VLOOKUP(A688,Inputs!$A$40:$B$48,2,TRUE())</f>
        <v>0.0523565</v>
      </c>
      <c r="F688" s="38" t="n">
        <f aca="false">E688+Inputs!$B$10</f>
        <v>0.1198565</v>
      </c>
      <c r="G688" s="37" t="n">
        <f aca="false">D688*F688/C688</f>
        <v>240.695430327869</v>
      </c>
      <c r="H688" s="37" t="n">
        <f aca="false">IF(AND(A688&gt;=Inputs!$B$13,OR(A688&lt;Inputs!$B$19,Inputs!$B$20=1)),D688*Inputs!$B$11/C688,0)</f>
        <v>40.1639344262295</v>
      </c>
      <c r="I688" s="37" t="n">
        <f aca="false">Inputs!$C$9-SUMIFS(Cash_Events!$G$6:$G$20,Cash_Events!$C$6:$C$20,"FHL",Cash_Events!$B$6:$B$20,"&lt;="&amp;A688)</f>
        <v>735000</v>
      </c>
      <c r="J688" s="38" t="n">
        <f aca="false">VLOOKUP(A688,Inputs!$F$40:$G$48,2,TRUE())</f>
        <v>0.0525075</v>
      </c>
      <c r="K688" s="38" t="n">
        <f aca="false">J688+Inputs!$C$10</f>
        <v>0.1200075</v>
      </c>
      <c r="L688" s="37" t="n">
        <f aca="false">I688*K688/C688</f>
        <v>240.998668032787</v>
      </c>
      <c r="M688" s="37" t="n">
        <f aca="false">IF(AND(A688&gt;=Inputs!$C$13,OR(A688&lt;Inputs!$B$19,Inputs!$B$20=1)),I688*Inputs!$C$11/C688,0)</f>
        <v>40.1639344262295</v>
      </c>
    </row>
    <row r="689" customFormat="false" ht="15" hidden="false" customHeight="false" outlineLevel="0" collapsed="false">
      <c r="A689" s="35" t="n">
        <f aca="false">A688+1</f>
        <v>45496</v>
      </c>
      <c r="B689" s="35" t="n">
        <f aca="false">EOMONTH(A689+1,0)</f>
        <v>45504</v>
      </c>
      <c r="C689" s="36" t="n">
        <f aca="false">IF(MOD(YEAR(A689),4)=0,366,365)</f>
        <v>366</v>
      </c>
      <c r="D689" s="37" t="n">
        <f aca="false">Inputs!$B$9-SUMIFS(Cash_Events!$G$6:$G$20,Cash_Events!$C$6:$C$20,"rAGMF",Cash_Events!$B$6:$B$20,"&lt;="&amp;A689)</f>
        <v>735000</v>
      </c>
      <c r="E689" s="38" t="n">
        <f aca="false">VLOOKUP(A689,Inputs!$A$40:$B$48,2,TRUE())</f>
        <v>0.0523565</v>
      </c>
      <c r="F689" s="38" t="n">
        <f aca="false">E689+Inputs!$B$10</f>
        <v>0.1198565</v>
      </c>
      <c r="G689" s="37" t="n">
        <f aca="false">D689*F689/C689</f>
        <v>240.695430327869</v>
      </c>
      <c r="H689" s="37" t="n">
        <f aca="false">IF(AND(A689&gt;=Inputs!$B$13,OR(A689&lt;Inputs!$B$19,Inputs!$B$20=1)),D689*Inputs!$B$11/C689,0)</f>
        <v>40.1639344262295</v>
      </c>
      <c r="I689" s="37" t="n">
        <f aca="false">Inputs!$C$9-SUMIFS(Cash_Events!$G$6:$G$20,Cash_Events!$C$6:$C$20,"FHL",Cash_Events!$B$6:$B$20,"&lt;="&amp;A689)</f>
        <v>735000</v>
      </c>
      <c r="J689" s="38" t="n">
        <f aca="false">VLOOKUP(A689,Inputs!$F$40:$G$48,2,TRUE())</f>
        <v>0.0525075</v>
      </c>
      <c r="K689" s="38" t="n">
        <f aca="false">J689+Inputs!$C$10</f>
        <v>0.1200075</v>
      </c>
      <c r="L689" s="37" t="n">
        <f aca="false">I689*K689/C689</f>
        <v>240.998668032787</v>
      </c>
      <c r="M689" s="37" t="n">
        <f aca="false">IF(AND(A689&gt;=Inputs!$C$13,OR(A689&lt;Inputs!$B$19,Inputs!$B$20=1)),I689*Inputs!$C$11/C689,0)</f>
        <v>40.1639344262295</v>
      </c>
    </row>
    <row r="690" customFormat="false" ht="15" hidden="false" customHeight="false" outlineLevel="0" collapsed="false">
      <c r="A690" s="35" t="n">
        <f aca="false">A689+1</f>
        <v>45497</v>
      </c>
      <c r="B690" s="35" t="n">
        <f aca="false">EOMONTH(A690+1,0)</f>
        <v>45504</v>
      </c>
      <c r="C690" s="36" t="n">
        <f aca="false">IF(MOD(YEAR(A690),4)=0,366,365)</f>
        <v>366</v>
      </c>
      <c r="D690" s="37" t="n">
        <f aca="false">Inputs!$B$9-SUMIFS(Cash_Events!$G$6:$G$20,Cash_Events!$C$6:$C$20,"rAGMF",Cash_Events!$B$6:$B$20,"&lt;="&amp;A690)</f>
        <v>735000</v>
      </c>
      <c r="E690" s="38" t="n">
        <f aca="false">VLOOKUP(A690,Inputs!$A$40:$B$48,2,TRUE())</f>
        <v>0.0523565</v>
      </c>
      <c r="F690" s="38" t="n">
        <f aca="false">E690+Inputs!$B$10</f>
        <v>0.1198565</v>
      </c>
      <c r="G690" s="37" t="n">
        <f aca="false">D690*F690/C690</f>
        <v>240.695430327869</v>
      </c>
      <c r="H690" s="37" t="n">
        <f aca="false">IF(AND(A690&gt;=Inputs!$B$13,OR(A690&lt;Inputs!$B$19,Inputs!$B$20=1)),D690*Inputs!$B$11/C690,0)</f>
        <v>40.1639344262295</v>
      </c>
      <c r="I690" s="37" t="n">
        <f aca="false">Inputs!$C$9-SUMIFS(Cash_Events!$G$6:$G$20,Cash_Events!$C$6:$C$20,"FHL",Cash_Events!$B$6:$B$20,"&lt;="&amp;A690)</f>
        <v>735000</v>
      </c>
      <c r="J690" s="38" t="n">
        <f aca="false">VLOOKUP(A690,Inputs!$F$40:$G$48,2,TRUE())</f>
        <v>0.0525075</v>
      </c>
      <c r="K690" s="38" t="n">
        <f aca="false">J690+Inputs!$C$10</f>
        <v>0.1200075</v>
      </c>
      <c r="L690" s="37" t="n">
        <f aca="false">I690*K690/C690</f>
        <v>240.998668032787</v>
      </c>
      <c r="M690" s="37" t="n">
        <f aca="false">IF(AND(A690&gt;=Inputs!$C$13,OR(A690&lt;Inputs!$B$19,Inputs!$B$20=1)),I690*Inputs!$C$11/C690,0)</f>
        <v>40.1639344262295</v>
      </c>
    </row>
    <row r="691" customFormat="false" ht="15" hidden="false" customHeight="false" outlineLevel="0" collapsed="false">
      <c r="A691" s="35" t="n">
        <f aca="false">A690+1</f>
        <v>45498</v>
      </c>
      <c r="B691" s="35" t="n">
        <f aca="false">EOMONTH(A691+1,0)</f>
        <v>45504</v>
      </c>
      <c r="C691" s="36" t="n">
        <f aca="false">IF(MOD(YEAR(A691),4)=0,366,365)</f>
        <v>366</v>
      </c>
      <c r="D691" s="37" t="n">
        <f aca="false">Inputs!$B$9-SUMIFS(Cash_Events!$G$6:$G$20,Cash_Events!$C$6:$C$20,"rAGMF",Cash_Events!$B$6:$B$20,"&lt;="&amp;A691)</f>
        <v>735000</v>
      </c>
      <c r="E691" s="38" t="n">
        <f aca="false">VLOOKUP(A691,Inputs!$A$40:$B$48,2,TRUE())</f>
        <v>0.0523565</v>
      </c>
      <c r="F691" s="38" t="n">
        <f aca="false">E691+Inputs!$B$10</f>
        <v>0.1198565</v>
      </c>
      <c r="G691" s="37" t="n">
        <f aca="false">D691*F691/C691</f>
        <v>240.695430327869</v>
      </c>
      <c r="H691" s="37" t="n">
        <f aca="false">IF(AND(A691&gt;=Inputs!$B$13,OR(A691&lt;Inputs!$B$19,Inputs!$B$20=1)),D691*Inputs!$B$11/C691,0)</f>
        <v>40.1639344262295</v>
      </c>
      <c r="I691" s="37" t="n">
        <f aca="false">Inputs!$C$9-SUMIFS(Cash_Events!$G$6:$G$20,Cash_Events!$C$6:$C$20,"FHL",Cash_Events!$B$6:$B$20,"&lt;="&amp;A691)</f>
        <v>735000</v>
      </c>
      <c r="J691" s="38" t="n">
        <f aca="false">VLOOKUP(A691,Inputs!$F$40:$G$48,2,TRUE())</f>
        <v>0.0525075</v>
      </c>
      <c r="K691" s="38" t="n">
        <f aca="false">J691+Inputs!$C$10</f>
        <v>0.1200075</v>
      </c>
      <c r="L691" s="37" t="n">
        <f aca="false">I691*K691/C691</f>
        <v>240.998668032787</v>
      </c>
      <c r="M691" s="37" t="n">
        <f aca="false">IF(AND(A691&gt;=Inputs!$C$13,OR(A691&lt;Inputs!$B$19,Inputs!$B$20=1)),I691*Inputs!$C$11/C691,0)</f>
        <v>40.1639344262295</v>
      </c>
    </row>
    <row r="692" customFormat="false" ht="15" hidden="false" customHeight="false" outlineLevel="0" collapsed="false">
      <c r="A692" s="35" t="n">
        <f aca="false">A691+1</f>
        <v>45499</v>
      </c>
      <c r="B692" s="35" t="n">
        <f aca="false">EOMONTH(A692+1,0)</f>
        <v>45504</v>
      </c>
      <c r="C692" s="36" t="n">
        <f aca="false">IF(MOD(YEAR(A692),4)=0,366,365)</f>
        <v>366</v>
      </c>
      <c r="D692" s="37" t="n">
        <f aca="false">Inputs!$B$9-SUMIFS(Cash_Events!$G$6:$G$20,Cash_Events!$C$6:$C$20,"rAGMF",Cash_Events!$B$6:$B$20,"&lt;="&amp;A692)</f>
        <v>735000</v>
      </c>
      <c r="E692" s="38" t="n">
        <f aca="false">VLOOKUP(A692,Inputs!$A$40:$B$48,2,TRUE())</f>
        <v>0.0523565</v>
      </c>
      <c r="F692" s="38" t="n">
        <f aca="false">E692+Inputs!$B$10</f>
        <v>0.1198565</v>
      </c>
      <c r="G692" s="37" t="n">
        <f aca="false">D692*F692/C692</f>
        <v>240.695430327869</v>
      </c>
      <c r="H692" s="37" t="n">
        <f aca="false">IF(AND(A692&gt;=Inputs!$B$13,OR(A692&lt;Inputs!$B$19,Inputs!$B$20=1)),D692*Inputs!$B$11/C692,0)</f>
        <v>40.1639344262295</v>
      </c>
      <c r="I692" s="37" t="n">
        <f aca="false">Inputs!$C$9-SUMIFS(Cash_Events!$G$6:$G$20,Cash_Events!$C$6:$C$20,"FHL",Cash_Events!$B$6:$B$20,"&lt;="&amp;A692)</f>
        <v>735000</v>
      </c>
      <c r="J692" s="38" t="n">
        <f aca="false">VLOOKUP(A692,Inputs!$F$40:$G$48,2,TRUE())</f>
        <v>0.0525075</v>
      </c>
      <c r="K692" s="38" t="n">
        <f aca="false">J692+Inputs!$C$10</f>
        <v>0.1200075</v>
      </c>
      <c r="L692" s="37" t="n">
        <f aca="false">I692*K692/C692</f>
        <v>240.998668032787</v>
      </c>
      <c r="M692" s="37" t="n">
        <f aca="false">IF(AND(A692&gt;=Inputs!$C$13,OR(A692&lt;Inputs!$B$19,Inputs!$B$20=1)),I692*Inputs!$C$11/C692,0)</f>
        <v>40.1639344262295</v>
      </c>
    </row>
    <row r="693" customFormat="false" ht="15" hidden="false" customHeight="false" outlineLevel="0" collapsed="false">
      <c r="A693" s="35" t="n">
        <f aca="false">A692+1</f>
        <v>45500</v>
      </c>
      <c r="B693" s="35" t="n">
        <f aca="false">EOMONTH(A693+1,0)</f>
        <v>45504</v>
      </c>
      <c r="C693" s="36" t="n">
        <f aca="false">IF(MOD(YEAR(A693),4)=0,366,365)</f>
        <v>366</v>
      </c>
      <c r="D693" s="37" t="n">
        <f aca="false">Inputs!$B$9-SUMIFS(Cash_Events!$G$6:$G$20,Cash_Events!$C$6:$C$20,"rAGMF",Cash_Events!$B$6:$B$20,"&lt;="&amp;A693)</f>
        <v>735000</v>
      </c>
      <c r="E693" s="38" t="n">
        <f aca="false">VLOOKUP(A693,Inputs!$A$40:$B$48,2,TRUE())</f>
        <v>0.0523565</v>
      </c>
      <c r="F693" s="38" t="n">
        <f aca="false">E693+Inputs!$B$10</f>
        <v>0.1198565</v>
      </c>
      <c r="G693" s="37" t="n">
        <f aca="false">D693*F693/C693</f>
        <v>240.695430327869</v>
      </c>
      <c r="H693" s="37" t="n">
        <f aca="false">IF(AND(A693&gt;=Inputs!$B$13,OR(A693&lt;Inputs!$B$19,Inputs!$B$20=1)),D693*Inputs!$B$11/C693,0)</f>
        <v>40.1639344262295</v>
      </c>
      <c r="I693" s="37" t="n">
        <f aca="false">Inputs!$C$9-SUMIFS(Cash_Events!$G$6:$G$20,Cash_Events!$C$6:$C$20,"FHL",Cash_Events!$B$6:$B$20,"&lt;="&amp;A693)</f>
        <v>735000</v>
      </c>
      <c r="J693" s="38" t="n">
        <f aca="false">VLOOKUP(A693,Inputs!$F$40:$G$48,2,TRUE())</f>
        <v>0.0525075</v>
      </c>
      <c r="K693" s="38" t="n">
        <f aca="false">J693+Inputs!$C$10</f>
        <v>0.1200075</v>
      </c>
      <c r="L693" s="37" t="n">
        <f aca="false">I693*K693/C693</f>
        <v>240.998668032787</v>
      </c>
      <c r="M693" s="37" t="n">
        <f aca="false">IF(AND(A693&gt;=Inputs!$C$13,OR(A693&lt;Inputs!$B$19,Inputs!$B$20=1)),I693*Inputs!$C$11/C693,0)</f>
        <v>40.1639344262295</v>
      </c>
    </row>
    <row r="694" customFormat="false" ht="15" hidden="false" customHeight="false" outlineLevel="0" collapsed="false">
      <c r="A694" s="35" t="n">
        <f aca="false">A693+1</f>
        <v>45501</v>
      </c>
      <c r="B694" s="35" t="n">
        <f aca="false">EOMONTH(A694+1,0)</f>
        <v>45504</v>
      </c>
      <c r="C694" s="36" t="n">
        <f aca="false">IF(MOD(YEAR(A694),4)=0,366,365)</f>
        <v>366</v>
      </c>
      <c r="D694" s="37" t="n">
        <f aca="false">Inputs!$B$9-SUMIFS(Cash_Events!$G$6:$G$20,Cash_Events!$C$6:$C$20,"rAGMF",Cash_Events!$B$6:$B$20,"&lt;="&amp;A694)</f>
        <v>735000</v>
      </c>
      <c r="E694" s="38" t="n">
        <f aca="false">VLOOKUP(A694,Inputs!$A$40:$B$48,2,TRUE())</f>
        <v>0.0523565</v>
      </c>
      <c r="F694" s="38" t="n">
        <f aca="false">E694+Inputs!$B$10</f>
        <v>0.1198565</v>
      </c>
      <c r="G694" s="37" t="n">
        <f aca="false">D694*F694/C694</f>
        <v>240.695430327869</v>
      </c>
      <c r="H694" s="37" t="n">
        <f aca="false">IF(AND(A694&gt;=Inputs!$B$13,OR(A694&lt;Inputs!$B$19,Inputs!$B$20=1)),D694*Inputs!$B$11/C694,0)</f>
        <v>40.1639344262295</v>
      </c>
      <c r="I694" s="37" t="n">
        <f aca="false">Inputs!$C$9-SUMIFS(Cash_Events!$G$6:$G$20,Cash_Events!$C$6:$C$20,"FHL",Cash_Events!$B$6:$B$20,"&lt;="&amp;A694)</f>
        <v>735000</v>
      </c>
      <c r="J694" s="38" t="n">
        <f aca="false">VLOOKUP(A694,Inputs!$F$40:$G$48,2,TRUE())</f>
        <v>0.0525075</v>
      </c>
      <c r="K694" s="38" t="n">
        <f aca="false">J694+Inputs!$C$10</f>
        <v>0.1200075</v>
      </c>
      <c r="L694" s="37" t="n">
        <f aca="false">I694*K694/C694</f>
        <v>240.998668032787</v>
      </c>
      <c r="M694" s="37" t="n">
        <f aca="false">IF(AND(A694&gt;=Inputs!$C$13,OR(A694&lt;Inputs!$B$19,Inputs!$B$20=1)),I694*Inputs!$C$11/C694,0)</f>
        <v>40.1639344262295</v>
      </c>
    </row>
    <row r="695" customFormat="false" ht="15" hidden="false" customHeight="false" outlineLevel="0" collapsed="false">
      <c r="A695" s="35" t="n">
        <f aca="false">A694+1</f>
        <v>45502</v>
      </c>
      <c r="B695" s="35" t="n">
        <f aca="false">EOMONTH(A695+1,0)</f>
        <v>45504</v>
      </c>
      <c r="C695" s="36" t="n">
        <f aca="false">IF(MOD(YEAR(A695),4)=0,366,365)</f>
        <v>366</v>
      </c>
      <c r="D695" s="37" t="n">
        <f aca="false">Inputs!$B$9-SUMIFS(Cash_Events!$G$6:$G$20,Cash_Events!$C$6:$C$20,"rAGMF",Cash_Events!$B$6:$B$20,"&lt;="&amp;A695)</f>
        <v>735000</v>
      </c>
      <c r="E695" s="38" t="n">
        <f aca="false">VLOOKUP(A695,Inputs!$A$40:$B$48,2,TRUE())</f>
        <v>0.0523565</v>
      </c>
      <c r="F695" s="38" t="n">
        <f aca="false">E695+Inputs!$B$10</f>
        <v>0.1198565</v>
      </c>
      <c r="G695" s="37" t="n">
        <f aca="false">D695*F695/C695</f>
        <v>240.695430327869</v>
      </c>
      <c r="H695" s="37" t="n">
        <f aca="false">IF(AND(A695&gt;=Inputs!$B$13,OR(A695&lt;Inputs!$B$19,Inputs!$B$20=1)),D695*Inputs!$B$11/C695,0)</f>
        <v>40.1639344262295</v>
      </c>
      <c r="I695" s="37" t="n">
        <f aca="false">Inputs!$C$9-SUMIFS(Cash_Events!$G$6:$G$20,Cash_Events!$C$6:$C$20,"FHL",Cash_Events!$B$6:$B$20,"&lt;="&amp;A695)</f>
        <v>735000</v>
      </c>
      <c r="J695" s="38" t="n">
        <f aca="false">VLOOKUP(A695,Inputs!$F$40:$G$48,2,TRUE())</f>
        <v>0.0525075</v>
      </c>
      <c r="K695" s="38" t="n">
        <f aca="false">J695+Inputs!$C$10</f>
        <v>0.1200075</v>
      </c>
      <c r="L695" s="37" t="n">
        <f aca="false">I695*K695/C695</f>
        <v>240.998668032787</v>
      </c>
      <c r="M695" s="37" t="n">
        <f aca="false">IF(AND(A695&gt;=Inputs!$C$13,OR(A695&lt;Inputs!$B$19,Inputs!$B$20=1)),I695*Inputs!$C$11/C695,0)</f>
        <v>40.1639344262295</v>
      </c>
    </row>
    <row r="696" customFormat="false" ht="15" hidden="false" customHeight="false" outlineLevel="0" collapsed="false">
      <c r="A696" s="35" t="n">
        <f aca="false">A695+1</f>
        <v>45503</v>
      </c>
      <c r="B696" s="35" t="n">
        <f aca="false">EOMONTH(A696+1,0)</f>
        <v>45504</v>
      </c>
      <c r="C696" s="36" t="n">
        <f aca="false">IF(MOD(YEAR(A696),4)=0,366,365)</f>
        <v>366</v>
      </c>
      <c r="D696" s="37" t="n">
        <f aca="false">Inputs!$B$9-SUMIFS(Cash_Events!$G$6:$G$20,Cash_Events!$C$6:$C$20,"rAGMF",Cash_Events!$B$6:$B$20,"&lt;="&amp;A696)</f>
        <v>735000</v>
      </c>
      <c r="E696" s="38" t="n">
        <f aca="false">VLOOKUP(A696,Inputs!$A$40:$B$48,2,TRUE())</f>
        <v>0.0523565</v>
      </c>
      <c r="F696" s="38" t="n">
        <f aca="false">E696+Inputs!$B$10</f>
        <v>0.1198565</v>
      </c>
      <c r="G696" s="37" t="n">
        <f aca="false">D696*F696/C696</f>
        <v>240.695430327869</v>
      </c>
      <c r="H696" s="37" t="n">
        <f aca="false">IF(AND(A696&gt;=Inputs!$B$13,OR(A696&lt;Inputs!$B$19,Inputs!$B$20=1)),D696*Inputs!$B$11/C696,0)</f>
        <v>40.1639344262295</v>
      </c>
      <c r="I696" s="37" t="n">
        <f aca="false">Inputs!$C$9-SUMIFS(Cash_Events!$G$6:$G$20,Cash_Events!$C$6:$C$20,"FHL",Cash_Events!$B$6:$B$20,"&lt;="&amp;A696)</f>
        <v>735000</v>
      </c>
      <c r="J696" s="38" t="n">
        <f aca="false">VLOOKUP(A696,Inputs!$F$40:$G$48,2,TRUE())</f>
        <v>0.0525075</v>
      </c>
      <c r="K696" s="38" t="n">
        <f aca="false">J696+Inputs!$C$10</f>
        <v>0.1200075</v>
      </c>
      <c r="L696" s="37" t="n">
        <f aca="false">I696*K696/C696</f>
        <v>240.998668032787</v>
      </c>
      <c r="M696" s="37" t="n">
        <f aca="false">IF(AND(A696&gt;=Inputs!$C$13,OR(A696&lt;Inputs!$B$19,Inputs!$B$20=1)),I696*Inputs!$C$11/C696,0)</f>
        <v>40.1639344262295</v>
      </c>
    </row>
    <row r="697" customFormat="false" ht="15" hidden="false" customHeight="false" outlineLevel="0" collapsed="false">
      <c r="A697" s="35" t="n">
        <f aca="false">A696+1</f>
        <v>45504</v>
      </c>
      <c r="B697" s="35" t="n">
        <f aca="false">EOMONTH(A697+1,0)</f>
        <v>45535</v>
      </c>
      <c r="C697" s="36" t="n">
        <f aca="false">IF(MOD(YEAR(A697),4)=0,366,365)</f>
        <v>366</v>
      </c>
      <c r="D697" s="37" t="n">
        <f aca="false">Inputs!$B$9-SUMIFS(Cash_Events!$G$6:$G$20,Cash_Events!$C$6:$C$20,"rAGMF",Cash_Events!$B$6:$B$20,"&lt;="&amp;A697)</f>
        <v>735000</v>
      </c>
      <c r="E697" s="38" t="n">
        <f aca="false">VLOOKUP(A697,Inputs!$A$40:$B$48,2,TRUE())</f>
        <v>0.0523565</v>
      </c>
      <c r="F697" s="38" t="n">
        <f aca="false">E697+Inputs!$B$10</f>
        <v>0.1198565</v>
      </c>
      <c r="G697" s="37" t="n">
        <f aca="false">D697*F697/C697</f>
        <v>240.695430327869</v>
      </c>
      <c r="H697" s="37" t="n">
        <f aca="false">IF(AND(A697&gt;=Inputs!$B$13,OR(A697&lt;Inputs!$B$19,Inputs!$B$20=1)),D697*Inputs!$B$11/C697,0)</f>
        <v>40.1639344262295</v>
      </c>
      <c r="I697" s="37" t="n">
        <f aca="false">Inputs!$C$9-SUMIFS(Cash_Events!$G$6:$G$20,Cash_Events!$C$6:$C$20,"FHL",Cash_Events!$B$6:$B$20,"&lt;="&amp;A697)</f>
        <v>735000</v>
      </c>
      <c r="J697" s="38" t="n">
        <f aca="false">VLOOKUP(A697,Inputs!$F$40:$G$48,2,TRUE())</f>
        <v>0.0525075</v>
      </c>
      <c r="K697" s="38" t="n">
        <f aca="false">J697+Inputs!$C$10</f>
        <v>0.1200075</v>
      </c>
      <c r="L697" s="37" t="n">
        <f aca="false">I697*K697/C697</f>
        <v>240.998668032787</v>
      </c>
      <c r="M697" s="37" t="n">
        <f aca="false">IF(AND(A697&gt;=Inputs!$C$13,OR(A697&lt;Inputs!$B$19,Inputs!$B$20=1)),I697*Inputs!$C$11/C697,0)</f>
        <v>40.1639344262295</v>
      </c>
    </row>
    <row r="698" customFormat="false" ht="15" hidden="false" customHeight="false" outlineLevel="0" collapsed="false">
      <c r="A698" s="35" t="n">
        <f aca="false">A697+1</f>
        <v>45505</v>
      </c>
      <c r="B698" s="35" t="n">
        <f aca="false">EOMONTH(A698+1,0)</f>
        <v>45535</v>
      </c>
      <c r="C698" s="36" t="n">
        <f aca="false">IF(MOD(YEAR(A698),4)=0,366,365)</f>
        <v>366</v>
      </c>
      <c r="D698" s="37" t="n">
        <f aca="false">Inputs!$B$9-SUMIFS(Cash_Events!$G$6:$G$20,Cash_Events!$C$6:$C$20,"rAGMF",Cash_Events!$B$6:$B$20,"&lt;="&amp;A698)</f>
        <v>735000</v>
      </c>
      <c r="E698" s="38" t="n">
        <f aca="false">VLOOKUP(A698,Inputs!$A$40:$B$48,2,TRUE())</f>
        <v>0.0523565</v>
      </c>
      <c r="F698" s="38" t="n">
        <f aca="false">E698+Inputs!$B$10</f>
        <v>0.1198565</v>
      </c>
      <c r="G698" s="37" t="n">
        <f aca="false">D698*F698/C698</f>
        <v>240.695430327869</v>
      </c>
      <c r="H698" s="37" t="n">
        <f aca="false">IF(AND(A698&gt;=Inputs!$B$13,OR(A698&lt;Inputs!$B$19,Inputs!$B$20=1)),D698*Inputs!$B$11/C698,0)</f>
        <v>40.1639344262295</v>
      </c>
      <c r="I698" s="37" t="n">
        <f aca="false">Inputs!$C$9-SUMIFS(Cash_Events!$G$6:$G$20,Cash_Events!$C$6:$C$20,"FHL",Cash_Events!$B$6:$B$20,"&lt;="&amp;A698)</f>
        <v>735000</v>
      </c>
      <c r="J698" s="38" t="n">
        <f aca="false">VLOOKUP(A698,Inputs!$F$40:$G$48,2,TRUE())</f>
        <v>0.0525075</v>
      </c>
      <c r="K698" s="38" t="n">
        <f aca="false">J698+Inputs!$C$10</f>
        <v>0.1200075</v>
      </c>
      <c r="L698" s="37" t="n">
        <f aca="false">I698*K698/C698</f>
        <v>240.998668032787</v>
      </c>
      <c r="M698" s="37" t="n">
        <f aca="false">IF(AND(A698&gt;=Inputs!$C$13,OR(A698&lt;Inputs!$B$19,Inputs!$B$20=1)),I698*Inputs!$C$11/C698,0)</f>
        <v>40.1639344262295</v>
      </c>
    </row>
    <row r="699" customFormat="false" ht="15" hidden="false" customHeight="false" outlineLevel="0" collapsed="false">
      <c r="A699" s="35" t="n">
        <f aca="false">A698+1</f>
        <v>45506</v>
      </c>
      <c r="B699" s="35" t="n">
        <f aca="false">EOMONTH(A699+1,0)</f>
        <v>45535</v>
      </c>
      <c r="C699" s="36" t="n">
        <f aca="false">IF(MOD(YEAR(A699),4)=0,366,365)</f>
        <v>366</v>
      </c>
      <c r="D699" s="37" t="n">
        <f aca="false">Inputs!$B$9-SUMIFS(Cash_Events!$G$6:$G$20,Cash_Events!$C$6:$C$20,"rAGMF",Cash_Events!$B$6:$B$20,"&lt;="&amp;A699)</f>
        <v>735000</v>
      </c>
      <c r="E699" s="38" t="n">
        <f aca="false">VLOOKUP(A699,Inputs!$A$40:$B$48,2,TRUE())</f>
        <v>0.0523565</v>
      </c>
      <c r="F699" s="38" t="n">
        <f aca="false">E699+Inputs!$B$10</f>
        <v>0.1198565</v>
      </c>
      <c r="G699" s="37" t="n">
        <f aca="false">D699*F699/C699</f>
        <v>240.695430327869</v>
      </c>
      <c r="H699" s="37" t="n">
        <f aca="false">IF(AND(A699&gt;=Inputs!$B$13,OR(A699&lt;Inputs!$B$19,Inputs!$B$20=1)),D699*Inputs!$B$11/C699,0)</f>
        <v>40.1639344262295</v>
      </c>
      <c r="I699" s="37" t="n">
        <f aca="false">Inputs!$C$9-SUMIFS(Cash_Events!$G$6:$G$20,Cash_Events!$C$6:$C$20,"FHL",Cash_Events!$B$6:$B$20,"&lt;="&amp;A699)</f>
        <v>735000</v>
      </c>
      <c r="J699" s="38" t="n">
        <f aca="false">VLOOKUP(A699,Inputs!$F$40:$G$48,2,TRUE())</f>
        <v>0.0525075</v>
      </c>
      <c r="K699" s="38" t="n">
        <f aca="false">J699+Inputs!$C$10</f>
        <v>0.1200075</v>
      </c>
      <c r="L699" s="37" t="n">
        <f aca="false">I699*K699/C699</f>
        <v>240.998668032787</v>
      </c>
      <c r="M699" s="37" t="n">
        <f aca="false">IF(AND(A699&gt;=Inputs!$C$13,OR(A699&lt;Inputs!$B$19,Inputs!$B$20=1)),I699*Inputs!$C$11/C699,0)</f>
        <v>40.1639344262295</v>
      </c>
    </row>
    <row r="700" customFormat="false" ht="15" hidden="false" customHeight="false" outlineLevel="0" collapsed="false">
      <c r="A700" s="35" t="n">
        <f aca="false">A699+1</f>
        <v>45507</v>
      </c>
      <c r="B700" s="35" t="n">
        <f aca="false">EOMONTH(A700+1,0)</f>
        <v>45535</v>
      </c>
      <c r="C700" s="36" t="n">
        <f aca="false">IF(MOD(YEAR(A700),4)=0,366,365)</f>
        <v>366</v>
      </c>
      <c r="D700" s="37" t="n">
        <f aca="false">Inputs!$B$9-SUMIFS(Cash_Events!$G$6:$G$20,Cash_Events!$C$6:$C$20,"rAGMF",Cash_Events!$B$6:$B$20,"&lt;="&amp;A700)</f>
        <v>735000</v>
      </c>
      <c r="E700" s="38" t="n">
        <f aca="false">VLOOKUP(A700,Inputs!$A$40:$B$48,2,TRUE())</f>
        <v>0.0523565</v>
      </c>
      <c r="F700" s="38" t="n">
        <f aca="false">E700+Inputs!$B$10</f>
        <v>0.1198565</v>
      </c>
      <c r="G700" s="37" t="n">
        <f aca="false">D700*F700/C700</f>
        <v>240.695430327869</v>
      </c>
      <c r="H700" s="37" t="n">
        <f aca="false">IF(AND(A700&gt;=Inputs!$B$13,OR(A700&lt;Inputs!$B$19,Inputs!$B$20=1)),D700*Inputs!$B$11/C700,0)</f>
        <v>40.1639344262295</v>
      </c>
      <c r="I700" s="37" t="n">
        <f aca="false">Inputs!$C$9-SUMIFS(Cash_Events!$G$6:$G$20,Cash_Events!$C$6:$C$20,"FHL",Cash_Events!$B$6:$B$20,"&lt;="&amp;A700)</f>
        <v>735000</v>
      </c>
      <c r="J700" s="38" t="n">
        <f aca="false">VLOOKUP(A700,Inputs!$F$40:$G$48,2,TRUE())</f>
        <v>0.0525075</v>
      </c>
      <c r="K700" s="38" t="n">
        <f aca="false">J700+Inputs!$C$10</f>
        <v>0.1200075</v>
      </c>
      <c r="L700" s="37" t="n">
        <f aca="false">I700*K700/C700</f>
        <v>240.998668032787</v>
      </c>
      <c r="M700" s="37" t="n">
        <f aca="false">IF(AND(A700&gt;=Inputs!$C$13,OR(A700&lt;Inputs!$B$19,Inputs!$B$20=1)),I700*Inputs!$C$11/C700,0)</f>
        <v>40.1639344262295</v>
      </c>
    </row>
    <row r="701" customFormat="false" ht="15" hidden="false" customHeight="false" outlineLevel="0" collapsed="false">
      <c r="A701" s="35" t="n">
        <f aca="false">A700+1</f>
        <v>45508</v>
      </c>
      <c r="B701" s="35" t="n">
        <f aca="false">EOMONTH(A701+1,0)</f>
        <v>45535</v>
      </c>
      <c r="C701" s="36" t="n">
        <f aca="false">IF(MOD(YEAR(A701),4)=0,366,365)</f>
        <v>366</v>
      </c>
      <c r="D701" s="37" t="n">
        <f aca="false">Inputs!$B$9-SUMIFS(Cash_Events!$G$6:$G$20,Cash_Events!$C$6:$C$20,"rAGMF",Cash_Events!$B$6:$B$20,"&lt;="&amp;A701)</f>
        <v>735000</v>
      </c>
      <c r="E701" s="38" t="n">
        <f aca="false">VLOOKUP(A701,Inputs!$A$40:$B$48,2,TRUE())</f>
        <v>0.0523565</v>
      </c>
      <c r="F701" s="38" t="n">
        <f aca="false">E701+Inputs!$B$10</f>
        <v>0.1198565</v>
      </c>
      <c r="G701" s="37" t="n">
        <f aca="false">D701*F701/C701</f>
        <v>240.695430327869</v>
      </c>
      <c r="H701" s="37" t="n">
        <f aca="false">IF(AND(A701&gt;=Inputs!$B$13,OR(A701&lt;Inputs!$B$19,Inputs!$B$20=1)),D701*Inputs!$B$11/C701,0)</f>
        <v>40.1639344262295</v>
      </c>
      <c r="I701" s="37" t="n">
        <f aca="false">Inputs!$C$9-SUMIFS(Cash_Events!$G$6:$G$20,Cash_Events!$C$6:$C$20,"FHL",Cash_Events!$B$6:$B$20,"&lt;="&amp;A701)</f>
        <v>735000</v>
      </c>
      <c r="J701" s="38" t="n">
        <f aca="false">VLOOKUP(A701,Inputs!$F$40:$G$48,2,TRUE())</f>
        <v>0.0525075</v>
      </c>
      <c r="K701" s="38" t="n">
        <f aca="false">J701+Inputs!$C$10</f>
        <v>0.1200075</v>
      </c>
      <c r="L701" s="37" t="n">
        <f aca="false">I701*K701/C701</f>
        <v>240.998668032787</v>
      </c>
      <c r="M701" s="37" t="n">
        <f aca="false">IF(AND(A701&gt;=Inputs!$C$13,OR(A701&lt;Inputs!$B$19,Inputs!$B$20=1)),I701*Inputs!$C$11/C701,0)</f>
        <v>40.1639344262295</v>
      </c>
    </row>
    <row r="702" customFormat="false" ht="15" hidden="false" customHeight="false" outlineLevel="0" collapsed="false">
      <c r="A702" s="35" t="n">
        <f aca="false">A701+1</f>
        <v>45509</v>
      </c>
      <c r="B702" s="35" t="n">
        <f aca="false">EOMONTH(A702+1,0)</f>
        <v>45535</v>
      </c>
      <c r="C702" s="36" t="n">
        <f aca="false">IF(MOD(YEAR(A702),4)=0,366,365)</f>
        <v>366</v>
      </c>
      <c r="D702" s="37" t="n">
        <f aca="false">Inputs!$B$9-SUMIFS(Cash_Events!$G$6:$G$20,Cash_Events!$C$6:$C$20,"rAGMF",Cash_Events!$B$6:$B$20,"&lt;="&amp;A702)</f>
        <v>735000</v>
      </c>
      <c r="E702" s="38" t="n">
        <f aca="false">VLOOKUP(A702,Inputs!$A$40:$B$48,2,TRUE())</f>
        <v>0.0523565</v>
      </c>
      <c r="F702" s="38" t="n">
        <f aca="false">E702+Inputs!$B$10</f>
        <v>0.1198565</v>
      </c>
      <c r="G702" s="37" t="n">
        <f aca="false">D702*F702/C702</f>
        <v>240.695430327869</v>
      </c>
      <c r="H702" s="37" t="n">
        <f aca="false">IF(AND(A702&gt;=Inputs!$B$13,OR(A702&lt;Inputs!$B$19,Inputs!$B$20=1)),D702*Inputs!$B$11/C702,0)</f>
        <v>40.1639344262295</v>
      </c>
      <c r="I702" s="37" t="n">
        <f aca="false">Inputs!$C$9-SUMIFS(Cash_Events!$G$6:$G$20,Cash_Events!$C$6:$C$20,"FHL",Cash_Events!$B$6:$B$20,"&lt;="&amp;A702)</f>
        <v>735000</v>
      </c>
      <c r="J702" s="38" t="n">
        <f aca="false">VLOOKUP(A702,Inputs!$F$40:$G$48,2,TRUE())</f>
        <v>0.0525075</v>
      </c>
      <c r="K702" s="38" t="n">
        <f aca="false">J702+Inputs!$C$10</f>
        <v>0.1200075</v>
      </c>
      <c r="L702" s="37" t="n">
        <f aca="false">I702*K702/C702</f>
        <v>240.998668032787</v>
      </c>
      <c r="M702" s="37" t="n">
        <f aca="false">IF(AND(A702&gt;=Inputs!$C$13,OR(A702&lt;Inputs!$B$19,Inputs!$B$20=1)),I702*Inputs!$C$11/C702,0)</f>
        <v>40.1639344262295</v>
      </c>
    </row>
    <row r="703" customFormat="false" ht="15" hidden="false" customHeight="false" outlineLevel="0" collapsed="false">
      <c r="A703" s="35" t="n">
        <f aca="false">A702+1</f>
        <v>45510</v>
      </c>
      <c r="B703" s="35" t="n">
        <f aca="false">EOMONTH(A703+1,0)</f>
        <v>45535</v>
      </c>
      <c r="C703" s="36" t="n">
        <f aca="false">IF(MOD(YEAR(A703),4)=0,366,365)</f>
        <v>366</v>
      </c>
      <c r="D703" s="37" t="n">
        <f aca="false">Inputs!$B$9-SUMIFS(Cash_Events!$G$6:$G$20,Cash_Events!$C$6:$C$20,"rAGMF",Cash_Events!$B$6:$B$20,"&lt;="&amp;A703)</f>
        <v>735000</v>
      </c>
      <c r="E703" s="38" t="n">
        <f aca="false">VLOOKUP(A703,Inputs!$A$40:$B$48,2,TRUE())</f>
        <v>0.0523565</v>
      </c>
      <c r="F703" s="38" t="n">
        <f aca="false">E703+Inputs!$B$10</f>
        <v>0.1198565</v>
      </c>
      <c r="G703" s="37" t="n">
        <f aca="false">D703*F703/C703</f>
        <v>240.695430327869</v>
      </c>
      <c r="H703" s="37" t="n">
        <f aca="false">IF(AND(A703&gt;=Inputs!$B$13,OR(A703&lt;Inputs!$B$19,Inputs!$B$20=1)),D703*Inputs!$B$11/C703,0)</f>
        <v>40.1639344262295</v>
      </c>
      <c r="I703" s="37" t="n">
        <f aca="false">Inputs!$C$9-SUMIFS(Cash_Events!$G$6:$G$20,Cash_Events!$C$6:$C$20,"FHL",Cash_Events!$B$6:$B$20,"&lt;="&amp;A703)</f>
        <v>735000</v>
      </c>
      <c r="J703" s="38" t="n">
        <f aca="false">VLOOKUP(A703,Inputs!$F$40:$G$48,2,TRUE())</f>
        <v>0.0525075</v>
      </c>
      <c r="K703" s="38" t="n">
        <f aca="false">J703+Inputs!$C$10</f>
        <v>0.1200075</v>
      </c>
      <c r="L703" s="37" t="n">
        <f aca="false">I703*K703/C703</f>
        <v>240.998668032787</v>
      </c>
      <c r="M703" s="37" t="n">
        <f aca="false">IF(AND(A703&gt;=Inputs!$C$13,OR(A703&lt;Inputs!$B$19,Inputs!$B$20=1)),I703*Inputs!$C$11/C703,0)</f>
        <v>40.1639344262295</v>
      </c>
    </row>
    <row r="704" customFormat="false" ht="15" hidden="false" customHeight="false" outlineLevel="0" collapsed="false">
      <c r="A704" s="35" t="n">
        <f aca="false">A703+1</f>
        <v>45511</v>
      </c>
      <c r="B704" s="35" t="n">
        <f aca="false">EOMONTH(A704+1,0)</f>
        <v>45535</v>
      </c>
      <c r="C704" s="36" t="n">
        <f aca="false">IF(MOD(YEAR(A704),4)=0,366,365)</f>
        <v>366</v>
      </c>
      <c r="D704" s="37" t="n">
        <f aca="false">Inputs!$B$9-SUMIFS(Cash_Events!$G$6:$G$20,Cash_Events!$C$6:$C$20,"rAGMF",Cash_Events!$B$6:$B$20,"&lt;="&amp;A704)</f>
        <v>735000</v>
      </c>
      <c r="E704" s="38" t="n">
        <f aca="false">VLOOKUP(A704,Inputs!$A$40:$B$48,2,TRUE())</f>
        <v>0.0523565</v>
      </c>
      <c r="F704" s="38" t="n">
        <f aca="false">E704+Inputs!$B$10</f>
        <v>0.1198565</v>
      </c>
      <c r="G704" s="37" t="n">
        <f aca="false">D704*F704/C704</f>
        <v>240.695430327869</v>
      </c>
      <c r="H704" s="37" t="n">
        <f aca="false">IF(AND(A704&gt;=Inputs!$B$13,OR(A704&lt;Inputs!$B$19,Inputs!$B$20=1)),D704*Inputs!$B$11/C704,0)</f>
        <v>40.1639344262295</v>
      </c>
      <c r="I704" s="37" t="n">
        <f aca="false">Inputs!$C$9-SUMIFS(Cash_Events!$G$6:$G$20,Cash_Events!$C$6:$C$20,"FHL",Cash_Events!$B$6:$B$20,"&lt;="&amp;A704)</f>
        <v>735000</v>
      </c>
      <c r="J704" s="38" t="n">
        <f aca="false">VLOOKUP(A704,Inputs!$F$40:$G$48,2,TRUE())</f>
        <v>0.0525075</v>
      </c>
      <c r="K704" s="38" t="n">
        <f aca="false">J704+Inputs!$C$10</f>
        <v>0.1200075</v>
      </c>
      <c r="L704" s="37" t="n">
        <f aca="false">I704*K704/C704</f>
        <v>240.998668032787</v>
      </c>
      <c r="M704" s="37" t="n">
        <f aca="false">IF(AND(A704&gt;=Inputs!$C$13,OR(A704&lt;Inputs!$B$19,Inputs!$B$20=1)),I704*Inputs!$C$11/C704,0)</f>
        <v>40.1639344262295</v>
      </c>
    </row>
    <row r="705" customFormat="false" ht="15" hidden="false" customHeight="false" outlineLevel="0" collapsed="false">
      <c r="A705" s="35" t="n">
        <f aca="false">A704+1</f>
        <v>45512</v>
      </c>
      <c r="B705" s="35" t="n">
        <f aca="false">EOMONTH(A705+1,0)</f>
        <v>45535</v>
      </c>
      <c r="C705" s="36" t="n">
        <f aca="false">IF(MOD(YEAR(A705),4)=0,366,365)</f>
        <v>366</v>
      </c>
      <c r="D705" s="37" t="n">
        <f aca="false">Inputs!$B$9-SUMIFS(Cash_Events!$G$6:$G$20,Cash_Events!$C$6:$C$20,"rAGMF",Cash_Events!$B$6:$B$20,"&lt;="&amp;A705)</f>
        <v>735000</v>
      </c>
      <c r="E705" s="38" t="n">
        <f aca="false">VLOOKUP(A705,Inputs!$A$40:$B$48,2,TRUE())</f>
        <v>0.0523565</v>
      </c>
      <c r="F705" s="38" t="n">
        <f aca="false">E705+Inputs!$B$10</f>
        <v>0.1198565</v>
      </c>
      <c r="G705" s="37" t="n">
        <f aca="false">D705*F705/C705</f>
        <v>240.695430327869</v>
      </c>
      <c r="H705" s="37" t="n">
        <f aca="false">IF(AND(A705&gt;=Inputs!$B$13,OR(A705&lt;Inputs!$B$19,Inputs!$B$20=1)),D705*Inputs!$B$11/C705,0)</f>
        <v>40.1639344262295</v>
      </c>
      <c r="I705" s="37" t="n">
        <f aca="false">Inputs!$C$9-SUMIFS(Cash_Events!$G$6:$G$20,Cash_Events!$C$6:$C$20,"FHL",Cash_Events!$B$6:$B$20,"&lt;="&amp;A705)</f>
        <v>735000</v>
      </c>
      <c r="J705" s="38" t="n">
        <f aca="false">VLOOKUP(A705,Inputs!$F$40:$G$48,2,TRUE())</f>
        <v>0.0525075</v>
      </c>
      <c r="K705" s="38" t="n">
        <f aca="false">J705+Inputs!$C$10</f>
        <v>0.1200075</v>
      </c>
      <c r="L705" s="37" t="n">
        <f aca="false">I705*K705/C705</f>
        <v>240.998668032787</v>
      </c>
      <c r="M705" s="37" t="n">
        <f aca="false">IF(AND(A705&gt;=Inputs!$C$13,OR(A705&lt;Inputs!$B$19,Inputs!$B$20=1)),I705*Inputs!$C$11/C705,0)</f>
        <v>40.1639344262295</v>
      </c>
    </row>
    <row r="706" customFormat="false" ht="15" hidden="false" customHeight="false" outlineLevel="0" collapsed="false">
      <c r="A706" s="35" t="n">
        <f aca="false">A705+1</f>
        <v>45513</v>
      </c>
      <c r="B706" s="35" t="n">
        <f aca="false">EOMONTH(A706+1,0)</f>
        <v>45535</v>
      </c>
      <c r="C706" s="36" t="n">
        <f aca="false">IF(MOD(YEAR(A706),4)=0,366,365)</f>
        <v>366</v>
      </c>
      <c r="D706" s="37" t="n">
        <f aca="false">Inputs!$B$9-SUMIFS(Cash_Events!$G$6:$G$20,Cash_Events!$C$6:$C$20,"rAGMF",Cash_Events!$B$6:$B$20,"&lt;="&amp;A706)</f>
        <v>735000</v>
      </c>
      <c r="E706" s="38" t="n">
        <f aca="false">VLOOKUP(A706,Inputs!$A$40:$B$48,2,TRUE())</f>
        <v>0.0523565</v>
      </c>
      <c r="F706" s="38" t="n">
        <f aca="false">E706+Inputs!$B$10</f>
        <v>0.1198565</v>
      </c>
      <c r="G706" s="37" t="n">
        <f aca="false">D706*F706/C706</f>
        <v>240.695430327869</v>
      </c>
      <c r="H706" s="37" t="n">
        <f aca="false">IF(AND(A706&gt;=Inputs!$B$13,OR(A706&lt;Inputs!$B$19,Inputs!$B$20=1)),D706*Inputs!$B$11/C706,0)</f>
        <v>40.1639344262295</v>
      </c>
      <c r="I706" s="37" t="n">
        <f aca="false">Inputs!$C$9-SUMIFS(Cash_Events!$G$6:$G$20,Cash_Events!$C$6:$C$20,"FHL",Cash_Events!$B$6:$B$20,"&lt;="&amp;A706)</f>
        <v>735000</v>
      </c>
      <c r="J706" s="38" t="n">
        <f aca="false">VLOOKUP(A706,Inputs!$F$40:$G$48,2,TRUE())</f>
        <v>0.0525075</v>
      </c>
      <c r="K706" s="38" t="n">
        <f aca="false">J706+Inputs!$C$10</f>
        <v>0.1200075</v>
      </c>
      <c r="L706" s="37" t="n">
        <f aca="false">I706*K706/C706</f>
        <v>240.998668032787</v>
      </c>
      <c r="M706" s="37" t="n">
        <f aca="false">IF(AND(A706&gt;=Inputs!$C$13,OR(A706&lt;Inputs!$B$19,Inputs!$B$20=1)),I706*Inputs!$C$11/C706,0)</f>
        <v>40.1639344262295</v>
      </c>
    </row>
    <row r="707" customFormat="false" ht="15" hidden="false" customHeight="false" outlineLevel="0" collapsed="false">
      <c r="A707" s="35" t="n">
        <f aca="false">A706+1</f>
        <v>45514</v>
      </c>
      <c r="B707" s="35" t="n">
        <f aca="false">EOMONTH(A707+1,0)</f>
        <v>45535</v>
      </c>
      <c r="C707" s="36" t="n">
        <f aca="false">IF(MOD(YEAR(A707),4)=0,366,365)</f>
        <v>366</v>
      </c>
      <c r="D707" s="37" t="n">
        <f aca="false">Inputs!$B$9-SUMIFS(Cash_Events!$G$6:$G$20,Cash_Events!$C$6:$C$20,"rAGMF",Cash_Events!$B$6:$B$20,"&lt;="&amp;A707)</f>
        <v>735000</v>
      </c>
      <c r="E707" s="38" t="n">
        <f aca="false">VLOOKUP(A707,Inputs!$A$40:$B$48,2,TRUE())</f>
        <v>0.0523565</v>
      </c>
      <c r="F707" s="38" t="n">
        <f aca="false">E707+Inputs!$B$10</f>
        <v>0.1198565</v>
      </c>
      <c r="G707" s="37" t="n">
        <f aca="false">D707*F707/C707</f>
        <v>240.695430327869</v>
      </c>
      <c r="H707" s="37" t="n">
        <f aca="false">IF(AND(A707&gt;=Inputs!$B$13,OR(A707&lt;Inputs!$B$19,Inputs!$B$20=1)),D707*Inputs!$B$11/C707,0)</f>
        <v>40.1639344262295</v>
      </c>
      <c r="I707" s="37" t="n">
        <f aca="false">Inputs!$C$9-SUMIFS(Cash_Events!$G$6:$G$20,Cash_Events!$C$6:$C$20,"FHL",Cash_Events!$B$6:$B$20,"&lt;="&amp;A707)</f>
        <v>735000</v>
      </c>
      <c r="J707" s="38" t="n">
        <f aca="false">VLOOKUP(A707,Inputs!$F$40:$G$48,2,TRUE())</f>
        <v>0.0525075</v>
      </c>
      <c r="K707" s="38" t="n">
        <f aca="false">J707+Inputs!$C$10</f>
        <v>0.1200075</v>
      </c>
      <c r="L707" s="37" t="n">
        <f aca="false">I707*K707/C707</f>
        <v>240.998668032787</v>
      </c>
      <c r="M707" s="37" t="n">
        <f aca="false">IF(AND(A707&gt;=Inputs!$C$13,OR(A707&lt;Inputs!$B$19,Inputs!$B$20=1)),I707*Inputs!$C$11/C707,0)</f>
        <v>40.1639344262295</v>
      </c>
    </row>
    <row r="708" customFormat="false" ht="15" hidden="false" customHeight="false" outlineLevel="0" collapsed="false">
      <c r="A708" s="35" t="n">
        <f aca="false">A707+1</f>
        <v>45515</v>
      </c>
      <c r="B708" s="35" t="n">
        <f aca="false">EOMONTH(A708+1,0)</f>
        <v>45535</v>
      </c>
      <c r="C708" s="36" t="n">
        <f aca="false">IF(MOD(YEAR(A708),4)=0,366,365)</f>
        <v>366</v>
      </c>
      <c r="D708" s="37" t="n">
        <f aca="false">Inputs!$B$9-SUMIFS(Cash_Events!$G$6:$G$20,Cash_Events!$C$6:$C$20,"rAGMF",Cash_Events!$B$6:$B$20,"&lt;="&amp;A708)</f>
        <v>735000</v>
      </c>
      <c r="E708" s="38" t="n">
        <f aca="false">VLOOKUP(A708,Inputs!$A$40:$B$48,2,TRUE())</f>
        <v>0.0523565</v>
      </c>
      <c r="F708" s="38" t="n">
        <f aca="false">E708+Inputs!$B$10</f>
        <v>0.1198565</v>
      </c>
      <c r="G708" s="37" t="n">
        <f aca="false">D708*F708/C708</f>
        <v>240.695430327869</v>
      </c>
      <c r="H708" s="37" t="n">
        <f aca="false">IF(AND(A708&gt;=Inputs!$B$13,OR(A708&lt;Inputs!$B$19,Inputs!$B$20=1)),D708*Inputs!$B$11/C708,0)</f>
        <v>40.1639344262295</v>
      </c>
      <c r="I708" s="37" t="n">
        <f aca="false">Inputs!$C$9-SUMIFS(Cash_Events!$G$6:$G$20,Cash_Events!$C$6:$C$20,"FHL",Cash_Events!$B$6:$B$20,"&lt;="&amp;A708)</f>
        <v>735000</v>
      </c>
      <c r="J708" s="38" t="n">
        <f aca="false">VLOOKUP(A708,Inputs!$F$40:$G$48,2,TRUE())</f>
        <v>0.0525075</v>
      </c>
      <c r="K708" s="38" t="n">
        <f aca="false">J708+Inputs!$C$10</f>
        <v>0.1200075</v>
      </c>
      <c r="L708" s="37" t="n">
        <f aca="false">I708*K708/C708</f>
        <v>240.998668032787</v>
      </c>
      <c r="M708" s="37" t="n">
        <f aca="false">IF(AND(A708&gt;=Inputs!$C$13,OR(A708&lt;Inputs!$B$19,Inputs!$B$20=1)),I708*Inputs!$C$11/C708,0)</f>
        <v>40.1639344262295</v>
      </c>
    </row>
    <row r="709" customFormat="false" ht="15" hidden="false" customHeight="false" outlineLevel="0" collapsed="false">
      <c r="A709" s="35" t="n">
        <f aca="false">A708+1</f>
        <v>45516</v>
      </c>
      <c r="B709" s="35" t="n">
        <f aca="false">EOMONTH(A709+1,0)</f>
        <v>45535</v>
      </c>
      <c r="C709" s="36" t="n">
        <f aca="false">IF(MOD(YEAR(A709),4)=0,366,365)</f>
        <v>366</v>
      </c>
      <c r="D709" s="37" t="n">
        <f aca="false">Inputs!$B$9-SUMIFS(Cash_Events!$G$6:$G$20,Cash_Events!$C$6:$C$20,"rAGMF",Cash_Events!$B$6:$B$20,"&lt;="&amp;A709)</f>
        <v>735000</v>
      </c>
      <c r="E709" s="38" t="n">
        <f aca="false">VLOOKUP(A709,Inputs!$A$40:$B$48,2,TRUE())</f>
        <v>0.0523565</v>
      </c>
      <c r="F709" s="38" t="n">
        <f aca="false">E709+Inputs!$B$10</f>
        <v>0.1198565</v>
      </c>
      <c r="G709" s="37" t="n">
        <f aca="false">D709*F709/C709</f>
        <v>240.695430327869</v>
      </c>
      <c r="H709" s="37" t="n">
        <f aca="false">IF(AND(A709&gt;=Inputs!$B$13,OR(A709&lt;Inputs!$B$19,Inputs!$B$20=1)),D709*Inputs!$B$11/C709,0)</f>
        <v>40.1639344262295</v>
      </c>
      <c r="I709" s="37" t="n">
        <f aca="false">Inputs!$C$9-SUMIFS(Cash_Events!$G$6:$G$20,Cash_Events!$C$6:$C$20,"FHL",Cash_Events!$B$6:$B$20,"&lt;="&amp;A709)</f>
        <v>735000</v>
      </c>
      <c r="J709" s="38" t="n">
        <f aca="false">VLOOKUP(A709,Inputs!$F$40:$G$48,2,TRUE())</f>
        <v>0.0525075</v>
      </c>
      <c r="K709" s="38" t="n">
        <f aca="false">J709+Inputs!$C$10</f>
        <v>0.1200075</v>
      </c>
      <c r="L709" s="37" t="n">
        <f aca="false">I709*K709/C709</f>
        <v>240.998668032787</v>
      </c>
      <c r="M709" s="37" t="n">
        <f aca="false">IF(AND(A709&gt;=Inputs!$C$13,OR(A709&lt;Inputs!$B$19,Inputs!$B$20=1)),I709*Inputs!$C$11/C709,0)</f>
        <v>40.1639344262295</v>
      </c>
    </row>
    <row r="710" customFormat="false" ht="15" hidden="false" customHeight="false" outlineLevel="0" collapsed="false">
      <c r="A710" s="35" t="n">
        <f aca="false">A709+1</f>
        <v>45517</v>
      </c>
      <c r="B710" s="35" t="n">
        <f aca="false">EOMONTH(A710+1,0)</f>
        <v>45535</v>
      </c>
      <c r="C710" s="36" t="n">
        <f aca="false">IF(MOD(YEAR(A710),4)=0,366,365)</f>
        <v>366</v>
      </c>
      <c r="D710" s="37" t="n">
        <f aca="false">Inputs!$B$9-SUMIFS(Cash_Events!$G$6:$G$20,Cash_Events!$C$6:$C$20,"rAGMF",Cash_Events!$B$6:$B$20,"&lt;="&amp;A710)</f>
        <v>735000</v>
      </c>
      <c r="E710" s="38" t="n">
        <f aca="false">VLOOKUP(A710,Inputs!$A$40:$B$48,2,TRUE())</f>
        <v>0.0523565</v>
      </c>
      <c r="F710" s="38" t="n">
        <f aca="false">E710+Inputs!$B$10</f>
        <v>0.1198565</v>
      </c>
      <c r="G710" s="37" t="n">
        <f aca="false">D710*F710/C710</f>
        <v>240.695430327869</v>
      </c>
      <c r="H710" s="37" t="n">
        <f aca="false">IF(AND(A710&gt;=Inputs!$B$13,OR(A710&lt;Inputs!$B$19,Inputs!$B$20=1)),D710*Inputs!$B$11/C710,0)</f>
        <v>40.1639344262295</v>
      </c>
      <c r="I710" s="37" t="n">
        <f aca="false">Inputs!$C$9-SUMIFS(Cash_Events!$G$6:$G$20,Cash_Events!$C$6:$C$20,"FHL",Cash_Events!$B$6:$B$20,"&lt;="&amp;A710)</f>
        <v>735000</v>
      </c>
      <c r="J710" s="38" t="n">
        <f aca="false">VLOOKUP(A710,Inputs!$F$40:$G$48,2,TRUE())</f>
        <v>0.0525075</v>
      </c>
      <c r="K710" s="38" t="n">
        <f aca="false">J710+Inputs!$C$10</f>
        <v>0.1200075</v>
      </c>
      <c r="L710" s="37" t="n">
        <f aca="false">I710*K710/C710</f>
        <v>240.998668032787</v>
      </c>
      <c r="M710" s="37" t="n">
        <f aca="false">IF(AND(A710&gt;=Inputs!$C$13,OR(A710&lt;Inputs!$B$19,Inputs!$B$20=1)),I710*Inputs!$C$11/C710,0)</f>
        <v>40.1639344262295</v>
      </c>
    </row>
    <row r="711" customFormat="false" ht="15" hidden="false" customHeight="false" outlineLevel="0" collapsed="false">
      <c r="A711" s="35" t="n">
        <f aca="false">A710+1</f>
        <v>45518</v>
      </c>
      <c r="B711" s="35" t="n">
        <f aca="false">EOMONTH(A711+1,0)</f>
        <v>45535</v>
      </c>
      <c r="C711" s="36" t="n">
        <f aca="false">IF(MOD(YEAR(A711),4)=0,366,365)</f>
        <v>366</v>
      </c>
      <c r="D711" s="37" t="n">
        <f aca="false">Inputs!$B$9-SUMIFS(Cash_Events!$G$6:$G$20,Cash_Events!$C$6:$C$20,"rAGMF",Cash_Events!$B$6:$B$20,"&lt;="&amp;A711)</f>
        <v>735000</v>
      </c>
      <c r="E711" s="38" t="n">
        <f aca="false">VLOOKUP(A711,Inputs!$A$40:$B$48,2,TRUE())</f>
        <v>0.0523565</v>
      </c>
      <c r="F711" s="38" t="n">
        <f aca="false">E711+Inputs!$B$10</f>
        <v>0.1198565</v>
      </c>
      <c r="G711" s="37" t="n">
        <f aca="false">D711*F711/C711</f>
        <v>240.695430327869</v>
      </c>
      <c r="H711" s="37" t="n">
        <f aca="false">IF(AND(A711&gt;=Inputs!$B$13,OR(A711&lt;Inputs!$B$19,Inputs!$B$20=1)),D711*Inputs!$B$11/C711,0)</f>
        <v>40.1639344262295</v>
      </c>
      <c r="I711" s="37" t="n">
        <f aca="false">Inputs!$C$9-SUMIFS(Cash_Events!$G$6:$G$20,Cash_Events!$C$6:$C$20,"FHL",Cash_Events!$B$6:$B$20,"&lt;="&amp;A711)</f>
        <v>735000</v>
      </c>
      <c r="J711" s="38" t="n">
        <f aca="false">VLOOKUP(A711,Inputs!$F$40:$G$48,2,TRUE())</f>
        <v>0.0525075</v>
      </c>
      <c r="K711" s="38" t="n">
        <f aca="false">J711+Inputs!$C$10</f>
        <v>0.1200075</v>
      </c>
      <c r="L711" s="37" t="n">
        <f aca="false">I711*K711/C711</f>
        <v>240.998668032787</v>
      </c>
      <c r="M711" s="37" t="n">
        <f aca="false">IF(AND(A711&gt;=Inputs!$C$13,OR(A711&lt;Inputs!$B$19,Inputs!$B$20=1)),I711*Inputs!$C$11/C711,0)</f>
        <v>40.1639344262295</v>
      </c>
    </row>
    <row r="712" customFormat="false" ht="15" hidden="false" customHeight="false" outlineLevel="0" collapsed="false">
      <c r="A712" s="35" t="n">
        <f aca="false">A711+1</f>
        <v>45519</v>
      </c>
      <c r="B712" s="35" t="n">
        <f aca="false">EOMONTH(A712+1,0)</f>
        <v>45535</v>
      </c>
      <c r="C712" s="36" t="n">
        <f aca="false">IF(MOD(YEAR(A712),4)=0,366,365)</f>
        <v>366</v>
      </c>
      <c r="D712" s="37" t="n">
        <f aca="false">Inputs!$B$9-SUMIFS(Cash_Events!$G$6:$G$20,Cash_Events!$C$6:$C$20,"rAGMF",Cash_Events!$B$6:$B$20,"&lt;="&amp;A712)</f>
        <v>735000</v>
      </c>
      <c r="E712" s="38" t="n">
        <f aca="false">VLOOKUP(A712,Inputs!$A$40:$B$48,2,TRUE())</f>
        <v>0.0523565</v>
      </c>
      <c r="F712" s="38" t="n">
        <f aca="false">E712+Inputs!$B$10</f>
        <v>0.1198565</v>
      </c>
      <c r="G712" s="37" t="n">
        <f aca="false">D712*F712/C712</f>
        <v>240.695430327869</v>
      </c>
      <c r="H712" s="37" t="n">
        <f aca="false">IF(AND(A712&gt;=Inputs!$B$13,OR(A712&lt;Inputs!$B$19,Inputs!$B$20=1)),D712*Inputs!$B$11/C712,0)</f>
        <v>40.1639344262295</v>
      </c>
      <c r="I712" s="37" t="n">
        <f aca="false">Inputs!$C$9-SUMIFS(Cash_Events!$G$6:$G$20,Cash_Events!$C$6:$C$20,"FHL",Cash_Events!$B$6:$B$20,"&lt;="&amp;A712)</f>
        <v>735000</v>
      </c>
      <c r="J712" s="38" t="n">
        <f aca="false">VLOOKUP(A712,Inputs!$F$40:$G$48,2,TRUE())</f>
        <v>0.0525075</v>
      </c>
      <c r="K712" s="38" t="n">
        <f aca="false">J712+Inputs!$C$10</f>
        <v>0.1200075</v>
      </c>
      <c r="L712" s="37" t="n">
        <f aca="false">I712*K712/C712</f>
        <v>240.998668032787</v>
      </c>
      <c r="M712" s="37" t="n">
        <f aca="false">IF(AND(A712&gt;=Inputs!$C$13,OR(A712&lt;Inputs!$B$19,Inputs!$B$20=1)),I712*Inputs!$C$11/C712,0)</f>
        <v>40.1639344262295</v>
      </c>
    </row>
    <row r="713" customFormat="false" ht="15" hidden="false" customHeight="false" outlineLevel="0" collapsed="false">
      <c r="A713" s="35" t="n">
        <f aca="false">A712+1</f>
        <v>45520</v>
      </c>
      <c r="B713" s="35" t="n">
        <f aca="false">EOMONTH(A713+1,0)</f>
        <v>45535</v>
      </c>
      <c r="C713" s="36" t="n">
        <f aca="false">IF(MOD(YEAR(A713),4)=0,366,365)</f>
        <v>366</v>
      </c>
      <c r="D713" s="37" t="n">
        <f aca="false">Inputs!$B$9-SUMIFS(Cash_Events!$G$6:$G$20,Cash_Events!$C$6:$C$20,"rAGMF",Cash_Events!$B$6:$B$20,"&lt;="&amp;A713)</f>
        <v>735000</v>
      </c>
      <c r="E713" s="38" t="n">
        <f aca="false">VLOOKUP(A713,Inputs!$A$40:$B$48,2,TRUE())</f>
        <v>0.0523565</v>
      </c>
      <c r="F713" s="38" t="n">
        <f aca="false">E713+Inputs!$B$10</f>
        <v>0.1198565</v>
      </c>
      <c r="G713" s="37" t="n">
        <f aca="false">D713*F713/C713</f>
        <v>240.695430327869</v>
      </c>
      <c r="H713" s="37" t="n">
        <f aca="false">IF(AND(A713&gt;=Inputs!$B$13,OR(A713&lt;Inputs!$B$19,Inputs!$B$20=1)),D713*Inputs!$B$11/C713,0)</f>
        <v>40.1639344262295</v>
      </c>
      <c r="I713" s="37" t="n">
        <f aca="false">Inputs!$C$9-SUMIFS(Cash_Events!$G$6:$G$20,Cash_Events!$C$6:$C$20,"FHL",Cash_Events!$B$6:$B$20,"&lt;="&amp;A713)</f>
        <v>735000</v>
      </c>
      <c r="J713" s="38" t="n">
        <f aca="false">VLOOKUP(A713,Inputs!$F$40:$G$48,2,TRUE())</f>
        <v>0.0525075</v>
      </c>
      <c r="K713" s="38" t="n">
        <f aca="false">J713+Inputs!$C$10</f>
        <v>0.1200075</v>
      </c>
      <c r="L713" s="37" t="n">
        <f aca="false">I713*K713/C713</f>
        <v>240.998668032787</v>
      </c>
      <c r="M713" s="37" t="n">
        <f aca="false">IF(AND(A713&gt;=Inputs!$C$13,OR(A713&lt;Inputs!$B$19,Inputs!$B$20=1)),I713*Inputs!$C$11/C713,0)</f>
        <v>40.1639344262295</v>
      </c>
    </row>
    <row r="714" customFormat="false" ht="15" hidden="false" customHeight="false" outlineLevel="0" collapsed="false">
      <c r="A714" s="35" t="n">
        <f aca="false">A713+1</f>
        <v>45521</v>
      </c>
      <c r="B714" s="35" t="n">
        <f aca="false">EOMONTH(A714+1,0)</f>
        <v>45535</v>
      </c>
      <c r="C714" s="36" t="n">
        <f aca="false">IF(MOD(YEAR(A714),4)=0,366,365)</f>
        <v>366</v>
      </c>
      <c r="D714" s="37" t="n">
        <f aca="false">Inputs!$B$9-SUMIFS(Cash_Events!$G$6:$G$20,Cash_Events!$C$6:$C$20,"rAGMF",Cash_Events!$B$6:$B$20,"&lt;="&amp;A714)</f>
        <v>735000</v>
      </c>
      <c r="E714" s="38" t="n">
        <f aca="false">VLOOKUP(A714,Inputs!$A$40:$B$48,2,TRUE())</f>
        <v>0.0523565</v>
      </c>
      <c r="F714" s="38" t="n">
        <f aca="false">E714+Inputs!$B$10</f>
        <v>0.1198565</v>
      </c>
      <c r="G714" s="37" t="n">
        <f aca="false">D714*F714/C714</f>
        <v>240.695430327869</v>
      </c>
      <c r="H714" s="37" t="n">
        <f aca="false">IF(AND(A714&gt;=Inputs!$B$13,OR(A714&lt;Inputs!$B$19,Inputs!$B$20=1)),D714*Inputs!$B$11/C714,0)</f>
        <v>40.1639344262295</v>
      </c>
      <c r="I714" s="37" t="n">
        <f aca="false">Inputs!$C$9-SUMIFS(Cash_Events!$G$6:$G$20,Cash_Events!$C$6:$C$20,"FHL",Cash_Events!$B$6:$B$20,"&lt;="&amp;A714)</f>
        <v>735000</v>
      </c>
      <c r="J714" s="38" t="n">
        <f aca="false">VLOOKUP(A714,Inputs!$F$40:$G$48,2,TRUE())</f>
        <v>0.0525075</v>
      </c>
      <c r="K714" s="38" t="n">
        <f aca="false">J714+Inputs!$C$10</f>
        <v>0.1200075</v>
      </c>
      <c r="L714" s="37" t="n">
        <f aca="false">I714*K714/C714</f>
        <v>240.998668032787</v>
      </c>
      <c r="M714" s="37" t="n">
        <f aca="false">IF(AND(A714&gt;=Inputs!$C$13,OR(A714&lt;Inputs!$B$19,Inputs!$B$20=1)),I714*Inputs!$C$11/C714,0)</f>
        <v>40.1639344262295</v>
      </c>
    </row>
    <row r="715" customFormat="false" ht="15" hidden="false" customHeight="false" outlineLevel="0" collapsed="false">
      <c r="A715" s="35" t="n">
        <f aca="false">A714+1</f>
        <v>45522</v>
      </c>
      <c r="B715" s="35" t="n">
        <f aca="false">EOMONTH(A715+1,0)</f>
        <v>45535</v>
      </c>
      <c r="C715" s="36" t="n">
        <f aca="false">IF(MOD(YEAR(A715),4)=0,366,365)</f>
        <v>366</v>
      </c>
      <c r="D715" s="37" t="n">
        <f aca="false">Inputs!$B$9-SUMIFS(Cash_Events!$G$6:$G$20,Cash_Events!$C$6:$C$20,"rAGMF",Cash_Events!$B$6:$B$20,"&lt;="&amp;A715)</f>
        <v>735000</v>
      </c>
      <c r="E715" s="38" t="n">
        <f aca="false">VLOOKUP(A715,Inputs!$A$40:$B$48,2,TRUE())</f>
        <v>0.0523565</v>
      </c>
      <c r="F715" s="38" t="n">
        <f aca="false">E715+Inputs!$B$10</f>
        <v>0.1198565</v>
      </c>
      <c r="G715" s="37" t="n">
        <f aca="false">D715*F715/C715</f>
        <v>240.695430327869</v>
      </c>
      <c r="H715" s="37" t="n">
        <f aca="false">IF(AND(A715&gt;=Inputs!$B$13,OR(A715&lt;Inputs!$B$19,Inputs!$B$20=1)),D715*Inputs!$B$11/C715,0)</f>
        <v>40.1639344262295</v>
      </c>
      <c r="I715" s="37" t="n">
        <f aca="false">Inputs!$C$9-SUMIFS(Cash_Events!$G$6:$G$20,Cash_Events!$C$6:$C$20,"FHL",Cash_Events!$B$6:$B$20,"&lt;="&amp;A715)</f>
        <v>735000</v>
      </c>
      <c r="J715" s="38" t="n">
        <f aca="false">VLOOKUP(A715,Inputs!$F$40:$G$48,2,TRUE())</f>
        <v>0.0525075</v>
      </c>
      <c r="K715" s="38" t="n">
        <f aca="false">J715+Inputs!$C$10</f>
        <v>0.1200075</v>
      </c>
      <c r="L715" s="37" t="n">
        <f aca="false">I715*K715/C715</f>
        <v>240.998668032787</v>
      </c>
      <c r="M715" s="37" t="n">
        <f aca="false">IF(AND(A715&gt;=Inputs!$C$13,OR(A715&lt;Inputs!$B$19,Inputs!$B$20=1)),I715*Inputs!$C$11/C715,0)</f>
        <v>40.1639344262295</v>
      </c>
    </row>
    <row r="716" customFormat="false" ht="15" hidden="false" customHeight="false" outlineLevel="0" collapsed="false">
      <c r="A716" s="35" t="n">
        <f aca="false">A715+1</f>
        <v>45523</v>
      </c>
      <c r="B716" s="35" t="n">
        <f aca="false">EOMONTH(A716+1,0)</f>
        <v>45535</v>
      </c>
      <c r="C716" s="36" t="n">
        <f aca="false">IF(MOD(YEAR(A716),4)=0,366,365)</f>
        <v>366</v>
      </c>
      <c r="D716" s="37" t="n">
        <f aca="false">Inputs!$B$9-SUMIFS(Cash_Events!$G$6:$G$20,Cash_Events!$C$6:$C$20,"rAGMF",Cash_Events!$B$6:$B$20,"&lt;="&amp;A716)</f>
        <v>735000</v>
      </c>
      <c r="E716" s="38" t="n">
        <f aca="false">VLOOKUP(A716,Inputs!$A$40:$B$48,2,TRUE())</f>
        <v>0.0523565</v>
      </c>
      <c r="F716" s="38" t="n">
        <f aca="false">E716+Inputs!$B$10</f>
        <v>0.1198565</v>
      </c>
      <c r="G716" s="37" t="n">
        <f aca="false">D716*F716/C716</f>
        <v>240.695430327869</v>
      </c>
      <c r="H716" s="37" t="n">
        <f aca="false">IF(AND(A716&gt;=Inputs!$B$13,OR(A716&lt;Inputs!$B$19,Inputs!$B$20=1)),D716*Inputs!$B$11/C716,0)</f>
        <v>40.1639344262295</v>
      </c>
      <c r="I716" s="37" t="n">
        <f aca="false">Inputs!$C$9-SUMIFS(Cash_Events!$G$6:$G$20,Cash_Events!$C$6:$C$20,"FHL",Cash_Events!$B$6:$B$20,"&lt;="&amp;A716)</f>
        <v>735000</v>
      </c>
      <c r="J716" s="38" t="n">
        <f aca="false">VLOOKUP(A716,Inputs!$F$40:$G$48,2,TRUE())</f>
        <v>0.0525075</v>
      </c>
      <c r="K716" s="38" t="n">
        <f aca="false">J716+Inputs!$C$10</f>
        <v>0.1200075</v>
      </c>
      <c r="L716" s="37" t="n">
        <f aca="false">I716*K716/C716</f>
        <v>240.998668032787</v>
      </c>
      <c r="M716" s="37" t="n">
        <f aca="false">IF(AND(A716&gt;=Inputs!$C$13,OR(A716&lt;Inputs!$B$19,Inputs!$B$20=1)),I716*Inputs!$C$11/C716,0)</f>
        <v>40.1639344262295</v>
      </c>
    </row>
    <row r="717" customFormat="false" ht="15" hidden="false" customHeight="false" outlineLevel="0" collapsed="false">
      <c r="A717" s="35" t="n">
        <f aca="false">A716+1</f>
        <v>45524</v>
      </c>
      <c r="B717" s="35" t="n">
        <f aca="false">EOMONTH(A717+1,0)</f>
        <v>45535</v>
      </c>
      <c r="C717" s="36" t="n">
        <f aca="false">IF(MOD(YEAR(A717),4)=0,366,365)</f>
        <v>366</v>
      </c>
      <c r="D717" s="37" t="n">
        <f aca="false">Inputs!$B$9-SUMIFS(Cash_Events!$G$6:$G$20,Cash_Events!$C$6:$C$20,"rAGMF",Cash_Events!$B$6:$B$20,"&lt;="&amp;A717)</f>
        <v>735000</v>
      </c>
      <c r="E717" s="38" t="n">
        <f aca="false">VLOOKUP(A717,Inputs!$A$40:$B$48,2,TRUE())</f>
        <v>0.0523565</v>
      </c>
      <c r="F717" s="38" t="n">
        <f aca="false">E717+Inputs!$B$10</f>
        <v>0.1198565</v>
      </c>
      <c r="G717" s="37" t="n">
        <f aca="false">D717*F717/C717</f>
        <v>240.695430327869</v>
      </c>
      <c r="H717" s="37" t="n">
        <f aca="false">IF(AND(A717&gt;=Inputs!$B$13,OR(A717&lt;Inputs!$B$19,Inputs!$B$20=1)),D717*Inputs!$B$11/C717,0)</f>
        <v>40.1639344262295</v>
      </c>
      <c r="I717" s="37" t="n">
        <f aca="false">Inputs!$C$9-SUMIFS(Cash_Events!$G$6:$G$20,Cash_Events!$C$6:$C$20,"FHL",Cash_Events!$B$6:$B$20,"&lt;="&amp;A717)</f>
        <v>735000</v>
      </c>
      <c r="J717" s="38" t="n">
        <f aca="false">VLOOKUP(A717,Inputs!$F$40:$G$48,2,TRUE())</f>
        <v>0.0525075</v>
      </c>
      <c r="K717" s="38" t="n">
        <f aca="false">J717+Inputs!$C$10</f>
        <v>0.1200075</v>
      </c>
      <c r="L717" s="37" t="n">
        <f aca="false">I717*K717/C717</f>
        <v>240.998668032787</v>
      </c>
      <c r="M717" s="37" t="n">
        <f aca="false">IF(AND(A717&gt;=Inputs!$C$13,OR(A717&lt;Inputs!$B$19,Inputs!$B$20=1)),I717*Inputs!$C$11/C717,0)</f>
        <v>40.1639344262295</v>
      </c>
    </row>
    <row r="718" customFormat="false" ht="15" hidden="false" customHeight="false" outlineLevel="0" collapsed="false">
      <c r="A718" s="35" t="n">
        <f aca="false">A717+1</f>
        <v>45525</v>
      </c>
      <c r="B718" s="35" t="n">
        <f aca="false">EOMONTH(A718+1,0)</f>
        <v>45535</v>
      </c>
      <c r="C718" s="36" t="n">
        <f aca="false">IF(MOD(YEAR(A718),4)=0,366,365)</f>
        <v>366</v>
      </c>
      <c r="D718" s="37" t="n">
        <f aca="false">Inputs!$B$9-SUMIFS(Cash_Events!$G$6:$G$20,Cash_Events!$C$6:$C$20,"rAGMF",Cash_Events!$B$6:$B$20,"&lt;="&amp;A718)</f>
        <v>735000</v>
      </c>
      <c r="E718" s="38" t="n">
        <f aca="false">VLOOKUP(A718,Inputs!$A$40:$B$48,2,TRUE())</f>
        <v>0.0523565</v>
      </c>
      <c r="F718" s="38" t="n">
        <f aca="false">E718+Inputs!$B$10</f>
        <v>0.1198565</v>
      </c>
      <c r="G718" s="37" t="n">
        <f aca="false">D718*F718/C718</f>
        <v>240.695430327869</v>
      </c>
      <c r="H718" s="37" t="n">
        <f aca="false">IF(AND(A718&gt;=Inputs!$B$13,OR(A718&lt;Inputs!$B$19,Inputs!$B$20=1)),D718*Inputs!$B$11/C718,0)</f>
        <v>40.1639344262295</v>
      </c>
      <c r="I718" s="37" t="n">
        <f aca="false">Inputs!$C$9-SUMIFS(Cash_Events!$G$6:$G$20,Cash_Events!$C$6:$C$20,"FHL",Cash_Events!$B$6:$B$20,"&lt;="&amp;A718)</f>
        <v>735000</v>
      </c>
      <c r="J718" s="38" t="n">
        <f aca="false">VLOOKUP(A718,Inputs!$F$40:$G$48,2,TRUE())</f>
        <v>0.0525075</v>
      </c>
      <c r="K718" s="38" t="n">
        <f aca="false">J718+Inputs!$C$10</f>
        <v>0.1200075</v>
      </c>
      <c r="L718" s="37" t="n">
        <f aca="false">I718*K718/C718</f>
        <v>240.998668032787</v>
      </c>
      <c r="M718" s="37" t="n">
        <f aca="false">IF(AND(A718&gt;=Inputs!$C$13,OR(A718&lt;Inputs!$B$19,Inputs!$B$20=1)),I718*Inputs!$C$11/C718,0)</f>
        <v>40.1639344262295</v>
      </c>
    </row>
    <row r="719" customFormat="false" ht="15" hidden="false" customHeight="false" outlineLevel="0" collapsed="false">
      <c r="A719" s="35" t="n">
        <f aca="false">A718+1</f>
        <v>45526</v>
      </c>
      <c r="B719" s="35" t="n">
        <f aca="false">EOMONTH(A719+1,0)</f>
        <v>45535</v>
      </c>
      <c r="C719" s="36" t="n">
        <f aca="false">IF(MOD(YEAR(A719),4)=0,366,365)</f>
        <v>366</v>
      </c>
      <c r="D719" s="37" t="n">
        <f aca="false">Inputs!$B$9-SUMIFS(Cash_Events!$G$6:$G$20,Cash_Events!$C$6:$C$20,"rAGMF",Cash_Events!$B$6:$B$20,"&lt;="&amp;A719)</f>
        <v>735000</v>
      </c>
      <c r="E719" s="38" t="n">
        <f aca="false">VLOOKUP(A719,Inputs!$A$40:$B$48,2,TRUE())</f>
        <v>0.0523565</v>
      </c>
      <c r="F719" s="38" t="n">
        <f aca="false">E719+Inputs!$B$10</f>
        <v>0.1198565</v>
      </c>
      <c r="G719" s="37" t="n">
        <f aca="false">D719*F719/C719</f>
        <v>240.695430327869</v>
      </c>
      <c r="H719" s="37" t="n">
        <f aca="false">IF(AND(A719&gt;=Inputs!$B$13,OR(A719&lt;Inputs!$B$19,Inputs!$B$20=1)),D719*Inputs!$B$11/C719,0)</f>
        <v>40.1639344262295</v>
      </c>
      <c r="I719" s="37" t="n">
        <f aca="false">Inputs!$C$9-SUMIFS(Cash_Events!$G$6:$G$20,Cash_Events!$C$6:$C$20,"FHL",Cash_Events!$B$6:$B$20,"&lt;="&amp;A719)</f>
        <v>735000</v>
      </c>
      <c r="J719" s="38" t="n">
        <f aca="false">VLOOKUP(A719,Inputs!$F$40:$G$48,2,TRUE())</f>
        <v>0.0525075</v>
      </c>
      <c r="K719" s="38" t="n">
        <f aca="false">J719+Inputs!$C$10</f>
        <v>0.1200075</v>
      </c>
      <c r="L719" s="37" t="n">
        <f aca="false">I719*K719/C719</f>
        <v>240.998668032787</v>
      </c>
      <c r="M719" s="37" t="n">
        <f aca="false">IF(AND(A719&gt;=Inputs!$C$13,OR(A719&lt;Inputs!$B$19,Inputs!$B$20=1)),I719*Inputs!$C$11/C719,0)</f>
        <v>40.1639344262295</v>
      </c>
    </row>
    <row r="720" customFormat="false" ht="15" hidden="false" customHeight="false" outlineLevel="0" collapsed="false">
      <c r="A720" s="35" t="n">
        <f aca="false">A719+1</f>
        <v>45527</v>
      </c>
      <c r="B720" s="35" t="n">
        <f aca="false">EOMONTH(A720+1,0)</f>
        <v>45535</v>
      </c>
      <c r="C720" s="36" t="n">
        <f aca="false">IF(MOD(YEAR(A720),4)=0,366,365)</f>
        <v>366</v>
      </c>
      <c r="D720" s="37" t="n">
        <f aca="false">Inputs!$B$9-SUMIFS(Cash_Events!$G$6:$G$20,Cash_Events!$C$6:$C$20,"rAGMF",Cash_Events!$B$6:$B$20,"&lt;="&amp;A720)</f>
        <v>735000</v>
      </c>
      <c r="E720" s="38" t="n">
        <f aca="false">VLOOKUP(A720,Inputs!$A$40:$B$48,2,TRUE())</f>
        <v>0.0523565</v>
      </c>
      <c r="F720" s="38" t="n">
        <f aca="false">E720+Inputs!$B$10</f>
        <v>0.1198565</v>
      </c>
      <c r="G720" s="37" t="n">
        <f aca="false">D720*F720/C720</f>
        <v>240.695430327869</v>
      </c>
      <c r="H720" s="37" t="n">
        <f aca="false">IF(AND(A720&gt;=Inputs!$B$13,OR(A720&lt;Inputs!$B$19,Inputs!$B$20=1)),D720*Inputs!$B$11/C720,0)</f>
        <v>40.1639344262295</v>
      </c>
      <c r="I720" s="37" t="n">
        <f aca="false">Inputs!$C$9-SUMIFS(Cash_Events!$G$6:$G$20,Cash_Events!$C$6:$C$20,"FHL",Cash_Events!$B$6:$B$20,"&lt;="&amp;A720)</f>
        <v>735000</v>
      </c>
      <c r="J720" s="38" t="n">
        <f aca="false">VLOOKUP(A720,Inputs!$F$40:$G$48,2,TRUE())</f>
        <v>0.0525075</v>
      </c>
      <c r="K720" s="38" t="n">
        <f aca="false">J720+Inputs!$C$10</f>
        <v>0.1200075</v>
      </c>
      <c r="L720" s="37" t="n">
        <f aca="false">I720*K720/C720</f>
        <v>240.998668032787</v>
      </c>
      <c r="M720" s="37" t="n">
        <f aca="false">IF(AND(A720&gt;=Inputs!$C$13,OR(A720&lt;Inputs!$B$19,Inputs!$B$20=1)),I720*Inputs!$C$11/C720,0)</f>
        <v>40.1639344262295</v>
      </c>
    </row>
    <row r="721" customFormat="false" ht="15" hidden="false" customHeight="false" outlineLevel="0" collapsed="false">
      <c r="A721" s="35" t="n">
        <f aca="false">A720+1</f>
        <v>45528</v>
      </c>
      <c r="B721" s="35" t="n">
        <f aca="false">EOMONTH(A721+1,0)</f>
        <v>45535</v>
      </c>
      <c r="C721" s="36" t="n">
        <f aca="false">IF(MOD(YEAR(A721),4)=0,366,365)</f>
        <v>366</v>
      </c>
      <c r="D721" s="37" t="n">
        <f aca="false">Inputs!$B$9-SUMIFS(Cash_Events!$G$6:$G$20,Cash_Events!$C$6:$C$20,"rAGMF",Cash_Events!$B$6:$B$20,"&lt;="&amp;A721)</f>
        <v>735000</v>
      </c>
      <c r="E721" s="38" t="n">
        <f aca="false">VLOOKUP(A721,Inputs!$A$40:$B$48,2,TRUE())</f>
        <v>0.0523565</v>
      </c>
      <c r="F721" s="38" t="n">
        <f aca="false">E721+Inputs!$B$10</f>
        <v>0.1198565</v>
      </c>
      <c r="G721" s="37" t="n">
        <f aca="false">D721*F721/C721</f>
        <v>240.695430327869</v>
      </c>
      <c r="H721" s="37" t="n">
        <f aca="false">IF(AND(A721&gt;=Inputs!$B$13,OR(A721&lt;Inputs!$B$19,Inputs!$B$20=1)),D721*Inputs!$B$11/C721,0)</f>
        <v>40.1639344262295</v>
      </c>
      <c r="I721" s="37" t="n">
        <f aca="false">Inputs!$C$9-SUMIFS(Cash_Events!$G$6:$G$20,Cash_Events!$C$6:$C$20,"FHL",Cash_Events!$B$6:$B$20,"&lt;="&amp;A721)</f>
        <v>735000</v>
      </c>
      <c r="J721" s="38" t="n">
        <f aca="false">VLOOKUP(A721,Inputs!$F$40:$G$48,2,TRUE())</f>
        <v>0.0525075</v>
      </c>
      <c r="K721" s="38" t="n">
        <f aca="false">J721+Inputs!$C$10</f>
        <v>0.1200075</v>
      </c>
      <c r="L721" s="37" t="n">
        <f aca="false">I721*K721/C721</f>
        <v>240.998668032787</v>
      </c>
      <c r="M721" s="37" t="n">
        <f aca="false">IF(AND(A721&gt;=Inputs!$C$13,OR(A721&lt;Inputs!$B$19,Inputs!$B$20=1)),I721*Inputs!$C$11/C721,0)</f>
        <v>40.1639344262295</v>
      </c>
    </row>
    <row r="722" customFormat="false" ht="15" hidden="false" customHeight="false" outlineLevel="0" collapsed="false">
      <c r="A722" s="35" t="n">
        <f aca="false">A721+1</f>
        <v>45529</v>
      </c>
      <c r="B722" s="35" t="n">
        <f aca="false">EOMONTH(A722+1,0)</f>
        <v>45535</v>
      </c>
      <c r="C722" s="36" t="n">
        <f aca="false">IF(MOD(YEAR(A722),4)=0,366,365)</f>
        <v>366</v>
      </c>
      <c r="D722" s="37" t="n">
        <f aca="false">Inputs!$B$9-SUMIFS(Cash_Events!$G$6:$G$20,Cash_Events!$C$6:$C$20,"rAGMF",Cash_Events!$B$6:$B$20,"&lt;="&amp;A722)</f>
        <v>735000</v>
      </c>
      <c r="E722" s="38" t="n">
        <f aca="false">VLOOKUP(A722,Inputs!$A$40:$B$48,2,TRUE())</f>
        <v>0.0523565</v>
      </c>
      <c r="F722" s="38" t="n">
        <f aca="false">E722+Inputs!$B$10</f>
        <v>0.1198565</v>
      </c>
      <c r="G722" s="37" t="n">
        <f aca="false">D722*F722/C722</f>
        <v>240.695430327869</v>
      </c>
      <c r="H722" s="37" t="n">
        <f aca="false">IF(AND(A722&gt;=Inputs!$B$13,OR(A722&lt;Inputs!$B$19,Inputs!$B$20=1)),D722*Inputs!$B$11/C722,0)</f>
        <v>40.1639344262295</v>
      </c>
      <c r="I722" s="37" t="n">
        <f aca="false">Inputs!$C$9-SUMIFS(Cash_Events!$G$6:$G$20,Cash_Events!$C$6:$C$20,"FHL",Cash_Events!$B$6:$B$20,"&lt;="&amp;A722)</f>
        <v>735000</v>
      </c>
      <c r="J722" s="38" t="n">
        <f aca="false">VLOOKUP(A722,Inputs!$F$40:$G$48,2,TRUE())</f>
        <v>0.0525075</v>
      </c>
      <c r="K722" s="38" t="n">
        <f aca="false">J722+Inputs!$C$10</f>
        <v>0.1200075</v>
      </c>
      <c r="L722" s="37" t="n">
        <f aca="false">I722*K722/C722</f>
        <v>240.998668032787</v>
      </c>
      <c r="M722" s="37" t="n">
        <f aca="false">IF(AND(A722&gt;=Inputs!$C$13,OR(A722&lt;Inputs!$B$19,Inputs!$B$20=1)),I722*Inputs!$C$11/C722,0)</f>
        <v>40.1639344262295</v>
      </c>
    </row>
    <row r="723" customFormat="false" ht="15" hidden="false" customHeight="false" outlineLevel="0" collapsed="false">
      <c r="A723" s="35" t="n">
        <f aca="false">A722+1</f>
        <v>45530</v>
      </c>
      <c r="B723" s="35" t="n">
        <f aca="false">EOMONTH(A723+1,0)</f>
        <v>45535</v>
      </c>
      <c r="C723" s="36" t="n">
        <f aca="false">IF(MOD(YEAR(A723),4)=0,366,365)</f>
        <v>366</v>
      </c>
      <c r="D723" s="37" t="n">
        <f aca="false">Inputs!$B$9-SUMIFS(Cash_Events!$G$6:$G$20,Cash_Events!$C$6:$C$20,"rAGMF",Cash_Events!$B$6:$B$20,"&lt;="&amp;A723)</f>
        <v>735000</v>
      </c>
      <c r="E723" s="38" t="n">
        <f aca="false">VLOOKUP(A723,Inputs!$A$40:$B$48,2,TRUE())</f>
        <v>0.0523565</v>
      </c>
      <c r="F723" s="38" t="n">
        <f aca="false">E723+Inputs!$B$10</f>
        <v>0.1198565</v>
      </c>
      <c r="G723" s="37" t="n">
        <f aca="false">D723*F723/C723</f>
        <v>240.695430327869</v>
      </c>
      <c r="H723" s="37" t="n">
        <f aca="false">IF(AND(A723&gt;=Inputs!$B$13,OR(A723&lt;Inputs!$B$19,Inputs!$B$20=1)),D723*Inputs!$B$11/C723,0)</f>
        <v>40.1639344262295</v>
      </c>
      <c r="I723" s="37" t="n">
        <f aca="false">Inputs!$C$9-SUMIFS(Cash_Events!$G$6:$G$20,Cash_Events!$C$6:$C$20,"FHL",Cash_Events!$B$6:$B$20,"&lt;="&amp;A723)</f>
        <v>735000</v>
      </c>
      <c r="J723" s="38" t="n">
        <f aca="false">VLOOKUP(A723,Inputs!$F$40:$G$48,2,TRUE())</f>
        <v>0.0525075</v>
      </c>
      <c r="K723" s="38" t="n">
        <f aca="false">J723+Inputs!$C$10</f>
        <v>0.1200075</v>
      </c>
      <c r="L723" s="37" t="n">
        <f aca="false">I723*K723/C723</f>
        <v>240.998668032787</v>
      </c>
      <c r="M723" s="37" t="n">
        <f aca="false">IF(AND(A723&gt;=Inputs!$C$13,OR(A723&lt;Inputs!$B$19,Inputs!$B$20=1)),I723*Inputs!$C$11/C723,0)</f>
        <v>40.1639344262295</v>
      </c>
    </row>
    <row r="724" customFormat="false" ht="15" hidden="false" customHeight="false" outlineLevel="0" collapsed="false">
      <c r="A724" s="35" t="n">
        <f aca="false">A723+1</f>
        <v>45531</v>
      </c>
      <c r="B724" s="35" t="n">
        <f aca="false">EOMONTH(A724+1,0)</f>
        <v>45535</v>
      </c>
      <c r="C724" s="36" t="n">
        <f aca="false">IF(MOD(YEAR(A724),4)=0,366,365)</f>
        <v>366</v>
      </c>
      <c r="D724" s="37" t="n">
        <f aca="false">Inputs!$B$9-SUMIFS(Cash_Events!$G$6:$G$20,Cash_Events!$C$6:$C$20,"rAGMF",Cash_Events!$B$6:$B$20,"&lt;="&amp;A724)</f>
        <v>735000</v>
      </c>
      <c r="E724" s="38" t="n">
        <f aca="false">VLOOKUP(A724,Inputs!$A$40:$B$48,2,TRUE())</f>
        <v>0.0523565</v>
      </c>
      <c r="F724" s="38" t="n">
        <f aca="false">E724+Inputs!$B$10</f>
        <v>0.1198565</v>
      </c>
      <c r="G724" s="37" t="n">
        <f aca="false">D724*F724/C724</f>
        <v>240.695430327869</v>
      </c>
      <c r="H724" s="37" t="n">
        <f aca="false">IF(AND(A724&gt;=Inputs!$B$13,OR(A724&lt;Inputs!$B$19,Inputs!$B$20=1)),D724*Inputs!$B$11/C724,0)</f>
        <v>40.1639344262295</v>
      </c>
      <c r="I724" s="37" t="n">
        <f aca="false">Inputs!$C$9-SUMIFS(Cash_Events!$G$6:$G$20,Cash_Events!$C$6:$C$20,"FHL",Cash_Events!$B$6:$B$20,"&lt;="&amp;A724)</f>
        <v>735000</v>
      </c>
      <c r="J724" s="38" t="n">
        <f aca="false">VLOOKUP(A724,Inputs!$F$40:$G$48,2,TRUE())</f>
        <v>0.0525075</v>
      </c>
      <c r="K724" s="38" t="n">
        <f aca="false">J724+Inputs!$C$10</f>
        <v>0.1200075</v>
      </c>
      <c r="L724" s="37" t="n">
        <f aca="false">I724*K724/C724</f>
        <v>240.998668032787</v>
      </c>
      <c r="M724" s="37" t="n">
        <f aca="false">IF(AND(A724&gt;=Inputs!$C$13,OR(A724&lt;Inputs!$B$19,Inputs!$B$20=1)),I724*Inputs!$C$11/C724,0)</f>
        <v>40.1639344262295</v>
      </c>
    </row>
    <row r="725" customFormat="false" ht="15" hidden="false" customHeight="false" outlineLevel="0" collapsed="false">
      <c r="A725" s="35" t="n">
        <f aca="false">A724+1</f>
        <v>45532</v>
      </c>
      <c r="B725" s="35" t="n">
        <f aca="false">EOMONTH(A725+1,0)</f>
        <v>45535</v>
      </c>
      <c r="C725" s="36" t="n">
        <f aca="false">IF(MOD(YEAR(A725),4)=0,366,365)</f>
        <v>366</v>
      </c>
      <c r="D725" s="37" t="n">
        <f aca="false">Inputs!$B$9-SUMIFS(Cash_Events!$G$6:$G$20,Cash_Events!$C$6:$C$20,"rAGMF",Cash_Events!$B$6:$B$20,"&lt;="&amp;A725)</f>
        <v>735000</v>
      </c>
      <c r="E725" s="38" t="n">
        <f aca="false">VLOOKUP(A725,Inputs!$A$40:$B$48,2,TRUE())</f>
        <v>0.0523565</v>
      </c>
      <c r="F725" s="38" t="n">
        <f aca="false">E725+Inputs!$B$10</f>
        <v>0.1198565</v>
      </c>
      <c r="G725" s="37" t="n">
        <f aca="false">D725*F725/C725</f>
        <v>240.695430327869</v>
      </c>
      <c r="H725" s="37" t="n">
        <f aca="false">IF(AND(A725&gt;=Inputs!$B$13,OR(A725&lt;Inputs!$B$19,Inputs!$B$20=1)),D725*Inputs!$B$11/C725,0)</f>
        <v>40.1639344262295</v>
      </c>
      <c r="I725" s="37" t="n">
        <f aca="false">Inputs!$C$9-SUMIFS(Cash_Events!$G$6:$G$20,Cash_Events!$C$6:$C$20,"FHL",Cash_Events!$B$6:$B$20,"&lt;="&amp;A725)</f>
        <v>735000</v>
      </c>
      <c r="J725" s="38" t="n">
        <f aca="false">VLOOKUP(A725,Inputs!$F$40:$G$48,2,TRUE())</f>
        <v>0.0525075</v>
      </c>
      <c r="K725" s="38" t="n">
        <f aca="false">J725+Inputs!$C$10</f>
        <v>0.1200075</v>
      </c>
      <c r="L725" s="37" t="n">
        <f aca="false">I725*K725/C725</f>
        <v>240.998668032787</v>
      </c>
      <c r="M725" s="37" t="n">
        <f aca="false">IF(AND(A725&gt;=Inputs!$C$13,OR(A725&lt;Inputs!$B$19,Inputs!$B$20=1)),I725*Inputs!$C$11/C725,0)</f>
        <v>40.1639344262295</v>
      </c>
    </row>
    <row r="726" customFormat="false" ht="15" hidden="false" customHeight="false" outlineLevel="0" collapsed="false">
      <c r="A726" s="35" t="n">
        <f aca="false">A725+1</f>
        <v>45533</v>
      </c>
      <c r="B726" s="35" t="n">
        <f aca="false">EOMONTH(A726+1,0)</f>
        <v>45535</v>
      </c>
      <c r="C726" s="36" t="n">
        <f aca="false">IF(MOD(YEAR(A726),4)=0,366,365)</f>
        <v>366</v>
      </c>
      <c r="D726" s="37" t="n">
        <f aca="false">Inputs!$B$9-SUMIFS(Cash_Events!$G$6:$G$20,Cash_Events!$C$6:$C$20,"rAGMF",Cash_Events!$B$6:$B$20,"&lt;="&amp;A726)</f>
        <v>735000</v>
      </c>
      <c r="E726" s="38" t="n">
        <f aca="false">VLOOKUP(A726,Inputs!$A$40:$B$48,2,TRUE())</f>
        <v>0.0523565</v>
      </c>
      <c r="F726" s="38" t="n">
        <f aca="false">E726+Inputs!$B$10</f>
        <v>0.1198565</v>
      </c>
      <c r="G726" s="37" t="n">
        <f aca="false">D726*F726/C726</f>
        <v>240.695430327869</v>
      </c>
      <c r="H726" s="37" t="n">
        <f aca="false">IF(AND(A726&gt;=Inputs!$B$13,OR(A726&lt;Inputs!$B$19,Inputs!$B$20=1)),D726*Inputs!$B$11/C726,0)</f>
        <v>40.1639344262295</v>
      </c>
      <c r="I726" s="37" t="n">
        <f aca="false">Inputs!$C$9-SUMIFS(Cash_Events!$G$6:$G$20,Cash_Events!$C$6:$C$20,"FHL",Cash_Events!$B$6:$B$20,"&lt;="&amp;A726)</f>
        <v>735000</v>
      </c>
      <c r="J726" s="38" t="n">
        <f aca="false">VLOOKUP(A726,Inputs!$F$40:$G$48,2,TRUE())</f>
        <v>0.0525075</v>
      </c>
      <c r="K726" s="38" t="n">
        <f aca="false">J726+Inputs!$C$10</f>
        <v>0.1200075</v>
      </c>
      <c r="L726" s="37" t="n">
        <f aca="false">I726*K726/C726</f>
        <v>240.998668032787</v>
      </c>
      <c r="M726" s="37" t="n">
        <f aca="false">IF(AND(A726&gt;=Inputs!$C$13,OR(A726&lt;Inputs!$B$19,Inputs!$B$20=1)),I726*Inputs!$C$11/C726,0)</f>
        <v>40.1639344262295</v>
      </c>
    </row>
    <row r="727" customFormat="false" ht="15" hidden="false" customHeight="false" outlineLevel="0" collapsed="false">
      <c r="A727" s="35" t="n">
        <f aca="false">A726+1</f>
        <v>45534</v>
      </c>
      <c r="B727" s="35" t="n">
        <f aca="false">EOMONTH(A727+1,0)</f>
        <v>45535</v>
      </c>
      <c r="C727" s="36" t="n">
        <f aca="false">IF(MOD(YEAR(A727),4)=0,366,365)</f>
        <v>366</v>
      </c>
      <c r="D727" s="37" t="n">
        <f aca="false">Inputs!$B$9-SUMIFS(Cash_Events!$G$6:$G$20,Cash_Events!$C$6:$C$20,"rAGMF",Cash_Events!$B$6:$B$20,"&lt;="&amp;A727)</f>
        <v>735000</v>
      </c>
      <c r="E727" s="38" t="n">
        <f aca="false">VLOOKUP(A727,Inputs!$A$40:$B$48,2,TRUE())</f>
        <v>0.0523565</v>
      </c>
      <c r="F727" s="38" t="n">
        <f aca="false">E727+Inputs!$B$10</f>
        <v>0.1198565</v>
      </c>
      <c r="G727" s="37" t="n">
        <f aca="false">D727*F727/C727</f>
        <v>240.695430327869</v>
      </c>
      <c r="H727" s="37" t="n">
        <f aca="false">IF(AND(A727&gt;=Inputs!$B$13,OR(A727&lt;Inputs!$B$19,Inputs!$B$20=1)),D727*Inputs!$B$11/C727,0)</f>
        <v>40.1639344262295</v>
      </c>
      <c r="I727" s="37" t="n">
        <f aca="false">Inputs!$C$9-SUMIFS(Cash_Events!$G$6:$G$20,Cash_Events!$C$6:$C$20,"FHL",Cash_Events!$B$6:$B$20,"&lt;="&amp;A727)</f>
        <v>735000</v>
      </c>
      <c r="J727" s="38" t="n">
        <f aca="false">VLOOKUP(A727,Inputs!$F$40:$G$48,2,TRUE())</f>
        <v>0.0525075</v>
      </c>
      <c r="K727" s="38" t="n">
        <f aca="false">J727+Inputs!$C$10</f>
        <v>0.1200075</v>
      </c>
      <c r="L727" s="37" t="n">
        <f aca="false">I727*K727/C727</f>
        <v>240.998668032787</v>
      </c>
      <c r="M727" s="37" t="n">
        <f aca="false">IF(AND(A727&gt;=Inputs!$C$13,OR(A727&lt;Inputs!$B$19,Inputs!$B$20=1)),I727*Inputs!$C$11/C727,0)</f>
        <v>40.1639344262295</v>
      </c>
    </row>
    <row r="728" customFormat="false" ht="15" hidden="false" customHeight="false" outlineLevel="0" collapsed="false">
      <c r="A728" s="35" t="n">
        <f aca="false">A727+1</f>
        <v>45535</v>
      </c>
      <c r="B728" s="35" t="n">
        <f aca="false">EOMONTH(A728+1,0)</f>
        <v>45565</v>
      </c>
      <c r="C728" s="36" t="n">
        <f aca="false">IF(MOD(YEAR(A728),4)=0,366,365)</f>
        <v>366</v>
      </c>
      <c r="D728" s="37" t="n">
        <f aca="false">Inputs!$B$9-SUMIFS(Cash_Events!$G$6:$G$20,Cash_Events!$C$6:$C$20,"rAGMF",Cash_Events!$B$6:$B$20,"&lt;="&amp;A728)</f>
        <v>735000</v>
      </c>
      <c r="E728" s="38" t="n">
        <f aca="false">VLOOKUP(A728,Inputs!$A$40:$B$48,2,TRUE())</f>
        <v>0.0523565</v>
      </c>
      <c r="F728" s="38" t="n">
        <f aca="false">E728+Inputs!$B$10</f>
        <v>0.1198565</v>
      </c>
      <c r="G728" s="37" t="n">
        <f aca="false">D728*F728/C728</f>
        <v>240.695430327869</v>
      </c>
      <c r="H728" s="37" t="n">
        <f aca="false">IF(AND(A728&gt;=Inputs!$B$13,OR(A728&lt;Inputs!$B$19,Inputs!$B$20=1)),D728*Inputs!$B$11/C728,0)</f>
        <v>40.1639344262295</v>
      </c>
      <c r="I728" s="37" t="n">
        <f aca="false">Inputs!$C$9-SUMIFS(Cash_Events!$G$6:$G$20,Cash_Events!$C$6:$C$20,"FHL",Cash_Events!$B$6:$B$20,"&lt;="&amp;A728)</f>
        <v>735000</v>
      </c>
      <c r="J728" s="38" t="n">
        <f aca="false">VLOOKUP(A728,Inputs!$F$40:$G$48,2,TRUE())</f>
        <v>0.0525075</v>
      </c>
      <c r="K728" s="38" t="n">
        <f aca="false">J728+Inputs!$C$10</f>
        <v>0.1200075</v>
      </c>
      <c r="L728" s="37" t="n">
        <f aca="false">I728*K728/C728</f>
        <v>240.998668032787</v>
      </c>
      <c r="M728" s="37" t="n">
        <f aca="false">IF(AND(A728&gt;=Inputs!$C$13,OR(A728&lt;Inputs!$B$19,Inputs!$B$20=1)),I728*Inputs!$C$11/C728,0)</f>
        <v>40.1639344262295</v>
      </c>
    </row>
    <row r="729" customFormat="false" ht="15" hidden="false" customHeight="false" outlineLevel="0" collapsed="false">
      <c r="A729" s="35" t="n">
        <f aca="false">A728+1</f>
        <v>45536</v>
      </c>
      <c r="B729" s="35" t="n">
        <f aca="false">EOMONTH(A729+1,0)</f>
        <v>45565</v>
      </c>
      <c r="C729" s="36" t="n">
        <f aca="false">IF(MOD(YEAR(A729),4)=0,366,365)</f>
        <v>366</v>
      </c>
      <c r="D729" s="37" t="n">
        <f aca="false">Inputs!$B$9-SUMIFS(Cash_Events!$G$6:$G$20,Cash_Events!$C$6:$C$20,"rAGMF",Cash_Events!$B$6:$B$20,"&lt;="&amp;A729)</f>
        <v>735000</v>
      </c>
      <c r="E729" s="38" t="n">
        <f aca="false">VLOOKUP(A729,Inputs!$A$40:$B$48,2,TRUE())</f>
        <v>0.0523565</v>
      </c>
      <c r="F729" s="38" t="n">
        <f aca="false">E729+Inputs!$B$10</f>
        <v>0.1198565</v>
      </c>
      <c r="G729" s="37" t="n">
        <f aca="false">D729*F729/C729</f>
        <v>240.695430327869</v>
      </c>
      <c r="H729" s="37" t="n">
        <f aca="false">IF(AND(A729&gt;=Inputs!$B$13,OR(A729&lt;Inputs!$B$19,Inputs!$B$20=1)),D729*Inputs!$B$11/C729,0)</f>
        <v>40.1639344262295</v>
      </c>
      <c r="I729" s="37" t="n">
        <f aca="false">Inputs!$C$9-SUMIFS(Cash_Events!$G$6:$G$20,Cash_Events!$C$6:$C$20,"FHL",Cash_Events!$B$6:$B$20,"&lt;="&amp;A729)</f>
        <v>735000</v>
      </c>
      <c r="J729" s="38" t="n">
        <f aca="false">VLOOKUP(A729,Inputs!$F$40:$G$48,2,TRUE())</f>
        <v>0.0525075</v>
      </c>
      <c r="K729" s="38" t="n">
        <f aca="false">J729+Inputs!$C$10</f>
        <v>0.1200075</v>
      </c>
      <c r="L729" s="37" t="n">
        <f aca="false">I729*K729/C729</f>
        <v>240.998668032787</v>
      </c>
      <c r="M729" s="37" t="n">
        <f aca="false">IF(AND(A729&gt;=Inputs!$C$13,OR(A729&lt;Inputs!$B$19,Inputs!$B$20=1)),I729*Inputs!$C$11/C729,0)</f>
        <v>40.1639344262295</v>
      </c>
    </row>
    <row r="730" customFormat="false" ht="15" hidden="false" customHeight="false" outlineLevel="0" collapsed="false">
      <c r="A730" s="35" t="n">
        <f aca="false">A729+1</f>
        <v>45537</v>
      </c>
      <c r="B730" s="35" t="n">
        <f aca="false">EOMONTH(A730+1,0)</f>
        <v>45565</v>
      </c>
      <c r="C730" s="36" t="n">
        <f aca="false">IF(MOD(YEAR(A730),4)=0,366,365)</f>
        <v>366</v>
      </c>
      <c r="D730" s="37" t="n">
        <f aca="false">Inputs!$B$9-SUMIFS(Cash_Events!$G$6:$G$20,Cash_Events!$C$6:$C$20,"rAGMF",Cash_Events!$B$6:$B$20,"&lt;="&amp;A730)</f>
        <v>735000</v>
      </c>
      <c r="E730" s="38" t="n">
        <f aca="false">VLOOKUP(A730,Inputs!$A$40:$B$48,2,TRUE())</f>
        <v>0.0523565</v>
      </c>
      <c r="F730" s="38" t="n">
        <f aca="false">E730+Inputs!$B$10</f>
        <v>0.1198565</v>
      </c>
      <c r="G730" s="37" t="n">
        <f aca="false">D730*F730/C730</f>
        <v>240.695430327869</v>
      </c>
      <c r="H730" s="37" t="n">
        <f aca="false">IF(AND(A730&gt;=Inputs!$B$13,OR(A730&lt;Inputs!$B$19,Inputs!$B$20=1)),D730*Inputs!$B$11/C730,0)</f>
        <v>40.1639344262295</v>
      </c>
      <c r="I730" s="37" t="n">
        <f aca="false">Inputs!$C$9-SUMIFS(Cash_Events!$G$6:$G$20,Cash_Events!$C$6:$C$20,"FHL",Cash_Events!$B$6:$B$20,"&lt;="&amp;A730)</f>
        <v>735000</v>
      </c>
      <c r="J730" s="38" t="n">
        <f aca="false">VLOOKUP(A730,Inputs!$F$40:$G$48,2,TRUE())</f>
        <v>0.0525075</v>
      </c>
      <c r="K730" s="38" t="n">
        <f aca="false">J730+Inputs!$C$10</f>
        <v>0.1200075</v>
      </c>
      <c r="L730" s="37" t="n">
        <f aca="false">I730*K730/C730</f>
        <v>240.998668032787</v>
      </c>
      <c r="M730" s="37" t="n">
        <f aca="false">IF(AND(A730&gt;=Inputs!$C$13,OR(A730&lt;Inputs!$B$19,Inputs!$B$20=1)),I730*Inputs!$C$11/C730,0)</f>
        <v>40.1639344262295</v>
      </c>
    </row>
    <row r="731" customFormat="false" ht="15" hidden="false" customHeight="false" outlineLevel="0" collapsed="false">
      <c r="A731" s="35" t="n">
        <f aca="false">A730+1</f>
        <v>45538</v>
      </c>
      <c r="B731" s="35" t="n">
        <f aca="false">EOMONTH(A731+1,0)</f>
        <v>45565</v>
      </c>
      <c r="C731" s="36" t="n">
        <f aca="false">IF(MOD(YEAR(A731),4)=0,366,365)</f>
        <v>366</v>
      </c>
      <c r="D731" s="37" t="n">
        <f aca="false">Inputs!$B$9-SUMIFS(Cash_Events!$G$6:$G$20,Cash_Events!$C$6:$C$20,"rAGMF",Cash_Events!$B$6:$B$20,"&lt;="&amp;A731)</f>
        <v>735000</v>
      </c>
      <c r="E731" s="38" t="n">
        <f aca="false">VLOOKUP(A731,Inputs!$A$40:$B$48,2,TRUE())</f>
        <v>0.0523565</v>
      </c>
      <c r="F731" s="38" t="n">
        <f aca="false">E731+Inputs!$B$10</f>
        <v>0.1198565</v>
      </c>
      <c r="G731" s="37" t="n">
        <f aca="false">D731*F731/C731</f>
        <v>240.695430327869</v>
      </c>
      <c r="H731" s="37" t="n">
        <f aca="false">IF(AND(A731&gt;=Inputs!$B$13,OR(A731&lt;Inputs!$B$19,Inputs!$B$20=1)),D731*Inputs!$B$11/C731,0)</f>
        <v>40.1639344262295</v>
      </c>
      <c r="I731" s="37" t="n">
        <f aca="false">Inputs!$C$9-SUMIFS(Cash_Events!$G$6:$G$20,Cash_Events!$C$6:$C$20,"FHL",Cash_Events!$B$6:$B$20,"&lt;="&amp;A731)</f>
        <v>735000</v>
      </c>
      <c r="J731" s="38" t="n">
        <f aca="false">VLOOKUP(A731,Inputs!$F$40:$G$48,2,TRUE())</f>
        <v>0.0525075</v>
      </c>
      <c r="K731" s="38" t="n">
        <f aca="false">J731+Inputs!$C$10</f>
        <v>0.1200075</v>
      </c>
      <c r="L731" s="37" t="n">
        <f aca="false">I731*K731/C731</f>
        <v>240.998668032787</v>
      </c>
      <c r="M731" s="37" t="n">
        <f aca="false">IF(AND(A731&gt;=Inputs!$C$13,OR(A731&lt;Inputs!$B$19,Inputs!$B$20=1)),I731*Inputs!$C$11/C731,0)</f>
        <v>40.1639344262295</v>
      </c>
    </row>
    <row r="732" customFormat="false" ht="15" hidden="false" customHeight="false" outlineLevel="0" collapsed="false">
      <c r="A732" s="35" t="n">
        <f aca="false">A731+1</f>
        <v>45539</v>
      </c>
      <c r="B732" s="35" t="n">
        <f aca="false">EOMONTH(A732+1,0)</f>
        <v>45565</v>
      </c>
      <c r="C732" s="36" t="n">
        <f aca="false">IF(MOD(YEAR(A732),4)=0,366,365)</f>
        <v>366</v>
      </c>
      <c r="D732" s="37" t="n">
        <f aca="false">Inputs!$B$9-SUMIFS(Cash_Events!$G$6:$G$20,Cash_Events!$C$6:$C$20,"rAGMF",Cash_Events!$B$6:$B$20,"&lt;="&amp;A732)</f>
        <v>735000</v>
      </c>
      <c r="E732" s="38" t="n">
        <f aca="false">VLOOKUP(A732,Inputs!$A$40:$B$48,2,TRUE())</f>
        <v>0.0523565</v>
      </c>
      <c r="F732" s="38" t="n">
        <f aca="false">E732+Inputs!$B$10</f>
        <v>0.1198565</v>
      </c>
      <c r="G732" s="37" t="n">
        <f aca="false">D732*F732/C732</f>
        <v>240.695430327869</v>
      </c>
      <c r="H732" s="37" t="n">
        <f aca="false">IF(AND(A732&gt;=Inputs!$B$13,OR(A732&lt;Inputs!$B$19,Inputs!$B$20=1)),D732*Inputs!$B$11/C732,0)</f>
        <v>40.1639344262295</v>
      </c>
      <c r="I732" s="37" t="n">
        <f aca="false">Inputs!$C$9-SUMIFS(Cash_Events!$G$6:$G$20,Cash_Events!$C$6:$C$20,"FHL",Cash_Events!$B$6:$B$20,"&lt;="&amp;A732)</f>
        <v>735000</v>
      </c>
      <c r="J732" s="38" t="n">
        <f aca="false">VLOOKUP(A732,Inputs!$F$40:$G$48,2,TRUE())</f>
        <v>0.0525075</v>
      </c>
      <c r="K732" s="38" t="n">
        <f aca="false">J732+Inputs!$C$10</f>
        <v>0.1200075</v>
      </c>
      <c r="L732" s="37" t="n">
        <f aca="false">I732*K732/C732</f>
        <v>240.998668032787</v>
      </c>
      <c r="M732" s="37" t="n">
        <f aca="false">IF(AND(A732&gt;=Inputs!$C$13,OR(A732&lt;Inputs!$B$19,Inputs!$B$20=1)),I732*Inputs!$C$11/C732,0)</f>
        <v>40.1639344262295</v>
      </c>
    </row>
    <row r="733" customFormat="false" ht="15" hidden="false" customHeight="false" outlineLevel="0" collapsed="false">
      <c r="A733" s="35" t="n">
        <f aca="false">A732+1</f>
        <v>45540</v>
      </c>
      <c r="B733" s="35" t="n">
        <f aca="false">EOMONTH(A733+1,0)</f>
        <v>45565</v>
      </c>
      <c r="C733" s="36" t="n">
        <f aca="false">IF(MOD(YEAR(A733),4)=0,366,365)</f>
        <v>366</v>
      </c>
      <c r="D733" s="37" t="n">
        <f aca="false">Inputs!$B$9-SUMIFS(Cash_Events!$G$6:$G$20,Cash_Events!$C$6:$C$20,"rAGMF",Cash_Events!$B$6:$B$20,"&lt;="&amp;A733)</f>
        <v>735000</v>
      </c>
      <c r="E733" s="38" t="n">
        <f aca="false">VLOOKUP(A733,Inputs!$A$40:$B$48,2,TRUE())</f>
        <v>0.0523565</v>
      </c>
      <c r="F733" s="38" t="n">
        <f aca="false">E733+Inputs!$B$10</f>
        <v>0.1198565</v>
      </c>
      <c r="G733" s="37" t="n">
        <f aca="false">D733*F733/C733</f>
        <v>240.695430327869</v>
      </c>
      <c r="H733" s="37" t="n">
        <f aca="false">IF(AND(A733&gt;=Inputs!$B$13,OR(A733&lt;Inputs!$B$19,Inputs!$B$20=1)),D733*Inputs!$B$11/C733,0)</f>
        <v>40.1639344262295</v>
      </c>
      <c r="I733" s="37" t="n">
        <f aca="false">Inputs!$C$9-SUMIFS(Cash_Events!$G$6:$G$20,Cash_Events!$C$6:$C$20,"FHL",Cash_Events!$B$6:$B$20,"&lt;="&amp;A733)</f>
        <v>735000</v>
      </c>
      <c r="J733" s="38" t="n">
        <f aca="false">VLOOKUP(A733,Inputs!$F$40:$G$48,2,TRUE())</f>
        <v>0.0525075</v>
      </c>
      <c r="K733" s="38" t="n">
        <f aca="false">J733+Inputs!$C$10</f>
        <v>0.1200075</v>
      </c>
      <c r="L733" s="37" t="n">
        <f aca="false">I733*K733/C733</f>
        <v>240.998668032787</v>
      </c>
      <c r="M733" s="37" t="n">
        <f aca="false">IF(AND(A733&gt;=Inputs!$C$13,OR(A733&lt;Inputs!$B$19,Inputs!$B$20=1)),I733*Inputs!$C$11/C733,0)</f>
        <v>40.1639344262295</v>
      </c>
    </row>
    <row r="734" customFormat="false" ht="15" hidden="false" customHeight="false" outlineLevel="0" collapsed="false">
      <c r="A734" s="35" t="n">
        <f aca="false">A733+1</f>
        <v>45541</v>
      </c>
      <c r="B734" s="35" t="n">
        <f aca="false">EOMONTH(A734+1,0)</f>
        <v>45565</v>
      </c>
      <c r="C734" s="36" t="n">
        <f aca="false">IF(MOD(YEAR(A734),4)=0,366,365)</f>
        <v>366</v>
      </c>
      <c r="D734" s="37" t="n">
        <f aca="false">Inputs!$B$9-SUMIFS(Cash_Events!$G$6:$G$20,Cash_Events!$C$6:$C$20,"rAGMF",Cash_Events!$B$6:$B$20,"&lt;="&amp;A734)</f>
        <v>735000</v>
      </c>
      <c r="E734" s="38" t="n">
        <f aca="false">VLOOKUP(A734,Inputs!$A$40:$B$48,2,TRUE())</f>
        <v>0.0523565</v>
      </c>
      <c r="F734" s="38" t="n">
        <f aca="false">E734+Inputs!$B$10</f>
        <v>0.1198565</v>
      </c>
      <c r="G734" s="37" t="n">
        <f aca="false">D734*F734/C734</f>
        <v>240.695430327869</v>
      </c>
      <c r="H734" s="37" t="n">
        <f aca="false">IF(AND(A734&gt;=Inputs!$B$13,OR(A734&lt;Inputs!$B$19,Inputs!$B$20=1)),D734*Inputs!$B$11/C734,0)</f>
        <v>40.1639344262295</v>
      </c>
      <c r="I734" s="37" t="n">
        <f aca="false">Inputs!$C$9-SUMIFS(Cash_Events!$G$6:$G$20,Cash_Events!$C$6:$C$20,"FHL",Cash_Events!$B$6:$B$20,"&lt;="&amp;A734)</f>
        <v>735000</v>
      </c>
      <c r="J734" s="38" t="n">
        <f aca="false">VLOOKUP(A734,Inputs!$F$40:$G$48,2,TRUE())</f>
        <v>0.0525075</v>
      </c>
      <c r="K734" s="38" t="n">
        <f aca="false">J734+Inputs!$C$10</f>
        <v>0.1200075</v>
      </c>
      <c r="L734" s="37" t="n">
        <f aca="false">I734*K734/C734</f>
        <v>240.998668032787</v>
      </c>
      <c r="M734" s="37" t="n">
        <f aca="false">IF(AND(A734&gt;=Inputs!$C$13,OR(A734&lt;Inputs!$B$19,Inputs!$B$20=1)),I734*Inputs!$C$11/C734,0)</f>
        <v>40.1639344262295</v>
      </c>
    </row>
    <row r="735" customFormat="false" ht="15" hidden="false" customHeight="false" outlineLevel="0" collapsed="false">
      <c r="A735" s="35" t="n">
        <f aca="false">A734+1</f>
        <v>45542</v>
      </c>
      <c r="B735" s="35" t="n">
        <f aca="false">EOMONTH(A735+1,0)</f>
        <v>45565</v>
      </c>
      <c r="C735" s="36" t="n">
        <f aca="false">IF(MOD(YEAR(A735),4)=0,366,365)</f>
        <v>366</v>
      </c>
      <c r="D735" s="37" t="n">
        <f aca="false">Inputs!$B$9-SUMIFS(Cash_Events!$G$6:$G$20,Cash_Events!$C$6:$C$20,"rAGMF",Cash_Events!$B$6:$B$20,"&lt;="&amp;A735)</f>
        <v>735000</v>
      </c>
      <c r="E735" s="38" t="n">
        <f aca="false">VLOOKUP(A735,Inputs!$A$40:$B$48,2,TRUE())</f>
        <v>0.0523565</v>
      </c>
      <c r="F735" s="38" t="n">
        <f aca="false">E735+Inputs!$B$10</f>
        <v>0.1198565</v>
      </c>
      <c r="G735" s="37" t="n">
        <f aca="false">D735*F735/C735</f>
        <v>240.695430327869</v>
      </c>
      <c r="H735" s="37" t="n">
        <f aca="false">IF(AND(A735&gt;=Inputs!$B$13,OR(A735&lt;Inputs!$B$19,Inputs!$B$20=1)),D735*Inputs!$B$11/C735,0)</f>
        <v>40.1639344262295</v>
      </c>
      <c r="I735" s="37" t="n">
        <f aca="false">Inputs!$C$9-SUMIFS(Cash_Events!$G$6:$G$20,Cash_Events!$C$6:$C$20,"FHL",Cash_Events!$B$6:$B$20,"&lt;="&amp;A735)</f>
        <v>735000</v>
      </c>
      <c r="J735" s="38" t="n">
        <f aca="false">VLOOKUP(A735,Inputs!$F$40:$G$48,2,TRUE())</f>
        <v>0.0525075</v>
      </c>
      <c r="K735" s="38" t="n">
        <f aca="false">J735+Inputs!$C$10</f>
        <v>0.1200075</v>
      </c>
      <c r="L735" s="37" t="n">
        <f aca="false">I735*K735/C735</f>
        <v>240.998668032787</v>
      </c>
      <c r="M735" s="37" t="n">
        <f aca="false">IF(AND(A735&gt;=Inputs!$C$13,OR(A735&lt;Inputs!$B$19,Inputs!$B$20=1)),I735*Inputs!$C$11/C735,0)</f>
        <v>40.1639344262295</v>
      </c>
    </row>
    <row r="736" customFormat="false" ht="15" hidden="false" customHeight="false" outlineLevel="0" collapsed="false">
      <c r="A736" s="35" t="n">
        <f aca="false">A735+1</f>
        <v>45543</v>
      </c>
      <c r="B736" s="35" t="n">
        <f aca="false">EOMONTH(A736+1,0)</f>
        <v>45565</v>
      </c>
      <c r="C736" s="36" t="n">
        <f aca="false">IF(MOD(YEAR(A736),4)=0,366,365)</f>
        <v>366</v>
      </c>
      <c r="D736" s="37" t="n">
        <f aca="false">Inputs!$B$9-SUMIFS(Cash_Events!$G$6:$G$20,Cash_Events!$C$6:$C$20,"rAGMF",Cash_Events!$B$6:$B$20,"&lt;="&amp;A736)</f>
        <v>735000</v>
      </c>
      <c r="E736" s="38" t="n">
        <f aca="false">VLOOKUP(A736,Inputs!$A$40:$B$48,2,TRUE())</f>
        <v>0.0523565</v>
      </c>
      <c r="F736" s="38" t="n">
        <f aca="false">E736+Inputs!$B$10</f>
        <v>0.1198565</v>
      </c>
      <c r="G736" s="37" t="n">
        <f aca="false">D736*F736/C736</f>
        <v>240.695430327869</v>
      </c>
      <c r="H736" s="37" t="n">
        <f aca="false">IF(AND(A736&gt;=Inputs!$B$13,OR(A736&lt;Inputs!$B$19,Inputs!$B$20=1)),D736*Inputs!$B$11/C736,0)</f>
        <v>40.1639344262295</v>
      </c>
      <c r="I736" s="37" t="n">
        <f aca="false">Inputs!$C$9-SUMIFS(Cash_Events!$G$6:$G$20,Cash_Events!$C$6:$C$20,"FHL",Cash_Events!$B$6:$B$20,"&lt;="&amp;A736)</f>
        <v>735000</v>
      </c>
      <c r="J736" s="38" t="n">
        <f aca="false">VLOOKUP(A736,Inputs!$F$40:$G$48,2,TRUE())</f>
        <v>0.0525075</v>
      </c>
      <c r="K736" s="38" t="n">
        <f aca="false">J736+Inputs!$C$10</f>
        <v>0.1200075</v>
      </c>
      <c r="L736" s="37" t="n">
        <f aca="false">I736*K736/C736</f>
        <v>240.998668032787</v>
      </c>
      <c r="M736" s="37" t="n">
        <f aca="false">IF(AND(A736&gt;=Inputs!$C$13,OR(A736&lt;Inputs!$B$19,Inputs!$B$20=1)),I736*Inputs!$C$11/C736,0)</f>
        <v>40.1639344262295</v>
      </c>
    </row>
    <row r="737" customFormat="false" ht="15" hidden="false" customHeight="false" outlineLevel="0" collapsed="false">
      <c r="A737" s="35" t="n">
        <f aca="false">A736+1</f>
        <v>45544</v>
      </c>
      <c r="B737" s="35" t="n">
        <f aca="false">EOMONTH(A737+1,0)</f>
        <v>45565</v>
      </c>
      <c r="C737" s="36" t="n">
        <f aca="false">IF(MOD(YEAR(A737),4)=0,366,365)</f>
        <v>366</v>
      </c>
      <c r="D737" s="37" t="n">
        <f aca="false">Inputs!$B$9-SUMIFS(Cash_Events!$G$6:$G$20,Cash_Events!$C$6:$C$20,"rAGMF",Cash_Events!$B$6:$B$20,"&lt;="&amp;A737)</f>
        <v>735000</v>
      </c>
      <c r="E737" s="38" t="n">
        <f aca="false">VLOOKUP(A737,Inputs!$A$40:$B$48,2,TRUE())</f>
        <v>0.0461541</v>
      </c>
      <c r="F737" s="38" t="n">
        <f aca="false">E737+Inputs!$B$10</f>
        <v>0.1136541</v>
      </c>
      <c r="G737" s="37" t="n">
        <f aca="false">D737*F737/C737</f>
        <v>228.239790983607</v>
      </c>
      <c r="H737" s="37" t="n">
        <f aca="false">IF(AND(A737&gt;=Inputs!$B$13,OR(A737&lt;Inputs!$B$19,Inputs!$B$20=1)),D737*Inputs!$B$11/C737,0)</f>
        <v>40.1639344262295</v>
      </c>
      <c r="I737" s="37" t="n">
        <f aca="false">Inputs!$C$9-SUMIFS(Cash_Events!$G$6:$G$20,Cash_Events!$C$6:$C$20,"FHL",Cash_Events!$B$6:$B$20,"&lt;="&amp;A737)</f>
        <v>735000</v>
      </c>
      <c r="J737" s="38" t="n">
        <f aca="false">VLOOKUP(A737,Inputs!$F$40:$G$48,2,TRUE())</f>
        <v>0.0525075</v>
      </c>
      <c r="K737" s="38" t="n">
        <f aca="false">J737+Inputs!$C$10</f>
        <v>0.1200075</v>
      </c>
      <c r="L737" s="37" t="n">
        <f aca="false">I737*K737/C737</f>
        <v>240.998668032787</v>
      </c>
      <c r="M737" s="37" t="n">
        <f aca="false">IF(AND(A737&gt;=Inputs!$C$13,OR(A737&lt;Inputs!$B$19,Inputs!$B$20=1)),I737*Inputs!$C$11/C737,0)</f>
        <v>40.1639344262295</v>
      </c>
    </row>
    <row r="738" customFormat="false" ht="15" hidden="false" customHeight="false" outlineLevel="0" collapsed="false">
      <c r="A738" s="35" t="n">
        <f aca="false">A737+1</f>
        <v>45545</v>
      </c>
      <c r="B738" s="35" t="n">
        <f aca="false">EOMONTH(A738+1,0)</f>
        <v>45565</v>
      </c>
      <c r="C738" s="36" t="n">
        <f aca="false">IF(MOD(YEAR(A738),4)=0,366,365)</f>
        <v>366</v>
      </c>
      <c r="D738" s="37" t="n">
        <f aca="false">Inputs!$B$9-SUMIFS(Cash_Events!$G$6:$G$20,Cash_Events!$C$6:$C$20,"rAGMF",Cash_Events!$B$6:$B$20,"&lt;="&amp;A738)</f>
        <v>735000</v>
      </c>
      <c r="E738" s="38" t="n">
        <f aca="false">VLOOKUP(A738,Inputs!$A$40:$B$48,2,TRUE())</f>
        <v>0.0461541</v>
      </c>
      <c r="F738" s="38" t="n">
        <f aca="false">E738+Inputs!$B$10</f>
        <v>0.1136541</v>
      </c>
      <c r="G738" s="37" t="n">
        <f aca="false">D738*F738/C738</f>
        <v>228.239790983607</v>
      </c>
      <c r="H738" s="37" t="n">
        <f aca="false">IF(AND(A738&gt;=Inputs!$B$13,OR(A738&lt;Inputs!$B$19,Inputs!$B$20=1)),D738*Inputs!$B$11/C738,0)</f>
        <v>40.1639344262295</v>
      </c>
      <c r="I738" s="37" t="n">
        <f aca="false">Inputs!$C$9-SUMIFS(Cash_Events!$G$6:$G$20,Cash_Events!$C$6:$C$20,"FHL",Cash_Events!$B$6:$B$20,"&lt;="&amp;A738)</f>
        <v>735000</v>
      </c>
      <c r="J738" s="38" t="n">
        <f aca="false">VLOOKUP(A738,Inputs!$F$40:$G$48,2,TRUE())</f>
        <v>0.0525075</v>
      </c>
      <c r="K738" s="38" t="n">
        <f aca="false">J738+Inputs!$C$10</f>
        <v>0.1200075</v>
      </c>
      <c r="L738" s="37" t="n">
        <f aca="false">I738*K738/C738</f>
        <v>240.998668032787</v>
      </c>
      <c r="M738" s="37" t="n">
        <f aca="false">IF(AND(A738&gt;=Inputs!$C$13,OR(A738&lt;Inputs!$B$19,Inputs!$B$20=1)),I738*Inputs!$C$11/C738,0)</f>
        <v>40.1639344262295</v>
      </c>
    </row>
    <row r="739" customFormat="false" ht="15" hidden="false" customHeight="false" outlineLevel="0" collapsed="false">
      <c r="A739" s="35" t="n">
        <f aca="false">A738+1</f>
        <v>45546</v>
      </c>
      <c r="B739" s="35" t="n">
        <f aca="false">EOMONTH(A739+1,0)</f>
        <v>45565</v>
      </c>
      <c r="C739" s="36" t="n">
        <f aca="false">IF(MOD(YEAR(A739),4)=0,366,365)</f>
        <v>366</v>
      </c>
      <c r="D739" s="37" t="n">
        <f aca="false">Inputs!$B$9-SUMIFS(Cash_Events!$G$6:$G$20,Cash_Events!$C$6:$C$20,"rAGMF",Cash_Events!$B$6:$B$20,"&lt;="&amp;A739)</f>
        <v>735000</v>
      </c>
      <c r="E739" s="38" t="n">
        <f aca="false">VLOOKUP(A739,Inputs!$A$40:$B$48,2,TRUE())</f>
        <v>0.0461541</v>
      </c>
      <c r="F739" s="38" t="n">
        <f aca="false">E739+Inputs!$B$10</f>
        <v>0.1136541</v>
      </c>
      <c r="G739" s="37" t="n">
        <f aca="false">D739*F739/C739</f>
        <v>228.239790983607</v>
      </c>
      <c r="H739" s="37" t="n">
        <f aca="false">IF(AND(A739&gt;=Inputs!$B$13,OR(A739&lt;Inputs!$B$19,Inputs!$B$20=1)),D739*Inputs!$B$11/C739,0)</f>
        <v>40.1639344262295</v>
      </c>
      <c r="I739" s="37" t="n">
        <f aca="false">Inputs!$C$9-SUMIFS(Cash_Events!$G$6:$G$20,Cash_Events!$C$6:$C$20,"FHL",Cash_Events!$B$6:$B$20,"&lt;="&amp;A739)</f>
        <v>735000</v>
      </c>
      <c r="J739" s="38" t="n">
        <f aca="false">VLOOKUP(A739,Inputs!$F$40:$G$48,2,TRUE())</f>
        <v>0.0525075</v>
      </c>
      <c r="K739" s="38" t="n">
        <f aca="false">J739+Inputs!$C$10</f>
        <v>0.1200075</v>
      </c>
      <c r="L739" s="37" t="n">
        <f aca="false">I739*K739/C739</f>
        <v>240.998668032787</v>
      </c>
      <c r="M739" s="37" t="n">
        <f aca="false">IF(AND(A739&gt;=Inputs!$C$13,OR(A739&lt;Inputs!$B$19,Inputs!$B$20=1)),I739*Inputs!$C$11/C739,0)</f>
        <v>40.1639344262295</v>
      </c>
    </row>
    <row r="740" customFormat="false" ht="15" hidden="false" customHeight="false" outlineLevel="0" collapsed="false">
      <c r="A740" s="35" t="n">
        <f aca="false">A739+1</f>
        <v>45547</v>
      </c>
      <c r="B740" s="35" t="n">
        <f aca="false">EOMONTH(A740+1,0)</f>
        <v>45565</v>
      </c>
      <c r="C740" s="36" t="n">
        <f aca="false">IF(MOD(YEAR(A740),4)=0,366,365)</f>
        <v>366</v>
      </c>
      <c r="D740" s="37" t="n">
        <f aca="false">Inputs!$B$9-SUMIFS(Cash_Events!$G$6:$G$20,Cash_Events!$C$6:$C$20,"rAGMF",Cash_Events!$B$6:$B$20,"&lt;="&amp;A740)</f>
        <v>735000</v>
      </c>
      <c r="E740" s="38" t="n">
        <f aca="false">VLOOKUP(A740,Inputs!$A$40:$B$48,2,TRUE())</f>
        <v>0.0461541</v>
      </c>
      <c r="F740" s="38" t="n">
        <f aca="false">E740+Inputs!$B$10</f>
        <v>0.1136541</v>
      </c>
      <c r="G740" s="37" t="n">
        <f aca="false">D740*F740/C740</f>
        <v>228.239790983607</v>
      </c>
      <c r="H740" s="37" t="n">
        <f aca="false">IF(AND(A740&gt;=Inputs!$B$13,OR(A740&lt;Inputs!$B$19,Inputs!$B$20=1)),D740*Inputs!$B$11/C740,0)</f>
        <v>40.1639344262295</v>
      </c>
      <c r="I740" s="37" t="n">
        <f aca="false">Inputs!$C$9-SUMIFS(Cash_Events!$G$6:$G$20,Cash_Events!$C$6:$C$20,"FHL",Cash_Events!$B$6:$B$20,"&lt;="&amp;A740)</f>
        <v>735000</v>
      </c>
      <c r="J740" s="38" t="n">
        <f aca="false">VLOOKUP(A740,Inputs!$F$40:$G$48,2,TRUE())</f>
        <v>0.0525075</v>
      </c>
      <c r="K740" s="38" t="n">
        <f aca="false">J740+Inputs!$C$10</f>
        <v>0.1200075</v>
      </c>
      <c r="L740" s="37" t="n">
        <f aca="false">I740*K740/C740</f>
        <v>240.998668032787</v>
      </c>
      <c r="M740" s="37" t="n">
        <f aca="false">IF(AND(A740&gt;=Inputs!$C$13,OR(A740&lt;Inputs!$B$19,Inputs!$B$20=1)),I740*Inputs!$C$11/C740,0)</f>
        <v>40.1639344262295</v>
      </c>
    </row>
    <row r="741" customFormat="false" ht="15" hidden="false" customHeight="false" outlineLevel="0" collapsed="false">
      <c r="A741" s="35" t="n">
        <f aca="false">A740+1</f>
        <v>45548</v>
      </c>
      <c r="B741" s="35" t="n">
        <f aca="false">EOMONTH(A741+1,0)</f>
        <v>45565</v>
      </c>
      <c r="C741" s="36" t="n">
        <f aca="false">IF(MOD(YEAR(A741),4)=0,366,365)</f>
        <v>366</v>
      </c>
      <c r="D741" s="37" t="n">
        <f aca="false">Inputs!$B$9-SUMIFS(Cash_Events!$G$6:$G$20,Cash_Events!$C$6:$C$20,"rAGMF",Cash_Events!$B$6:$B$20,"&lt;="&amp;A741)</f>
        <v>735000</v>
      </c>
      <c r="E741" s="38" t="n">
        <f aca="false">VLOOKUP(A741,Inputs!$A$40:$B$48,2,TRUE())</f>
        <v>0.0461541</v>
      </c>
      <c r="F741" s="38" t="n">
        <f aca="false">E741+Inputs!$B$10</f>
        <v>0.1136541</v>
      </c>
      <c r="G741" s="37" t="n">
        <f aca="false">D741*F741/C741</f>
        <v>228.239790983607</v>
      </c>
      <c r="H741" s="37" t="n">
        <f aca="false">IF(AND(A741&gt;=Inputs!$B$13,OR(A741&lt;Inputs!$B$19,Inputs!$B$20=1)),D741*Inputs!$B$11/C741,0)</f>
        <v>40.1639344262295</v>
      </c>
      <c r="I741" s="37" t="n">
        <f aca="false">Inputs!$C$9-SUMIFS(Cash_Events!$G$6:$G$20,Cash_Events!$C$6:$C$20,"FHL",Cash_Events!$B$6:$B$20,"&lt;="&amp;A741)</f>
        <v>735000</v>
      </c>
      <c r="J741" s="38" t="n">
        <f aca="false">VLOOKUP(A741,Inputs!$F$40:$G$48,2,TRUE())</f>
        <v>0.0525075</v>
      </c>
      <c r="K741" s="38" t="n">
        <f aca="false">J741+Inputs!$C$10</f>
        <v>0.1200075</v>
      </c>
      <c r="L741" s="37" t="n">
        <f aca="false">I741*K741/C741</f>
        <v>240.998668032787</v>
      </c>
      <c r="M741" s="37" t="n">
        <f aca="false">IF(AND(A741&gt;=Inputs!$C$13,OR(A741&lt;Inputs!$B$19,Inputs!$B$20=1)),I741*Inputs!$C$11/C741,0)</f>
        <v>40.1639344262295</v>
      </c>
    </row>
    <row r="742" customFormat="false" ht="15" hidden="false" customHeight="false" outlineLevel="0" collapsed="false">
      <c r="A742" s="35" t="n">
        <f aca="false">A741+1</f>
        <v>45549</v>
      </c>
      <c r="B742" s="35" t="n">
        <f aca="false">EOMONTH(A742+1,0)</f>
        <v>45565</v>
      </c>
      <c r="C742" s="36" t="n">
        <f aca="false">IF(MOD(YEAR(A742),4)=0,366,365)</f>
        <v>366</v>
      </c>
      <c r="D742" s="37" t="n">
        <f aca="false">Inputs!$B$9-SUMIFS(Cash_Events!$G$6:$G$20,Cash_Events!$C$6:$C$20,"rAGMF",Cash_Events!$B$6:$B$20,"&lt;="&amp;A742)</f>
        <v>735000</v>
      </c>
      <c r="E742" s="38" t="n">
        <f aca="false">VLOOKUP(A742,Inputs!$A$40:$B$48,2,TRUE())</f>
        <v>0.0461541</v>
      </c>
      <c r="F742" s="38" t="n">
        <f aca="false">E742+Inputs!$B$10</f>
        <v>0.1136541</v>
      </c>
      <c r="G742" s="37" t="n">
        <f aca="false">D742*F742/C742</f>
        <v>228.239790983607</v>
      </c>
      <c r="H742" s="37" t="n">
        <f aca="false">IF(AND(A742&gt;=Inputs!$B$13,OR(A742&lt;Inputs!$B$19,Inputs!$B$20=1)),D742*Inputs!$B$11/C742,0)</f>
        <v>40.1639344262295</v>
      </c>
      <c r="I742" s="37" t="n">
        <f aca="false">Inputs!$C$9-SUMIFS(Cash_Events!$G$6:$G$20,Cash_Events!$C$6:$C$20,"FHL",Cash_Events!$B$6:$B$20,"&lt;="&amp;A742)</f>
        <v>735000</v>
      </c>
      <c r="J742" s="38" t="n">
        <f aca="false">VLOOKUP(A742,Inputs!$F$40:$G$48,2,TRUE())</f>
        <v>0.0525075</v>
      </c>
      <c r="K742" s="38" t="n">
        <f aca="false">J742+Inputs!$C$10</f>
        <v>0.1200075</v>
      </c>
      <c r="L742" s="37" t="n">
        <f aca="false">I742*K742/C742</f>
        <v>240.998668032787</v>
      </c>
      <c r="M742" s="37" t="n">
        <f aca="false">IF(AND(A742&gt;=Inputs!$C$13,OR(A742&lt;Inputs!$B$19,Inputs!$B$20=1)),I742*Inputs!$C$11/C742,0)</f>
        <v>40.1639344262295</v>
      </c>
    </row>
    <row r="743" customFormat="false" ht="15" hidden="false" customHeight="false" outlineLevel="0" collapsed="false">
      <c r="A743" s="35" t="n">
        <f aca="false">A742+1</f>
        <v>45550</v>
      </c>
      <c r="B743" s="35" t="n">
        <f aca="false">EOMONTH(A743+1,0)</f>
        <v>45565</v>
      </c>
      <c r="C743" s="36" t="n">
        <f aca="false">IF(MOD(YEAR(A743),4)=0,366,365)</f>
        <v>366</v>
      </c>
      <c r="D743" s="37" t="n">
        <f aca="false">Inputs!$B$9-SUMIFS(Cash_Events!$G$6:$G$20,Cash_Events!$C$6:$C$20,"rAGMF",Cash_Events!$B$6:$B$20,"&lt;="&amp;A743)</f>
        <v>735000</v>
      </c>
      <c r="E743" s="38" t="n">
        <f aca="false">VLOOKUP(A743,Inputs!$A$40:$B$48,2,TRUE())</f>
        <v>0.0461541</v>
      </c>
      <c r="F743" s="38" t="n">
        <f aca="false">E743+Inputs!$B$10</f>
        <v>0.1136541</v>
      </c>
      <c r="G743" s="37" t="n">
        <f aca="false">D743*F743/C743</f>
        <v>228.239790983607</v>
      </c>
      <c r="H743" s="37" t="n">
        <f aca="false">IF(AND(A743&gt;=Inputs!$B$13,OR(A743&lt;Inputs!$B$19,Inputs!$B$20=1)),D743*Inputs!$B$11/C743,0)</f>
        <v>40.1639344262295</v>
      </c>
      <c r="I743" s="37" t="n">
        <f aca="false">Inputs!$C$9-SUMIFS(Cash_Events!$G$6:$G$20,Cash_Events!$C$6:$C$20,"FHL",Cash_Events!$B$6:$B$20,"&lt;="&amp;A743)</f>
        <v>735000</v>
      </c>
      <c r="J743" s="38" t="n">
        <f aca="false">VLOOKUP(A743,Inputs!$F$40:$G$48,2,TRUE())</f>
        <v>0.0525075</v>
      </c>
      <c r="K743" s="38" t="n">
        <f aca="false">J743+Inputs!$C$10</f>
        <v>0.1200075</v>
      </c>
      <c r="L743" s="37" t="n">
        <f aca="false">I743*K743/C743</f>
        <v>240.998668032787</v>
      </c>
      <c r="M743" s="37" t="n">
        <f aca="false">IF(AND(A743&gt;=Inputs!$C$13,OR(A743&lt;Inputs!$B$19,Inputs!$B$20=1)),I743*Inputs!$C$11/C743,0)</f>
        <v>40.1639344262295</v>
      </c>
    </row>
    <row r="744" customFormat="false" ht="15" hidden="false" customHeight="false" outlineLevel="0" collapsed="false">
      <c r="A744" s="35" t="n">
        <f aca="false">A743+1</f>
        <v>45551</v>
      </c>
      <c r="B744" s="35" t="n">
        <f aca="false">EOMONTH(A744+1,0)</f>
        <v>45565</v>
      </c>
      <c r="C744" s="36" t="n">
        <f aca="false">IF(MOD(YEAR(A744),4)=0,366,365)</f>
        <v>366</v>
      </c>
      <c r="D744" s="37" t="n">
        <f aca="false">Inputs!$B$9-SUMIFS(Cash_Events!$G$6:$G$20,Cash_Events!$C$6:$C$20,"rAGMF",Cash_Events!$B$6:$B$20,"&lt;="&amp;A744)</f>
        <v>735000</v>
      </c>
      <c r="E744" s="38" t="n">
        <f aca="false">VLOOKUP(A744,Inputs!$A$40:$B$48,2,TRUE())</f>
        <v>0.0461541</v>
      </c>
      <c r="F744" s="38" t="n">
        <f aca="false">E744+Inputs!$B$10</f>
        <v>0.1136541</v>
      </c>
      <c r="G744" s="37" t="n">
        <f aca="false">D744*F744/C744</f>
        <v>228.239790983607</v>
      </c>
      <c r="H744" s="37" t="n">
        <f aca="false">IF(AND(A744&gt;=Inputs!$B$13,OR(A744&lt;Inputs!$B$19,Inputs!$B$20=1)),D744*Inputs!$B$11/C744,0)</f>
        <v>40.1639344262295</v>
      </c>
      <c r="I744" s="37" t="n">
        <f aca="false">Inputs!$C$9-SUMIFS(Cash_Events!$G$6:$G$20,Cash_Events!$C$6:$C$20,"FHL",Cash_Events!$B$6:$B$20,"&lt;="&amp;A744)</f>
        <v>735000</v>
      </c>
      <c r="J744" s="38" t="n">
        <f aca="false">VLOOKUP(A744,Inputs!$F$40:$G$48,2,TRUE())</f>
        <v>0.0457048</v>
      </c>
      <c r="K744" s="38" t="n">
        <f aca="false">J744+Inputs!$C$10</f>
        <v>0.1132048</v>
      </c>
      <c r="L744" s="37" t="n">
        <f aca="false">I744*K744/C744</f>
        <v>227.337508196721</v>
      </c>
      <c r="M744" s="37" t="n">
        <f aca="false">IF(AND(A744&gt;=Inputs!$C$13,OR(A744&lt;Inputs!$B$19,Inputs!$B$20=1)),I744*Inputs!$C$11/C744,0)</f>
        <v>40.1639344262295</v>
      </c>
    </row>
    <row r="745" customFormat="false" ht="15" hidden="false" customHeight="false" outlineLevel="0" collapsed="false">
      <c r="A745" s="35" t="n">
        <f aca="false">A744+1</f>
        <v>45552</v>
      </c>
      <c r="B745" s="35" t="n">
        <f aca="false">EOMONTH(A745+1,0)</f>
        <v>45565</v>
      </c>
      <c r="C745" s="36" t="n">
        <f aca="false">IF(MOD(YEAR(A745),4)=0,366,365)</f>
        <v>366</v>
      </c>
      <c r="D745" s="37" t="n">
        <f aca="false">Inputs!$B$9-SUMIFS(Cash_Events!$G$6:$G$20,Cash_Events!$C$6:$C$20,"rAGMF",Cash_Events!$B$6:$B$20,"&lt;="&amp;A745)</f>
        <v>735000</v>
      </c>
      <c r="E745" s="38" t="n">
        <f aca="false">VLOOKUP(A745,Inputs!$A$40:$B$48,2,TRUE())</f>
        <v>0.0461541</v>
      </c>
      <c r="F745" s="38" t="n">
        <f aca="false">E745+Inputs!$B$10</f>
        <v>0.1136541</v>
      </c>
      <c r="G745" s="37" t="n">
        <f aca="false">D745*F745/C745</f>
        <v>228.239790983607</v>
      </c>
      <c r="H745" s="37" t="n">
        <f aca="false">IF(AND(A745&gt;=Inputs!$B$13,OR(A745&lt;Inputs!$B$19,Inputs!$B$20=1)),D745*Inputs!$B$11/C745,0)</f>
        <v>40.1639344262295</v>
      </c>
      <c r="I745" s="37" t="n">
        <f aca="false">Inputs!$C$9-SUMIFS(Cash_Events!$G$6:$G$20,Cash_Events!$C$6:$C$20,"FHL",Cash_Events!$B$6:$B$20,"&lt;="&amp;A745)</f>
        <v>735000</v>
      </c>
      <c r="J745" s="38" t="n">
        <f aca="false">VLOOKUP(A745,Inputs!$F$40:$G$48,2,TRUE())</f>
        <v>0.0457048</v>
      </c>
      <c r="K745" s="38" t="n">
        <f aca="false">J745+Inputs!$C$10</f>
        <v>0.1132048</v>
      </c>
      <c r="L745" s="37" t="n">
        <f aca="false">I745*K745/C745</f>
        <v>227.337508196721</v>
      </c>
      <c r="M745" s="37" t="n">
        <f aca="false">IF(AND(A745&gt;=Inputs!$C$13,OR(A745&lt;Inputs!$B$19,Inputs!$B$20=1)),I745*Inputs!$C$11/C745,0)</f>
        <v>40.1639344262295</v>
      </c>
    </row>
    <row r="746" customFormat="false" ht="15" hidden="false" customHeight="false" outlineLevel="0" collapsed="false">
      <c r="A746" s="35" t="n">
        <f aca="false">A745+1</f>
        <v>45553</v>
      </c>
      <c r="B746" s="35" t="n">
        <f aca="false">EOMONTH(A746+1,0)</f>
        <v>45565</v>
      </c>
      <c r="C746" s="36" t="n">
        <f aca="false">IF(MOD(YEAR(A746),4)=0,366,365)</f>
        <v>366</v>
      </c>
      <c r="D746" s="37" t="n">
        <f aca="false">Inputs!$B$9-SUMIFS(Cash_Events!$G$6:$G$20,Cash_Events!$C$6:$C$20,"rAGMF",Cash_Events!$B$6:$B$20,"&lt;="&amp;A746)</f>
        <v>735000</v>
      </c>
      <c r="E746" s="38" t="n">
        <f aca="false">VLOOKUP(A746,Inputs!$A$40:$B$48,2,TRUE())</f>
        <v>0.0461541</v>
      </c>
      <c r="F746" s="38" t="n">
        <f aca="false">E746+Inputs!$B$10</f>
        <v>0.1136541</v>
      </c>
      <c r="G746" s="37" t="n">
        <f aca="false">D746*F746/C746</f>
        <v>228.239790983607</v>
      </c>
      <c r="H746" s="37" t="n">
        <f aca="false">IF(AND(A746&gt;=Inputs!$B$13,OR(A746&lt;Inputs!$B$19,Inputs!$B$20=1)),D746*Inputs!$B$11/C746,0)</f>
        <v>40.1639344262295</v>
      </c>
      <c r="I746" s="37" t="n">
        <f aca="false">Inputs!$C$9-SUMIFS(Cash_Events!$G$6:$G$20,Cash_Events!$C$6:$C$20,"FHL",Cash_Events!$B$6:$B$20,"&lt;="&amp;A746)</f>
        <v>735000</v>
      </c>
      <c r="J746" s="38" t="n">
        <f aca="false">VLOOKUP(A746,Inputs!$F$40:$G$48,2,TRUE())</f>
        <v>0.0457048</v>
      </c>
      <c r="K746" s="38" t="n">
        <f aca="false">J746+Inputs!$C$10</f>
        <v>0.1132048</v>
      </c>
      <c r="L746" s="37" t="n">
        <f aca="false">I746*K746/C746</f>
        <v>227.337508196721</v>
      </c>
      <c r="M746" s="37" t="n">
        <f aca="false">IF(AND(A746&gt;=Inputs!$C$13,OR(A746&lt;Inputs!$B$19,Inputs!$B$20=1)),I746*Inputs!$C$11/C746,0)</f>
        <v>40.1639344262295</v>
      </c>
    </row>
    <row r="747" customFormat="false" ht="15" hidden="false" customHeight="false" outlineLevel="0" collapsed="false">
      <c r="A747" s="35" t="n">
        <f aca="false">A746+1</f>
        <v>45554</v>
      </c>
      <c r="B747" s="35" t="n">
        <f aca="false">EOMONTH(A747+1,0)</f>
        <v>45565</v>
      </c>
      <c r="C747" s="36" t="n">
        <f aca="false">IF(MOD(YEAR(A747),4)=0,366,365)</f>
        <v>366</v>
      </c>
      <c r="D747" s="37" t="n">
        <f aca="false">Inputs!$B$9-SUMIFS(Cash_Events!$G$6:$G$20,Cash_Events!$C$6:$C$20,"rAGMF",Cash_Events!$B$6:$B$20,"&lt;="&amp;A747)</f>
        <v>735000</v>
      </c>
      <c r="E747" s="38" t="n">
        <f aca="false">VLOOKUP(A747,Inputs!$A$40:$B$48,2,TRUE())</f>
        <v>0.0461541</v>
      </c>
      <c r="F747" s="38" t="n">
        <f aca="false">E747+Inputs!$B$10</f>
        <v>0.1136541</v>
      </c>
      <c r="G747" s="37" t="n">
        <f aca="false">D747*F747/C747</f>
        <v>228.239790983607</v>
      </c>
      <c r="H747" s="37" t="n">
        <f aca="false">IF(AND(A747&gt;=Inputs!$B$13,OR(A747&lt;Inputs!$B$19,Inputs!$B$20=1)),D747*Inputs!$B$11/C747,0)</f>
        <v>40.1639344262295</v>
      </c>
      <c r="I747" s="37" t="n">
        <f aca="false">Inputs!$C$9-SUMIFS(Cash_Events!$G$6:$G$20,Cash_Events!$C$6:$C$20,"FHL",Cash_Events!$B$6:$B$20,"&lt;="&amp;A747)</f>
        <v>735000</v>
      </c>
      <c r="J747" s="38" t="n">
        <f aca="false">VLOOKUP(A747,Inputs!$F$40:$G$48,2,TRUE())</f>
        <v>0.0457048</v>
      </c>
      <c r="K747" s="38" t="n">
        <f aca="false">J747+Inputs!$C$10</f>
        <v>0.1132048</v>
      </c>
      <c r="L747" s="37" t="n">
        <f aca="false">I747*K747/C747</f>
        <v>227.337508196721</v>
      </c>
      <c r="M747" s="37" t="n">
        <f aca="false">IF(AND(A747&gt;=Inputs!$C$13,OR(A747&lt;Inputs!$B$19,Inputs!$B$20=1)),I747*Inputs!$C$11/C747,0)</f>
        <v>40.1639344262295</v>
      </c>
    </row>
    <row r="748" customFormat="false" ht="15" hidden="false" customHeight="false" outlineLevel="0" collapsed="false">
      <c r="A748" s="35" t="n">
        <f aca="false">A747+1</f>
        <v>45555</v>
      </c>
      <c r="B748" s="35" t="n">
        <f aca="false">EOMONTH(A748+1,0)</f>
        <v>45565</v>
      </c>
      <c r="C748" s="36" t="n">
        <f aca="false">IF(MOD(YEAR(A748),4)=0,366,365)</f>
        <v>366</v>
      </c>
      <c r="D748" s="37" t="n">
        <f aca="false">Inputs!$B$9-SUMIFS(Cash_Events!$G$6:$G$20,Cash_Events!$C$6:$C$20,"rAGMF",Cash_Events!$B$6:$B$20,"&lt;="&amp;A748)</f>
        <v>735000</v>
      </c>
      <c r="E748" s="38" t="n">
        <f aca="false">VLOOKUP(A748,Inputs!$A$40:$B$48,2,TRUE())</f>
        <v>0.0461541</v>
      </c>
      <c r="F748" s="38" t="n">
        <f aca="false">E748+Inputs!$B$10</f>
        <v>0.1136541</v>
      </c>
      <c r="G748" s="37" t="n">
        <f aca="false">D748*F748/C748</f>
        <v>228.239790983607</v>
      </c>
      <c r="H748" s="37" t="n">
        <f aca="false">IF(AND(A748&gt;=Inputs!$B$13,OR(A748&lt;Inputs!$B$19,Inputs!$B$20=1)),D748*Inputs!$B$11/C748,0)</f>
        <v>40.1639344262295</v>
      </c>
      <c r="I748" s="37" t="n">
        <f aca="false">Inputs!$C$9-SUMIFS(Cash_Events!$G$6:$G$20,Cash_Events!$C$6:$C$20,"FHL",Cash_Events!$B$6:$B$20,"&lt;="&amp;A748)</f>
        <v>735000</v>
      </c>
      <c r="J748" s="38" t="n">
        <f aca="false">VLOOKUP(A748,Inputs!$F$40:$G$48,2,TRUE())</f>
        <v>0.0457048</v>
      </c>
      <c r="K748" s="38" t="n">
        <f aca="false">J748+Inputs!$C$10</f>
        <v>0.1132048</v>
      </c>
      <c r="L748" s="37" t="n">
        <f aca="false">I748*K748/C748</f>
        <v>227.337508196721</v>
      </c>
      <c r="M748" s="37" t="n">
        <f aca="false">IF(AND(A748&gt;=Inputs!$C$13,OR(A748&lt;Inputs!$B$19,Inputs!$B$20=1)),I748*Inputs!$C$11/C748,0)</f>
        <v>40.1639344262295</v>
      </c>
    </row>
    <row r="749" customFormat="false" ht="15" hidden="false" customHeight="false" outlineLevel="0" collapsed="false">
      <c r="A749" s="35" t="n">
        <f aca="false">A748+1</f>
        <v>45556</v>
      </c>
      <c r="B749" s="35" t="n">
        <f aca="false">EOMONTH(A749+1,0)</f>
        <v>45565</v>
      </c>
      <c r="C749" s="36" t="n">
        <f aca="false">IF(MOD(YEAR(A749),4)=0,366,365)</f>
        <v>366</v>
      </c>
      <c r="D749" s="37" t="n">
        <f aca="false">Inputs!$B$9-SUMIFS(Cash_Events!$G$6:$G$20,Cash_Events!$C$6:$C$20,"rAGMF",Cash_Events!$B$6:$B$20,"&lt;="&amp;A749)</f>
        <v>735000</v>
      </c>
      <c r="E749" s="38" t="n">
        <f aca="false">VLOOKUP(A749,Inputs!$A$40:$B$48,2,TRUE())</f>
        <v>0.0461541</v>
      </c>
      <c r="F749" s="38" t="n">
        <f aca="false">E749+Inputs!$B$10</f>
        <v>0.1136541</v>
      </c>
      <c r="G749" s="37" t="n">
        <f aca="false">D749*F749/C749</f>
        <v>228.239790983607</v>
      </c>
      <c r="H749" s="37" t="n">
        <f aca="false">IF(AND(A749&gt;=Inputs!$B$13,OR(A749&lt;Inputs!$B$19,Inputs!$B$20=1)),D749*Inputs!$B$11/C749,0)</f>
        <v>40.1639344262295</v>
      </c>
      <c r="I749" s="37" t="n">
        <f aca="false">Inputs!$C$9-SUMIFS(Cash_Events!$G$6:$G$20,Cash_Events!$C$6:$C$20,"FHL",Cash_Events!$B$6:$B$20,"&lt;="&amp;A749)</f>
        <v>735000</v>
      </c>
      <c r="J749" s="38" t="n">
        <f aca="false">VLOOKUP(A749,Inputs!$F$40:$G$48,2,TRUE())</f>
        <v>0.0457048</v>
      </c>
      <c r="K749" s="38" t="n">
        <f aca="false">J749+Inputs!$C$10</f>
        <v>0.1132048</v>
      </c>
      <c r="L749" s="37" t="n">
        <f aca="false">I749*K749/C749</f>
        <v>227.337508196721</v>
      </c>
      <c r="M749" s="37" t="n">
        <f aca="false">IF(AND(A749&gt;=Inputs!$C$13,OR(A749&lt;Inputs!$B$19,Inputs!$B$20=1)),I749*Inputs!$C$11/C749,0)</f>
        <v>40.1639344262295</v>
      </c>
    </row>
    <row r="750" customFormat="false" ht="15" hidden="false" customHeight="false" outlineLevel="0" collapsed="false">
      <c r="A750" s="35" t="n">
        <f aca="false">A749+1</f>
        <v>45557</v>
      </c>
      <c r="B750" s="35" t="n">
        <f aca="false">EOMONTH(A750+1,0)</f>
        <v>45565</v>
      </c>
      <c r="C750" s="36" t="n">
        <f aca="false">IF(MOD(YEAR(A750),4)=0,366,365)</f>
        <v>366</v>
      </c>
      <c r="D750" s="37" t="n">
        <f aca="false">Inputs!$B$9-SUMIFS(Cash_Events!$G$6:$G$20,Cash_Events!$C$6:$C$20,"rAGMF",Cash_Events!$B$6:$B$20,"&lt;="&amp;A750)</f>
        <v>735000</v>
      </c>
      <c r="E750" s="38" t="n">
        <f aca="false">VLOOKUP(A750,Inputs!$A$40:$B$48,2,TRUE())</f>
        <v>0.0461541</v>
      </c>
      <c r="F750" s="38" t="n">
        <f aca="false">E750+Inputs!$B$10</f>
        <v>0.1136541</v>
      </c>
      <c r="G750" s="37" t="n">
        <f aca="false">D750*F750/C750</f>
        <v>228.239790983607</v>
      </c>
      <c r="H750" s="37" t="n">
        <f aca="false">IF(AND(A750&gt;=Inputs!$B$13,OR(A750&lt;Inputs!$B$19,Inputs!$B$20=1)),D750*Inputs!$B$11/C750,0)</f>
        <v>40.1639344262295</v>
      </c>
      <c r="I750" s="37" t="n">
        <f aca="false">Inputs!$C$9-SUMIFS(Cash_Events!$G$6:$G$20,Cash_Events!$C$6:$C$20,"FHL",Cash_Events!$B$6:$B$20,"&lt;="&amp;A750)</f>
        <v>735000</v>
      </c>
      <c r="J750" s="38" t="n">
        <f aca="false">VLOOKUP(A750,Inputs!$F$40:$G$48,2,TRUE())</f>
        <v>0.0457048</v>
      </c>
      <c r="K750" s="38" t="n">
        <f aca="false">J750+Inputs!$C$10</f>
        <v>0.1132048</v>
      </c>
      <c r="L750" s="37" t="n">
        <f aca="false">I750*K750/C750</f>
        <v>227.337508196721</v>
      </c>
      <c r="M750" s="37" t="n">
        <f aca="false">IF(AND(A750&gt;=Inputs!$C$13,OR(A750&lt;Inputs!$B$19,Inputs!$B$20=1)),I750*Inputs!$C$11/C750,0)</f>
        <v>40.1639344262295</v>
      </c>
    </row>
    <row r="751" customFormat="false" ht="15" hidden="false" customHeight="false" outlineLevel="0" collapsed="false">
      <c r="A751" s="35" t="n">
        <f aca="false">A750+1</f>
        <v>45558</v>
      </c>
      <c r="B751" s="35" t="n">
        <f aca="false">EOMONTH(A751+1,0)</f>
        <v>45565</v>
      </c>
      <c r="C751" s="36" t="n">
        <f aca="false">IF(MOD(YEAR(A751),4)=0,366,365)</f>
        <v>366</v>
      </c>
      <c r="D751" s="37" t="n">
        <f aca="false">Inputs!$B$9-SUMIFS(Cash_Events!$G$6:$G$20,Cash_Events!$C$6:$C$20,"rAGMF",Cash_Events!$B$6:$B$20,"&lt;="&amp;A751)</f>
        <v>735000</v>
      </c>
      <c r="E751" s="38" t="n">
        <f aca="false">VLOOKUP(A751,Inputs!$A$40:$B$48,2,TRUE())</f>
        <v>0.0461541</v>
      </c>
      <c r="F751" s="38" t="n">
        <f aca="false">E751+Inputs!$B$10</f>
        <v>0.1136541</v>
      </c>
      <c r="G751" s="37" t="n">
        <f aca="false">D751*F751/C751</f>
        <v>228.239790983607</v>
      </c>
      <c r="H751" s="37" t="n">
        <f aca="false">IF(AND(A751&gt;=Inputs!$B$13,OR(A751&lt;Inputs!$B$19,Inputs!$B$20=1)),D751*Inputs!$B$11/C751,0)</f>
        <v>40.1639344262295</v>
      </c>
      <c r="I751" s="37" t="n">
        <f aca="false">Inputs!$C$9-SUMIFS(Cash_Events!$G$6:$G$20,Cash_Events!$C$6:$C$20,"FHL",Cash_Events!$B$6:$B$20,"&lt;="&amp;A751)</f>
        <v>735000</v>
      </c>
      <c r="J751" s="38" t="n">
        <f aca="false">VLOOKUP(A751,Inputs!$F$40:$G$48,2,TRUE())</f>
        <v>0.0457048</v>
      </c>
      <c r="K751" s="38" t="n">
        <f aca="false">J751+Inputs!$C$10</f>
        <v>0.1132048</v>
      </c>
      <c r="L751" s="37" t="n">
        <f aca="false">I751*K751/C751</f>
        <v>227.337508196721</v>
      </c>
      <c r="M751" s="37" t="n">
        <f aca="false">IF(AND(A751&gt;=Inputs!$C$13,OR(A751&lt;Inputs!$B$19,Inputs!$B$20=1)),I751*Inputs!$C$11/C751,0)</f>
        <v>40.1639344262295</v>
      </c>
    </row>
    <row r="752" customFormat="false" ht="15" hidden="false" customHeight="false" outlineLevel="0" collapsed="false">
      <c r="A752" s="35" t="n">
        <f aca="false">A751+1</f>
        <v>45559</v>
      </c>
      <c r="B752" s="35" t="n">
        <f aca="false">EOMONTH(A752+1,0)</f>
        <v>45565</v>
      </c>
      <c r="C752" s="36" t="n">
        <f aca="false">IF(MOD(YEAR(A752),4)=0,366,365)</f>
        <v>366</v>
      </c>
      <c r="D752" s="37" t="n">
        <f aca="false">Inputs!$B$9-SUMIFS(Cash_Events!$G$6:$G$20,Cash_Events!$C$6:$C$20,"rAGMF",Cash_Events!$B$6:$B$20,"&lt;="&amp;A752)</f>
        <v>735000</v>
      </c>
      <c r="E752" s="38" t="n">
        <f aca="false">VLOOKUP(A752,Inputs!$A$40:$B$48,2,TRUE())</f>
        <v>0.0461541</v>
      </c>
      <c r="F752" s="38" t="n">
        <f aca="false">E752+Inputs!$B$10</f>
        <v>0.1136541</v>
      </c>
      <c r="G752" s="37" t="n">
        <f aca="false">D752*F752/C752</f>
        <v>228.239790983607</v>
      </c>
      <c r="H752" s="37" t="n">
        <f aca="false">IF(AND(A752&gt;=Inputs!$B$13,OR(A752&lt;Inputs!$B$19,Inputs!$B$20=1)),D752*Inputs!$B$11/C752,0)</f>
        <v>40.1639344262295</v>
      </c>
      <c r="I752" s="37" t="n">
        <f aca="false">Inputs!$C$9-SUMIFS(Cash_Events!$G$6:$G$20,Cash_Events!$C$6:$C$20,"FHL",Cash_Events!$B$6:$B$20,"&lt;="&amp;A752)</f>
        <v>735000</v>
      </c>
      <c r="J752" s="38" t="n">
        <f aca="false">VLOOKUP(A752,Inputs!$F$40:$G$48,2,TRUE())</f>
        <v>0.0457048</v>
      </c>
      <c r="K752" s="38" t="n">
        <f aca="false">J752+Inputs!$C$10</f>
        <v>0.1132048</v>
      </c>
      <c r="L752" s="37" t="n">
        <f aca="false">I752*K752/C752</f>
        <v>227.337508196721</v>
      </c>
      <c r="M752" s="37" t="n">
        <f aca="false">IF(AND(A752&gt;=Inputs!$C$13,OR(A752&lt;Inputs!$B$19,Inputs!$B$20=1)),I752*Inputs!$C$11/C752,0)</f>
        <v>40.1639344262295</v>
      </c>
    </row>
    <row r="753" customFormat="false" ht="15" hidden="false" customHeight="false" outlineLevel="0" collapsed="false">
      <c r="A753" s="35" t="n">
        <f aca="false">A752+1</f>
        <v>45560</v>
      </c>
      <c r="B753" s="35" t="n">
        <f aca="false">EOMONTH(A753+1,0)</f>
        <v>45565</v>
      </c>
      <c r="C753" s="36" t="n">
        <f aca="false">IF(MOD(YEAR(A753),4)=0,366,365)</f>
        <v>366</v>
      </c>
      <c r="D753" s="37" t="n">
        <f aca="false">Inputs!$B$9-SUMIFS(Cash_Events!$G$6:$G$20,Cash_Events!$C$6:$C$20,"rAGMF",Cash_Events!$B$6:$B$20,"&lt;="&amp;A753)</f>
        <v>735000</v>
      </c>
      <c r="E753" s="38" t="n">
        <f aca="false">VLOOKUP(A753,Inputs!$A$40:$B$48,2,TRUE())</f>
        <v>0.0461541</v>
      </c>
      <c r="F753" s="38" t="n">
        <f aca="false">E753+Inputs!$B$10</f>
        <v>0.1136541</v>
      </c>
      <c r="G753" s="37" t="n">
        <f aca="false">D753*F753/C753</f>
        <v>228.239790983607</v>
      </c>
      <c r="H753" s="37" t="n">
        <f aca="false">IF(AND(A753&gt;=Inputs!$B$13,OR(A753&lt;Inputs!$B$19,Inputs!$B$20=1)),D753*Inputs!$B$11/C753,0)</f>
        <v>40.1639344262295</v>
      </c>
      <c r="I753" s="37" t="n">
        <f aca="false">Inputs!$C$9-SUMIFS(Cash_Events!$G$6:$G$20,Cash_Events!$C$6:$C$20,"FHL",Cash_Events!$B$6:$B$20,"&lt;="&amp;A753)</f>
        <v>735000</v>
      </c>
      <c r="J753" s="38" t="n">
        <f aca="false">VLOOKUP(A753,Inputs!$F$40:$G$48,2,TRUE())</f>
        <v>0.0457048</v>
      </c>
      <c r="K753" s="38" t="n">
        <f aca="false">J753+Inputs!$C$10</f>
        <v>0.1132048</v>
      </c>
      <c r="L753" s="37" t="n">
        <f aca="false">I753*K753/C753</f>
        <v>227.337508196721</v>
      </c>
      <c r="M753" s="37" t="n">
        <f aca="false">IF(AND(A753&gt;=Inputs!$C$13,OR(A753&lt;Inputs!$B$19,Inputs!$B$20=1)),I753*Inputs!$C$11/C753,0)</f>
        <v>40.1639344262295</v>
      </c>
    </row>
    <row r="754" customFormat="false" ht="15" hidden="false" customHeight="false" outlineLevel="0" collapsed="false">
      <c r="A754" s="35" t="n">
        <f aca="false">A753+1</f>
        <v>45561</v>
      </c>
      <c r="B754" s="35" t="n">
        <f aca="false">EOMONTH(A754+1,0)</f>
        <v>45565</v>
      </c>
      <c r="C754" s="36" t="n">
        <f aca="false">IF(MOD(YEAR(A754),4)=0,366,365)</f>
        <v>366</v>
      </c>
      <c r="D754" s="37" t="n">
        <f aca="false">Inputs!$B$9-SUMIFS(Cash_Events!$G$6:$G$20,Cash_Events!$C$6:$C$20,"rAGMF",Cash_Events!$B$6:$B$20,"&lt;="&amp;A754)</f>
        <v>735000</v>
      </c>
      <c r="E754" s="38" t="n">
        <f aca="false">VLOOKUP(A754,Inputs!$A$40:$B$48,2,TRUE())</f>
        <v>0.0461541</v>
      </c>
      <c r="F754" s="38" t="n">
        <f aca="false">E754+Inputs!$B$10</f>
        <v>0.1136541</v>
      </c>
      <c r="G754" s="37" t="n">
        <f aca="false">D754*F754/C754</f>
        <v>228.239790983607</v>
      </c>
      <c r="H754" s="37" t="n">
        <f aca="false">IF(AND(A754&gt;=Inputs!$B$13,OR(A754&lt;Inputs!$B$19,Inputs!$B$20=1)),D754*Inputs!$B$11/C754,0)</f>
        <v>40.1639344262295</v>
      </c>
      <c r="I754" s="37" t="n">
        <f aca="false">Inputs!$C$9-SUMIFS(Cash_Events!$G$6:$G$20,Cash_Events!$C$6:$C$20,"FHL",Cash_Events!$B$6:$B$20,"&lt;="&amp;A754)</f>
        <v>735000</v>
      </c>
      <c r="J754" s="38" t="n">
        <f aca="false">VLOOKUP(A754,Inputs!$F$40:$G$48,2,TRUE())</f>
        <v>0.0457048</v>
      </c>
      <c r="K754" s="38" t="n">
        <f aca="false">J754+Inputs!$C$10</f>
        <v>0.1132048</v>
      </c>
      <c r="L754" s="37" t="n">
        <f aca="false">I754*K754/C754</f>
        <v>227.337508196721</v>
      </c>
      <c r="M754" s="37" t="n">
        <f aca="false">IF(AND(A754&gt;=Inputs!$C$13,OR(A754&lt;Inputs!$B$19,Inputs!$B$20=1)),I754*Inputs!$C$11/C754,0)</f>
        <v>40.1639344262295</v>
      </c>
    </row>
    <row r="755" customFormat="false" ht="15" hidden="false" customHeight="false" outlineLevel="0" collapsed="false">
      <c r="A755" s="35" t="n">
        <f aca="false">A754+1</f>
        <v>45562</v>
      </c>
      <c r="B755" s="35" t="n">
        <f aca="false">EOMONTH(A755+1,0)</f>
        <v>45565</v>
      </c>
      <c r="C755" s="36" t="n">
        <f aca="false">IF(MOD(YEAR(A755),4)=0,366,365)</f>
        <v>366</v>
      </c>
      <c r="D755" s="37" t="n">
        <f aca="false">Inputs!$B$9-SUMIFS(Cash_Events!$G$6:$G$20,Cash_Events!$C$6:$C$20,"rAGMF",Cash_Events!$B$6:$B$20,"&lt;="&amp;A755)</f>
        <v>735000</v>
      </c>
      <c r="E755" s="38" t="n">
        <f aca="false">VLOOKUP(A755,Inputs!$A$40:$B$48,2,TRUE())</f>
        <v>0.0461541</v>
      </c>
      <c r="F755" s="38" t="n">
        <f aca="false">E755+Inputs!$B$10</f>
        <v>0.1136541</v>
      </c>
      <c r="G755" s="37" t="n">
        <f aca="false">D755*F755/C755</f>
        <v>228.239790983607</v>
      </c>
      <c r="H755" s="37" t="n">
        <f aca="false">IF(AND(A755&gt;=Inputs!$B$13,OR(A755&lt;Inputs!$B$19,Inputs!$B$20=1)),D755*Inputs!$B$11/C755,0)</f>
        <v>40.1639344262295</v>
      </c>
      <c r="I755" s="37" t="n">
        <f aca="false">Inputs!$C$9-SUMIFS(Cash_Events!$G$6:$G$20,Cash_Events!$C$6:$C$20,"FHL",Cash_Events!$B$6:$B$20,"&lt;="&amp;A755)</f>
        <v>735000</v>
      </c>
      <c r="J755" s="38" t="n">
        <f aca="false">VLOOKUP(A755,Inputs!$F$40:$G$48,2,TRUE())</f>
        <v>0.0457048</v>
      </c>
      <c r="K755" s="38" t="n">
        <f aca="false">J755+Inputs!$C$10</f>
        <v>0.1132048</v>
      </c>
      <c r="L755" s="37" t="n">
        <f aca="false">I755*K755/C755</f>
        <v>227.337508196721</v>
      </c>
      <c r="M755" s="37" t="n">
        <f aca="false">IF(AND(A755&gt;=Inputs!$C$13,OR(A755&lt;Inputs!$B$19,Inputs!$B$20=1)),I755*Inputs!$C$11/C755,0)</f>
        <v>40.1639344262295</v>
      </c>
    </row>
    <row r="756" customFormat="false" ht="15" hidden="false" customHeight="false" outlineLevel="0" collapsed="false">
      <c r="A756" s="35" t="n">
        <f aca="false">A755+1</f>
        <v>45563</v>
      </c>
      <c r="B756" s="35" t="n">
        <f aca="false">EOMONTH(A756+1,0)</f>
        <v>45565</v>
      </c>
      <c r="C756" s="36" t="n">
        <f aca="false">IF(MOD(YEAR(A756),4)=0,366,365)</f>
        <v>366</v>
      </c>
      <c r="D756" s="37" t="n">
        <f aca="false">Inputs!$B$9-SUMIFS(Cash_Events!$G$6:$G$20,Cash_Events!$C$6:$C$20,"rAGMF",Cash_Events!$B$6:$B$20,"&lt;="&amp;A756)</f>
        <v>735000</v>
      </c>
      <c r="E756" s="38" t="n">
        <f aca="false">VLOOKUP(A756,Inputs!$A$40:$B$48,2,TRUE())</f>
        <v>0.0461541</v>
      </c>
      <c r="F756" s="38" t="n">
        <f aca="false">E756+Inputs!$B$10</f>
        <v>0.1136541</v>
      </c>
      <c r="G756" s="37" t="n">
        <f aca="false">D756*F756/C756</f>
        <v>228.239790983607</v>
      </c>
      <c r="H756" s="37" t="n">
        <f aca="false">IF(AND(A756&gt;=Inputs!$B$13,OR(A756&lt;Inputs!$B$19,Inputs!$B$20=1)),D756*Inputs!$B$11/C756,0)</f>
        <v>40.1639344262295</v>
      </c>
      <c r="I756" s="37" t="n">
        <f aca="false">Inputs!$C$9-SUMIFS(Cash_Events!$G$6:$G$20,Cash_Events!$C$6:$C$20,"FHL",Cash_Events!$B$6:$B$20,"&lt;="&amp;A756)</f>
        <v>735000</v>
      </c>
      <c r="J756" s="38" t="n">
        <f aca="false">VLOOKUP(A756,Inputs!$F$40:$G$48,2,TRUE())</f>
        <v>0.0457048</v>
      </c>
      <c r="K756" s="38" t="n">
        <f aca="false">J756+Inputs!$C$10</f>
        <v>0.1132048</v>
      </c>
      <c r="L756" s="37" t="n">
        <f aca="false">I756*K756/C756</f>
        <v>227.337508196721</v>
      </c>
      <c r="M756" s="37" t="n">
        <f aca="false">IF(AND(A756&gt;=Inputs!$C$13,OR(A756&lt;Inputs!$B$19,Inputs!$B$20=1)),I756*Inputs!$C$11/C756,0)</f>
        <v>40.1639344262295</v>
      </c>
    </row>
    <row r="757" customFormat="false" ht="15" hidden="false" customHeight="false" outlineLevel="0" collapsed="false">
      <c r="A757" s="35" t="n">
        <f aca="false">A756+1</f>
        <v>45564</v>
      </c>
      <c r="B757" s="35" t="n">
        <f aca="false">EOMONTH(A757+1,0)</f>
        <v>45565</v>
      </c>
      <c r="C757" s="36" t="n">
        <f aca="false">IF(MOD(YEAR(A757),4)=0,366,365)</f>
        <v>366</v>
      </c>
      <c r="D757" s="37" t="n">
        <f aca="false">Inputs!$B$9-SUMIFS(Cash_Events!$G$6:$G$20,Cash_Events!$C$6:$C$20,"rAGMF",Cash_Events!$B$6:$B$20,"&lt;="&amp;A757)</f>
        <v>735000</v>
      </c>
      <c r="E757" s="38" t="n">
        <f aca="false">VLOOKUP(A757,Inputs!$A$40:$B$48,2,TRUE())</f>
        <v>0.0461541</v>
      </c>
      <c r="F757" s="38" t="n">
        <f aca="false">E757+Inputs!$B$10</f>
        <v>0.1136541</v>
      </c>
      <c r="G757" s="37" t="n">
        <f aca="false">D757*F757/C757</f>
        <v>228.239790983607</v>
      </c>
      <c r="H757" s="37" t="n">
        <f aca="false">IF(AND(A757&gt;=Inputs!$B$13,OR(A757&lt;Inputs!$B$19,Inputs!$B$20=1)),D757*Inputs!$B$11/C757,0)</f>
        <v>40.1639344262295</v>
      </c>
      <c r="I757" s="37" t="n">
        <f aca="false">Inputs!$C$9-SUMIFS(Cash_Events!$G$6:$G$20,Cash_Events!$C$6:$C$20,"FHL",Cash_Events!$B$6:$B$20,"&lt;="&amp;A757)</f>
        <v>735000</v>
      </c>
      <c r="J757" s="38" t="n">
        <f aca="false">VLOOKUP(A757,Inputs!$F$40:$G$48,2,TRUE())</f>
        <v>0.0457048</v>
      </c>
      <c r="K757" s="38" t="n">
        <f aca="false">J757+Inputs!$C$10</f>
        <v>0.1132048</v>
      </c>
      <c r="L757" s="37" t="n">
        <f aca="false">I757*K757/C757</f>
        <v>227.337508196721</v>
      </c>
      <c r="M757" s="37" t="n">
        <f aca="false">IF(AND(A757&gt;=Inputs!$C$13,OR(A757&lt;Inputs!$B$19,Inputs!$B$20=1)),I757*Inputs!$C$11/C757,0)</f>
        <v>40.1639344262295</v>
      </c>
    </row>
    <row r="758" customFormat="false" ht="15" hidden="false" customHeight="false" outlineLevel="0" collapsed="false">
      <c r="A758" s="35" t="n">
        <f aca="false">A757+1</f>
        <v>45565</v>
      </c>
      <c r="B758" s="35" t="n">
        <f aca="false">EOMONTH(A758+1,0)</f>
        <v>45596</v>
      </c>
      <c r="C758" s="36" t="n">
        <f aca="false">IF(MOD(YEAR(A758),4)=0,366,365)</f>
        <v>366</v>
      </c>
      <c r="D758" s="37" t="n">
        <f aca="false">Inputs!$B$9-SUMIFS(Cash_Events!$G$6:$G$20,Cash_Events!$C$6:$C$20,"rAGMF",Cash_Events!$B$6:$B$20,"&lt;="&amp;A758)</f>
        <v>735000</v>
      </c>
      <c r="E758" s="38" t="n">
        <f aca="false">VLOOKUP(A758,Inputs!$A$40:$B$48,2,TRUE())</f>
        <v>0.0461541</v>
      </c>
      <c r="F758" s="38" t="n">
        <f aca="false">E758+Inputs!$B$10</f>
        <v>0.1136541</v>
      </c>
      <c r="G758" s="37" t="n">
        <f aca="false">D758*F758/C758</f>
        <v>228.239790983607</v>
      </c>
      <c r="H758" s="37" t="n">
        <f aca="false">IF(AND(A758&gt;=Inputs!$B$13,OR(A758&lt;Inputs!$B$19,Inputs!$B$20=1)),D758*Inputs!$B$11/C758,0)</f>
        <v>40.1639344262295</v>
      </c>
      <c r="I758" s="37" t="n">
        <f aca="false">Inputs!$C$9-SUMIFS(Cash_Events!$G$6:$G$20,Cash_Events!$C$6:$C$20,"FHL",Cash_Events!$B$6:$B$20,"&lt;="&amp;A758)</f>
        <v>735000</v>
      </c>
      <c r="J758" s="38" t="n">
        <f aca="false">VLOOKUP(A758,Inputs!$F$40:$G$48,2,TRUE())</f>
        <v>0.0457048</v>
      </c>
      <c r="K758" s="38" t="n">
        <f aca="false">J758+Inputs!$C$10</f>
        <v>0.1132048</v>
      </c>
      <c r="L758" s="37" t="n">
        <f aca="false">I758*K758/C758</f>
        <v>227.337508196721</v>
      </c>
      <c r="M758" s="37" t="n">
        <f aca="false">IF(AND(A758&gt;=Inputs!$C$13,OR(A758&lt;Inputs!$B$19,Inputs!$B$20=1)),I758*Inputs!$C$11/C758,0)</f>
        <v>40.1639344262295</v>
      </c>
    </row>
    <row r="759" customFormat="false" ht="15" hidden="false" customHeight="false" outlineLevel="0" collapsed="false">
      <c r="A759" s="35" t="n">
        <f aca="false">A758+1</f>
        <v>45566</v>
      </c>
      <c r="B759" s="35" t="n">
        <f aca="false">EOMONTH(A759+1,0)</f>
        <v>45596</v>
      </c>
      <c r="C759" s="36" t="n">
        <f aca="false">IF(MOD(YEAR(A759),4)=0,366,365)</f>
        <v>366</v>
      </c>
      <c r="D759" s="37" t="n">
        <f aca="false">Inputs!$B$9-SUMIFS(Cash_Events!$G$6:$G$20,Cash_Events!$C$6:$C$20,"rAGMF",Cash_Events!$B$6:$B$20,"&lt;="&amp;A759)</f>
        <v>735000</v>
      </c>
      <c r="E759" s="38" t="n">
        <f aca="false">VLOOKUP(A759,Inputs!$A$40:$B$48,2,TRUE())</f>
        <v>0.0461541</v>
      </c>
      <c r="F759" s="38" t="n">
        <f aca="false">E759+Inputs!$B$10</f>
        <v>0.1136541</v>
      </c>
      <c r="G759" s="37" t="n">
        <f aca="false">D759*F759/C759</f>
        <v>228.239790983607</v>
      </c>
      <c r="H759" s="37" t="n">
        <f aca="false">IF(AND(A759&gt;=Inputs!$B$13,OR(A759&lt;Inputs!$B$19,Inputs!$B$20=1)),D759*Inputs!$B$11/C759,0)</f>
        <v>40.1639344262295</v>
      </c>
      <c r="I759" s="37" t="n">
        <f aca="false">Inputs!$C$9-SUMIFS(Cash_Events!$G$6:$G$20,Cash_Events!$C$6:$C$20,"FHL",Cash_Events!$B$6:$B$20,"&lt;="&amp;A759)</f>
        <v>735000</v>
      </c>
      <c r="J759" s="38" t="n">
        <f aca="false">VLOOKUP(A759,Inputs!$F$40:$G$48,2,TRUE())</f>
        <v>0.0457048</v>
      </c>
      <c r="K759" s="38" t="n">
        <f aca="false">J759+Inputs!$C$10</f>
        <v>0.1132048</v>
      </c>
      <c r="L759" s="37" t="n">
        <f aca="false">I759*K759/C759</f>
        <v>227.337508196721</v>
      </c>
      <c r="M759" s="37" t="n">
        <f aca="false">IF(AND(A759&gt;=Inputs!$C$13,OR(A759&lt;Inputs!$B$19,Inputs!$B$20=1)),I759*Inputs!$C$11/C759,0)</f>
        <v>40.1639344262295</v>
      </c>
    </row>
    <row r="760" customFormat="false" ht="15" hidden="false" customHeight="false" outlineLevel="0" collapsed="false">
      <c r="A760" s="35" t="n">
        <f aca="false">A759+1</f>
        <v>45567</v>
      </c>
      <c r="B760" s="35" t="n">
        <f aca="false">EOMONTH(A760+1,0)</f>
        <v>45596</v>
      </c>
      <c r="C760" s="36" t="n">
        <f aca="false">IF(MOD(YEAR(A760),4)=0,366,365)</f>
        <v>366</v>
      </c>
      <c r="D760" s="37" t="n">
        <f aca="false">Inputs!$B$9-SUMIFS(Cash_Events!$G$6:$G$20,Cash_Events!$C$6:$C$20,"rAGMF",Cash_Events!$B$6:$B$20,"&lt;="&amp;A760)</f>
        <v>735000</v>
      </c>
      <c r="E760" s="38" t="n">
        <f aca="false">VLOOKUP(A760,Inputs!$A$40:$B$48,2,TRUE())</f>
        <v>0.0461541</v>
      </c>
      <c r="F760" s="38" t="n">
        <f aca="false">E760+Inputs!$B$10</f>
        <v>0.1136541</v>
      </c>
      <c r="G760" s="37" t="n">
        <f aca="false">D760*F760/C760</f>
        <v>228.239790983607</v>
      </c>
      <c r="H760" s="37" t="n">
        <f aca="false">IF(AND(A760&gt;=Inputs!$B$13,OR(A760&lt;Inputs!$B$19,Inputs!$B$20=1)),D760*Inputs!$B$11/C760,0)</f>
        <v>40.1639344262295</v>
      </c>
      <c r="I760" s="37" t="n">
        <f aca="false">Inputs!$C$9-SUMIFS(Cash_Events!$G$6:$G$20,Cash_Events!$C$6:$C$20,"FHL",Cash_Events!$B$6:$B$20,"&lt;="&amp;A760)</f>
        <v>735000</v>
      </c>
      <c r="J760" s="38" t="n">
        <f aca="false">VLOOKUP(A760,Inputs!$F$40:$G$48,2,TRUE())</f>
        <v>0.0457048</v>
      </c>
      <c r="K760" s="38" t="n">
        <f aca="false">J760+Inputs!$C$10</f>
        <v>0.1132048</v>
      </c>
      <c r="L760" s="37" t="n">
        <f aca="false">I760*K760/C760</f>
        <v>227.337508196721</v>
      </c>
      <c r="M760" s="37" t="n">
        <f aca="false">IF(AND(A760&gt;=Inputs!$C$13,OR(A760&lt;Inputs!$B$19,Inputs!$B$20=1)),I760*Inputs!$C$11/C760,0)</f>
        <v>40.1639344262295</v>
      </c>
    </row>
    <row r="761" customFormat="false" ht="15" hidden="false" customHeight="false" outlineLevel="0" collapsed="false">
      <c r="A761" s="35" t="n">
        <f aca="false">A760+1</f>
        <v>45568</v>
      </c>
      <c r="B761" s="35" t="n">
        <f aca="false">EOMONTH(A761+1,0)</f>
        <v>45596</v>
      </c>
      <c r="C761" s="36" t="n">
        <f aca="false">IF(MOD(YEAR(A761),4)=0,366,365)</f>
        <v>366</v>
      </c>
      <c r="D761" s="37" t="n">
        <f aca="false">Inputs!$B$9-SUMIFS(Cash_Events!$G$6:$G$20,Cash_Events!$C$6:$C$20,"rAGMF",Cash_Events!$B$6:$B$20,"&lt;="&amp;A761)</f>
        <v>735000</v>
      </c>
      <c r="E761" s="38" t="n">
        <f aca="false">VLOOKUP(A761,Inputs!$A$40:$B$48,2,TRUE())</f>
        <v>0.0461541</v>
      </c>
      <c r="F761" s="38" t="n">
        <f aca="false">E761+Inputs!$B$10</f>
        <v>0.1136541</v>
      </c>
      <c r="G761" s="37" t="n">
        <f aca="false">D761*F761/C761</f>
        <v>228.239790983607</v>
      </c>
      <c r="H761" s="37" t="n">
        <f aca="false">IF(AND(A761&gt;=Inputs!$B$13,OR(A761&lt;Inputs!$B$19,Inputs!$B$20=1)),D761*Inputs!$B$11/C761,0)</f>
        <v>40.1639344262295</v>
      </c>
      <c r="I761" s="37" t="n">
        <f aca="false">Inputs!$C$9-SUMIFS(Cash_Events!$G$6:$G$20,Cash_Events!$C$6:$C$20,"FHL",Cash_Events!$B$6:$B$20,"&lt;="&amp;A761)</f>
        <v>735000</v>
      </c>
      <c r="J761" s="38" t="n">
        <f aca="false">VLOOKUP(A761,Inputs!$F$40:$G$48,2,TRUE())</f>
        <v>0.0457048</v>
      </c>
      <c r="K761" s="38" t="n">
        <f aca="false">J761+Inputs!$C$10</f>
        <v>0.1132048</v>
      </c>
      <c r="L761" s="37" t="n">
        <f aca="false">I761*K761/C761</f>
        <v>227.337508196721</v>
      </c>
      <c r="M761" s="37" t="n">
        <f aca="false">IF(AND(A761&gt;=Inputs!$C$13,OR(A761&lt;Inputs!$B$19,Inputs!$B$20=1)),I761*Inputs!$C$11/C761,0)</f>
        <v>40.1639344262295</v>
      </c>
    </row>
    <row r="762" customFormat="false" ht="15" hidden="false" customHeight="false" outlineLevel="0" collapsed="false">
      <c r="A762" s="35" t="n">
        <f aca="false">A761+1</f>
        <v>45569</v>
      </c>
      <c r="B762" s="35" t="n">
        <f aca="false">EOMONTH(A762+1,0)</f>
        <v>45596</v>
      </c>
      <c r="C762" s="36" t="n">
        <f aca="false">IF(MOD(YEAR(A762),4)=0,366,365)</f>
        <v>366</v>
      </c>
      <c r="D762" s="37" t="n">
        <f aca="false">Inputs!$B$9-SUMIFS(Cash_Events!$G$6:$G$20,Cash_Events!$C$6:$C$20,"rAGMF",Cash_Events!$B$6:$B$20,"&lt;="&amp;A762)</f>
        <v>735000</v>
      </c>
      <c r="E762" s="38" t="n">
        <f aca="false">VLOOKUP(A762,Inputs!$A$40:$B$48,2,TRUE())</f>
        <v>0.0461541</v>
      </c>
      <c r="F762" s="38" t="n">
        <f aca="false">E762+Inputs!$B$10</f>
        <v>0.1136541</v>
      </c>
      <c r="G762" s="37" t="n">
        <f aca="false">D762*F762/C762</f>
        <v>228.239790983607</v>
      </c>
      <c r="H762" s="37" t="n">
        <f aca="false">IF(AND(A762&gt;=Inputs!$B$13,OR(A762&lt;Inputs!$B$19,Inputs!$B$20=1)),D762*Inputs!$B$11/C762,0)</f>
        <v>40.1639344262295</v>
      </c>
      <c r="I762" s="37" t="n">
        <f aca="false">Inputs!$C$9-SUMIFS(Cash_Events!$G$6:$G$20,Cash_Events!$C$6:$C$20,"FHL",Cash_Events!$B$6:$B$20,"&lt;="&amp;A762)</f>
        <v>735000</v>
      </c>
      <c r="J762" s="38" t="n">
        <f aca="false">VLOOKUP(A762,Inputs!$F$40:$G$48,2,TRUE())</f>
        <v>0.0457048</v>
      </c>
      <c r="K762" s="38" t="n">
        <f aca="false">J762+Inputs!$C$10</f>
        <v>0.1132048</v>
      </c>
      <c r="L762" s="37" t="n">
        <f aca="false">I762*K762/C762</f>
        <v>227.337508196721</v>
      </c>
      <c r="M762" s="37" t="n">
        <f aca="false">IF(AND(A762&gt;=Inputs!$C$13,OR(A762&lt;Inputs!$B$19,Inputs!$B$20=1)),I762*Inputs!$C$11/C762,0)</f>
        <v>40.1639344262295</v>
      </c>
    </row>
    <row r="763" customFormat="false" ht="15" hidden="false" customHeight="false" outlineLevel="0" collapsed="false">
      <c r="A763" s="35" t="n">
        <f aca="false">A762+1</f>
        <v>45570</v>
      </c>
      <c r="B763" s="35" t="n">
        <f aca="false">EOMONTH(A763+1,0)</f>
        <v>45596</v>
      </c>
      <c r="C763" s="36" t="n">
        <f aca="false">IF(MOD(YEAR(A763),4)=0,366,365)</f>
        <v>366</v>
      </c>
      <c r="D763" s="37" t="n">
        <f aca="false">Inputs!$B$9-SUMIFS(Cash_Events!$G$6:$G$20,Cash_Events!$C$6:$C$20,"rAGMF",Cash_Events!$B$6:$B$20,"&lt;="&amp;A763)</f>
        <v>735000</v>
      </c>
      <c r="E763" s="38" t="n">
        <f aca="false">VLOOKUP(A763,Inputs!$A$40:$B$48,2,TRUE())</f>
        <v>0.0461541</v>
      </c>
      <c r="F763" s="38" t="n">
        <f aca="false">E763+Inputs!$B$10</f>
        <v>0.1136541</v>
      </c>
      <c r="G763" s="37" t="n">
        <f aca="false">D763*F763/C763</f>
        <v>228.239790983607</v>
      </c>
      <c r="H763" s="37" t="n">
        <f aca="false">IF(AND(A763&gt;=Inputs!$B$13,OR(A763&lt;Inputs!$B$19,Inputs!$B$20=1)),D763*Inputs!$B$11/C763,0)</f>
        <v>40.1639344262295</v>
      </c>
      <c r="I763" s="37" t="n">
        <f aca="false">Inputs!$C$9-SUMIFS(Cash_Events!$G$6:$G$20,Cash_Events!$C$6:$C$20,"FHL",Cash_Events!$B$6:$B$20,"&lt;="&amp;A763)</f>
        <v>735000</v>
      </c>
      <c r="J763" s="38" t="n">
        <f aca="false">VLOOKUP(A763,Inputs!$F$40:$G$48,2,TRUE())</f>
        <v>0.0457048</v>
      </c>
      <c r="K763" s="38" t="n">
        <f aca="false">J763+Inputs!$C$10</f>
        <v>0.1132048</v>
      </c>
      <c r="L763" s="37" t="n">
        <f aca="false">I763*K763/C763</f>
        <v>227.337508196721</v>
      </c>
      <c r="M763" s="37" t="n">
        <f aca="false">IF(AND(A763&gt;=Inputs!$C$13,OR(A763&lt;Inputs!$B$19,Inputs!$B$20=1)),I763*Inputs!$C$11/C763,0)</f>
        <v>40.1639344262295</v>
      </c>
    </row>
    <row r="764" customFormat="false" ht="15" hidden="false" customHeight="false" outlineLevel="0" collapsed="false">
      <c r="A764" s="35" t="n">
        <f aca="false">A763+1</f>
        <v>45571</v>
      </c>
      <c r="B764" s="35" t="n">
        <f aca="false">EOMONTH(A764+1,0)</f>
        <v>45596</v>
      </c>
      <c r="C764" s="36" t="n">
        <f aca="false">IF(MOD(YEAR(A764),4)=0,366,365)</f>
        <v>366</v>
      </c>
      <c r="D764" s="37" t="n">
        <f aca="false">Inputs!$B$9-SUMIFS(Cash_Events!$G$6:$G$20,Cash_Events!$C$6:$C$20,"rAGMF",Cash_Events!$B$6:$B$20,"&lt;="&amp;A764)</f>
        <v>735000</v>
      </c>
      <c r="E764" s="38" t="n">
        <f aca="false">VLOOKUP(A764,Inputs!$A$40:$B$48,2,TRUE())</f>
        <v>0.0461541</v>
      </c>
      <c r="F764" s="38" t="n">
        <f aca="false">E764+Inputs!$B$10</f>
        <v>0.1136541</v>
      </c>
      <c r="G764" s="37" t="n">
        <f aca="false">D764*F764/C764</f>
        <v>228.239790983607</v>
      </c>
      <c r="H764" s="37" t="n">
        <f aca="false">IF(AND(A764&gt;=Inputs!$B$13,OR(A764&lt;Inputs!$B$19,Inputs!$B$20=1)),D764*Inputs!$B$11/C764,0)</f>
        <v>40.1639344262295</v>
      </c>
      <c r="I764" s="37" t="n">
        <f aca="false">Inputs!$C$9-SUMIFS(Cash_Events!$G$6:$G$20,Cash_Events!$C$6:$C$20,"FHL",Cash_Events!$B$6:$B$20,"&lt;="&amp;A764)</f>
        <v>735000</v>
      </c>
      <c r="J764" s="38" t="n">
        <f aca="false">VLOOKUP(A764,Inputs!$F$40:$G$48,2,TRUE())</f>
        <v>0.0457048</v>
      </c>
      <c r="K764" s="38" t="n">
        <f aca="false">J764+Inputs!$C$10</f>
        <v>0.1132048</v>
      </c>
      <c r="L764" s="37" t="n">
        <f aca="false">I764*K764/C764</f>
        <v>227.337508196721</v>
      </c>
      <c r="M764" s="37" t="n">
        <f aca="false">IF(AND(A764&gt;=Inputs!$C$13,OR(A764&lt;Inputs!$B$19,Inputs!$B$20=1)),I764*Inputs!$C$11/C764,0)</f>
        <v>40.1639344262295</v>
      </c>
    </row>
    <row r="765" customFormat="false" ht="15" hidden="false" customHeight="false" outlineLevel="0" collapsed="false">
      <c r="A765" s="35" t="n">
        <f aca="false">A764+1</f>
        <v>45572</v>
      </c>
      <c r="B765" s="35" t="n">
        <f aca="false">EOMONTH(A765+1,0)</f>
        <v>45596</v>
      </c>
      <c r="C765" s="36" t="n">
        <f aca="false">IF(MOD(YEAR(A765),4)=0,366,365)</f>
        <v>366</v>
      </c>
      <c r="D765" s="37" t="n">
        <f aca="false">Inputs!$B$9-SUMIFS(Cash_Events!$G$6:$G$20,Cash_Events!$C$6:$C$20,"rAGMF",Cash_Events!$B$6:$B$20,"&lt;="&amp;A765)</f>
        <v>735000</v>
      </c>
      <c r="E765" s="38" t="n">
        <f aca="false">VLOOKUP(A765,Inputs!$A$40:$B$48,2,TRUE())</f>
        <v>0.0461541</v>
      </c>
      <c r="F765" s="38" t="n">
        <f aca="false">E765+Inputs!$B$10</f>
        <v>0.1136541</v>
      </c>
      <c r="G765" s="37" t="n">
        <f aca="false">D765*F765/C765</f>
        <v>228.239790983607</v>
      </c>
      <c r="H765" s="37" t="n">
        <f aca="false">IF(AND(A765&gt;=Inputs!$B$13,OR(A765&lt;Inputs!$B$19,Inputs!$B$20=1)),D765*Inputs!$B$11/C765,0)</f>
        <v>40.1639344262295</v>
      </c>
      <c r="I765" s="37" t="n">
        <f aca="false">Inputs!$C$9-SUMIFS(Cash_Events!$G$6:$G$20,Cash_Events!$C$6:$C$20,"FHL",Cash_Events!$B$6:$B$20,"&lt;="&amp;A765)</f>
        <v>735000</v>
      </c>
      <c r="J765" s="38" t="n">
        <f aca="false">VLOOKUP(A765,Inputs!$F$40:$G$48,2,TRUE())</f>
        <v>0.0457048</v>
      </c>
      <c r="K765" s="38" t="n">
        <f aca="false">J765+Inputs!$C$10</f>
        <v>0.1132048</v>
      </c>
      <c r="L765" s="37" t="n">
        <f aca="false">I765*K765/C765</f>
        <v>227.337508196721</v>
      </c>
      <c r="M765" s="37" t="n">
        <f aca="false">IF(AND(A765&gt;=Inputs!$C$13,OR(A765&lt;Inputs!$B$19,Inputs!$B$20=1)),I765*Inputs!$C$11/C765,0)</f>
        <v>40.1639344262295</v>
      </c>
    </row>
    <row r="766" customFormat="false" ht="15" hidden="false" customHeight="false" outlineLevel="0" collapsed="false">
      <c r="A766" s="35" t="n">
        <f aca="false">A765+1</f>
        <v>45573</v>
      </c>
      <c r="B766" s="35" t="n">
        <f aca="false">EOMONTH(A766+1,0)</f>
        <v>45596</v>
      </c>
      <c r="C766" s="36" t="n">
        <f aca="false">IF(MOD(YEAR(A766),4)=0,366,365)</f>
        <v>366</v>
      </c>
      <c r="D766" s="37" t="n">
        <f aca="false">Inputs!$B$9-SUMIFS(Cash_Events!$G$6:$G$20,Cash_Events!$C$6:$C$20,"rAGMF",Cash_Events!$B$6:$B$20,"&lt;="&amp;A766)</f>
        <v>735000</v>
      </c>
      <c r="E766" s="38" t="n">
        <f aca="false">VLOOKUP(A766,Inputs!$A$40:$B$48,2,TRUE())</f>
        <v>0.0461541</v>
      </c>
      <c r="F766" s="38" t="n">
        <f aca="false">E766+Inputs!$B$10</f>
        <v>0.1136541</v>
      </c>
      <c r="G766" s="37" t="n">
        <f aca="false">D766*F766/C766</f>
        <v>228.239790983607</v>
      </c>
      <c r="H766" s="37" t="n">
        <f aca="false">IF(AND(A766&gt;=Inputs!$B$13,OR(A766&lt;Inputs!$B$19,Inputs!$B$20=1)),D766*Inputs!$B$11/C766,0)</f>
        <v>40.1639344262295</v>
      </c>
      <c r="I766" s="37" t="n">
        <f aca="false">Inputs!$C$9-SUMIFS(Cash_Events!$G$6:$G$20,Cash_Events!$C$6:$C$20,"FHL",Cash_Events!$B$6:$B$20,"&lt;="&amp;A766)</f>
        <v>735000</v>
      </c>
      <c r="J766" s="38" t="n">
        <f aca="false">VLOOKUP(A766,Inputs!$F$40:$G$48,2,TRUE())</f>
        <v>0.0457048</v>
      </c>
      <c r="K766" s="38" t="n">
        <f aca="false">J766+Inputs!$C$10</f>
        <v>0.1132048</v>
      </c>
      <c r="L766" s="37" t="n">
        <f aca="false">I766*K766/C766</f>
        <v>227.337508196721</v>
      </c>
      <c r="M766" s="37" t="n">
        <f aca="false">IF(AND(A766&gt;=Inputs!$C$13,OR(A766&lt;Inputs!$B$19,Inputs!$B$20=1)),I766*Inputs!$C$11/C766,0)</f>
        <v>40.1639344262295</v>
      </c>
    </row>
    <row r="767" customFormat="false" ht="15" hidden="false" customHeight="false" outlineLevel="0" collapsed="false">
      <c r="A767" s="35" t="n">
        <f aca="false">A766+1</f>
        <v>45574</v>
      </c>
      <c r="B767" s="35" t="n">
        <f aca="false">EOMONTH(A767+1,0)</f>
        <v>45596</v>
      </c>
      <c r="C767" s="36" t="n">
        <f aca="false">IF(MOD(YEAR(A767),4)=0,366,365)</f>
        <v>366</v>
      </c>
      <c r="D767" s="37" t="n">
        <f aca="false">Inputs!$B$9-SUMIFS(Cash_Events!$G$6:$G$20,Cash_Events!$C$6:$C$20,"rAGMF",Cash_Events!$B$6:$B$20,"&lt;="&amp;A767)</f>
        <v>735000</v>
      </c>
      <c r="E767" s="38" t="n">
        <f aca="false">VLOOKUP(A767,Inputs!$A$40:$B$48,2,TRUE())</f>
        <v>0.0461541</v>
      </c>
      <c r="F767" s="38" t="n">
        <f aca="false">E767+Inputs!$B$10</f>
        <v>0.1136541</v>
      </c>
      <c r="G767" s="37" t="n">
        <f aca="false">D767*F767/C767</f>
        <v>228.239790983607</v>
      </c>
      <c r="H767" s="37" t="n">
        <f aca="false">IF(AND(A767&gt;=Inputs!$B$13,OR(A767&lt;Inputs!$B$19,Inputs!$B$20=1)),D767*Inputs!$B$11/C767,0)</f>
        <v>40.1639344262295</v>
      </c>
      <c r="I767" s="37" t="n">
        <f aca="false">Inputs!$C$9-SUMIFS(Cash_Events!$G$6:$G$20,Cash_Events!$C$6:$C$20,"FHL",Cash_Events!$B$6:$B$20,"&lt;="&amp;A767)</f>
        <v>735000</v>
      </c>
      <c r="J767" s="38" t="n">
        <f aca="false">VLOOKUP(A767,Inputs!$F$40:$G$48,2,TRUE())</f>
        <v>0.0457048</v>
      </c>
      <c r="K767" s="38" t="n">
        <f aca="false">J767+Inputs!$C$10</f>
        <v>0.1132048</v>
      </c>
      <c r="L767" s="37" t="n">
        <f aca="false">I767*K767/C767</f>
        <v>227.337508196721</v>
      </c>
      <c r="M767" s="37" t="n">
        <f aca="false">IF(AND(A767&gt;=Inputs!$C$13,OR(A767&lt;Inputs!$B$19,Inputs!$B$20=1)),I767*Inputs!$C$11/C767,0)</f>
        <v>40.1639344262295</v>
      </c>
    </row>
    <row r="768" customFormat="false" ht="15" hidden="false" customHeight="false" outlineLevel="0" collapsed="false">
      <c r="A768" s="35" t="n">
        <f aca="false">A767+1</f>
        <v>45575</v>
      </c>
      <c r="B768" s="35" t="n">
        <f aca="false">EOMONTH(A768+1,0)</f>
        <v>45596</v>
      </c>
      <c r="C768" s="36" t="n">
        <f aca="false">IF(MOD(YEAR(A768),4)=0,366,365)</f>
        <v>366</v>
      </c>
      <c r="D768" s="37" t="n">
        <f aca="false">Inputs!$B$9-SUMIFS(Cash_Events!$G$6:$G$20,Cash_Events!$C$6:$C$20,"rAGMF",Cash_Events!$B$6:$B$20,"&lt;="&amp;A768)</f>
        <v>735000</v>
      </c>
      <c r="E768" s="38" t="n">
        <f aca="false">VLOOKUP(A768,Inputs!$A$40:$B$48,2,TRUE())</f>
        <v>0.0461541</v>
      </c>
      <c r="F768" s="38" t="n">
        <f aca="false">E768+Inputs!$B$10</f>
        <v>0.1136541</v>
      </c>
      <c r="G768" s="37" t="n">
        <f aca="false">D768*F768/C768</f>
        <v>228.239790983607</v>
      </c>
      <c r="H768" s="37" t="n">
        <f aca="false">IF(AND(A768&gt;=Inputs!$B$13,OR(A768&lt;Inputs!$B$19,Inputs!$B$20=1)),D768*Inputs!$B$11/C768,0)</f>
        <v>40.1639344262295</v>
      </c>
      <c r="I768" s="37" t="n">
        <f aca="false">Inputs!$C$9-SUMIFS(Cash_Events!$G$6:$G$20,Cash_Events!$C$6:$C$20,"FHL",Cash_Events!$B$6:$B$20,"&lt;="&amp;A768)</f>
        <v>735000</v>
      </c>
      <c r="J768" s="38" t="n">
        <f aca="false">VLOOKUP(A768,Inputs!$F$40:$G$48,2,TRUE())</f>
        <v>0.0457048</v>
      </c>
      <c r="K768" s="38" t="n">
        <f aca="false">J768+Inputs!$C$10</f>
        <v>0.1132048</v>
      </c>
      <c r="L768" s="37" t="n">
        <f aca="false">I768*K768/C768</f>
        <v>227.337508196721</v>
      </c>
      <c r="M768" s="37" t="n">
        <f aca="false">IF(AND(A768&gt;=Inputs!$C$13,OR(A768&lt;Inputs!$B$19,Inputs!$B$20=1)),I768*Inputs!$C$11/C768,0)</f>
        <v>40.1639344262295</v>
      </c>
    </row>
    <row r="769" customFormat="false" ht="15" hidden="false" customHeight="false" outlineLevel="0" collapsed="false">
      <c r="A769" s="35" t="n">
        <f aca="false">A768+1</f>
        <v>45576</v>
      </c>
      <c r="B769" s="35" t="n">
        <f aca="false">EOMONTH(A769+1,0)</f>
        <v>45596</v>
      </c>
      <c r="C769" s="36" t="n">
        <f aca="false">IF(MOD(YEAR(A769),4)=0,366,365)</f>
        <v>366</v>
      </c>
      <c r="D769" s="37" t="n">
        <f aca="false">Inputs!$B$9-SUMIFS(Cash_Events!$G$6:$G$20,Cash_Events!$C$6:$C$20,"rAGMF",Cash_Events!$B$6:$B$20,"&lt;="&amp;A769)</f>
        <v>735000</v>
      </c>
      <c r="E769" s="38" t="n">
        <f aca="false">VLOOKUP(A769,Inputs!$A$40:$B$48,2,TRUE())</f>
        <v>0.0461541</v>
      </c>
      <c r="F769" s="38" t="n">
        <f aca="false">E769+Inputs!$B$10</f>
        <v>0.1136541</v>
      </c>
      <c r="G769" s="37" t="n">
        <f aca="false">D769*F769/C769</f>
        <v>228.239790983607</v>
      </c>
      <c r="H769" s="37" t="n">
        <f aca="false">IF(AND(A769&gt;=Inputs!$B$13,OR(A769&lt;Inputs!$B$19,Inputs!$B$20=1)),D769*Inputs!$B$11/C769,0)</f>
        <v>40.1639344262295</v>
      </c>
      <c r="I769" s="37" t="n">
        <f aca="false">Inputs!$C$9-SUMIFS(Cash_Events!$G$6:$G$20,Cash_Events!$C$6:$C$20,"FHL",Cash_Events!$B$6:$B$20,"&lt;="&amp;A769)</f>
        <v>735000</v>
      </c>
      <c r="J769" s="38" t="n">
        <f aca="false">VLOOKUP(A769,Inputs!$F$40:$G$48,2,TRUE())</f>
        <v>0.0457048</v>
      </c>
      <c r="K769" s="38" t="n">
        <f aca="false">J769+Inputs!$C$10</f>
        <v>0.1132048</v>
      </c>
      <c r="L769" s="37" t="n">
        <f aca="false">I769*K769/C769</f>
        <v>227.337508196721</v>
      </c>
      <c r="M769" s="37" t="n">
        <f aca="false">IF(AND(A769&gt;=Inputs!$C$13,OR(A769&lt;Inputs!$B$19,Inputs!$B$20=1)),I769*Inputs!$C$11/C769,0)</f>
        <v>40.1639344262295</v>
      </c>
    </row>
    <row r="770" customFormat="false" ht="15" hidden="false" customHeight="false" outlineLevel="0" collapsed="false">
      <c r="A770" s="35" t="n">
        <f aca="false">A769+1</f>
        <v>45577</v>
      </c>
      <c r="B770" s="35" t="n">
        <f aca="false">EOMONTH(A770+1,0)</f>
        <v>45596</v>
      </c>
      <c r="C770" s="36" t="n">
        <f aca="false">IF(MOD(YEAR(A770),4)=0,366,365)</f>
        <v>366</v>
      </c>
      <c r="D770" s="37" t="n">
        <f aca="false">Inputs!$B$9-SUMIFS(Cash_Events!$G$6:$G$20,Cash_Events!$C$6:$C$20,"rAGMF",Cash_Events!$B$6:$B$20,"&lt;="&amp;A770)</f>
        <v>735000</v>
      </c>
      <c r="E770" s="38" t="n">
        <f aca="false">VLOOKUP(A770,Inputs!$A$40:$B$48,2,TRUE())</f>
        <v>0.0461541</v>
      </c>
      <c r="F770" s="38" t="n">
        <f aca="false">E770+Inputs!$B$10</f>
        <v>0.1136541</v>
      </c>
      <c r="G770" s="37" t="n">
        <f aca="false">D770*F770/C770</f>
        <v>228.239790983607</v>
      </c>
      <c r="H770" s="37" t="n">
        <f aca="false">IF(AND(A770&gt;=Inputs!$B$13,OR(A770&lt;Inputs!$B$19,Inputs!$B$20=1)),D770*Inputs!$B$11/C770,0)</f>
        <v>40.1639344262295</v>
      </c>
      <c r="I770" s="37" t="n">
        <f aca="false">Inputs!$C$9-SUMIFS(Cash_Events!$G$6:$G$20,Cash_Events!$C$6:$C$20,"FHL",Cash_Events!$B$6:$B$20,"&lt;="&amp;A770)</f>
        <v>735000</v>
      </c>
      <c r="J770" s="38" t="n">
        <f aca="false">VLOOKUP(A770,Inputs!$F$40:$G$48,2,TRUE())</f>
        <v>0.0457048</v>
      </c>
      <c r="K770" s="38" t="n">
        <f aca="false">J770+Inputs!$C$10</f>
        <v>0.1132048</v>
      </c>
      <c r="L770" s="37" t="n">
        <f aca="false">I770*K770/C770</f>
        <v>227.337508196721</v>
      </c>
      <c r="M770" s="37" t="n">
        <f aca="false">IF(AND(A770&gt;=Inputs!$C$13,OR(A770&lt;Inputs!$B$19,Inputs!$B$20=1)),I770*Inputs!$C$11/C770,0)</f>
        <v>40.1639344262295</v>
      </c>
    </row>
    <row r="771" customFormat="false" ht="15" hidden="false" customHeight="false" outlineLevel="0" collapsed="false">
      <c r="A771" s="35" t="n">
        <f aca="false">A770+1</f>
        <v>45578</v>
      </c>
      <c r="B771" s="35" t="n">
        <f aca="false">EOMONTH(A771+1,0)</f>
        <v>45596</v>
      </c>
      <c r="C771" s="36" t="n">
        <f aca="false">IF(MOD(YEAR(A771),4)=0,366,365)</f>
        <v>366</v>
      </c>
      <c r="D771" s="37" t="n">
        <f aca="false">Inputs!$B$9-SUMIFS(Cash_Events!$G$6:$G$20,Cash_Events!$C$6:$C$20,"rAGMF",Cash_Events!$B$6:$B$20,"&lt;="&amp;A771)</f>
        <v>735000</v>
      </c>
      <c r="E771" s="38" t="n">
        <f aca="false">VLOOKUP(A771,Inputs!$A$40:$B$48,2,TRUE())</f>
        <v>0.0461541</v>
      </c>
      <c r="F771" s="38" t="n">
        <f aca="false">E771+Inputs!$B$10</f>
        <v>0.1136541</v>
      </c>
      <c r="G771" s="37" t="n">
        <f aca="false">D771*F771/C771</f>
        <v>228.239790983607</v>
      </c>
      <c r="H771" s="37" t="n">
        <f aca="false">IF(AND(A771&gt;=Inputs!$B$13,OR(A771&lt;Inputs!$B$19,Inputs!$B$20=1)),D771*Inputs!$B$11/C771,0)</f>
        <v>40.1639344262295</v>
      </c>
      <c r="I771" s="37" t="n">
        <f aca="false">Inputs!$C$9-SUMIFS(Cash_Events!$G$6:$G$20,Cash_Events!$C$6:$C$20,"FHL",Cash_Events!$B$6:$B$20,"&lt;="&amp;A771)</f>
        <v>735000</v>
      </c>
      <c r="J771" s="38" t="n">
        <f aca="false">VLOOKUP(A771,Inputs!$F$40:$G$48,2,TRUE())</f>
        <v>0.0457048</v>
      </c>
      <c r="K771" s="38" t="n">
        <f aca="false">J771+Inputs!$C$10</f>
        <v>0.1132048</v>
      </c>
      <c r="L771" s="37" t="n">
        <f aca="false">I771*K771/C771</f>
        <v>227.337508196721</v>
      </c>
      <c r="M771" s="37" t="n">
        <f aca="false">IF(AND(A771&gt;=Inputs!$C$13,OR(A771&lt;Inputs!$B$19,Inputs!$B$20=1)),I771*Inputs!$C$11/C771,0)</f>
        <v>40.1639344262295</v>
      </c>
    </row>
    <row r="772" customFormat="false" ht="15" hidden="false" customHeight="false" outlineLevel="0" collapsed="false">
      <c r="A772" s="35" t="n">
        <f aca="false">A771+1</f>
        <v>45579</v>
      </c>
      <c r="B772" s="35" t="n">
        <f aca="false">EOMONTH(A772+1,0)</f>
        <v>45596</v>
      </c>
      <c r="C772" s="36" t="n">
        <f aca="false">IF(MOD(YEAR(A772),4)=0,366,365)</f>
        <v>366</v>
      </c>
      <c r="D772" s="37" t="n">
        <f aca="false">Inputs!$B$9-SUMIFS(Cash_Events!$G$6:$G$20,Cash_Events!$C$6:$C$20,"rAGMF",Cash_Events!$B$6:$B$20,"&lt;="&amp;A772)</f>
        <v>735000</v>
      </c>
      <c r="E772" s="38" t="n">
        <f aca="false">VLOOKUP(A772,Inputs!$A$40:$B$48,2,TRUE())</f>
        <v>0.0461541</v>
      </c>
      <c r="F772" s="38" t="n">
        <f aca="false">E772+Inputs!$B$10</f>
        <v>0.1136541</v>
      </c>
      <c r="G772" s="37" t="n">
        <f aca="false">D772*F772/C772</f>
        <v>228.239790983607</v>
      </c>
      <c r="H772" s="37" t="n">
        <f aca="false">IF(AND(A772&gt;=Inputs!$B$13,OR(A772&lt;Inputs!$B$19,Inputs!$B$20=1)),D772*Inputs!$B$11/C772,0)</f>
        <v>40.1639344262295</v>
      </c>
      <c r="I772" s="37" t="n">
        <f aca="false">Inputs!$C$9-SUMIFS(Cash_Events!$G$6:$G$20,Cash_Events!$C$6:$C$20,"FHL",Cash_Events!$B$6:$B$20,"&lt;="&amp;A772)</f>
        <v>735000</v>
      </c>
      <c r="J772" s="38" t="n">
        <f aca="false">VLOOKUP(A772,Inputs!$F$40:$G$48,2,TRUE())</f>
        <v>0.0457048</v>
      </c>
      <c r="K772" s="38" t="n">
        <f aca="false">J772+Inputs!$C$10</f>
        <v>0.1132048</v>
      </c>
      <c r="L772" s="37" t="n">
        <f aca="false">I772*K772/C772</f>
        <v>227.337508196721</v>
      </c>
      <c r="M772" s="37" t="n">
        <f aca="false">IF(AND(A772&gt;=Inputs!$C$13,OR(A772&lt;Inputs!$B$19,Inputs!$B$20=1)),I772*Inputs!$C$11/C772,0)</f>
        <v>40.1639344262295</v>
      </c>
    </row>
    <row r="773" customFormat="false" ht="15" hidden="false" customHeight="false" outlineLevel="0" collapsed="false">
      <c r="A773" s="35" t="n">
        <f aca="false">A772+1</f>
        <v>45580</v>
      </c>
      <c r="B773" s="35" t="n">
        <f aca="false">EOMONTH(A773+1,0)</f>
        <v>45596</v>
      </c>
      <c r="C773" s="36" t="n">
        <f aca="false">IF(MOD(YEAR(A773),4)=0,366,365)</f>
        <v>366</v>
      </c>
      <c r="D773" s="37" t="n">
        <f aca="false">Inputs!$B$9-SUMIFS(Cash_Events!$G$6:$G$20,Cash_Events!$C$6:$C$20,"rAGMF",Cash_Events!$B$6:$B$20,"&lt;="&amp;A773)</f>
        <v>735000</v>
      </c>
      <c r="E773" s="38" t="n">
        <f aca="false">VLOOKUP(A773,Inputs!$A$40:$B$48,2,TRUE())</f>
        <v>0.0461541</v>
      </c>
      <c r="F773" s="38" t="n">
        <f aca="false">E773+Inputs!$B$10</f>
        <v>0.1136541</v>
      </c>
      <c r="G773" s="37" t="n">
        <f aca="false">D773*F773/C773</f>
        <v>228.239790983607</v>
      </c>
      <c r="H773" s="37" t="n">
        <f aca="false">IF(AND(A773&gt;=Inputs!$B$13,OR(A773&lt;Inputs!$B$19,Inputs!$B$20=1)),D773*Inputs!$B$11/C773,0)</f>
        <v>40.1639344262295</v>
      </c>
      <c r="I773" s="37" t="n">
        <f aca="false">Inputs!$C$9-SUMIFS(Cash_Events!$G$6:$G$20,Cash_Events!$C$6:$C$20,"FHL",Cash_Events!$B$6:$B$20,"&lt;="&amp;A773)</f>
        <v>735000</v>
      </c>
      <c r="J773" s="38" t="n">
        <f aca="false">VLOOKUP(A773,Inputs!$F$40:$G$48,2,TRUE())</f>
        <v>0.0457048</v>
      </c>
      <c r="K773" s="38" t="n">
        <f aca="false">J773+Inputs!$C$10</f>
        <v>0.1132048</v>
      </c>
      <c r="L773" s="37" t="n">
        <f aca="false">I773*K773/C773</f>
        <v>227.337508196721</v>
      </c>
      <c r="M773" s="37" t="n">
        <f aca="false">IF(AND(A773&gt;=Inputs!$C$13,OR(A773&lt;Inputs!$B$19,Inputs!$B$20=1)),I773*Inputs!$C$11/C773,0)</f>
        <v>40.1639344262295</v>
      </c>
    </row>
    <row r="774" customFormat="false" ht="15" hidden="false" customHeight="false" outlineLevel="0" collapsed="false">
      <c r="A774" s="35" t="n">
        <f aca="false">A773+1</f>
        <v>45581</v>
      </c>
      <c r="B774" s="35" t="n">
        <f aca="false">EOMONTH(A774+1,0)</f>
        <v>45596</v>
      </c>
      <c r="C774" s="36" t="n">
        <f aca="false">IF(MOD(YEAR(A774),4)=0,366,365)</f>
        <v>366</v>
      </c>
      <c r="D774" s="37" t="n">
        <f aca="false">Inputs!$B$9-SUMIFS(Cash_Events!$G$6:$G$20,Cash_Events!$C$6:$C$20,"rAGMF",Cash_Events!$B$6:$B$20,"&lt;="&amp;A774)</f>
        <v>735000</v>
      </c>
      <c r="E774" s="38" t="n">
        <f aca="false">VLOOKUP(A774,Inputs!$A$40:$B$48,2,TRUE())</f>
        <v>0.0461541</v>
      </c>
      <c r="F774" s="38" t="n">
        <f aca="false">E774+Inputs!$B$10</f>
        <v>0.1136541</v>
      </c>
      <c r="G774" s="37" t="n">
        <f aca="false">D774*F774/C774</f>
        <v>228.239790983607</v>
      </c>
      <c r="H774" s="37" t="n">
        <f aca="false">IF(AND(A774&gt;=Inputs!$B$13,OR(A774&lt;Inputs!$B$19,Inputs!$B$20=1)),D774*Inputs!$B$11/C774,0)</f>
        <v>40.1639344262295</v>
      </c>
      <c r="I774" s="37" t="n">
        <f aca="false">Inputs!$C$9-SUMIFS(Cash_Events!$G$6:$G$20,Cash_Events!$C$6:$C$20,"FHL",Cash_Events!$B$6:$B$20,"&lt;="&amp;A774)</f>
        <v>735000</v>
      </c>
      <c r="J774" s="38" t="n">
        <f aca="false">VLOOKUP(A774,Inputs!$F$40:$G$48,2,TRUE())</f>
        <v>0.0457048</v>
      </c>
      <c r="K774" s="38" t="n">
        <f aca="false">J774+Inputs!$C$10</f>
        <v>0.1132048</v>
      </c>
      <c r="L774" s="37" t="n">
        <f aca="false">I774*K774/C774</f>
        <v>227.337508196721</v>
      </c>
      <c r="M774" s="37" t="n">
        <f aca="false">IF(AND(A774&gt;=Inputs!$C$13,OR(A774&lt;Inputs!$B$19,Inputs!$B$20=1)),I774*Inputs!$C$11/C774,0)</f>
        <v>40.1639344262295</v>
      </c>
    </row>
    <row r="775" customFormat="false" ht="15" hidden="false" customHeight="false" outlineLevel="0" collapsed="false">
      <c r="A775" s="35" t="n">
        <f aca="false">A774+1</f>
        <v>45582</v>
      </c>
      <c r="B775" s="35" t="n">
        <f aca="false">EOMONTH(A775+1,0)</f>
        <v>45596</v>
      </c>
      <c r="C775" s="36" t="n">
        <f aca="false">IF(MOD(YEAR(A775),4)=0,366,365)</f>
        <v>366</v>
      </c>
      <c r="D775" s="37" t="n">
        <f aca="false">Inputs!$B$9-SUMIFS(Cash_Events!$G$6:$G$20,Cash_Events!$C$6:$C$20,"rAGMF",Cash_Events!$B$6:$B$20,"&lt;="&amp;A775)</f>
        <v>735000</v>
      </c>
      <c r="E775" s="38" t="n">
        <f aca="false">VLOOKUP(A775,Inputs!$A$40:$B$48,2,TRUE())</f>
        <v>0.0461541</v>
      </c>
      <c r="F775" s="38" t="n">
        <f aca="false">E775+Inputs!$B$10</f>
        <v>0.1136541</v>
      </c>
      <c r="G775" s="37" t="n">
        <f aca="false">D775*F775/C775</f>
        <v>228.239790983607</v>
      </c>
      <c r="H775" s="37" t="n">
        <f aca="false">IF(AND(A775&gt;=Inputs!$B$13,OR(A775&lt;Inputs!$B$19,Inputs!$B$20=1)),D775*Inputs!$B$11/C775,0)</f>
        <v>40.1639344262295</v>
      </c>
      <c r="I775" s="37" t="n">
        <f aca="false">Inputs!$C$9-SUMIFS(Cash_Events!$G$6:$G$20,Cash_Events!$C$6:$C$20,"FHL",Cash_Events!$B$6:$B$20,"&lt;="&amp;A775)</f>
        <v>735000</v>
      </c>
      <c r="J775" s="38" t="n">
        <f aca="false">VLOOKUP(A775,Inputs!$F$40:$G$48,2,TRUE())</f>
        <v>0.0457048</v>
      </c>
      <c r="K775" s="38" t="n">
        <f aca="false">J775+Inputs!$C$10</f>
        <v>0.1132048</v>
      </c>
      <c r="L775" s="37" t="n">
        <f aca="false">I775*K775/C775</f>
        <v>227.337508196721</v>
      </c>
      <c r="M775" s="37" t="n">
        <f aca="false">IF(AND(A775&gt;=Inputs!$C$13,OR(A775&lt;Inputs!$B$19,Inputs!$B$20=1)),I775*Inputs!$C$11/C775,0)</f>
        <v>40.1639344262295</v>
      </c>
    </row>
    <row r="776" customFormat="false" ht="15" hidden="false" customHeight="false" outlineLevel="0" collapsed="false">
      <c r="A776" s="35" t="n">
        <f aca="false">A775+1</f>
        <v>45583</v>
      </c>
      <c r="B776" s="35" t="n">
        <f aca="false">EOMONTH(A776+1,0)</f>
        <v>45596</v>
      </c>
      <c r="C776" s="36" t="n">
        <f aca="false">IF(MOD(YEAR(A776),4)=0,366,365)</f>
        <v>366</v>
      </c>
      <c r="D776" s="37" t="n">
        <f aca="false">Inputs!$B$9-SUMIFS(Cash_Events!$G$6:$G$20,Cash_Events!$C$6:$C$20,"rAGMF",Cash_Events!$B$6:$B$20,"&lt;="&amp;A776)</f>
        <v>735000</v>
      </c>
      <c r="E776" s="38" t="n">
        <f aca="false">VLOOKUP(A776,Inputs!$A$40:$B$48,2,TRUE())</f>
        <v>0.0461541</v>
      </c>
      <c r="F776" s="38" t="n">
        <f aca="false">E776+Inputs!$B$10</f>
        <v>0.1136541</v>
      </c>
      <c r="G776" s="37" t="n">
        <f aca="false">D776*F776/C776</f>
        <v>228.239790983607</v>
      </c>
      <c r="H776" s="37" t="n">
        <f aca="false">IF(AND(A776&gt;=Inputs!$B$13,OR(A776&lt;Inputs!$B$19,Inputs!$B$20=1)),D776*Inputs!$B$11/C776,0)</f>
        <v>40.1639344262295</v>
      </c>
      <c r="I776" s="37" t="n">
        <f aca="false">Inputs!$C$9-SUMIFS(Cash_Events!$G$6:$G$20,Cash_Events!$C$6:$C$20,"FHL",Cash_Events!$B$6:$B$20,"&lt;="&amp;A776)</f>
        <v>735000</v>
      </c>
      <c r="J776" s="38" t="n">
        <f aca="false">VLOOKUP(A776,Inputs!$F$40:$G$48,2,TRUE())</f>
        <v>0.0457048</v>
      </c>
      <c r="K776" s="38" t="n">
        <f aca="false">J776+Inputs!$C$10</f>
        <v>0.1132048</v>
      </c>
      <c r="L776" s="37" t="n">
        <f aca="false">I776*K776/C776</f>
        <v>227.337508196721</v>
      </c>
      <c r="M776" s="37" t="n">
        <f aca="false">IF(AND(A776&gt;=Inputs!$C$13,OR(A776&lt;Inputs!$B$19,Inputs!$B$20=1)),I776*Inputs!$C$11/C776,0)</f>
        <v>40.1639344262295</v>
      </c>
    </row>
    <row r="777" customFormat="false" ht="15" hidden="false" customHeight="false" outlineLevel="0" collapsed="false">
      <c r="A777" s="35" t="n">
        <f aca="false">A776+1</f>
        <v>45584</v>
      </c>
      <c r="B777" s="35" t="n">
        <f aca="false">EOMONTH(A777+1,0)</f>
        <v>45596</v>
      </c>
      <c r="C777" s="36" t="n">
        <f aca="false">IF(MOD(YEAR(A777),4)=0,366,365)</f>
        <v>366</v>
      </c>
      <c r="D777" s="37" t="n">
        <f aca="false">Inputs!$B$9-SUMIFS(Cash_Events!$G$6:$G$20,Cash_Events!$C$6:$C$20,"rAGMF",Cash_Events!$B$6:$B$20,"&lt;="&amp;A777)</f>
        <v>735000</v>
      </c>
      <c r="E777" s="38" t="n">
        <f aca="false">VLOOKUP(A777,Inputs!$A$40:$B$48,2,TRUE())</f>
        <v>0.0461541</v>
      </c>
      <c r="F777" s="38" t="n">
        <f aca="false">E777+Inputs!$B$10</f>
        <v>0.1136541</v>
      </c>
      <c r="G777" s="37" t="n">
        <f aca="false">D777*F777/C777</f>
        <v>228.239790983607</v>
      </c>
      <c r="H777" s="37" t="n">
        <f aca="false">IF(AND(A777&gt;=Inputs!$B$13,OR(A777&lt;Inputs!$B$19,Inputs!$B$20=1)),D777*Inputs!$B$11/C777,0)</f>
        <v>40.1639344262295</v>
      </c>
      <c r="I777" s="37" t="n">
        <f aca="false">Inputs!$C$9-SUMIFS(Cash_Events!$G$6:$G$20,Cash_Events!$C$6:$C$20,"FHL",Cash_Events!$B$6:$B$20,"&lt;="&amp;A777)</f>
        <v>735000</v>
      </c>
      <c r="J777" s="38" t="n">
        <f aca="false">VLOOKUP(A777,Inputs!$F$40:$G$48,2,TRUE())</f>
        <v>0.0457048</v>
      </c>
      <c r="K777" s="38" t="n">
        <f aca="false">J777+Inputs!$C$10</f>
        <v>0.1132048</v>
      </c>
      <c r="L777" s="37" t="n">
        <f aca="false">I777*K777/C777</f>
        <v>227.337508196721</v>
      </c>
      <c r="M777" s="37" t="n">
        <f aca="false">IF(AND(A777&gt;=Inputs!$C$13,OR(A777&lt;Inputs!$B$19,Inputs!$B$20=1)),I777*Inputs!$C$11/C777,0)</f>
        <v>40.1639344262295</v>
      </c>
    </row>
    <row r="778" customFormat="false" ht="15" hidden="false" customHeight="false" outlineLevel="0" collapsed="false">
      <c r="A778" s="35" t="n">
        <f aca="false">A777+1</f>
        <v>45585</v>
      </c>
      <c r="B778" s="35" t="n">
        <f aca="false">EOMONTH(A778+1,0)</f>
        <v>45596</v>
      </c>
      <c r="C778" s="36" t="n">
        <f aca="false">IF(MOD(YEAR(A778),4)=0,366,365)</f>
        <v>366</v>
      </c>
      <c r="D778" s="37" t="n">
        <f aca="false">Inputs!$B$9-SUMIFS(Cash_Events!$G$6:$G$20,Cash_Events!$C$6:$C$20,"rAGMF",Cash_Events!$B$6:$B$20,"&lt;="&amp;A778)</f>
        <v>735000</v>
      </c>
      <c r="E778" s="38" t="n">
        <f aca="false">VLOOKUP(A778,Inputs!$A$40:$B$48,2,TRUE())</f>
        <v>0.0461541</v>
      </c>
      <c r="F778" s="38" t="n">
        <f aca="false">E778+Inputs!$B$10</f>
        <v>0.1136541</v>
      </c>
      <c r="G778" s="37" t="n">
        <f aca="false">D778*F778/C778</f>
        <v>228.239790983607</v>
      </c>
      <c r="H778" s="37" t="n">
        <f aca="false">IF(AND(A778&gt;=Inputs!$B$13,OR(A778&lt;Inputs!$B$19,Inputs!$B$20=1)),D778*Inputs!$B$11/C778,0)</f>
        <v>40.1639344262295</v>
      </c>
      <c r="I778" s="37" t="n">
        <f aca="false">Inputs!$C$9-SUMIFS(Cash_Events!$G$6:$G$20,Cash_Events!$C$6:$C$20,"FHL",Cash_Events!$B$6:$B$20,"&lt;="&amp;A778)</f>
        <v>735000</v>
      </c>
      <c r="J778" s="38" t="n">
        <f aca="false">VLOOKUP(A778,Inputs!$F$40:$G$48,2,TRUE())</f>
        <v>0.0457048</v>
      </c>
      <c r="K778" s="38" t="n">
        <f aca="false">J778+Inputs!$C$10</f>
        <v>0.1132048</v>
      </c>
      <c r="L778" s="37" t="n">
        <f aca="false">I778*K778/C778</f>
        <v>227.337508196721</v>
      </c>
      <c r="M778" s="37" t="n">
        <f aca="false">IF(AND(A778&gt;=Inputs!$C$13,OR(A778&lt;Inputs!$B$19,Inputs!$B$20=1)),I778*Inputs!$C$11/C778,0)</f>
        <v>40.1639344262295</v>
      </c>
    </row>
    <row r="779" customFormat="false" ht="15" hidden="false" customHeight="false" outlineLevel="0" collapsed="false">
      <c r="A779" s="35" t="n">
        <f aca="false">A778+1</f>
        <v>45586</v>
      </c>
      <c r="B779" s="35" t="n">
        <f aca="false">EOMONTH(A779+1,0)</f>
        <v>45596</v>
      </c>
      <c r="C779" s="36" t="n">
        <f aca="false">IF(MOD(YEAR(A779),4)=0,366,365)</f>
        <v>366</v>
      </c>
      <c r="D779" s="37" t="n">
        <f aca="false">Inputs!$B$9-SUMIFS(Cash_Events!$G$6:$G$20,Cash_Events!$C$6:$C$20,"rAGMF",Cash_Events!$B$6:$B$20,"&lt;="&amp;A779)</f>
        <v>735000</v>
      </c>
      <c r="E779" s="38" t="n">
        <f aca="false">VLOOKUP(A779,Inputs!$A$40:$B$48,2,TRUE())</f>
        <v>0.0461541</v>
      </c>
      <c r="F779" s="38" t="n">
        <f aca="false">E779+Inputs!$B$10</f>
        <v>0.1136541</v>
      </c>
      <c r="G779" s="37" t="n">
        <f aca="false">D779*F779/C779</f>
        <v>228.239790983607</v>
      </c>
      <c r="H779" s="37" t="n">
        <f aca="false">IF(AND(A779&gt;=Inputs!$B$13,OR(A779&lt;Inputs!$B$19,Inputs!$B$20=1)),D779*Inputs!$B$11/C779,0)</f>
        <v>40.1639344262295</v>
      </c>
      <c r="I779" s="37" t="n">
        <f aca="false">Inputs!$C$9-SUMIFS(Cash_Events!$G$6:$G$20,Cash_Events!$C$6:$C$20,"FHL",Cash_Events!$B$6:$B$20,"&lt;="&amp;A779)</f>
        <v>735000</v>
      </c>
      <c r="J779" s="38" t="n">
        <f aca="false">VLOOKUP(A779,Inputs!$F$40:$G$48,2,TRUE())</f>
        <v>0.0457048</v>
      </c>
      <c r="K779" s="38" t="n">
        <f aca="false">J779+Inputs!$C$10</f>
        <v>0.1132048</v>
      </c>
      <c r="L779" s="37" t="n">
        <f aca="false">I779*K779/C779</f>
        <v>227.337508196721</v>
      </c>
      <c r="M779" s="37" t="n">
        <f aca="false">IF(AND(A779&gt;=Inputs!$C$13,OR(A779&lt;Inputs!$B$19,Inputs!$B$20=1)),I779*Inputs!$C$11/C779,0)</f>
        <v>40.1639344262295</v>
      </c>
    </row>
    <row r="780" customFormat="false" ht="15" hidden="false" customHeight="false" outlineLevel="0" collapsed="false">
      <c r="A780" s="35" t="n">
        <f aca="false">A779+1</f>
        <v>45587</v>
      </c>
      <c r="B780" s="35" t="n">
        <f aca="false">EOMONTH(A780+1,0)</f>
        <v>45596</v>
      </c>
      <c r="C780" s="36" t="n">
        <f aca="false">IF(MOD(YEAR(A780),4)=0,366,365)</f>
        <v>366</v>
      </c>
      <c r="D780" s="37" t="n">
        <f aca="false">Inputs!$B$9-SUMIFS(Cash_Events!$G$6:$G$20,Cash_Events!$C$6:$C$20,"rAGMF",Cash_Events!$B$6:$B$20,"&lt;="&amp;A780)</f>
        <v>735000</v>
      </c>
      <c r="E780" s="38" t="n">
        <f aca="false">VLOOKUP(A780,Inputs!$A$40:$B$48,2,TRUE())</f>
        <v>0.0461541</v>
      </c>
      <c r="F780" s="38" t="n">
        <f aca="false">E780+Inputs!$B$10</f>
        <v>0.1136541</v>
      </c>
      <c r="G780" s="37" t="n">
        <f aca="false">D780*F780/C780</f>
        <v>228.239790983607</v>
      </c>
      <c r="H780" s="37" t="n">
        <f aca="false">IF(AND(A780&gt;=Inputs!$B$13,OR(A780&lt;Inputs!$B$19,Inputs!$B$20=1)),D780*Inputs!$B$11/C780,0)</f>
        <v>40.1639344262295</v>
      </c>
      <c r="I780" s="37" t="n">
        <f aca="false">Inputs!$C$9-SUMIFS(Cash_Events!$G$6:$G$20,Cash_Events!$C$6:$C$20,"FHL",Cash_Events!$B$6:$B$20,"&lt;="&amp;A780)</f>
        <v>735000</v>
      </c>
      <c r="J780" s="38" t="n">
        <f aca="false">VLOOKUP(A780,Inputs!$F$40:$G$48,2,TRUE())</f>
        <v>0.0457048</v>
      </c>
      <c r="K780" s="38" t="n">
        <f aca="false">J780+Inputs!$C$10</f>
        <v>0.1132048</v>
      </c>
      <c r="L780" s="37" t="n">
        <f aca="false">I780*K780/C780</f>
        <v>227.337508196721</v>
      </c>
      <c r="M780" s="37" t="n">
        <f aca="false">IF(AND(A780&gt;=Inputs!$C$13,OR(A780&lt;Inputs!$B$19,Inputs!$B$20=1)),I780*Inputs!$C$11/C780,0)</f>
        <v>40.1639344262295</v>
      </c>
    </row>
    <row r="781" customFormat="false" ht="15" hidden="false" customHeight="false" outlineLevel="0" collapsed="false">
      <c r="A781" s="35" t="n">
        <f aca="false">A780+1</f>
        <v>45588</v>
      </c>
      <c r="B781" s="35" t="n">
        <f aca="false">EOMONTH(A781+1,0)</f>
        <v>45596</v>
      </c>
      <c r="C781" s="36" t="n">
        <f aca="false">IF(MOD(YEAR(A781),4)=0,366,365)</f>
        <v>366</v>
      </c>
      <c r="D781" s="37" t="n">
        <f aca="false">Inputs!$B$9-SUMIFS(Cash_Events!$G$6:$G$20,Cash_Events!$C$6:$C$20,"rAGMF",Cash_Events!$B$6:$B$20,"&lt;="&amp;A781)</f>
        <v>735000</v>
      </c>
      <c r="E781" s="38" t="n">
        <f aca="false">VLOOKUP(A781,Inputs!$A$40:$B$48,2,TRUE())</f>
        <v>0.0461541</v>
      </c>
      <c r="F781" s="38" t="n">
        <f aca="false">E781+Inputs!$B$10</f>
        <v>0.1136541</v>
      </c>
      <c r="G781" s="37" t="n">
        <f aca="false">D781*F781/C781</f>
        <v>228.239790983607</v>
      </c>
      <c r="H781" s="37" t="n">
        <f aca="false">IF(AND(A781&gt;=Inputs!$B$13,OR(A781&lt;Inputs!$B$19,Inputs!$B$20=1)),D781*Inputs!$B$11/C781,0)</f>
        <v>40.1639344262295</v>
      </c>
      <c r="I781" s="37" t="n">
        <f aca="false">Inputs!$C$9-SUMIFS(Cash_Events!$G$6:$G$20,Cash_Events!$C$6:$C$20,"FHL",Cash_Events!$B$6:$B$20,"&lt;="&amp;A781)</f>
        <v>735000</v>
      </c>
      <c r="J781" s="38" t="n">
        <f aca="false">VLOOKUP(A781,Inputs!$F$40:$G$48,2,TRUE())</f>
        <v>0.0457048</v>
      </c>
      <c r="K781" s="38" t="n">
        <f aca="false">J781+Inputs!$C$10</f>
        <v>0.1132048</v>
      </c>
      <c r="L781" s="37" t="n">
        <f aca="false">I781*K781/C781</f>
        <v>227.337508196721</v>
      </c>
      <c r="M781" s="37" t="n">
        <f aca="false">IF(AND(A781&gt;=Inputs!$C$13,OR(A781&lt;Inputs!$B$19,Inputs!$B$20=1)),I781*Inputs!$C$11/C781,0)</f>
        <v>40.1639344262295</v>
      </c>
    </row>
    <row r="782" customFormat="false" ht="15" hidden="false" customHeight="false" outlineLevel="0" collapsed="false">
      <c r="A782" s="35" t="n">
        <f aca="false">A781+1</f>
        <v>45589</v>
      </c>
      <c r="B782" s="35" t="n">
        <f aca="false">EOMONTH(A782+1,0)</f>
        <v>45596</v>
      </c>
      <c r="C782" s="36" t="n">
        <f aca="false">IF(MOD(YEAR(A782),4)=0,366,365)</f>
        <v>366</v>
      </c>
      <c r="D782" s="37" t="n">
        <f aca="false">Inputs!$B$9-SUMIFS(Cash_Events!$G$6:$G$20,Cash_Events!$C$6:$C$20,"rAGMF",Cash_Events!$B$6:$B$20,"&lt;="&amp;A782)</f>
        <v>735000</v>
      </c>
      <c r="E782" s="38" t="n">
        <f aca="false">VLOOKUP(A782,Inputs!$A$40:$B$48,2,TRUE())</f>
        <v>0.0461541</v>
      </c>
      <c r="F782" s="38" t="n">
        <f aca="false">E782+Inputs!$B$10</f>
        <v>0.1136541</v>
      </c>
      <c r="G782" s="37" t="n">
        <f aca="false">D782*F782/C782</f>
        <v>228.239790983607</v>
      </c>
      <c r="H782" s="37" t="n">
        <f aca="false">IF(AND(A782&gt;=Inputs!$B$13,OR(A782&lt;Inputs!$B$19,Inputs!$B$20=1)),D782*Inputs!$B$11/C782,0)</f>
        <v>40.1639344262295</v>
      </c>
      <c r="I782" s="37" t="n">
        <f aca="false">Inputs!$C$9-SUMIFS(Cash_Events!$G$6:$G$20,Cash_Events!$C$6:$C$20,"FHL",Cash_Events!$B$6:$B$20,"&lt;="&amp;A782)</f>
        <v>735000</v>
      </c>
      <c r="J782" s="38" t="n">
        <f aca="false">VLOOKUP(A782,Inputs!$F$40:$G$48,2,TRUE())</f>
        <v>0.0457048</v>
      </c>
      <c r="K782" s="38" t="n">
        <f aca="false">J782+Inputs!$C$10</f>
        <v>0.1132048</v>
      </c>
      <c r="L782" s="37" t="n">
        <f aca="false">I782*K782/C782</f>
        <v>227.337508196721</v>
      </c>
      <c r="M782" s="37" t="n">
        <f aca="false">IF(AND(A782&gt;=Inputs!$C$13,OR(A782&lt;Inputs!$B$19,Inputs!$B$20=1)),I782*Inputs!$C$11/C782,0)</f>
        <v>40.1639344262295</v>
      </c>
    </row>
    <row r="783" customFormat="false" ht="15" hidden="false" customHeight="false" outlineLevel="0" collapsed="false">
      <c r="A783" s="35" t="n">
        <f aca="false">A782+1</f>
        <v>45590</v>
      </c>
      <c r="B783" s="35" t="n">
        <f aca="false">EOMONTH(A783+1,0)</f>
        <v>45596</v>
      </c>
      <c r="C783" s="36" t="n">
        <f aca="false">IF(MOD(YEAR(A783),4)=0,366,365)</f>
        <v>366</v>
      </c>
      <c r="D783" s="37" t="n">
        <f aca="false">Inputs!$B$9-SUMIFS(Cash_Events!$G$6:$G$20,Cash_Events!$C$6:$C$20,"rAGMF",Cash_Events!$B$6:$B$20,"&lt;="&amp;A783)</f>
        <v>735000</v>
      </c>
      <c r="E783" s="38" t="n">
        <f aca="false">VLOOKUP(A783,Inputs!$A$40:$B$48,2,TRUE())</f>
        <v>0.0461541</v>
      </c>
      <c r="F783" s="38" t="n">
        <f aca="false">E783+Inputs!$B$10</f>
        <v>0.1136541</v>
      </c>
      <c r="G783" s="37" t="n">
        <f aca="false">D783*F783/C783</f>
        <v>228.239790983607</v>
      </c>
      <c r="H783" s="37" t="n">
        <f aca="false">IF(AND(A783&gt;=Inputs!$B$13,OR(A783&lt;Inputs!$B$19,Inputs!$B$20=1)),D783*Inputs!$B$11/C783,0)</f>
        <v>40.1639344262295</v>
      </c>
      <c r="I783" s="37" t="n">
        <f aca="false">Inputs!$C$9-SUMIFS(Cash_Events!$G$6:$G$20,Cash_Events!$C$6:$C$20,"FHL",Cash_Events!$B$6:$B$20,"&lt;="&amp;A783)</f>
        <v>735000</v>
      </c>
      <c r="J783" s="38" t="n">
        <f aca="false">VLOOKUP(A783,Inputs!$F$40:$G$48,2,TRUE())</f>
        <v>0.0457048</v>
      </c>
      <c r="K783" s="38" t="n">
        <f aca="false">J783+Inputs!$C$10</f>
        <v>0.1132048</v>
      </c>
      <c r="L783" s="37" t="n">
        <f aca="false">I783*K783/C783</f>
        <v>227.337508196721</v>
      </c>
      <c r="M783" s="37" t="n">
        <f aca="false">IF(AND(A783&gt;=Inputs!$C$13,OR(A783&lt;Inputs!$B$19,Inputs!$B$20=1)),I783*Inputs!$C$11/C783,0)</f>
        <v>40.1639344262295</v>
      </c>
    </row>
    <row r="784" customFormat="false" ht="15" hidden="false" customHeight="false" outlineLevel="0" collapsed="false">
      <c r="A784" s="35" t="n">
        <f aca="false">A783+1</f>
        <v>45591</v>
      </c>
      <c r="B784" s="35" t="n">
        <f aca="false">EOMONTH(A784+1,0)</f>
        <v>45596</v>
      </c>
      <c r="C784" s="36" t="n">
        <f aca="false">IF(MOD(YEAR(A784),4)=0,366,365)</f>
        <v>366</v>
      </c>
      <c r="D784" s="37" t="n">
        <f aca="false">Inputs!$B$9-SUMIFS(Cash_Events!$G$6:$G$20,Cash_Events!$C$6:$C$20,"rAGMF",Cash_Events!$B$6:$B$20,"&lt;="&amp;A784)</f>
        <v>735000</v>
      </c>
      <c r="E784" s="38" t="n">
        <f aca="false">VLOOKUP(A784,Inputs!$A$40:$B$48,2,TRUE())</f>
        <v>0.0461541</v>
      </c>
      <c r="F784" s="38" t="n">
        <f aca="false">E784+Inputs!$B$10</f>
        <v>0.1136541</v>
      </c>
      <c r="G784" s="37" t="n">
        <f aca="false">D784*F784/C784</f>
        <v>228.239790983607</v>
      </c>
      <c r="H784" s="37" t="n">
        <f aca="false">IF(AND(A784&gt;=Inputs!$B$13,OR(A784&lt;Inputs!$B$19,Inputs!$B$20=1)),D784*Inputs!$B$11/C784,0)</f>
        <v>40.1639344262295</v>
      </c>
      <c r="I784" s="37" t="n">
        <f aca="false">Inputs!$C$9-SUMIFS(Cash_Events!$G$6:$G$20,Cash_Events!$C$6:$C$20,"FHL",Cash_Events!$B$6:$B$20,"&lt;="&amp;A784)</f>
        <v>735000</v>
      </c>
      <c r="J784" s="38" t="n">
        <f aca="false">VLOOKUP(A784,Inputs!$F$40:$G$48,2,TRUE())</f>
        <v>0.0457048</v>
      </c>
      <c r="K784" s="38" t="n">
        <f aca="false">J784+Inputs!$C$10</f>
        <v>0.1132048</v>
      </c>
      <c r="L784" s="37" t="n">
        <f aca="false">I784*K784/C784</f>
        <v>227.337508196721</v>
      </c>
      <c r="M784" s="37" t="n">
        <f aca="false">IF(AND(A784&gt;=Inputs!$C$13,OR(A784&lt;Inputs!$B$19,Inputs!$B$20=1)),I784*Inputs!$C$11/C784,0)</f>
        <v>40.1639344262295</v>
      </c>
    </row>
    <row r="785" customFormat="false" ht="15" hidden="false" customHeight="false" outlineLevel="0" collapsed="false">
      <c r="A785" s="35" t="n">
        <f aca="false">A784+1</f>
        <v>45592</v>
      </c>
      <c r="B785" s="35" t="n">
        <f aca="false">EOMONTH(A785+1,0)</f>
        <v>45596</v>
      </c>
      <c r="C785" s="36" t="n">
        <f aca="false">IF(MOD(YEAR(A785),4)=0,366,365)</f>
        <v>366</v>
      </c>
      <c r="D785" s="37" t="n">
        <f aca="false">Inputs!$B$9-SUMIFS(Cash_Events!$G$6:$G$20,Cash_Events!$C$6:$C$20,"rAGMF",Cash_Events!$B$6:$B$20,"&lt;="&amp;A785)</f>
        <v>735000</v>
      </c>
      <c r="E785" s="38" t="n">
        <f aca="false">VLOOKUP(A785,Inputs!$A$40:$B$48,2,TRUE())</f>
        <v>0.0461541</v>
      </c>
      <c r="F785" s="38" t="n">
        <f aca="false">E785+Inputs!$B$10</f>
        <v>0.1136541</v>
      </c>
      <c r="G785" s="37" t="n">
        <f aca="false">D785*F785/C785</f>
        <v>228.239790983607</v>
      </c>
      <c r="H785" s="37" t="n">
        <f aca="false">IF(AND(A785&gt;=Inputs!$B$13,OR(A785&lt;Inputs!$B$19,Inputs!$B$20=1)),D785*Inputs!$B$11/C785,0)</f>
        <v>40.1639344262295</v>
      </c>
      <c r="I785" s="37" t="n">
        <f aca="false">Inputs!$C$9-SUMIFS(Cash_Events!$G$6:$G$20,Cash_Events!$C$6:$C$20,"FHL",Cash_Events!$B$6:$B$20,"&lt;="&amp;A785)</f>
        <v>735000</v>
      </c>
      <c r="J785" s="38" t="n">
        <f aca="false">VLOOKUP(A785,Inputs!$F$40:$G$48,2,TRUE())</f>
        <v>0.0457048</v>
      </c>
      <c r="K785" s="38" t="n">
        <f aca="false">J785+Inputs!$C$10</f>
        <v>0.1132048</v>
      </c>
      <c r="L785" s="37" t="n">
        <f aca="false">I785*K785/C785</f>
        <v>227.337508196721</v>
      </c>
      <c r="M785" s="37" t="n">
        <f aca="false">IF(AND(A785&gt;=Inputs!$C$13,OR(A785&lt;Inputs!$B$19,Inputs!$B$20=1)),I785*Inputs!$C$11/C785,0)</f>
        <v>40.1639344262295</v>
      </c>
    </row>
    <row r="786" customFormat="false" ht="15" hidden="false" customHeight="false" outlineLevel="0" collapsed="false">
      <c r="A786" s="35" t="n">
        <f aca="false">A785+1</f>
        <v>45593</v>
      </c>
      <c r="B786" s="35" t="n">
        <f aca="false">EOMONTH(A786+1,0)</f>
        <v>45596</v>
      </c>
      <c r="C786" s="36" t="n">
        <f aca="false">IF(MOD(YEAR(A786),4)=0,366,365)</f>
        <v>366</v>
      </c>
      <c r="D786" s="37" t="n">
        <f aca="false">Inputs!$B$9-SUMIFS(Cash_Events!$G$6:$G$20,Cash_Events!$C$6:$C$20,"rAGMF",Cash_Events!$B$6:$B$20,"&lt;="&amp;A786)</f>
        <v>735000</v>
      </c>
      <c r="E786" s="38" t="n">
        <f aca="false">VLOOKUP(A786,Inputs!$A$40:$B$48,2,TRUE())</f>
        <v>0.0461541</v>
      </c>
      <c r="F786" s="38" t="n">
        <f aca="false">E786+Inputs!$B$10</f>
        <v>0.1136541</v>
      </c>
      <c r="G786" s="37" t="n">
        <f aca="false">D786*F786/C786</f>
        <v>228.239790983607</v>
      </c>
      <c r="H786" s="37" t="n">
        <f aca="false">IF(AND(A786&gt;=Inputs!$B$13,OR(A786&lt;Inputs!$B$19,Inputs!$B$20=1)),D786*Inputs!$B$11/C786,0)</f>
        <v>40.1639344262295</v>
      </c>
      <c r="I786" s="37" t="n">
        <f aca="false">Inputs!$C$9-SUMIFS(Cash_Events!$G$6:$G$20,Cash_Events!$C$6:$C$20,"FHL",Cash_Events!$B$6:$B$20,"&lt;="&amp;A786)</f>
        <v>735000</v>
      </c>
      <c r="J786" s="38" t="n">
        <f aca="false">VLOOKUP(A786,Inputs!$F$40:$G$48,2,TRUE())</f>
        <v>0.0457048</v>
      </c>
      <c r="K786" s="38" t="n">
        <f aca="false">J786+Inputs!$C$10</f>
        <v>0.1132048</v>
      </c>
      <c r="L786" s="37" t="n">
        <f aca="false">I786*K786/C786</f>
        <v>227.337508196721</v>
      </c>
      <c r="M786" s="37" t="n">
        <f aca="false">IF(AND(A786&gt;=Inputs!$C$13,OR(A786&lt;Inputs!$B$19,Inputs!$B$20=1)),I786*Inputs!$C$11/C786,0)</f>
        <v>40.1639344262295</v>
      </c>
    </row>
    <row r="787" customFormat="false" ht="15" hidden="false" customHeight="false" outlineLevel="0" collapsed="false">
      <c r="A787" s="35" t="n">
        <f aca="false">A786+1</f>
        <v>45594</v>
      </c>
      <c r="B787" s="35" t="n">
        <f aca="false">EOMONTH(A787+1,0)</f>
        <v>45596</v>
      </c>
      <c r="C787" s="36" t="n">
        <f aca="false">IF(MOD(YEAR(A787),4)=0,366,365)</f>
        <v>366</v>
      </c>
      <c r="D787" s="37" t="n">
        <f aca="false">Inputs!$B$9-SUMIFS(Cash_Events!$G$6:$G$20,Cash_Events!$C$6:$C$20,"rAGMF",Cash_Events!$B$6:$B$20,"&lt;="&amp;A787)</f>
        <v>735000</v>
      </c>
      <c r="E787" s="38" t="n">
        <f aca="false">VLOOKUP(A787,Inputs!$A$40:$B$48,2,TRUE())</f>
        <v>0.0461541</v>
      </c>
      <c r="F787" s="38" t="n">
        <f aca="false">E787+Inputs!$B$10</f>
        <v>0.1136541</v>
      </c>
      <c r="G787" s="37" t="n">
        <f aca="false">D787*F787/C787</f>
        <v>228.239790983607</v>
      </c>
      <c r="H787" s="37" t="n">
        <f aca="false">IF(AND(A787&gt;=Inputs!$B$13,OR(A787&lt;Inputs!$B$19,Inputs!$B$20=1)),D787*Inputs!$B$11/C787,0)</f>
        <v>40.1639344262295</v>
      </c>
      <c r="I787" s="37" t="n">
        <f aca="false">Inputs!$C$9-SUMIFS(Cash_Events!$G$6:$G$20,Cash_Events!$C$6:$C$20,"FHL",Cash_Events!$B$6:$B$20,"&lt;="&amp;A787)</f>
        <v>735000</v>
      </c>
      <c r="J787" s="38" t="n">
        <f aca="false">VLOOKUP(A787,Inputs!$F$40:$G$48,2,TRUE())</f>
        <v>0.0457048</v>
      </c>
      <c r="K787" s="38" t="n">
        <f aca="false">J787+Inputs!$C$10</f>
        <v>0.1132048</v>
      </c>
      <c r="L787" s="37" t="n">
        <f aca="false">I787*K787/C787</f>
        <v>227.337508196721</v>
      </c>
      <c r="M787" s="37" t="n">
        <f aca="false">IF(AND(A787&gt;=Inputs!$C$13,OR(A787&lt;Inputs!$B$19,Inputs!$B$20=1)),I787*Inputs!$C$11/C787,0)</f>
        <v>40.1639344262295</v>
      </c>
    </row>
    <row r="788" customFormat="false" ht="15" hidden="false" customHeight="false" outlineLevel="0" collapsed="false">
      <c r="A788" s="35" t="n">
        <f aca="false">A787+1</f>
        <v>45595</v>
      </c>
      <c r="B788" s="35" t="n">
        <f aca="false">EOMONTH(A788+1,0)</f>
        <v>45596</v>
      </c>
      <c r="C788" s="36" t="n">
        <f aca="false">IF(MOD(YEAR(A788),4)=0,366,365)</f>
        <v>366</v>
      </c>
      <c r="D788" s="37" t="n">
        <f aca="false">Inputs!$B$9-SUMIFS(Cash_Events!$G$6:$G$20,Cash_Events!$C$6:$C$20,"rAGMF",Cash_Events!$B$6:$B$20,"&lt;="&amp;A788)</f>
        <v>735000</v>
      </c>
      <c r="E788" s="38" t="n">
        <f aca="false">VLOOKUP(A788,Inputs!$A$40:$B$48,2,TRUE())</f>
        <v>0.0461541</v>
      </c>
      <c r="F788" s="38" t="n">
        <f aca="false">E788+Inputs!$B$10</f>
        <v>0.1136541</v>
      </c>
      <c r="G788" s="37" t="n">
        <f aca="false">D788*F788/C788</f>
        <v>228.239790983607</v>
      </c>
      <c r="H788" s="37" t="n">
        <f aca="false">IF(AND(A788&gt;=Inputs!$B$13,OR(A788&lt;Inputs!$B$19,Inputs!$B$20=1)),D788*Inputs!$B$11/C788,0)</f>
        <v>40.1639344262295</v>
      </c>
      <c r="I788" s="37" t="n">
        <f aca="false">Inputs!$C$9-SUMIFS(Cash_Events!$G$6:$G$20,Cash_Events!$C$6:$C$20,"FHL",Cash_Events!$B$6:$B$20,"&lt;="&amp;A788)</f>
        <v>735000</v>
      </c>
      <c r="J788" s="38" t="n">
        <f aca="false">VLOOKUP(A788,Inputs!$F$40:$G$48,2,TRUE())</f>
        <v>0.0457048</v>
      </c>
      <c r="K788" s="38" t="n">
        <f aca="false">J788+Inputs!$C$10</f>
        <v>0.1132048</v>
      </c>
      <c r="L788" s="37" t="n">
        <f aca="false">I788*K788/C788</f>
        <v>227.337508196721</v>
      </c>
      <c r="M788" s="37" t="n">
        <f aca="false">IF(AND(A788&gt;=Inputs!$C$13,OR(A788&lt;Inputs!$B$19,Inputs!$B$20=1)),I788*Inputs!$C$11/C788,0)</f>
        <v>40.1639344262295</v>
      </c>
    </row>
    <row r="789" customFormat="false" ht="15" hidden="false" customHeight="false" outlineLevel="0" collapsed="false">
      <c r="A789" s="35" t="n">
        <f aca="false">A788+1</f>
        <v>45596</v>
      </c>
      <c r="B789" s="35" t="n">
        <f aca="false">EOMONTH(A789+1,0)</f>
        <v>45626</v>
      </c>
      <c r="C789" s="36" t="n">
        <f aca="false">IF(MOD(YEAR(A789),4)=0,366,365)</f>
        <v>366</v>
      </c>
      <c r="D789" s="37" t="n">
        <f aca="false">Inputs!$B$9-SUMIFS(Cash_Events!$G$6:$G$20,Cash_Events!$C$6:$C$20,"rAGMF",Cash_Events!$B$6:$B$20,"&lt;="&amp;A789)</f>
        <v>735000</v>
      </c>
      <c r="E789" s="38" t="n">
        <f aca="false">VLOOKUP(A789,Inputs!$A$40:$B$48,2,TRUE())</f>
        <v>0.0461541</v>
      </c>
      <c r="F789" s="38" t="n">
        <f aca="false">E789+Inputs!$B$10</f>
        <v>0.1136541</v>
      </c>
      <c r="G789" s="37" t="n">
        <f aca="false">D789*F789/C789</f>
        <v>228.239790983607</v>
      </c>
      <c r="H789" s="37" t="n">
        <f aca="false">IF(AND(A789&gt;=Inputs!$B$13,OR(A789&lt;Inputs!$B$19,Inputs!$B$20=1)),D789*Inputs!$B$11/C789,0)</f>
        <v>40.1639344262295</v>
      </c>
      <c r="I789" s="37" t="n">
        <f aca="false">Inputs!$C$9-SUMIFS(Cash_Events!$G$6:$G$20,Cash_Events!$C$6:$C$20,"FHL",Cash_Events!$B$6:$B$20,"&lt;="&amp;A789)</f>
        <v>735000</v>
      </c>
      <c r="J789" s="38" t="n">
        <f aca="false">VLOOKUP(A789,Inputs!$F$40:$G$48,2,TRUE())</f>
        <v>0.0457048</v>
      </c>
      <c r="K789" s="38" t="n">
        <f aca="false">J789+Inputs!$C$10</f>
        <v>0.1132048</v>
      </c>
      <c r="L789" s="37" t="n">
        <f aca="false">I789*K789/C789</f>
        <v>227.337508196721</v>
      </c>
      <c r="M789" s="37" t="n">
        <f aca="false">IF(AND(A789&gt;=Inputs!$C$13,OR(A789&lt;Inputs!$B$19,Inputs!$B$20=1)),I789*Inputs!$C$11/C789,0)</f>
        <v>40.1639344262295</v>
      </c>
    </row>
    <row r="790" customFormat="false" ht="15" hidden="false" customHeight="false" outlineLevel="0" collapsed="false">
      <c r="A790" s="35" t="n">
        <f aca="false">A789+1</f>
        <v>45597</v>
      </c>
      <c r="B790" s="35" t="n">
        <f aca="false">EOMONTH(A790+1,0)</f>
        <v>45626</v>
      </c>
      <c r="C790" s="36" t="n">
        <f aca="false">IF(MOD(YEAR(A790),4)=0,366,365)</f>
        <v>366</v>
      </c>
      <c r="D790" s="37" t="n">
        <f aca="false">Inputs!$B$9-SUMIFS(Cash_Events!$G$6:$G$20,Cash_Events!$C$6:$C$20,"rAGMF",Cash_Events!$B$6:$B$20,"&lt;="&amp;A790)</f>
        <v>735000</v>
      </c>
      <c r="E790" s="38" t="n">
        <f aca="false">VLOOKUP(A790,Inputs!$A$40:$B$48,2,TRUE())</f>
        <v>0.0461541</v>
      </c>
      <c r="F790" s="38" t="n">
        <f aca="false">E790+Inputs!$B$10</f>
        <v>0.1136541</v>
      </c>
      <c r="G790" s="37" t="n">
        <f aca="false">D790*F790/C790</f>
        <v>228.239790983607</v>
      </c>
      <c r="H790" s="37" t="n">
        <f aca="false">IF(AND(A790&gt;=Inputs!$B$13,OR(A790&lt;Inputs!$B$19,Inputs!$B$20=1)),D790*Inputs!$B$11/C790,0)</f>
        <v>40.1639344262295</v>
      </c>
      <c r="I790" s="37" t="n">
        <f aca="false">Inputs!$C$9-SUMIFS(Cash_Events!$G$6:$G$20,Cash_Events!$C$6:$C$20,"FHL",Cash_Events!$B$6:$B$20,"&lt;="&amp;A790)</f>
        <v>735000</v>
      </c>
      <c r="J790" s="38" t="n">
        <f aca="false">VLOOKUP(A790,Inputs!$F$40:$G$48,2,TRUE())</f>
        <v>0.0457048</v>
      </c>
      <c r="K790" s="38" t="n">
        <f aca="false">J790+Inputs!$C$10</f>
        <v>0.1132048</v>
      </c>
      <c r="L790" s="37" t="n">
        <f aca="false">I790*K790/C790</f>
        <v>227.337508196721</v>
      </c>
      <c r="M790" s="37" t="n">
        <f aca="false">IF(AND(A790&gt;=Inputs!$C$13,OR(A790&lt;Inputs!$B$19,Inputs!$B$20=1)),I790*Inputs!$C$11/C790,0)</f>
        <v>40.1639344262295</v>
      </c>
    </row>
    <row r="791" customFormat="false" ht="15" hidden="false" customHeight="false" outlineLevel="0" collapsed="false">
      <c r="A791" s="35" t="n">
        <f aca="false">A790+1</f>
        <v>45598</v>
      </c>
      <c r="B791" s="35" t="n">
        <f aca="false">EOMONTH(A791+1,0)</f>
        <v>45626</v>
      </c>
      <c r="C791" s="36" t="n">
        <f aca="false">IF(MOD(YEAR(A791),4)=0,366,365)</f>
        <v>366</v>
      </c>
      <c r="D791" s="37" t="n">
        <f aca="false">Inputs!$B$9-SUMIFS(Cash_Events!$G$6:$G$20,Cash_Events!$C$6:$C$20,"rAGMF",Cash_Events!$B$6:$B$20,"&lt;="&amp;A791)</f>
        <v>735000</v>
      </c>
      <c r="E791" s="38" t="n">
        <f aca="false">VLOOKUP(A791,Inputs!$A$40:$B$48,2,TRUE())</f>
        <v>0.0461541</v>
      </c>
      <c r="F791" s="38" t="n">
        <f aca="false">E791+Inputs!$B$10</f>
        <v>0.1136541</v>
      </c>
      <c r="G791" s="37" t="n">
        <f aca="false">D791*F791/C791</f>
        <v>228.239790983607</v>
      </c>
      <c r="H791" s="37" t="n">
        <f aca="false">IF(AND(A791&gt;=Inputs!$B$13,OR(A791&lt;Inputs!$B$19,Inputs!$B$20=1)),D791*Inputs!$B$11/C791,0)</f>
        <v>40.1639344262295</v>
      </c>
      <c r="I791" s="37" t="n">
        <f aca="false">Inputs!$C$9-SUMIFS(Cash_Events!$G$6:$G$20,Cash_Events!$C$6:$C$20,"FHL",Cash_Events!$B$6:$B$20,"&lt;="&amp;A791)</f>
        <v>735000</v>
      </c>
      <c r="J791" s="38" t="n">
        <f aca="false">VLOOKUP(A791,Inputs!$F$40:$G$48,2,TRUE())</f>
        <v>0.0457048</v>
      </c>
      <c r="K791" s="38" t="n">
        <f aca="false">J791+Inputs!$C$10</f>
        <v>0.1132048</v>
      </c>
      <c r="L791" s="37" t="n">
        <f aca="false">I791*K791/C791</f>
        <v>227.337508196721</v>
      </c>
      <c r="M791" s="37" t="n">
        <f aca="false">IF(AND(A791&gt;=Inputs!$C$13,OR(A791&lt;Inputs!$B$19,Inputs!$B$20=1)),I791*Inputs!$C$11/C791,0)</f>
        <v>40.1639344262295</v>
      </c>
    </row>
    <row r="792" customFormat="false" ht="15" hidden="false" customHeight="false" outlineLevel="0" collapsed="false">
      <c r="A792" s="35" t="n">
        <f aca="false">A791+1</f>
        <v>45599</v>
      </c>
      <c r="B792" s="35" t="n">
        <f aca="false">EOMONTH(A792+1,0)</f>
        <v>45626</v>
      </c>
      <c r="C792" s="36" t="n">
        <f aca="false">IF(MOD(YEAR(A792),4)=0,366,365)</f>
        <v>366</v>
      </c>
      <c r="D792" s="37" t="n">
        <f aca="false">Inputs!$B$9-SUMIFS(Cash_Events!$G$6:$G$20,Cash_Events!$C$6:$C$20,"rAGMF",Cash_Events!$B$6:$B$20,"&lt;="&amp;A792)</f>
        <v>735000</v>
      </c>
      <c r="E792" s="38" t="n">
        <f aca="false">VLOOKUP(A792,Inputs!$A$40:$B$48,2,TRUE())</f>
        <v>0.0461541</v>
      </c>
      <c r="F792" s="38" t="n">
        <f aca="false">E792+Inputs!$B$10</f>
        <v>0.1136541</v>
      </c>
      <c r="G792" s="37" t="n">
        <f aca="false">D792*F792/C792</f>
        <v>228.239790983607</v>
      </c>
      <c r="H792" s="37" t="n">
        <f aca="false">IF(AND(A792&gt;=Inputs!$B$13,OR(A792&lt;Inputs!$B$19,Inputs!$B$20=1)),D792*Inputs!$B$11/C792,0)</f>
        <v>40.1639344262295</v>
      </c>
      <c r="I792" s="37" t="n">
        <f aca="false">Inputs!$C$9-SUMIFS(Cash_Events!$G$6:$G$20,Cash_Events!$C$6:$C$20,"FHL",Cash_Events!$B$6:$B$20,"&lt;="&amp;A792)</f>
        <v>735000</v>
      </c>
      <c r="J792" s="38" t="n">
        <f aca="false">VLOOKUP(A792,Inputs!$F$40:$G$48,2,TRUE())</f>
        <v>0.0457048</v>
      </c>
      <c r="K792" s="38" t="n">
        <f aca="false">J792+Inputs!$C$10</f>
        <v>0.1132048</v>
      </c>
      <c r="L792" s="37" t="n">
        <f aca="false">I792*K792/C792</f>
        <v>227.337508196721</v>
      </c>
      <c r="M792" s="37" t="n">
        <f aca="false">IF(AND(A792&gt;=Inputs!$C$13,OR(A792&lt;Inputs!$B$19,Inputs!$B$20=1)),I792*Inputs!$C$11/C792,0)</f>
        <v>40.1639344262295</v>
      </c>
    </row>
    <row r="793" customFormat="false" ht="15" hidden="false" customHeight="false" outlineLevel="0" collapsed="false">
      <c r="A793" s="35" t="n">
        <f aca="false">A792+1</f>
        <v>45600</v>
      </c>
      <c r="B793" s="35" t="n">
        <f aca="false">EOMONTH(A793+1,0)</f>
        <v>45626</v>
      </c>
      <c r="C793" s="36" t="n">
        <f aca="false">IF(MOD(YEAR(A793),4)=0,366,365)</f>
        <v>366</v>
      </c>
      <c r="D793" s="37" t="n">
        <f aca="false">Inputs!$B$9-SUMIFS(Cash_Events!$G$6:$G$20,Cash_Events!$C$6:$C$20,"rAGMF",Cash_Events!$B$6:$B$20,"&lt;="&amp;A793)</f>
        <v>735000</v>
      </c>
      <c r="E793" s="38" t="n">
        <f aca="false">VLOOKUP(A793,Inputs!$A$40:$B$48,2,TRUE())</f>
        <v>0.0461541</v>
      </c>
      <c r="F793" s="38" t="n">
        <f aca="false">E793+Inputs!$B$10</f>
        <v>0.1136541</v>
      </c>
      <c r="G793" s="37" t="n">
        <f aca="false">D793*F793/C793</f>
        <v>228.239790983607</v>
      </c>
      <c r="H793" s="37" t="n">
        <f aca="false">IF(AND(A793&gt;=Inputs!$B$13,OR(A793&lt;Inputs!$B$19,Inputs!$B$20=1)),D793*Inputs!$B$11/C793,0)</f>
        <v>40.1639344262295</v>
      </c>
      <c r="I793" s="37" t="n">
        <f aca="false">Inputs!$C$9-SUMIFS(Cash_Events!$G$6:$G$20,Cash_Events!$C$6:$C$20,"FHL",Cash_Events!$B$6:$B$20,"&lt;="&amp;A793)</f>
        <v>735000</v>
      </c>
      <c r="J793" s="38" t="n">
        <f aca="false">VLOOKUP(A793,Inputs!$F$40:$G$48,2,TRUE())</f>
        <v>0.0457048</v>
      </c>
      <c r="K793" s="38" t="n">
        <f aca="false">J793+Inputs!$C$10</f>
        <v>0.1132048</v>
      </c>
      <c r="L793" s="37" t="n">
        <f aca="false">I793*K793/C793</f>
        <v>227.337508196721</v>
      </c>
      <c r="M793" s="37" t="n">
        <f aca="false">IF(AND(A793&gt;=Inputs!$C$13,OR(A793&lt;Inputs!$B$19,Inputs!$B$20=1)),I793*Inputs!$C$11/C793,0)</f>
        <v>40.1639344262295</v>
      </c>
    </row>
    <row r="794" customFormat="false" ht="15" hidden="false" customHeight="false" outlineLevel="0" collapsed="false">
      <c r="A794" s="35" t="n">
        <f aca="false">A793+1</f>
        <v>45601</v>
      </c>
      <c r="B794" s="35" t="n">
        <f aca="false">EOMONTH(A794+1,0)</f>
        <v>45626</v>
      </c>
      <c r="C794" s="36" t="n">
        <f aca="false">IF(MOD(YEAR(A794),4)=0,366,365)</f>
        <v>366</v>
      </c>
      <c r="D794" s="37" t="n">
        <f aca="false">Inputs!$B$9-SUMIFS(Cash_Events!$G$6:$G$20,Cash_Events!$C$6:$C$20,"rAGMF",Cash_Events!$B$6:$B$20,"&lt;="&amp;A794)</f>
        <v>735000</v>
      </c>
      <c r="E794" s="38" t="n">
        <f aca="false">VLOOKUP(A794,Inputs!$A$40:$B$48,2,TRUE())</f>
        <v>0.0461541</v>
      </c>
      <c r="F794" s="38" t="n">
        <f aca="false">E794+Inputs!$B$10</f>
        <v>0.1136541</v>
      </c>
      <c r="G794" s="37" t="n">
        <f aca="false">D794*F794/C794</f>
        <v>228.239790983607</v>
      </c>
      <c r="H794" s="37" t="n">
        <f aca="false">IF(AND(A794&gt;=Inputs!$B$13,OR(A794&lt;Inputs!$B$19,Inputs!$B$20=1)),D794*Inputs!$B$11/C794,0)</f>
        <v>40.1639344262295</v>
      </c>
      <c r="I794" s="37" t="n">
        <f aca="false">Inputs!$C$9-SUMIFS(Cash_Events!$G$6:$G$20,Cash_Events!$C$6:$C$20,"FHL",Cash_Events!$B$6:$B$20,"&lt;="&amp;A794)</f>
        <v>735000</v>
      </c>
      <c r="J794" s="38" t="n">
        <f aca="false">VLOOKUP(A794,Inputs!$F$40:$G$48,2,TRUE())</f>
        <v>0.0457048</v>
      </c>
      <c r="K794" s="38" t="n">
        <f aca="false">J794+Inputs!$C$10</f>
        <v>0.1132048</v>
      </c>
      <c r="L794" s="37" t="n">
        <f aca="false">I794*K794/C794</f>
        <v>227.337508196721</v>
      </c>
      <c r="M794" s="37" t="n">
        <f aca="false">IF(AND(A794&gt;=Inputs!$C$13,OR(A794&lt;Inputs!$B$19,Inputs!$B$20=1)),I794*Inputs!$C$11/C794,0)</f>
        <v>40.1639344262295</v>
      </c>
    </row>
    <row r="795" customFormat="false" ht="15" hidden="false" customHeight="false" outlineLevel="0" collapsed="false">
      <c r="A795" s="35" t="n">
        <f aca="false">A794+1</f>
        <v>45602</v>
      </c>
      <c r="B795" s="35" t="n">
        <f aca="false">EOMONTH(A795+1,0)</f>
        <v>45626</v>
      </c>
      <c r="C795" s="36" t="n">
        <f aca="false">IF(MOD(YEAR(A795),4)=0,366,365)</f>
        <v>366</v>
      </c>
      <c r="D795" s="37" t="n">
        <f aca="false">Inputs!$B$9-SUMIFS(Cash_Events!$G$6:$G$20,Cash_Events!$C$6:$C$20,"rAGMF",Cash_Events!$B$6:$B$20,"&lt;="&amp;A795)</f>
        <v>735000</v>
      </c>
      <c r="E795" s="38" t="n">
        <f aca="false">VLOOKUP(A795,Inputs!$A$40:$B$48,2,TRUE())</f>
        <v>0.0461541</v>
      </c>
      <c r="F795" s="38" t="n">
        <f aca="false">E795+Inputs!$B$10</f>
        <v>0.1136541</v>
      </c>
      <c r="G795" s="37" t="n">
        <f aca="false">D795*F795/C795</f>
        <v>228.239790983607</v>
      </c>
      <c r="H795" s="37" t="n">
        <f aca="false">IF(AND(A795&gt;=Inputs!$B$13,OR(A795&lt;Inputs!$B$19,Inputs!$B$20=1)),D795*Inputs!$B$11/C795,0)</f>
        <v>40.1639344262295</v>
      </c>
      <c r="I795" s="37" t="n">
        <f aca="false">Inputs!$C$9-SUMIFS(Cash_Events!$G$6:$G$20,Cash_Events!$C$6:$C$20,"FHL",Cash_Events!$B$6:$B$20,"&lt;="&amp;A795)</f>
        <v>735000</v>
      </c>
      <c r="J795" s="38" t="n">
        <f aca="false">VLOOKUP(A795,Inputs!$F$40:$G$48,2,TRUE())</f>
        <v>0.0457048</v>
      </c>
      <c r="K795" s="38" t="n">
        <f aca="false">J795+Inputs!$C$10</f>
        <v>0.1132048</v>
      </c>
      <c r="L795" s="37" t="n">
        <f aca="false">I795*K795/C795</f>
        <v>227.337508196721</v>
      </c>
      <c r="M795" s="37" t="n">
        <f aca="false">IF(AND(A795&gt;=Inputs!$C$13,OR(A795&lt;Inputs!$B$19,Inputs!$B$20=1)),I795*Inputs!$C$11/C795,0)</f>
        <v>40.1639344262295</v>
      </c>
    </row>
    <row r="796" customFormat="false" ht="15" hidden="false" customHeight="false" outlineLevel="0" collapsed="false">
      <c r="A796" s="35" t="n">
        <f aca="false">A795+1</f>
        <v>45603</v>
      </c>
      <c r="B796" s="35" t="n">
        <f aca="false">EOMONTH(A796+1,0)</f>
        <v>45626</v>
      </c>
      <c r="C796" s="36" t="n">
        <f aca="false">IF(MOD(YEAR(A796),4)=0,366,365)</f>
        <v>366</v>
      </c>
      <c r="D796" s="37" t="n">
        <f aca="false">Inputs!$B$9-SUMIFS(Cash_Events!$G$6:$G$20,Cash_Events!$C$6:$C$20,"rAGMF",Cash_Events!$B$6:$B$20,"&lt;="&amp;A796)</f>
        <v>735000</v>
      </c>
      <c r="E796" s="38" t="n">
        <f aca="false">VLOOKUP(A796,Inputs!$A$40:$B$48,2,TRUE())</f>
        <v>0.0461541</v>
      </c>
      <c r="F796" s="38" t="n">
        <f aca="false">E796+Inputs!$B$10</f>
        <v>0.1136541</v>
      </c>
      <c r="G796" s="37" t="n">
        <f aca="false">D796*F796/C796</f>
        <v>228.239790983607</v>
      </c>
      <c r="H796" s="37" t="n">
        <f aca="false">IF(AND(A796&gt;=Inputs!$B$13,OR(A796&lt;Inputs!$B$19,Inputs!$B$20=1)),D796*Inputs!$B$11/C796,0)</f>
        <v>40.1639344262295</v>
      </c>
      <c r="I796" s="37" t="n">
        <f aca="false">Inputs!$C$9-SUMIFS(Cash_Events!$G$6:$G$20,Cash_Events!$C$6:$C$20,"FHL",Cash_Events!$B$6:$B$20,"&lt;="&amp;A796)</f>
        <v>735000</v>
      </c>
      <c r="J796" s="38" t="n">
        <f aca="false">VLOOKUP(A796,Inputs!$F$40:$G$48,2,TRUE())</f>
        <v>0.0457048</v>
      </c>
      <c r="K796" s="38" t="n">
        <f aca="false">J796+Inputs!$C$10</f>
        <v>0.1132048</v>
      </c>
      <c r="L796" s="37" t="n">
        <f aca="false">I796*K796/C796</f>
        <v>227.337508196721</v>
      </c>
      <c r="M796" s="37" t="n">
        <f aca="false">IF(AND(A796&gt;=Inputs!$C$13,OR(A796&lt;Inputs!$B$19,Inputs!$B$20=1)),I796*Inputs!$C$11/C796,0)</f>
        <v>40.1639344262295</v>
      </c>
    </row>
    <row r="797" customFormat="false" ht="15" hidden="false" customHeight="false" outlineLevel="0" collapsed="false">
      <c r="A797" s="35" t="n">
        <f aca="false">A796+1</f>
        <v>45604</v>
      </c>
      <c r="B797" s="35" t="n">
        <f aca="false">EOMONTH(A797+1,0)</f>
        <v>45626</v>
      </c>
      <c r="C797" s="36" t="n">
        <f aca="false">IF(MOD(YEAR(A797),4)=0,366,365)</f>
        <v>366</v>
      </c>
      <c r="D797" s="37" t="n">
        <f aca="false">Inputs!$B$9-SUMIFS(Cash_Events!$G$6:$G$20,Cash_Events!$C$6:$C$20,"rAGMF",Cash_Events!$B$6:$B$20,"&lt;="&amp;A797)</f>
        <v>735000</v>
      </c>
      <c r="E797" s="38" t="n">
        <f aca="false">VLOOKUP(A797,Inputs!$A$40:$B$48,2,TRUE())</f>
        <v>0.0461541</v>
      </c>
      <c r="F797" s="38" t="n">
        <f aca="false">E797+Inputs!$B$10</f>
        <v>0.1136541</v>
      </c>
      <c r="G797" s="37" t="n">
        <f aca="false">D797*F797/C797</f>
        <v>228.239790983607</v>
      </c>
      <c r="H797" s="37" t="n">
        <f aca="false">IF(AND(A797&gt;=Inputs!$B$13,OR(A797&lt;Inputs!$B$19,Inputs!$B$20=1)),D797*Inputs!$B$11/C797,0)</f>
        <v>40.1639344262295</v>
      </c>
      <c r="I797" s="37" t="n">
        <f aca="false">Inputs!$C$9-SUMIFS(Cash_Events!$G$6:$G$20,Cash_Events!$C$6:$C$20,"FHL",Cash_Events!$B$6:$B$20,"&lt;="&amp;A797)</f>
        <v>735000</v>
      </c>
      <c r="J797" s="38" t="n">
        <f aca="false">VLOOKUP(A797,Inputs!$F$40:$G$48,2,TRUE())</f>
        <v>0.0457048</v>
      </c>
      <c r="K797" s="38" t="n">
        <f aca="false">J797+Inputs!$C$10</f>
        <v>0.1132048</v>
      </c>
      <c r="L797" s="37" t="n">
        <f aca="false">I797*K797/C797</f>
        <v>227.337508196721</v>
      </c>
      <c r="M797" s="37" t="n">
        <f aca="false">IF(AND(A797&gt;=Inputs!$C$13,OR(A797&lt;Inputs!$B$19,Inputs!$B$20=1)),I797*Inputs!$C$11/C797,0)</f>
        <v>40.1639344262295</v>
      </c>
    </row>
    <row r="798" customFormat="false" ht="15" hidden="false" customHeight="false" outlineLevel="0" collapsed="false">
      <c r="A798" s="35" t="n">
        <f aca="false">A797+1</f>
        <v>45605</v>
      </c>
      <c r="B798" s="35" t="n">
        <f aca="false">EOMONTH(A798+1,0)</f>
        <v>45626</v>
      </c>
      <c r="C798" s="36" t="n">
        <f aca="false">IF(MOD(YEAR(A798),4)=0,366,365)</f>
        <v>366</v>
      </c>
      <c r="D798" s="37" t="n">
        <f aca="false">Inputs!$B$9-SUMIFS(Cash_Events!$G$6:$G$20,Cash_Events!$C$6:$C$20,"rAGMF",Cash_Events!$B$6:$B$20,"&lt;="&amp;A798)</f>
        <v>735000</v>
      </c>
      <c r="E798" s="38" t="n">
        <f aca="false">VLOOKUP(A798,Inputs!$A$40:$B$48,2,TRUE())</f>
        <v>0.0461541</v>
      </c>
      <c r="F798" s="38" t="n">
        <f aca="false">E798+Inputs!$B$10</f>
        <v>0.1136541</v>
      </c>
      <c r="G798" s="37" t="n">
        <f aca="false">D798*F798/C798</f>
        <v>228.239790983607</v>
      </c>
      <c r="H798" s="37" t="n">
        <f aca="false">IF(AND(A798&gt;=Inputs!$B$13,OR(A798&lt;Inputs!$B$19,Inputs!$B$20=1)),D798*Inputs!$B$11/C798,0)</f>
        <v>40.1639344262295</v>
      </c>
      <c r="I798" s="37" t="n">
        <f aca="false">Inputs!$C$9-SUMIFS(Cash_Events!$G$6:$G$20,Cash_Events!$C$6:$C$20,"FHL",Cash_Events!$B$6:$B$20,"&lt;="&amp;A798)</f>
        <v>735000</v>
      </c>
      <c r="J798" s="38" t="n">
        <f aca="false">VLOOKUP(A798,Inputs!$F$40:$G$48,2,TRUE())</f>
        <v>0.0457048</v>
      </c>
      <c r="K798" s="38" t="n">
        <f aca="false">J798+Inputs!$C$10</f>
        <v>0.1132048</v>
      </c>
      <c r="L798" s="37" t="n">
        <f aca="false">I798*K798/C798</f>
        <v>227.337508196721</v>
      </c>
      <c r="M798" s="37" t="n">
        <f aca="false">IF(AND(A798&gt;=Inputs!$C$13,OR(A798&lt;Inputs!$B$19,Inputs!$B$20=1)),I798*Inputs!$C$11/C798,0)</f>
        <v>40.1639344262295</v>
      </c>
    </row>
    <row r="799" customFormat="false" ht="15" hidden="false" customHeight="false" outlineLevel="0" collapsed="false">
      <c r="A799" s="35" t="n">
        <f aca="false">A798+1</f>
        <v>45606</v>
      </c>
      <c r="B799" s="35" t="n">
        <f aca="false">EOMONTH(A799+1,0)</f>
        <v>45626</v>
      </c>
      <c r="C799" s="36" t="n">
        <f aca="false">IF(MOD(YEAR(A799),4)=0,366,365)</f>
        <v>366</v>
      </c>
      <c r="D799" s="37" t="n">
        <f aca="false">Inputs!$B$9-SUMIFS(Cash_Events!$G$6:$G$20,Cash_Events!$C$6:$C$20,"rAGMF",Cash_Events!$B$6:$B$20,"&lt;="&amp;A799)</f>
        <v>735000</v>
      </c>
      <c r="E799" s="38" t="n">
        <f aca="false">VLOOKUP(A799,Inputs!$A$40:$B$48,2,TRUE())</f>
        <v>0.0461541</v>
      </c>
      <c r="F799" s="38" t="n">
        <f aca="false">E799+Inputs!$B$10</f>
        <v>0.1136541</v>
      </c>
      <c r="G799" s="37" t="n">
        <f aca="false">D799*F799/C799</f>
        <v>228.239790983607</v>
      </c>
      <c r="H799" s="37" t="n">
        <f aca="false">IF(AND(A799&gt;=Inputs!$B$13,OR(A799&lt;Inputs!$B$19,Inputs!$B$20=1)),D799*Inputs!$B$11/C799,0)</f>
        <v>40.1639344262295</v>
      </c>
      <c r="I799" s="37" t="n">
        <f aca="false">Inputs!$C$9-SUMIFS(Cash_Events!$G$6:$G$20,Cash_Events!$C$6:$C$20,"FHL",Cash_Events!$B$6:$B$20,"&lt;="&amp;A799)</f>
        <v>735000</v>
      </c>
      <c r="J799" s="38" t="n">
        <f aca="false">VLOOKUP(A799,Inputs!$F$40:$G$48,2,TRUE())</f>
        <v>0.0457048</v>
      </c>
      <c r="K799" s="38" t="n">
        <f aca="false">J799+Inputs!$C$10</f>
        <v>0.1132048</v>
      </c>
      <c r="L799" s="37" t="n">
        <f aca="false">I799*K799/C799</f>
        <v>227.337508196721</v>
      </c>
      <c r="M799" s="37" t="n">
        <f aca="false">IF(AND(A799&gt;=Inputs!$C$13,OR(A799&lt;Inputs!$B$19,Inputs!$B$20=1)),I799*Inputs!$C$11/C799,0)</f>
        <v>40.1639344262295</v>
      </c>
    </row>
    <row r="800" customFormat="false" ht="15" hidden="false" customHeight="false" outlineLevel="0" collapsed="false">
      <c r="A800" s="35" t="n">
        <f aca="false">A799+1</f>
        <v>45607</v>
      </c>
      <c r="B800" s="35" t="n">
        <f aca="false">EOMONTH(A800+1,0)</f>
        <v>45626</v>
      </c>
      <c r="C800" s="36" t="n">
        <f aca="false">IF(MOD(YEAR(A800),4)=0,366,365)</f>
        <v>366</v>
      </c>
      <c r="D800" s="37" t="n">
        <f aca="false">Inputs!$B$9-SUMIFS(Cash_Events!$G$6:$G$20,Cash_Events!$C$6:$C$20,"rAGMF",Cash_Events!$B$6:$B$20,"&lt;="&amp;A800)</f>
        <v>735000</v>
      </c>
      <c r="E800" s="38" t="n">
        <f aca="false">VLOOKUP(A800,Inputs!$A$40:$B$48,2,TRUE())</f>
        <v>0.0461541</v>
      </c>
      <c r="F800" s="38" t="n">
        <f aca="false">E800+Inputs!$B$10</f>
        <v>0.1136541</v>
      </c>
      <c r="G800" s="37" t="n">
        <f aca="false">D800*F800/C800</f>
        <v>228.239790983607</v>
      </c>
      <c r="H800" s="37" t="n">
        <f aca="false">IF(AND(A800&gt;=Inputs!$B$13,OR(A800&lt;Inputs!$B$19,Inputs!$B$20=1)),D800*Inputs!$B$11/C800,0)</f>
        <v>40.1639344262295</v>
      </c>
      <c r="I800" s="37" t="n">
        <f aca="false">Inputs!$C$9-SUMIFS(Cash_Events!$G$6:$G$20,Cash_Events!$C$6:$C$20,"FHL",Cash_Events!$B$6:$B$20,"&lt;="&amp;A800)</f>
        <v>735000</v>
      </c>
      <c r="J800" s="38" t="n">
        <f aca="false">VLOOKUP(A800,Inputs!$F$40:$G$48,2,TRUE())</f>
        <v>0.0457048</v>
      </c>
      <c r="K800" s="38" t="n">
        <f aca="false">J800+Inputs!$C$10</f>
        <v>0.1132048</v>
      </c>
      <c r="L800" s="37" t="n">
        <f aca="false">I800*K800/C800</f>
        <v>227.337508196721</v>
      </c>
      <c r="M800" s="37" t="n">
        <f aca="false">IF(AND(A800&gt;=Inputs!$C$13,OR(A800&lt;Inputs!$B$19,Inputs!$B$20=1)),I800*Inputs!$C$11/C800,0)</f>
        <v>40.1639344262295</v>
      </c>
    </row>
    <row r="801" customFormat="false" ht="15" hidden="false" customHeight="false" outlineLevel="0" collapsed="false">
      <c r="A801" s="35" t="n">
        <f aca="false">A800+1</f>
        <v>45608</v>
      </c>
      <c r="B801" s="35" t="n">
        <f aca="false">EOMONTH(A801+1,0)</f>
        <v>45626</v>
      </c>
      <c r="C801" s="36" t="n">
        <f aca="false">IF(MOD(YEAR(A801),4)=0,366,365)</f>
        <v>366</v>
      </c>
      <c r="D801" s="37" t="n">
        <f aca="false">Inputs!$B$9-SUMIFS(Cash_Events!$G$6:$G$20,Cash_Events!$C$6:$C$20,"rAGMF",Cash_Events!$B$6:$B$20,"&lt;="&amp;A801)</f>
        <v>735000</v>
      </c>
      <c r="E801" s="38" t="n">
        <f aca="false">VLOOKUP(A801,Inputs!$A$40:$B$48,2,TRUE())</f>
        <v>0.0461541</v>
      </c>
      <c r="F801" s="38" t="n">
        <f aca="false">E801+Inputs!$B$10</f>
        <v>0.1136541</v>
      </c>
      <c r="G801" s="37" t="n">
        <f aca="false">D801*F801/C801</f>
        <v>228.239790983607</v>
      </c>
      <c r="H801" s="37" t="n">
        <f aca="false">IF(AND(A801&gt;=Inputs!$B$13,OR(A801&lt;Inputs!$B$19,Inputs!$B$20=1)),D801*Inputs!$B$11/C801,0)</f>
        <v>40.1639344262295</v>
      </c>
      <c r="I801" s="37" t="n">
        <f aca="false">Inputs!$C$9-SUMIFS(Cash_Events!$G$6:$G$20,Cash_Events!$C$6:$C$20,"FHL",Cash_Events!$B$6:$B$20,"&lt;="&amp;A801)</f>
        <v>735000</v>
      </c>
      <c r="J801" s="38" t="n">
        <f aca="false">VLOOKUP(A801,Inputs!$F$40:$G$48,2,TRUE())</f>
        <v>0.0457048</v>
      </c>
      <c r="K801" s="38" t="n">
        <f aca="false">J801+Inputs!$C$10</f>
        <v>0.1132048</v>
      </c>
      <c r="L801" s="37" t="n">
        <f aca="false">I801*K801/C801</f>
        <v>227.337508196721</v>
      </c>
      <c r="M801" s="37" t="n">
        <f aca="false">IF(AND(A801&gt;=Inputs!$C$13,OR(A801&lt;Inputs!$B$19,Inputs!$B$20=1)),I801*Inputs!$C$11/C801,0)</f>
        <v>40.1639344262295</v>
      </c>
    </row>
    <row r="802" customFormat="false" ht="15" hidden="false" customHeight="false" outlineLevel="0" collapsed="false">
      <c r="A802" s="35" t="n">
        <f aca="false">A801+1</f>
        <v>45609</v>
      </c>
      <c r="B802" s="35" t="n">
        <f aca="false">EOMONTH(A802+1,0)</f>
        <v>45626</v>
      </c>
      <c r="C802" s="36" t="n">
        <f aca="false">IF(MOD(YEAR(A802),4)=0,366,365)</f>
        <v>366</v>
      </c>
      <c r="D802" s="37" t="n">
        <f aca="false">Inputs!$B$9-SUMIFS(Cash_Events!$G$6:$G$20,Cash_Events!$C$6:$C$20,"rAGMF",Cash_Events!$B$6:$B$20,"&lt;="&amp;A802)</f>
        <v>735000</v>
      </c>
      <c r="E802" s="38" t="n">
        <f aca="false">VLOOKUP(A802,Inputs!$A$40:$B$48,2,TRUE())</f>
        <v>0.0461541</v>
      </c>
      <c r="F802" s="38" t="n">
        <f aca="false">E802+Inputs!$B$10</f>
        <v>0.1136541</v>
      </c>
      <c r="G802" s="37" t="n">
        <f aca="false">D802*F802/C802</f>
        <v>228.239790983607</v>
      </c>
      <c r="H802" s="37" t="n">
        <f aca="false">IF(AND(A802&gt;=Inputs!$B$13,OR(A802&lt;Inputs!$B$19,Inputs!$B$20=1)),D802*Inputs!$B$11/C802,0)</f>
        <v>40.1639344262295</v>
      </c>
      <c r="I802" s="37" t="n">
        <f aca="false">Inputs!$C$9-SUMIFS(Cash_Events!$G$6:$G$20,Cash_Events!$C$6:$C$20,"FHL",Cash_Events!$B$6:$B$20,"&lt;="&amp;A802)</f>
        <v>735000</v>
      </c>
      <c r="J802" s="38" t="n">
        <f aca="false">VLOOKUP(A802,Inputs!$F$40:$G$48,2,TRUE())</f>
        <v>0.0457048</v>
      </c>
      <c r="K802" s="38" t="n">
        <f aca="false">J802+Inputs!$C$10</f>
        <v>0.1132048</v>
      </c>
      <c r="L802" s="37" t="n">
        <f aca="false">I802*K802/C802</f>
        <v>227.337508196721</v>
      </c>
      <c r="M802" s="37" t="n">
        <f aca="false">IF(AND(A802&gt;=Inputs!$C$13,OR(A802&lt;Inputs!$B$19,Inputs!$B$20=1)),I802*Inputs!$C$11/C802,0)</f>
        <v>40.1639344262295</v>
      </c>
    </row>
    <row r="803" customFormat="false" ht="15" hidden="false" customHeight="false" outlineLevel="0" collapsed="false">
      <c r="A803" s="35" t="n">
        <f aca="false">A802+1</f>
        <v>45610</v>
      </c>
      <c r="B803" s="35" t="n">
        <f aca="false">EOMONTH(A803+1,0)</f>
        <v>45626</v>
      </c>
      <c r="C803" s="36" t="n">
        <f aca="false">IF(MOD(YEAR(A803),4)=0,366,365)</f>
        <v>366</v>
      </c>
      <c r="D803" s="37" t="n">
        <f aca="false">Inputs!$B$9-SUMIFS(Cash_Events!$G$6:$G$20,Cash_Events!$C$6:$C$20,"rAGMF",Cash_Events!$B$6:$B$20,"&lt;="&amp;A803)</f>
        <v>735000</v>
      </c>
      <c r="E803" s="38" t="n">
        <f aca="false">VLOOKUP(A803,Inputs!$A$40:$B$48,2,TRUE())</f>
        <v>0.0461541</v>
      </c>
      <c r="F803" s="38" t="n">
        <f aca="false">E803+Inputs!$B$10</f>
        <v>0.1136541</v>
      </c>
      <c r="G803" s="37" t="n">
        <f aca="false">D803*F803/C803</f>
        <v>228.239790983607</v>
      </c>
      <c r="H803" s="37" t="n">
        <f aca="false">IF(AND(A803&gt;=Inputs!$B$13,OR(A803&lt;Inputs!$B$19,Inputs!$B$20=1)),D803*Inputs!$B$11/C803,0)</f>
        <v>40.1639344262295</v>
      </c>
      <c r="I803" s="37" t="n">
        <f aca="false">Inputs!$C$9-SUMIFS(Cash_Events!$G$6:$G$20,Cash_Events!$C$6:$C$20,"FHL",Cash_Events!$B$6:$B$20,"&lt;="&amp;A803)</f>
        <v>735000</v>
      </c>
      <c r="J803" s="38" t="n">
        <f aca="false">VLOOKUP(A803,Inputs!$F$40:$G$48,2,TRUE())</f>
        <v>0.0457048</v>
      </c>
      <c r="K803" s="38" t="n">
        <f aca="false">J803+Inputs!$C$10</f>
        <v>0.1132048</v>
      </c>
      <c r="L803" s="37" t="n">
        <f aca="false">I803*K803/C803</f>
        <v>227.337508196721</v>
      </c>
      <c r="M803" s="37" t="n">
        <f aca="false">IF(AND(A803&gt;=Inputs!$C$13,OR(A803&lt;Inputs!$B$19,Inputs!$B$20=1)),I803*Inputs!$C$11/C803,0)</f>
        <v>40.1639344262295</v>
      </c>
    </row>
    <row r="804" customFormat="false" ht="15" hidden="false" customHeight="false" outlineLevel="0" collapsed="false">
      <c r="A804" s="35" t="n">
        <f aca="false">A803+1</f>
        <v>45611</v>
      </c>
      <c r="B804" s="35" t="n">
        <f aca="false">EOMONTH(A804+1,0)</f>
        <v>45626</v>
      </c>
      <c r="C804" s="36" t="n">
        <f aca="false">IF(MOD(YEAR(A804),4)=0,366,365)</f>
        <v>366</v>
      </c>
      <c r="D804" s="37" t="n">
        <f aca="false">Inputs!$B$9-SUMIFS(Cash_Events!$G$6:$G$20,Cash_Events!$C$6:$C$20,"rAGMF",Cash_Events!$B$6:$B$20,"&lt;="&amp;A804)</f>
        <v>735000</v>
      </c>
      <c r="E804" s="38" t="n">
        <f aca="false">VLOOKUP(A804,Inputs!$A$40:$B$48,2,TRUE())</f>
        <v>0.0461541</v>
      </c>
      <c r="F804" s="38" t="n">
        <f aca="false">E804+Inputs!$B$10</f>
        <v>0.1136541</v>
      </c>
      <c r="G804" s="37" t="n">
        <f aca="false">D804*F804/C804</f>
        <v>228.239790983607</v>
      </c>
      <c r="H804" s="37" t="n">
        <f aca="false">IF(AND(A804&gt;=Inputs!$B$13,OR(A804&lt;Inputs!$B$19,Inputs!$B$20=1)),D804*Inputs!$B$11/C804,0)</f>
        <v>40.1639344262295</v>
      </c>
      <c r="I804" s="37" t="n">
        <f aca="false">Inputs!$C$9-SUMIFS(Cash_Events!$G$6:$G$20,Cash_Events!$C$6:$C$20,"FHL",Cash_Events!$B$6:$B$20,"&lt;="&amp;A804)</f>
        <v>735000</v>
      </c>
      <c r="J804" s="38" t="n">
        <f aca="false">VLOOKUP(A804,Inputs!$F$40:$G$48,2,TRUE())</f>
        <v>0.0457048</v>
      </c>
      <c r="K804" s="38" t="n">
        <f aca="false">J804+Inputs!$C$10</f>
        <v>0.1132048</v>
      </c>
      <c r="L804" s="37" t="n">
        <f aca="false">I804*K804/C804</f>
        <v>227.337508196721</v>
      </c>
      <c r="M804" s="37" t="n">
        <f aca="false">IF(AND(A804&gt;=Inputs!$C$13,OR(A804&lt;Inputs!$B$19,Inputs!$B$20=1)),I804*Inputs!$C$11/C804,0)</f>
        <v>40.1639344262295</v>
      </c>
    </row>
    <row r="805" customFormat="false" ht="15" hidden="false" customHeight="false" outlineLevel="0" collapsed="false">
      <c r="A805" s="35" t="n">
        <f aca="false">A804+1</f>
        <v>45612</v>
      </c>
      <c r="B805" s="35" t="n">
        <f aca="false">EOMONTH(A805+1,0)</f>
        <v>45626</v>
      </c>
      <c r="C805" s="36" t="n">
        <f aca="false">IF(MOD(YEAR(A805),4)=0,366,365)</f>
        <v>366</v>
      </c>
      <c r="D805" s="37" t="n">
        <f aca="false">Inputs!$B$9-SUMIFS(Cash_Events!$G$6:$G$20,Cash_Events!$C$6:$C$20,"rAGMF",Cash_Events!$B$6:$B$20,"&lt;="&amp;A805)</f>
        <v>735000</v>
      </c>
      <c r="E805" s="38" t="n">
        <f aca="false">VLOOKUP(A805,Inputs!$A$40:$B$48,2,TRUE())</f>
        <v>0.0461541</v>
      </c>
      <c r="F805" s="38" t="n">
        <f aca="false">E805+Inputs!$B$10</f>
        <v>0.1136541</v>
      </c>
      <c r="G805" s="37" t="n">
        <f aca="false">D805*F805/C805</f>
        <v>228.239790983607</v>
      </c>
      <c r="H805" s="37" t="n">
        <f aca="false">IF(AND(A805&gt;=Inputs!$B$13,OR(A805&lt;Inputs!$B$19,Inputs!$B$20=1)),D805*Inputs!$B$11/C805,0)</f>
        <v>40.1639344262295</v>
      </c>
      <c r="I805" s="37" t="n">
        <f aca="false">Inputs!$C$9-SUMIFS(Cash_Events!$G$6:$G$20,Cash_Events!$C$6:$C$20,"FHL",Cash_Events!$B$6:$B$20,"&lt;="&amp;A805)</f>
        <v>735000</v>
      </c>
      <c r="J805" s="38" t="n">
        <f aca="false">VLOOKUP(A805,Inputs!$F$40:$G$48,2,TRUE())</f>
        <v>0.0457048</v>
      </c>
      <c r="K805" s="38" t="n">
        <f aca="false">J805+Inputs!$C$10</f>
        <v>0.1132048</v>
      </c>
      <c r="L805" s="37" t="n">
        <f aca="false">I805*K805/C805</f>
        <v>227.337508196721</v>
      </c>
      <c r="M805" s="37" t="n">
        <f aca="false">IF(AND(A805&gt;=Inputs!$C$13,OR(A805&lt;Inputs!$B$19,Inputs!$B$20=1)),I805*Inputs!$C$11/C805,0)</f>
        <v>40.1639344262295</v>
      </c>
    </row>
    <row r="806" customFormat="false" ht="15" hidden="false" customHeight="false" outlineLevel="0" collapsed="false">
      <c r="A806" s="35" t="n">
        <f aca="false">A805+1</f>
        <v>45613</v>
      </c>
      <c r="B806" s="35" t="n">
        <f aca="false">EOMONTH(A806+1,0)</f>
        <v>45626</v>
      </c>
      <c r="C806" s="36" t="n">
        <f aca="false">IF(MOD(YEAR(A806),4)=0,366,365)</f>
        <v>366</v>
      </c>
      <c r="D806" s="37" t="n">
        <f aca="false">Inputs!$B$9-SUMIFS(Cash_Events!$G$6:$G$20,Cash_Events!$C$6:$C$20,"rAGMF",Cash_Events!$B$6:$B$20,"&lt;="&amp;A806)</f>
        <v>735000</v>
      </c>
      <c r="E806" s="38" t="n">
        <f aca="false">VLOOKUP(A806,Inputs!$A$40:$B$48,2,TRUE())</f>
        <v>0.0461541</v>
      </c>
      <c r="F806" s="38" t="n">
        <f aca="false">E806+Inputs!$B$10</f>
        <v>0.1136541</v>
      </c>
      <c r="G806" s="37" t="n">
        <f aca="false">D806*F806/C806</f>
        <v>228.239790983607</v>
      </c>
      <c r="H806" s="37" t="n">
        <f aca="false">IF(AND(A806&gt;=Inputs!$B$13,OR(A806&lt;Inputs!$B$19,Inputs!$B$20=1)),D806*Inputs!$B$11/C806,0)</f>
        <v>40.1639344262295</v>
      </c>
      <c r="I806" s="37" t="n">
        <f aca="false">Inputs!$C$9-SUMIFS(Cash_Events!$G$6:$G$20,Cash_Events!$C$6:$C$20,"FHL",Cash_Events!$B$6:$B$20,"&lt;="&amp;A806)</f>
        <v>735000</v>
      </c>
      <c r="J806" s="38" t="n">
        <f aca="false">VLOOKUP(A806,Inputs!$F$40:$G$48,2,TRUE())</f>
        <v>0.0457048</v>
      </c>
      <c r="K806" s="38" t="n">
        <f aca="false">J806+Inputs!$C$10</f>
        <v>0.1132048</v>
      </c>
      <c r="L806" s="37" t="n">
        <f aca="false">I806*K806/C806</f>
        <v>227.337508196721</v>
      </c>
      <c r="M806" s="37" t="n">
        <f aca="false">IF(AND(A806&gt;=Inputs!$C$13,OR(A806&lt;Inputs!$B$19,Inputs!$B$20=1)),I806*Inputs!$C$11/C806,0)</f>
        <v>40.1639344262295</v>
      </c>
    </row>
    <row r="807" customFormat="false" ht="15" hidden="false" customHeight="false" outlineLevel="0" collapsed="false">
      <c r="A807" s="35" t="n">
        <f aca="false">A806+1</f>
        <v>45614</v>
      </c>
      <c r="B807" s="35" t="n">
        <f aca="false">EOMONTH(A807+1,0)</f>
        <v>45626</v>
      </c>
      <c r="C807" s="36" t="n">
        <f aca="false">IF(MOD(YEAR(A807),4)=0,366,365)</f>
        <v>366</v>
      </c>
      <c r="D807" s="37" t="n">
        <f aca="false">Inputs!$B$9-SUMIFS(Cash_Events!$G$6:$G$20,Cash_Events!$C$6:$C$20,"rAGMF",Cash_Events!$B$6:$B$20,"&lt;="&amp;A807)</f>
        <v>735000</v>
      </c>
      <c r="E807" s="38" t="n">
        <f aca="false">VLOOKUP(A807,Inputs!$A$40:$B$48,2,TRUE())</f>
        <v>0.0461541</v>
      </c>
      <c r="F807" s="38" t="n">
        <f aca="false">E807+Inputs!$B$10</f>
        <v>0.1136541</v>
      </c>
      <c r="G807" s="37" t="n">
        <f aca="false">D807*F807/C807</f>
        <v>228.239790983607</v>
      </c>
      <c r="H807" s="37" t="n">
        <f aca="false">IF(AND(A807&gt;=Inputs!$B$13,OR(A807&lt;Inputs!$B$19,Inputs!$B$20=1)),D807*Inputs!$B$11/C807,0)</f>
        <v>40.1639344262295</v>
      </c>
      <c r="I807" s="37" t="n">
        <f aca="false">Inputs!$C$9-SUMIFS(Cash_Events!$G$6:$G$20,Cash_Events!$C$6:$C$20,"FHL",Cash_Events!$B$6:$B$20,"&lt;="&amp;A807)</f>
        <v>735000</v>
      </c>
      <c r="J807" s="38" t="n">
        <f aca="false">VLOOKUP(A807,Inputs!$F$40:$G$48,2,TRUE())</f>
        <v>0.0457048</v>
      </c>
      <c r="K807" s="38" t="n">
        <f aca="false">J807+Inputs!$C$10</f>
        <v>0.1132048</v>
      </c>
      <c r="L807" s="37" t="n">
        <f aca="false">I807*K807/C807</f>
        <v>227.337508196721</v>
      </c>
      <c r="M807" s="37" t="n">
        <f aca="false">IF(AND(A807&gt;=Inputs!$C$13,OR(A807&lt;Inputs!$B$19,Inputs!$B$20=1)),I807*Inputs!$C$11/C807,0)</f>
        <v>40.1639344262295</v>
      </c>
    </row>
    <row r="808" customFormat="false" ht="15" hidden="false" customHeight="false" outlineLevel="0" collapsed="false">
      <c r="A808" s="35" t="n">
        <f aca="false">A807+1</f>
        <v>45615</v>
      </c>
      <c r="B808" s="35" t="n">
        <f aca="false">EOMONTH(A808+1,0)</f>
        <v>45626</v>
      </c>
      <c r="C808" s="36" t="n">
        <f aca="false">IF(MOD(YEAR(A808),4)=0,366,365)</f>
        <v>366</v>
      </c>
      <c r="D808" s="37" t="n">
        <f aca="false">Inputs!$B$9-SUMIFS(Cash_Events!$G$6:$G$20,Cash_Events!$C$6:$C$20,"rAGMF",Cash_Events!$B$6:$B$20,"&lt;="&amp;A808)</f>
        <v>735000</v>
      </c>
      <c r="E808" s="38" t="n">
        <f aca="false">VLOOKUP(A808,Inputs!$A$40:$B$48,2,TRUE())</f>
        <v>0.0461541</v>
      </c>
      <c r="F808" s="38" t="n">
        <f aca="false">E808+Inputs!$B$10</f>
        <v>0.1136541</v>
      </c>
      <c r="G808" s="37" t="n">
        <f aca="false">D808*F808/C808</f>
        <v>228.239790983607</v>
      </c>
      <c r="H808" s="37" t="n">
        <f aca="false">IF(AND(A808&gt;=Inputs!$B$13,OR(A808&lt;Inputs!$B$19,Inputs!$B$20=1)),D808*Inputs!$B$11/C808,0)</f>
        <v>40.1639344262295</v>
      </c>
      <c r="I808" s="37" t="n">
        <f aca="false">Inputs!$C$9-SUMIFS(Cash_Events!$G$6:$G$20,Cash_Events!$C$6:$C$20,"FHL",Cash_Events!$B$6:$B$20,"&lt;="&amp;A808)</f>
        <v>735000</v>
      </c>
      <c r="J808" s="38" t="n">
        <f aca="false">VLOOKUP(A808,Inputs!$F$40:$G$48,2,TRUE())</f>
        <v>0.0457048</v>
      </c>
      <c r="K808" s="38" t="n">
        <f aca="false">J808+Inputs!$C$10</f>
        <v>0.1132048</v>
      </c>
      <c r="L808" s="37" t="n">
        <f aca="false">I808*K808/C808</f>
        <v>227.337508196721</v>
      </c>
      <c r="M808" s="37" t="n">
        <f aca="false">IF(AND(A808&gt;=Inputs!$C$13,OR(A808&lt;Inputs!$B$19,Inputs!$B$20=1)),I808*Inputs!$C$11/C808,0)</f>
        <v>40.1639344262295</v>
      </c>
    </row>
    <row r="809" customFormat="false" ht="15" hidden="false" customHeight="false" outlineLevel="0" collapsed="false">
      <c r="A809" s="35" t="n">
        <f aca="false">A808+1</f>
        <v>45616</v>
      </c>
      <c r="B809" s="35" t="n">
        <f aca="false">EOMONTH(A809+1,0)</f>
        <v>45626</v>
      </c>
      <c r="C809" s="36" t="n">
        <f aca="false">IF(MOD(YEAR(A809),4)=0,366,365)</f>
        <v>366</v>
      </c>
      <c r="D809" s="37" t="n">
        <f aca="false">Inputs!$B$9-SUMIFS(Cash_Events!$G$6:$G$20,Cash_Events!$C$6:$C$20,"rAGMF",Cash_Events!$B$6:$B$20,"&lt;="&amp;A809)</f>
        <v>735000</v>
      </c>
      <c r="E809" s="38" t="n">
        <f aca="false">VLOOKUP(A809,Inputs!$A$40:$B$48,2,TRUE())</f>
        <v>0.0461541</v>
      </c>
      <c r="F809" s="38" t="n">
        <f aca="false">E809+Inputs!$B$10</f>
        <v>0.1136541</v>
      </c>
      <c r="G809" s="37" t="n">
        <f aca="false">D809*F809/C809</f>
        <v>228.239790983607</v>
      </c>
      <c r="H809" s="37" t="n">
        <f aca="false">IF(AND(A809&gt;=Inputs!$B$13,OR(A809&lt;Inputs!$B$19,Inputs!$B$20=1)),D809*Inputs!$B$11/C809,0)</f>
        <v>40.1639344262295</v>
      </c>
      <c r="I809" s="37" t="n">
        <f aca="false">Inputs!$C$9-SUMIFS(Cash_Events!$G$6:$G$20,Cash_Events!$C$6:$C$20,"FHL",Cash_Events!$B$6:$B$20,"&lt;="&amp;A809)</f>
        <v>735000</v>
      </c>
      <c r="J809" s="38" t="n">
        <f aca="false">VLOOKUP(A809,Inputs!$F$40:$G$48,2,TRUE())</f>
        <v>0.0457048</v>
      </c>
      <c r="K809" s="38" t="n">
        <f aca="false">J809+Inputs!$C$10</f>
        <v>0.1132048</v>
      </c>
      <c r="L809" s="37" t="n">
        <f aca="false">I809*K809/C809</f>
        <v>227.337508196721</v>
      </c>
      <c r="M809" s="37" t="n">
        <f aca="false">IF(AND(A809&gt;=Inputs!$C$13,OR(A809&lt;Inputs!$B$19,Inputs!$B$20=1)),I809*Inputs!$C$11/C809,0)</f>
        <v>40.1639344262295</v>
      </c>
    </row>
    <row r="810" customFormat="false" ht="15" hidden="false" customHeight="false" outlineLevel="0" collapsed="false">
      <c r="A810" s="35" t="n">
        <f aca="false">A809+1</f>
        <v>45617</v>
      </c>
      <c r="B810" s="35" t="n">
        <f aca="false">EOMONTH(A810+1,0)</f>
        <v>45626</v>
      </c>
      <c r="C810" s="36" t="n">
        <f aca="false">IF(MOD(YEAR(A810),4)=0,366,365)</f>
        <v>366</v>
      </c>
      <c r="D810" s="37" t="n">
        <f aca="false">Inputs!$B$9-SUMIFS(Cash_Events!$G$6:$G$20,Cash_Events!$C$6:$C$20,"rAGMF",Cash_Events!$B$6:$B$20,"&lt;="&amp;A810)</f>
        <v>735000</v>
      </c>
      <c r="E810" s="38" t="n">
        <f aca="false">VLOOKUP(A810,Inputs!$A$40:$B$48,2,TRUE())</f>
        <v>0.0461541</v>
      </c>
      <c r="F810" s="38" t="n">
        <f aca="false">E810+Inputs!$B$10</f>
        <v>0.1136541</v>
      </c>
      <c r="G810" s="37" t="n">
        <f aca="false">D810*F810/C810</f>
        <v>228.239790983607</v>
      </c>
      <c r="H810" s="37" t="n">
        <f aca="false">IF(AND(A810&gt;=Inputs!$B$13,OR(A810&lt;Inputs!$B$19,Inputs!$B$20=1)),D810*Inputs!$B$11/C810,0)</f>
        <v>40.1639344262295</v>
      </c>
      <c r="I810" s="37" t="n">
        <f aca="false">Inputs!$C$9-SUMIFS(Cash_Events!$G$6:$G$20,Cash_Events!$C$6:$C$20,"FHL",Cash_Events!$B$6:$B$20,"&lt;="&amp;A810)</f>
        <v>735000</v>
      </c>
      <c r="J810" s="38" t="n">
        <f aca="false">VLOOKUP(A810,Inputs!$F$40:$G$48,2,TRUE())</f>
        <v>0.0457048</v>
      </c>
      <c r="K810" s="38" t="n">
        <f aca="false">J810+Inputs!$C$10</f>
        <v>0.1132048</v>
      </c>
      <c r="L810" s="37" t="n">
        <f aca="false">I810*K810/C810</f>
        <v>227.337508196721</v>
      </c>
      <c r="M810" s="37" t="n">
        <f aca="false">IF(AND(A810&gt;=Inputs!$C$13,OR(A810&lt;Inputs!$B$19,Inputs!$B$20=1)),I810*Inputs!$C$11/C810,0)</f>
        <v>40.1639344262295</v>
      </c>
    </row>
    <row r="811" customFormat="false" ht="15" hidden="false" customHeight="false" outlineLevel="0" collapsed="false">
      <c r="A811" s="35" t="n">
        <f aca="false">A810+1</f>
        <v>45618</v>
      </c>
      <c r="B811" s="35" t="n">
        <f aca="false">EOMONTH(A811+1,0)</f>
        <v>45626</v>
      </c>
      <c r="C811" s="36" t="n">
        <f aca="false">IF(MOD(YEAR(A811),4)=0,366,365)</f>
        <v>366</v>
      </c>
      <c r="D811" s="37" t="n">
        <f aca="false">Inputs!$B$9-SUMIFS(Cash_Events!$G$6:$G$20,Cash_Events!$C$6:$C$20,"rAGMF",Cash_Events!$B$6:$B$20,"&lt;="&amp;A811)</f>
        <v>735000</v>
      </c>
      <c r="E811" s="38" t="n">
        <f aca="false">VLOOKUP(A811,Inputs!$A$40:$B$48,2,TRUE())</f>
        <v>0.0461541</v>
      </c>
      <c r="F811" s="38" t="n">
        <f aca="false">E811+Inputs!$B$10</f>
        <v>0.1136541</v>
      </c>
      <c r="G811" s="37" t="n">
        <f aca="false">D811*F811/C811</f>
        <v>228.239790983607</v>
      </c>
      <c r="H811" s="37" t="n">
        <f aca="false">IF(AND(A811&gt;=Inputs!$B$13,OR(A811&lt;Inputs!$B$19,Inputs!$B$20=1)),D811*Inputs!$B$11/C811,0)</f>
        <v>40.1639344262295</v>
      </c>
      <c r="I811" s="37" t="n">
        <f aca="false">Inputs!$C$9-SUMIFS(Cash_Events!$G$6:$G$20,Cash_Events!$C$6:$C$20,"FHL",Cash_Events!$B$6:$B$20,"&lt;="&amp;A811)</f>
        <v>735000</v>
      </c>
      <c r="J811" s="38" t="n">
        <f aca="false">VLOOKUP(A811,Inputs!$F$40:$G$48,2,TRUE())</f>
        <v>0.0457048</v>
      </c>
      <c r="K811" s="38" t="n">
        <f aca="false">J811+Inputs!$C$10</f>
        <v>0.1132048</v>
      </c>
      <c r="L811" s="37" t="n">
        <f aca="false">I811*K811/C811</f>
        <v>227.337508196721</v>
      </c>
      <c r="M811" s="37" t="n">
        <f aca="false">IF(AND(A811&gt;=Inputs!$C$13,OR(A811&lt;Inputs!$B$19,Inputs!$B$20=1)),I811*Inputs!$C$11/C811,0)</f>
        <v>40.1639344262295</v>
      </c>
    </row>
    <row r="812" customFormat="false" ht="15" hidden="false" customHeight="false" outlineLevel="0" collapsed="false">
      <c r="A812" s="35" t="n">
        <f aca="false">A811+1</f>
        <v>45619</v>
      </c>
      <c r="B812" s="35" t="n">
        <f aca="false">EOMONTH(A812+1,0)</f>
        <v>45626</v>
      </c>
      <c r="C812" s="36" t="n">
        <f aca="false">IF(MOD(YEAR(A812),4)=0,366,365)</f>
        <v>366</v>
      </c>
      <c r="D812" s="37" t="n">
        <f aca="false">Inputs!$B$9-SUMIFS(Cash_Events!$G$6:$G$20,Cash_Events!$C$6:$C$20,"rAGMF",Cash_Events!$B$6:$B$20,"&lt;="&amp;A812)</f>
        <v>735000</v>
      </c>
      <c r="E812" s="38" t="n">
        <f aca="false">VLOOKUP(A812,Inputs!$A$40:$B$48,2,TRUE())</f>
        <v>0.0461541</v>
      </c>
      <c r="F812" s="38" t="n">
        <f aca="false">E812+Inputs!$B$10</f>
        <v>0.1136541</v>
      </c>
      <c r="G812" s="37" t="n">
        <f aca="false">D812*F812/C812</f>
        <v>228.239790983607</v>
      </c>
      <c r="H812" s="37" t="n">
        <f aca="false">IF(AND(A812&gt;=Inputs!$B$13,OR(A812&lt;Inputs!$B$19,Inputs!$B$20=1)),D812*Inputs!$B$11/C812,0)</f>
        <v>40.1639344262295</v>
      </c>
      <c r="I812" s="37" t="n">
        <f aca="false">Inputs!$C$9-SUMIFS(Cash_Events!$G$6:$G$20,Cash_Events!$C$6:$C$20,"FHL",Cash_Events!$B$6:$B$20,"&lt;="&amp;A812)</f>
        <v>735000</v>
      </c>
      <c r="J812" s="38" t="n">
        <f aca="false">VLOOKUP(A812,Inputs!$F$40:$G$48,2,TRUE())</f>
        <v>0.0457048</v>
      </c>
      <c r="K812" s="38" t="n">
        <f aca="false">J812+Inputs!$C$10</f>
        <v>0.1132048</v>
      </c>
      <c r="L812" s="37" t="n">
        <f aca="false">I812*K812/C812</f>
        <v>227.337508196721</v>
      </c>
      <c r="M812" s="37" t="n">
        <f aca="false">IF(AND(A812&gt;=Inputs!$C$13,OR(A812&lt;Inputs!$B$19,Inputs!$B$20=1)),I812*Inputs!$C$11/C812,0)</f>
        <v>40.1639344262295</v>
      </c>
    </row>
    <row r="813" customFormat="false" ht="15" hidden="false" customHeight="false" outlineLevel="0" collapsed="false">
      <c r="A813" s="35" t="n">
        <f aca="false">A812+1</f>
        <v>45620</v>
      </c>
      <c r="B813" s="35" t="n">
        <f aca="false">EOMONTH(A813+1,0)</f>
        <v>45626</v>
      </c>
      <c r="C813" s="36" t="n">
        <f aca="false">IF(MOD(YEAR(A813),4)=0,366,365)</f>
        <v>366</v>
      </c>
      <c r="D813" s="37" t="n">
        <f aca="false">Inputs!$B$9-SUMIFS(Cash_Events!$G$6:$G$20,Cash_Events!$C$6:$C$20,"rAGMF",Cash_Events!$B$6:$B$20,"&lt;="&amp;A813)</f>
        <v>735000</v>
      </c>
      <c r="E813" s="38" t="n">
        <f aca="false">VLOOKUP(A813,Inputs!$A$40:$B$48,2,TRUE())</f>
        <v>0.0461541</v>
      </c>
      <c r="F813" s="38" t="n">
        <f aca="false">E813+Inputs!$B$10</f>
        <v>0.1136541</v>
      </c>
      <c r="G813" s="37" t="n">
        <f aca="false">D813*F813/C813</f>
        <v>228.239790983607</v>
      </c>
      <c r="H813" s="37" t="n">
        <f aca="false">IF(AND(A813&gt;=Inputs!$B$13,OR(A813&lt;Inputs!$B$19,Inputs!$B$20=1)),D813*Inputs!$B$11/C813,0)</f>
        <v>40.1639344262295</v>
      </c>
      <c r="I813" s="37" t="n">
        <f aca="false">Inputs!$C$9-SUMIFS(Cash_Events!$G$6:$G$20,Cash_Events!$C$6:$C$20,"FHL",Cash_Events!$B$6:$B$20,"&lt;="&amp;A813)</f>
        <v>735000</v>
      </c>
      <c r="J813" s="38" t="n">
        <f aca="false">VLOOKUP(A813,Inputs!$F$40:$G$48,2,TRUE())</f>
        <v>0.0457048</v>
      </c>
      <c r="K813" s="38" t="n">
        <f aca="false">J813+Inputs!$C$10</f>
        <v>0.1132048</v>
      </c>
      <c r="L813" s="37" t="n">
        <f aca="false">I813*K813/C813</f>
        <v>227.337508196721</v>
      </c>
      <c r="M813" s="37" t="n">
        <f aca="false">IF(AND(A813&gt;=Inputs!$C$13,OR(A813&lt;Inputs!$B$19,Inputs!$B$20=1)),I813*Inputs!$C$11/C813,0)</f>
        <v>40.1639344262295</v>
      </c>
    </row>
    <row r="814" customFormat="false" ht="15" hidden="false" customHeight="false" outlineLevel="0" collapsed="false">
      <c r="A814" s="35" t="n">
        <f aca="false">A813+1</f>
        <v>45621</v>
      </c>
      <c r="B814" s="35" t="n">
        <f aca="false">EOMONTH(A814+1,0)</f>
        <v>45626</v>
      </c>
      <c r="C814" s="36" t="n">
        <f aca="false">IF(MOD(YEAR(A814),4)=0,366,365)</f>
        <v>366</v>
      </c>
      <c r="D814" s="37" t="n">
        <f aca="false">Inputs!$B$9-SUMIFS(Cash_Events!$G$6:$G$20,Cash_Events!$C$6:$C$20,"rAGMF",Cash_Events!$B$6:$B$20,"&lt;="&amp;A814)</f>
        <v>735000</v>
      </c>
      <c r="E814" s="38" t="n">
        <f aca="false">VLOOKUP(A814,Inputs!$A$40:$B$48,2,TRUE())</f>
        <v>0.0461541</v>
      </c>
      <c r="F814" s="38" t="n">
        <f aca="false">E814+Inputs!$B$10</f>
        <v>0.1136541</v>
      </c>
      <c r="G814" s="37" t="n">
        <f aca="false">D814*F814/C814</f>
        <v>228.239790983607</v>
      </c>
      <c r="H814" s="37" t="n">
        <f aca="false">IF(AND(A814&gt;=Inputs!$B$13,OR(A814&lt;Inputs!$B$19,Inputs!$B$20=1)),D814*Inputs!$B$11/C814,0)</f>
        <v>40.1639344262295</v>
      </c>
      <c r="I814" s="37" t="n">
        <f aca="false">Inputs!$C$9-SUMIFS(Cash_Events!$G$6:$G$20,Cash_Events!$C$6:$C$20,"FHL",Cash_Events!$B$6:$B$20,"&lt;="&amp;A814)</f>
        <v>735000</v>
      </c>
      <c r="J814" s="38" t="n">
        <f aca="false">VLOOKUP(A814,Inputs!$F$40:$G$48,2,TRUE())</f>
        <v>0.0457048</v>
      </c>
      <c r="K814" s="38" t="n">
        <f aca="false">J814+Inputs!$C$10</f>
        <v>0.1132048</v>
      </c>
      <c r="L814" s="37" t="n">
        <f aca="false">I814*K814/C814</f>
        <v>227.337508196721</v>
      </c>
      <c r="M814" s="37" t="n">
        <f aca="false">IF(AND(A814&gt;=Inputs!$C$13,OR(A814&lt;Inputs!$B$19,Inputs!$B$20=1)),I814*Inputs!$C$11/C814,0)</f>
        <v>40.1639344262295</v>
      </c>
    </row>
    <row r="815" customFormat="false" ht="15" hidden="false" customHeight="false" outlineLevel="0" collapsed="false">
      <c r="A815" s="35" t="n">
        <f aca="false">A814+1</f>
        <v>45622</v>
      </c>
      <c r="B815" s="35" t="n">
        <f aca="false">EOMONTH(A815+1,0)</f>
        <v>45626</v>
      </c>
      <c r="C815" s="36" t="n">
        <f aca="false">IF(MOD(YEAR(A815),4)=0,366,365)</f>
        <v>366</v>
      </c>
      <c r="D815" s="37" t="n">
        <f aca="false">Inputs!$B$9-SUMIFS(Cash_Events!$G$6:$G$20,Cash_Events!$C$6:$C$20,"rAGMF",Cash_Events!$B$6:$B$20,"&lt;="&amp;A815)</f>
        <v>735000</v>
      </c>
      <c r="E815" s="38" t="n">
        <f aca="false">VLOOKUP(A815,Inputs!$A$40:$B$48,2,TRUE())</f>
        <v>0.0461541</v>
      </c>
      <c r="F815" s="38" t="n">
        <f aca="false">E815+Inputs!$B$10</f>
        <v>0.1136541</v>
      </c>
      <c r="G815" s="37" t="n">
        <f aca="false">D815*F815/C815</f>
        <v>228.239790983607</v>
      </c>
      <c r="H815" s="37" t="n">
        <f aca="false">IF(AND(A815&gt;=Inputs!$B$13,OR(A815&lt;Inputs!$B$19,Inputs!$B$20=1)),D815*Inputs!$B$11/C815,0)</f>
        <v>40.1639344262295</v>
      </c>
      <c r="I815" s="37" t="n">
        <f aca="false">Inputs!$C$9-SUMIFS(Cash_Events!$G$6:$G$20,Cash_Events!$C$6:$C$20,"FHL",Cash_Events!$B$6:$B$20,"&lt;="&amp;A815)</f>
        <v>735000</v>
      </c>
      <c r="J815" s="38" t="n">
        <f aca="false">VLOOKUP(A815,Inputs!$F$40:$G$48,2,TRUE())</f>
        <v>0.0457048</v>
      </c>
      <c r="K815" s="38" t="n">
        <f aca="false">J815+Inputs!$C$10</f>
        <v>0.1132048</v>
      </c>
      <c r="L815" s="37" t="n">
        <f aca="false">I815*K815/C815</f>
        <v>227.337508196721</v>
      </c>
      <c r="M815" s="37" t="n">
        <f aca="false">IF(AND(A815&gt;=Inputs!$C$13,OR(A815&lt;Inputs!$B$19,Inputs!$B$20=1)),I815*Inputs!$C$11/C815,0)</f>
        <v>40.1639344262295</v>
      </c>
    </row>
    <row r="816" customFormat="false" ht="15" hidden="false" customHeight="false" outlineLevel="0" collapsed="false">
      <c r="A816" s="35" t="n">
        <f aca="false">A815+1</f>
        <v>45623</v>
      </c>
      <c r="B816" s="35" t="n">
        <f aca="false">EOMONTH(A816+1,0)</f>
        <v>45626</v>
      </c>
      <c r="C816" s="36" t="n">
        <f aca="false">IF(MOD(YEAR(A816),4)=0,366,365)</f>
        <v>366</v>
      </c>
      <c r="D816" s="37" t="n">
        <f aca="false">Inputs!$B$9-SUMIFS(Cash_Events!$G$6:$G$20,Cash_Events!$C$6:$C$20,"rAGMF",Cash_Events!$B$6:$B$20,"&lt;="&amp;A816)</f>
        <v>735000</v>
      </c>
      <c r="E816" s="38" t="n">
        <f aca="false">VLOOKUP(A816,Inputs!$A$40:$B$48,2,TRUE())</f>
        <v>0.0461541</v>
      </c>
      <c r="F816" s="38" t="n">
        <f aca="false">E816+Inputs!$B$10</f>
        <v>0.1136541</v>
      </c>
      <c r="G816" s="37" t="n">
        <f aca="false">D816*F816/C816</f>
        <v>228.239790983607</v>
      </c>
      <c r="H816" s="37" t="n">
        <f aca="false">IF(AND(A816&gt;=Inputs!$B$13,OR(A816&lt;Inputs!$B$19,Inputs!$B$20=1)),D816*Inputs!$B$11/C816,0)</f>
        <v>40.1639344262295</v>
      </c>
      <c r="I816" s="37" t="n">
        <f aca="false">Inputs!$C$9-SUMIFS(Cash_Events!$G$6:$G$20,Cash_Events!$C$6:$C$20,"FHL",Cash_Events!$B$6:$B$20,"&lt;="&amp;A816)</f>
        <v>735000</v>
      </c>
      <c r="J816" s="38" t="n">
        <f aca="false">VLOOKUP(A816,Inputs!$F$40:$G$48,2,TRUE())</f>
        <v>0.0457048</v>
      </c>
      <c r="K816" s="38" t="n">
        <f aca="false">J816+Inputs!$C$10</f>
        <v>0.1132048</v>
      </c>
      <c r="L816" s="37" t="n">
        <f aca="false">I816*K816/C816</f>
        <v>227.337508196721</v>
      </c>
      <c r="M816" s="37" t="n">
        <f aca="false">IF(AND(A816&gt;=Inputs!$C$13,OR(A816&lt;Inputs!$B$19,Inputs!$B$20=1)),I816*Inputs!$C$11/C816,0)</f>
        <v>40.1639344262295</v>
      </c>
    </row>
    <row r="817" customFormat="false" ht="15" hidden="false" customHeight="false" outlineLevel="0" collapsed="false">
      <c r="A817" s="35" t="n">
        <f aca="false">A816+1</f>
        <v>45624</v>
      </c>
      <c r="B817" s="35" t="n">
        <f aca="false">EOMONTH(A817+1,0)</f>
        <v>45626</v>
      </c>
      <c r="C817" s="36" t="n">
        <f aca="false">IF(MOD(YEAR(A817),4)=0,366,365)</f>
        <v>366</v>
      </c>
      <c r="D817" s="37" t="n">
        <f aca="false">Inputs!$B$9-SUMIFS(Cash_Events!$G$6:$G$20,Cash_Events!$C$6:$C$20,"rAGMF",Cash_Events!$B$6:$B$20,"&lt;="&amp;A817)</f>
        <v>735000</v>
      </c>
      <c r="E817" s="38" t="n">
        <f aca="false">VLOOKUP(A817,Inputs!$A$40:$B$48,2,TRUE())</f>
        <v>0.0461541</v>
      </c>
      <c r="F817" s="38" t="n">
        <f aca="false">E817+Inputs!$B$10</f>
        <v>0.1136541</v>
      </c>
      <c r="G817" s="37" t="n">
        <f aca="false">D817*F817/C817</f>
        <v>228.239790983607</v>
      </c>
      <c r="H817" s="37" t="n">
        <f aca="false">IF(AND(A817&gt;=Inputs!$B$13,OR(A817&lt;Inputs!$B$19,Inputs!$B$20=1)),D817*Inputs!$B$11/C817,0)</f>
        <v>40.1639344262295</v>
      </c>
      <c r="I817" s="37" t="n">
        <f aca="false">Inputs!$C$9-SUMIFS(Cash_Events!$G$6:$G$20,Cash_Events!$C$6:$C$20,"FHL",Cash_Events!$B$6:$B$20,"&lt;="&amp;A817)</f>
        <v>735000</v>
      </c>
      <c r="J817" s="38" t="n">
        <f aca="false">VLOOKUP(A817,Inputs!$F$40:$G$48,2,TRUE())</f>
        <v>0.0457048</v>
      </c>
      <c r="K817" s="38" t="n">
        <f aca="false">J817+Inputs!$C$10</f>
        <v>0.1132048</v>
      </c>
      <c r="L817" s="37" t="n">
        <f aca="false">I817*K817/C817</f>
        <v>227.337508196721</v>
      </c>
      <c r="M817" s="37" t="n">
        <f aca="false">IF(AND(A817&gt;=Inputs!$C$13,OR(A817&lt;Inputs!$B$19,Inputs!$B$20=1)),I817*Inputs!$C$11/C817,0)</f>
        <v>40.1639344262295</v>
      </c>
    </row>
    <row r="818" customFormat="false" ht="15" hidden="false" customHeight="false" outlineLevel="0" collapsed="false">
      <c r="A818" s="35" t="n">
        <f aca="false">A817+1</f>
        <v>45625</v>
      </c>
      <c r="B818" s="35" t="n">
        <f aca="false">EOMONTH(A818+1,0)</f>
        <v>45626</v>
      </c>
      <c r="C818" s="36" t="n">
        <f aca="false">IF(MOD(YEAR(A818),4)=0,366,365)</f>
        <v>366</v>
      </c>
      <c r="D818" s="37" t="n">
        <f aca="false">Inputs!$B$9-SUMIFS(Cash_Events!$G$6:$G$20,Cash_Events!$C$6:$C$20,"rAGMF",Cash_Events!$B$6:$B$20,"&lt;="&amp;A818)</f>
        <v>735000</v>
      </c>
      <c r="E818" s="38" t="n">
        <f aca="false">VLOOKUP(A818,Inputs!$A$40:$B$48,2,TRUE())</f>
        <v>0.0461541</v>
      </c>
      <c r="F818" s="38" t="n">
        <f aca="false">E818+Inputs!$B$10</f>
        <v>0.1136541</v>
      </c>
      <c r="G818" s="37" t="n">
        <f aca="false">D818*F818/C818</f>
        <v>228.239790983607</v>
      </c>
      <c r="H818" s="37" t="n">
        <f aca="false">IF(AND(A818&gt;=Inputs!$B$13,OR(A818&lt;Inputs!$B$19,Inputs!$B$20=1)),D818*Inputs!$B$11/C818,0)</f>
        <v>40.1639344262295</v>
      </c>
      <c r="I818" s="37" t="n">
        <f aca="false">Inputs!$C$9-SUMIFS(Cash_Events!$G$6:$G$20,Cash_Events!$C$6:$C$20,"FHL",Cash_Events!$B$6:$B$20,"&lt;="&amp;A818)</f>
        <v>735000</v>
      </c>
      <c r="J818" s="38" t="n">
        <f aca="false">VLOOKUP(A818,Inputs!$F$40:$G$48,2,TRUE())</f>
        <v>0.0457048</v>
      </c>
      <c r="K818" s="38" t="n">
        <f aca="false">J818+Inputs!$C$10</f>
        <v>0.1132048</v>
      </c>
      <c r="L818" s="37" t="n">
        <f aca="false">I818*K818/C818</f>
        <v>227.337508196721</v>
      </c>
      <c r="M818" s="37" t="n">
        <f aca="false">IF(AND(A818&gt;=Inputs!$C$13,OR(A818&lt;Inputs!$B$19,Inputs!$B$20=1)),I818*Inputs!$C$11/C818,0)</f>
        <v>40.1639344262295</v>
      </c>
    </row>
    <row r="819" customFormat="false" ht="15" hidden="false" customHeight="false" outlineLevel="0" collapsed="false">
      <c r="A819" s="35" t="n">
        <f aca="false">A818+1</f>
        <v>45626</v>
      </c>
      <c r="B819" s="35" t="n">
        <f aca="false">EOMONTH(A819+1,0)</f>
        <v>45657</v>
      </c>
      <c r="C819" s="36" t="n">
        <f aca="false">IF(MOD(YEAR(A819),4)=0,366,365)</f>
        <v>366</v>
      </c>
      <c r="D819" s="37" t="n">
        <f aca="false">Inputs!$B$9-SUMIFS(Cash_Events!$G$6:$G$20,Cash_Events!$C$6:$C$20,"rAGMF",Cash_Events!$B$6:$B$20,"&lt;="&amp;A819)</f>
        <v>735000</v>
      </c>
      <c r="E819" s="38" t="n">
        <f aca="false">VLOOKUP(A819,Inputs!$A$40:$B$48,2,TRUE())</f>
        <v>0.0461541</v>
      </c>
      <c r="F819" s="38" t="n">
        <f aca="false">E819+Inputs!$B$10</f>
        <v>0.1136541</v>
      </c>
      <c r="G819" s="37" t="n">
        <f aca="false">D819*F819/C819</f>
        <v>228.239790983607</v>
      </c>
      <c r="H819" s="37" t="n">
        <f aca="false">IF(AND(A819&gt;=Inputs!$B$13,OR(A819&lt;Inputs!$B$19,Inputs!$B$20=1)),D819*Inputs!$B$11/C819,0)</f>
        <v>40.1639344262295</v>
      </c>
      <c r="I819" s="37" t="n">
        <f aca="false">Inputs!$C$9-SUMIFS(Cash_Events!$G$6:$G$20,Cash_Events!$C$6:$C$20,"FHL",Cash_Events!$B$6:$B$20,"&lt;="&amp;A819)</f>
        <v>735000</v>
      </c>
      <c r="J819" s="38" t="n">
        <f aca="false">VLOOKUP(A819,Inputs!$F$40:$G$48,2,TRUE())</f>
        <v>0.0457048</v>
      </c>
      <c r="K819" s="38" t="n">
        <f aca="false">J819+Inputs!$C$10</f>
        <v>0.1132048</v>
      </c>
      <c r="L819" s="37" t="n">
        <f aca="false">I819*K819/C819</f>
        <v>227.337508196721</v>
      </c>
      <c r="M819" s="37" t="n">
        <f aca="false">IF(AND(A819&gt;=Inputs!$C$13,OR(A819&lt;Inputs!$B$19,Inputs!$B$20=1)),I819*Inputs!$C$11/C819,0)</f>
        <v>40.1639344262295</v>
      </c>
    </row>
    <row r="820" customFormat="false" ht="15" hidden="false" customHeight="false" outlineLevel="0" collapsed="false">
      <c r="A820" s="35" t="n">
        <f aca="false">A819+1</f>
        <v>45627</v>
      </c>
      <c r="B820" s="35" t="n">
        <f aca="false">EOMONTH(A820+1,0)</f>
        <v>45657</v>
      </c>
      <c r="C820" s="36" t="n">
        <f aca="false">IF(MOD(YEAR(A820),4)=0,366,365)</f>
        <v>366</v>
      </c>
      <c r="D820" s="37" t="n">
        <f aca="false">Inputs!$B$9-SUMIFS(Cash_Events!$G$6:$G$20,Cash_Events!$C$6:$C$20,"rAGMF",Cash_Events!$B$6:$B$20,"&lt;="&amp;A820)</f>
        <v>735000</v>
      </c>
      <c r="E820" s="38" t="n">
        <f aca="false">VLOOKUP(A820,Inputs!$A$40:$B$48,2,TRUE())</f>
        <v>0.0461541</v>
      </c>
      <c r="F820" s="38" t="n">
        <f aca="false">E820+Inputs!$B$10</f>
        <v>0.1136541</v>
      </c>
      <c r="G820" s="37" t="n">
        <f aca="false">D820*F820/C820</f>
        <v>228.239790983607</v>
      </c>
      <c r="H820" s="37" t="n">
        <f aca="false">IF(AND(A820&gt;=Inputs!$B$13,OR(A820&lt;Inputs!$B$19,Inputs!$B$20=1)),D820*Inputs!$B$11/C820,0)</f>
        <v>40.1639344262295</v>
      </c>
      <c r="I820" s="37" t="n">
        <f aca="false">Inputs!$C$9-SUMIFS(Cash_Events!$G$6:$G$20,Cash_Events!$C$6:$C$20,"FHL",Cash_Events!$B$6:$B$20,"&lt;="&amp;A820)</f>
        <v>735000</v>
      </c>
      <c r="J820" s="38" t="n">
        <f aca="false">VLOOKUP(A820,Inputs!$F$40:$G$48,2,TRUE())</f>
        <v>0.0457048</v>
      </c>
      <c r="K820" s="38" t="n">
        <f aca="false">J820+Inputs!$C$10</f>
        <v>0.1132048</v>
      </c>
      <c r="L820" s="37" t="n">
        <f aca="false">I820*K820/C820</f>
        <v>227.337508196721</v>
      </c>
      <c r="M820" s="37" t="n">
        <f aca="false">IF(AND(A820&gt;=Inputs!$C$13,OR(A820&lt;Inputs!$B$19,Inputs!$B$20=1)),I820*Inputs!$C$11/C820,0)</f>
        <v>40.1639344262295</v>
      </c>
    </row>
    <row r="821" customFormat="false" ht="15" hidden="false" customHeight="false" outlineLevel="0" collapsed="false">
      <c r="A821" s="35" t="n">
        <f aca="false">A820+1</f>
        <v>45628</v>
      </c>
      <c r="B821" s="35" t="n">
        <f aca="false">EOMONTH(A821+1,0)</f>
        <v>45657</v>
      </c>
      <c r="C821" s="36" t="n">
        <f aca="false">IF(MOD(YEAR(A821),4)=0,366,365)</f>
        <v>366</v>
      </c>
      <c r="D821" s="37" t="n">
        <f aca="false">Inputs!$B$9-SUMIFS(Cash_Events!$G$6:$G$20,Cash_Events!$C$6:$C$20,"rAGMF",Cash_Events!$B$6:$B$20,"&lt;="&amp;A821)</f>
        <v>735000</v>
      </c>
      <c r="E821" s="38" t="n">
        <f aca="false">VLOOKUP(A821,Inputs!$A$40:$B$48,2,TRUE())</f>
        <v>0.0461541</v>
      </c>
      <c r="F821" s="38" t="n">
        <f aca="false">E821+Inputs!$B$10</f>
        <v>0.1136541</v>
      </c>
      <c r="G821" s="37" t="n">
        <f aca="false">D821*F821/C821</f>
        <v>228.239790983607</v>
      </c>
      <c r="H821" s="37" t="n">
        <f aca="false">IF(AND(A821&gt;=Inputs!$B$13,OR(A821&lt;Inputs!$B$19,Inputs!$B$20=1)),D821*Inputs!$B$11/C821,0)</f>
        <v>40.1639344262295</v>
      </c>
      <c r="I821" s="37" t="n">
        <f aca="false">Inputs!$C$9-SUMIFS(Cash_Events!$G$6:$G$20,Cash_Events!$C$6:$C$20,"FHL",Cash_Events!$B$6:$B$20,"&lt;="&amp;A821)</f>
        <v>735000</v>
      </c>
      <c r="J821" s="38" t="n">
        <f aca="false">VLOOKUP(A821,Inputs!$F$40:$G$48,2,TRUE())</f>
        <v>0.0457048</v>
      </c>
      <c r="K821" s="38" t="n">
        <f aca="false">J821+Inputs!$C$10</f>
        <v>0.1132048</v>
      </c>
      <c r="L821" s="37" t="n">
        <f aca="false">I821*K821/C821</f>
        <v>227.337508196721</v>
      </c>
      <c r="M821" s="37" t="n">
        <f aca="false">IF(AND(A821&gt;=Inputs!$C$13,OR(A821&lt;Inputs!$B$19,Inputs!$B$20=1)),I821*Inputs!$C$11/C821,0)</f>
        <v>40.1639344262295</v>
      </c>
    </row>
    <row r="822" customFormat="false" ht="15" hidden="false" customHeight="false" outlineLevel="0" collapsed="false">
      <c r="A822" s="35" t="n">
        <f aca="false">A821+1</f>
        <v>45629</v>
      </c>
      <c r="B822" s="35" t="n">
        <f aca="false">EOMONTH(A822+1,0)</f>
        <v>45657</v>
      </c>
      <c r="C822" s="36" t="n">
        <f aca="false">IF(MOD(YEAR(A822),4)=0,366,365)</f>
        <v>366</v>
      </c>
      <c r="D822" s="37" t="n">
        <f aca="false">Inputs!$B$9-SUMIFS(Cash_Events!$G$6:$G$20,Cash_Events!$C$6:$C$20,"rAGMF",Cash_Events!$B$6:$B$20,"&lt;="&amp;A822)</f>
        <v>735000</v>
      </c>
      <c r="E822" s="38" t="n">
        <f aca="false">VLOOKUP(A822,Inputs!$A$40:$B$48,2,TRUE())</f>
        <v>0.0461541</v>
      </c>
      <c r="F822" s="38" t="n">
        <f aca="false">E822+Inputs!$B$10</f>
        <v>0.1136541</v>
      </c>
      <c r="G822" s="37" t="n">
        <f aca="false">D822*F822/C822</f>
        <v>228.239790983607</v>
      </c>
      <c r="H822" s="37" t="n">
        <f aca="false">IF(AND(A822&gt;=Inputs!$B$13,OR(A822&lt;Inputs!$B$19,Inputs!$B$20=1)),D822*Inputs!$B$11/C822,0)</f>
        <v>40.1639344262295</v>
      </c>
      <c r="I822" s="37" t="n">
        <f aca="false">Inputs!$C$9-SUMIFS(Cash_Events!$G$6:$G$20,Cash_Events!$C$6:$C$20,"FHL",Cash_Events!$B$6:$B$20,"&lt;="&amp;A822)</f>
        <v>735000</v>
      </c>
      <c r="J822" s="38" t="n">
        <f aca="false">VLOOKUP(A822,Inputs!$F$40:$G$48,2,TRUE())</f>
        <v>0.0457048</v>
      </c>
      <c r="K822" s="38" t="n">
        <f aca="false">J822+Inputs!$C$10</f>
        <v>0.1132048</v>
      </c>
      <c r="L822" s="37" t="n">
        <f aca="false">I822*K822/C822</f>
        <v>227.337508196721</v>
      </c>
      <c r="M822" s="37" t="n">
        <f aca="false">IF(AND(A822&gt;=Inputs!$C$13,OR(A822&lt;Inputs!$B$19,Inputs!$B$20=1)),I822*Inputs!$C$11/C822,0)</f>
        <v>40.1639344262295</v>
      </c>
    </row>
    <row r="823" customFormat="false" ht="15" hidden="false" customHeight="false" outlineLevel="0" collapsed="false">
      <c r="A823" s="35" t="n">
        <f aca="false">A822+1</f>
        <v>45630</v>
      </c>
      <c r="B823" s="35" t="n">
        <f aca="false">EOMONTH(A823+1,0)</f>
        <v>45657</v>
      </c>
      <c r="C823" s="36" t="n">
        <f aca="false">IF(MOD(YEAR(A823),4)=0,366,365)</f>
        <v>366</v>
      </c>
      <c r="D823" s="37" t="n">
        <f aca="false">Inputs!$B$9-SUMIFS(Cash_Events!$G$6:$G$20,Cash_Events!$C$6:$C$20,"rAGMF",Cash_Events!$B$6:$B$20,"&lt;="&amp;A823)</f>
        <v>735000</v>
      </c>
      <c r="E823" s="38" t="n">
        <f aca="false">VLOOKUP(A823,Inputs!$A$40:$B$48,2,TRUE())</f>
        <v>0.0461541</v>
      </c>
      <c r="F823" s="38" t="n">
        <f aca="false">E823+Inputs!$B$10</f>
        <v>0.1136541</v>
      </c>
      <c r="G823" s="37" t="n">
        <f aca="false">D823*F823/C823</f>
        <v>228.239790983607</v>
      </c>
      <c r="H823" s="37" t="n">
        <f aca="false">IF(AND(A823&gt;=Inputs!$B$13,OR(A823&lt;Inputs!$B$19,Inputs!$B$20=1)),D823*Inputs!$B$11/C823,0)</f>
        <v>40.1639344262295</v>
      </c>
      <c r="I823" s="37" t="n">
        <f aca="false">Inputs!$C$9-SUMIFS(Cash_Events!$G$6:$G$20,Cash_Events!$C$6:$C$20,"FHL",Cash_Events!$B$6:$B$20,"&lt;="&amp;A823)</f>
        <v>735000</v>
      </c>
      <c r="J823" s="38" t="n">
        <f aca="false">VLOOKUP(A823,Inputs!$F$40:$G$48,2,TRUE())</f>
        <v>0.0457048</v>
      </c>
      <c r="K823" s="38" t="n">
        <f aca="false">J823+Inputs!$C$10</f>
        <v>0.1132048</v>
      </c>
      <c r="L823" s="37" t="n">
        <f aca="false">I823*K823/C823</f>
        <v>227.337508196721</v>
      </c>
      <c r="M823" s="37" t="n">
        <f aca="false">IF(AND(A823&gt;=Inputs!$C$13,OR(A823&lt;Inputs!$B$19,Inputs!$B$20=1)),I823*Inputs!$C$11/C823,0)</f>
        <v>40.1639344262295</v>
      </c>
    </row>
    <row r="824" customFormat="false" ht="15" hidden="false" customHeight="false" outlineLevel="0" collapsed="false">
      <c r="A824" s="35" t="n">
        <f aca="false">A823+1</f>
        <v>45631</v>
      </c>
      <c r="B824" s="35" t="n">
        <f aca="false">EOMONTH(A824+1,0)</f>
        <v>45657</v>
      </c>
      <c r="C824" s="36" t="n">
        <f aca="false">IF(MOD(YEAR(A824),4)=0,366,365)</f>
        <v>366</v>
      </c>
      <c r="D824" s="37" t="n">
        <f aca="false">Inputs!$B$9-SUMIFS(Cash_Events!$G$6:$G$20,Cash_Events!$C$6:$C$20,"rAGMF",Cash_Events!$B$6:$B$20,"&lt;="&amp;A824)</f>
        <v>735000</v>
      </c>
      <c r="E824" s="38" t="n">
        <f aca="false">VLOOKUP(A824,Inputs!$A$40:$B$48,2,TRUE())</f>
        <v>0.0461541</v>
      </c>
      <c r="F824" s="38" t="n">
        <f aca="false">E824+Inputs!$B$10</f>
        <v>0.1136541</v>
      </c>
      <c r="G824" s="37" t="n">
        <f aca="false">D824*F824/C824</f>
        <v>228.239790983607</v>
      </c>
      <c r="H824" s="37" t="n">
        <f aca="false">IF(AND(A824&gt;=Inputs!$B$13,OR(A824&lt;Inputs!$B$19,Inputs!$B$20=1)),D824*Inputs!$B$11/C824,0)</f>
        <v>40.1639344262295</v>
      </c>
      <c r="I824" s="37" t="n">
        <f aca="false">Inputs!$C$9-SUMIFS(Cash_Events!$G$6:$G$20,Cash_Events!$C$6:$C$20,"FHL",Cash_Events!$B$6:$B$20,"&lt;="&amp;A824)</f>
        <v>735000</v>
      </c>
      <c r="J824" s="38" t="n">
        <f aca="false">VLOOKUP(A824,Inputs!$F$40:$G$48,2,TRUE())</f>
        <v>0.0457048</v>
      </c>
      <c r="K824" s="38" t="n">
        <f aca="false">J824+Inputs!$C$10</f>
        <v>0.1132048</v>
      </c>
      <c r="L824" s="37" t="n">
        <f aca="false">I824*K824/C824</f>
        <v>227.337508196721</v>
      </c>
      <c r="M824" s="37" t="n">
        <f aca="false">IF(AND(A824&gt;=Inputs!$C$13,OR(A824&lt;Inputs!$B$19,Inputs!$B$20=1)),I824*Inputs!$C$11/C824,0)</f>
        <v>40.1639344262295</v>
      </c>
    </row>
    <row r="825" customFormat="false" ht="15" hidden="false" customHeight="false" outlineLevel="0" collapsed="false">
      <c r="A825" s="35" t="n">
        <f aca="false">A824+1</f>
        <v>45632</v>
      </c>
      <c r="B825" s="35" t="n">
        <f aca="false">EOMONTH(A825+1,0)</f>
        <v>45657</v>
      </c>
      <c r="C825" s="36" t="n">
        <f aca="false">IF(MOD(YEAR(A825),4)=0,366,365)</f>
        <v>366</v>
      </c>
      <c r="D825" s="37" t="n">
        <f aca="false">Inputs!$B$9-SUMIFS(Cash_Events!$G$6:$G$20,Cash_Events!$C$6:$C$20,"rAGMF",Cash_Events!$B$6:$B$20,"&lt;="&amp;A825)</f>
        <v>735000</v>
      </c>
      <c r="E825" s="38" t="n">
        <f aca="false">VLOOKUP(A825,Inputs!$A$40:$B$48,2,TRUE())</f>
        <v>0.0461541</v>
      </c>
      <c r="F825" s="38" t="n">
        <f aca="false">E825+Inputs!$B$10</f>
        <v>0.1136541</v>
      </c>
      <c r="G825" s="37" t="n">
        <f aca="false">D825*F825/C825</f>
        <v>228.239790983607</v>
      </c>
      <c r="H825" s="37" t="n">
        <f aca="false">IF(AND(A825&gt;=Inputs!$B$13,OR(A825&lt;Inputs!$B$19,Inputs!$B$20=1)),D825*Inputs!$B$11/C825,0)</f>
        <v>40.1639344262295</v>
      </c>
      <c r="I825" s="37" t="n">
        <f aca="false">Inputs!$C$9-SUMIFS(Cash_Events!$G$6:$G$20,Cash_Events!$C$6:$C$20,"FHL",Cash_Events!$B$6:$B$20,"&lt;="&amp;A825)</f>
        <v>735000</v>
      </c>
      <c r="J825" s="38" t="n">
        <f aca="false">VLOOKUP(A825,Inputs!$F$40:$G$48,2,TRUE())</f>
        <v>0.0457048</v>
      </c>
      <c r="K825" s="38" t="n">
        <f aca="false">J825+Inputs!$C$10</f>
        <v>0.1132048</v>
      </c>
      <c r="L825" s="37" t="n">
        <f aca="false">I825*K825/C825</f>
        <v>227.337508196721</v>
      </c>
      <c r="M825" s="37" t="n">
        <f aca="false">IF(AND(A825&gt;=Inputs!$C$13,OR(A825&lt;Inputs!$B$19,Inputs!$B$20=1)),I825*Inputs!$C$11/C825,0)</f>
        <v>40.1639344262295</v>
      </c>
    </row>
    <row r="826" customFormat="false" ht="15" hidden="false" customHeight="false" outlineLevel="0" collapsed="false">
      <c r="A826" s="35" t="n">
        <f aca="false">A825+1</f>
        <v>45633</v>
      </c>
      <c r="B826" s="35" t="n">
        <f aca="false">EOMONTH(A826+1,0)</f>
        <v>45657</v>
      </c>
      <c r="C826" s="36" t="n">
        <f aca="false">IF(MOD(YEAR(A826),4)=0,366,365)</f>
        <v>366</v>
      </c>
      <c r="D826" s="37" t="n">
        <f aca="false">Inputs!$B$9-SUMIFS(Cash_Events!$G$6:$G$20,Cash_Events!$C$6:$C$20,"rAGMF",Cash_Events!$B$6:$B$20,"&lt;="&amp;A826)</f>
        <v>735000</v>
      </c>
      <c r="E826" s="38" t="n">
        <f aca="false">VLOOKUP(A826,Inputs!$A$40:$B$48,2,TRUE())</f>
        <v>0.0461541</v>
      </c>
      <c r="F826" s="38" t="n">
        <f aca="false">E826+Inputs!$B$10</f>
        <v>0.1136541</v>
      </c>
      <c r="G826" s="37" t="n">
        <f aca="false">D826*F826/C826</f>
        <v>228.239790983607</v>
      </c>
      <c r="H826" s="37" t="n">
        <f aca="false">IF(AND(A826&gt;=Inputs!$B$13,OR(A826&lt;Inputs!$B$19,Inputs!$B$20=1)),D826*Inputs!$B$11/C826,0)</f>
        <v>40.1639344262295</v>
      </c>
      <c r="I826" s="37" t="n">
        <f aca="false">Inputs!$C$9-SUMIFS(Cash_Events!$G$6:$G$20,Cash_Events!$C$6:$C$20,"FHL",Cash_Events!$B$6:$B$20,"&lt;="&amp;A826)</f>
        <v>735000</v>
      </c>
      <c r="J826" s="38" t="n">
        <f aca="false">VLOOKUP(A826,Inputs!$F$40:$G$48,2,TRUE())</f>
        <v>0.0457048</v>
      </c>
      <c r="K826" s="38" t="n">
        <f aca="false">J826+Inputs!$C$10</f>
        <v>0.1132048</v>
      </c>
      <c r="L826" s="37" t="n">
        <f aca="false">I826*K826/C826</f>
        <v>227.337508196721</v>
      </c>
      <c r="M826" s="37" t="n">
        <f aca="false">IF(AND(A826&gt;=Inputs!$C$13,OR(A826&lt;Inputs!$B$19,Inputs!$B$20=1)),I826*Inputs!$C$11/C826,0)</f>
        <v>40.1639344262295</v>
      </c>
    </row>
    <row r="827" customFormat="false" ht="15" hidden="false" customHeight="false" outlineLevel="0" collapsed="false">
      <c r="A827" s="35" t="n">
        <f aca="false">A826+1</f>
        <v>45634</v>
      </c>
      <c r="B827" s="35" t="n">
        <f aca="false">EOMONTH(A827+1,0)</f>
        <v>45657</v>
      </c>
      <c r="C827" s="36" t="n">
        <f aca="false">IF(MOD(YEAR(A827),4)=0,366,365)</f>
        <v>366</v>
      </c>
      <c r="D827" s="37" t="n">
        <f aca="false">Inputs!$B$9-SUMIFS(Cash_Events!$G$6:$G$20,Cash_Events!$C$6:$C$20,"rAGMF",Cash_Events!$B$6:$B$20,"&lt;="&amp;A827)</f>
        <v>735000</v>
      </c>
      <c r="E827" s="38" t="n">
        <f aca="false">VLOOKUP(A827,Inputs!$A$40:$B$48,2,TRUE())</f>
        <v>0.0461541</v>
      </c>
      <c r="F827" s="38" t="n">
        <f aca="false">E827+Inputs!$B$10</f>
        <v>0.1136541</v>
      </c>
      <c r="G827" s="37" t="n">
        <f aca="false">D827*F827/C827</f>
        <v>228.239790983607</v>
      </c>
      <c r="H827" s="37" t="n">
        <f aca="false">IF(AND(A827&gt;=Inputs!$B$13,OR(A827&lt;Inputs!$B$19,Inputs!$B$20=1)),D827*Inputs!$B$11/C827,0)</f>
        <v>40.1639344262295</v>
      </c>
      <c r="I827" s="37" t="n">
        <f aca="false">Inputs!$C$9-SUMIFS(Cash_Events!$G$6:$G$20,Cash_Events!$C$6:$C$20,"FHL",Cash_Events!$B$6:$B$20,"&lt;="&amp;A827)</f>
        <v>735000</v>
      </c>
      <c r="J827" s="38" t="n">
        <f aca="false">VLOOKUP(A827,Inputs!$F$40:$G$48,2,TRUE())</f>
        <v>0.0457048</v>
      </c>
      <c r="K827" s="38" t="n">
        <f aca="false">J827+Inputs!$C$10</f>
        <v>0.1132048</v>
      </c>
      <c r="L827" s="37" t="n">
        <f aca="false">I827*K827/C827</f>
        <v>227.337508196721</v>
      </c>
      <c r="M827" s="37" t="n">
        <f aca="false">IF(AND(A827&gt;=Inputs!$C$13,OR(A827&lt;Inputs!$B$19,Inputs!$B$20=1)),I827*Inputs!$C$11/C827,0)</f>
        <v>40.1639344262295</v>
      </c>
    </row>
    <row r="828" customFormat="false" ht="15" hidden="false" customHeight="false" outlineLevel="0" collapsed="false">
      <c r="A828" s="35" t="n">
        <f aca="false">A827+1</f>
        <v>45635</v>
      </c>
      <c r="B828" s="35" t="n">
        <f aca="false">EOMONTH(A828+1,0)</f>
        <v>45657</v>
      </c>
      <c r="C828" s="36" t="n">
        <f aca="false">IF(MOD(YEAR(A828),4)=0,366,365)</f>
        <v>366</v>
      </c>
      <c r="D828" s="37" t="n">
        <f aca="false">Inputs!$B$9-SUMIFS(Cash_Events!$G$6:$G$20,Cash_Events!$C$6:$C$20,"rAGMF",Cash_Events!$B$6:$B$20,"&lt;="&amp;A828)</f>
        <v>735000</v>
      </c>
      <c r="E828" s="38" t="n">
        <f aca="false">VLOOKUP(A828,Inputs!$A$40:$B$48,2,TRUE())</f>
        <v>0.0461541</v>
      </c>
      <c r="F828" s="38" t="n">
        <f aca="false">E828+Inputs!$B$10</f>
        <v>0.1136541</v>
      </c>
      <c r="G828" s="37" t="n">
        <f aca="false">D828*F828/C828</f>
        <v>228.239790983607</v>
      </c>
      <c r="H828" s="37" t="n">
        <f aca="false">IF(AND(A828&gt;=Inputs!$B$13,OR(A828&lt;Inputs!$B$19,Inputs!$B$20=1)),D828*Inputs!$B$11/C828,0)</f>
        <v>40.1639344262295</v>
      </c>
      <c r="I828" s="37" t="n">
        <f aca="false">Inputs!$C$9-SUMIFS(Cash_Events!$G$6:$G$20,Cash_Events!$C$6:$C$20,"FHL",Cash_Events!$B$6:$B$20,"&lt;="&amp;A828)</f>
        <v>735000</v>
      </c>
      <c r="J828" s="38" t="n">
        <f aca="false">VLOOKUP(A828,Inputs!$F$40:$G$48,2,TRUE())</f>
        <v>0.0457048</v>
      </c>
      <c r="K828" s="38" t="n">
        <f aca="false">J828+Inputs!$C$10</f>
        <v>0.1132048</v>
      </c>
      <c r="L828" s="37" t="n">
        <f aca="false">I828*K828/C828</f>
        <v>227.337508196721</v>
      </c>
      <c r="M828" s="37" t="n">
        <f aca="false">IF(AND(A828&gt;=Inputs!$C$13,OR(A828&lt;Inputs!$B$19,Inputs!$B$20=1)),I828*Inputs!$C$11/C828,0)</f>
        <v>40.1639344262295</v>
      </c>
    </row>
    <row r="829" customFormat="false" ht="15" hidden="false" customHeight="false" outlineLevel="0" collapsed="false">
      <c r="A829" s="35" t="n">
        <f aca="false">A828+1</f>
        <v>45636</v>
      </c>
      <c r="B829" s="35" t="n">
        <f aca="false">EOMONTH(A829+1,0)</f>
        <v>45657</v>
      </c>
      <c r="C829" s="36" t="n">
        <f aca="false">IF(MOD(YEAR(A829),4)=0,366,365)</f>
        <v>366</v>
      </c>
      <c r="D829" s="37" t="n">
        <f aca="false">Inputs!$B$9-SUMIFS(Cash_Events!$G$6:$G$20,Cash_Events!$C$6:$C$20,"rAGMF",Cash_Events!$B$6:$B$20,"&lt;="&amp;A829)</f>
        <v>735000</v>
      </c>
      <c r="E829" s="38" t="n">
        <f aca="false">VLOOKUP(A829,Inputs!$A$40:$B$48,2,TRUE())</f>
        <v>0.0461541</v>
      </c>
      <c r="F829" s="38" t="n">
        <f aca="false">E829+Inputs!$B$10</f>
        <v>0.1136541</v>
      </c>
      <c r="G829" s="37" t="n">
        <f aca="false">D829*F829/C829</f>
        <v>228.239790983607</v>
      </c>
      <c r="H829" s="37" t="n">
        <f aca="false">IF(AND(A829&gt;=Inputs!$B$13,OR(A829&lt;Inputs!$B$19,Inputs!$B$20=1)),D829*Inputs!$B$11/C829,0)</f>
        <v>40.1639344262295</v>
      </c>
      <c r="I829" s="37" t="n">
        <f aca="false">Inputs!$C$9-SUMIFS(Cash_Events!$G$6:$G$20,Cash_Events!$C$6:$C$20,"FHL",Cash_Events!$B$6:$B$20,"&lt;="&amp;A829)</f>
        <v>735000</v>
      </c>
      <c r="J829" s="38" t="n">
        <f aca="false">VLOOKUP(A829,Inputs!$F$40:$G$48,2,TRUE())</f>
        <v>0.0457048</v>
      </c>
      <c r="K829" s="38" t="n">
        <f aca="false">J829+Inputs!$C$10</f>
        <v>0.1132048</v>
      </c>
      <c r="L829" s="37" t="n">
        <f aca="false">I829*K829/C829</f>
        <v>227.337508196721</v>
      </c>
      <c r="M829" s="37" t="n">
        <f aca="false">IF(AND(A829&gt;=Inputs!$C$13,OR(A829&lt;Inputs!$B$19,Inputs!$B$20=1)),I829*Inputs!$C$11/C829,0)</f>
        <v>40.1639344262295</v>
      </c>
    </row>
    <row r="830" customFormat="false" ht="15" hidden="false" customHeight="false" outlineLevel="0" collapsed="false">
      <c r="A830" s="35" t="n">
        <f aca="false">A829+1</f>
        <v>45637</v>
      </c>
      <c r="B830" s="35" t="n">
        <f aca="false">EOMONTH(A830+1,0)</f>
        <v>45657</v>
      </c>
      <c r="C830" s="36" t="n">
        <f aca="false">IF(MOD(YEAR(A830),4)=0,366,365)</f>
        <v>366</v>
      </c>
      <c r="D830" s="37" t="n">
        <f aca="false">Inputs!$B$9-SUMIFS(Cash_Events!$G$6:$G$20,Cash_Events!$C$6:$C$20,"rAGMF",Cash_Events!$B$6:$B$20,"&lt;="&amp;A830)</f>
        <v>735000</v>
      </c>
      <c r="E830" s="38" t="n">
        <f aca="false">VLOOKUP(A830,Inputs!$A$40:$B$48,2,TRUE())</f>
        <v>0.0461541</v>
      </c>
      <c r="F830" s="38" t="n">
        <f aca="false">E830+Inputs!$B$10</f>
        <v>0.1136541</v>
      </c>
      <c r="G830" s="37" t="n">
        <f aca="false">D830*F830/C830</f>
        <v>228.239790983607</v>
      </c>
      <c r="H830" s="37" t="n">
        <f aca="false">IF(AND(A830&gt;=Inputs!$B$13,OR(A830&lt;Inputs!$B$19,Inputs!$B$20=1)),D830*Inputs!$B$11/C830,0)</f>
        <v>40.1639344262295</v>
      </c>
      <c r="I830" s="37" t="n">
        <f aca="false">Inputs!$C$9-SUMIFS(Cash_Events!$G$6:$G$20,Cash_Events!$C$6:$C$20,"FHL",Cash_Events!$B$6:$B$20,"&lt;="&amp;A830)</f>
        <v>735000</v>
      </c>
      <c r="J830" s="38" t="n">
        <f aca="false">VLOOKUP(A830,Inputs!$F$40:$G$48,2,TRUE())</f>
        <v>0.0457048</v>
      </c>
      <c r="K830" s="38" t="n">
        <f aca="false">J830+Inputs!$C$10</f>
        <v>0.1132048</v>
      </c>
      <c r="L830" s="37" t="n">
        <f aca="false">I830*K830/C830</f>
        <v>227.337508196721</v>
      </c>
      <c r="M830" s="37" t="n">
        <f aca="false">IF(AND(A830&gt;=Inputs!$C$13,OR(A830&lt;Inputs!$B$19,Inputs!$B$20=1)),I830*Inputs!$C$11/C830,0)</f>
        <v>40.1639344262295</v>
      </c>
    </row>
    <row r="831" customFormat="false" ht="15" hidden="false" customHeight="false" outlineLevel="0" collapsed="false">
      <c r="A831" s="35" t="n">
        <f aca="false">A830+1</f>
        <v>45638</v>
      </c>
      <c r="B831" s="35" t="n">
        <f aca="false">EOMONTH(A831+1,0)</f>
        <v>45657</v>
      </c>
      <c r="C831" s="36" t="n">
        <f aca="false">IF(MOD(YEAR(A831),4)=0,366,365)</f>
        <v>366</v>
      </c>
      <c r="D831" s="37" t="n">
        <f aca="false">Inputs!$B$9-SUMIFS(Cash_Events!$G$6:$G$20,Cash_Events!$C$6:$C$20,"rAGMF",Cash_Events!$B$6:$B$20,"&lt;="&amp;A831)</f>
        <v>735000</v>
      </c>
      <c r="E831" s="38" t="n">
        <f aca="false">VLOOKUP(A831,Inputs!$A$40:$B$48,2,TRUE())</f>
        <v>0.0461541</v>
      </c>
      <c r="F831" s="38" t="n">
        <f aca="false">E831+Inputs!$B$10</f>
        <v>0.1136541</v>
      </c>
      <c r="G831" s="37" t="n">
        <f aca="false">D831*F831/C831</f>
        <v>228.239790983607</v>
      </c>
      <c r="H831" s="37" t="n">
        <f aca="false">IF(AND(A831&gt;=Inputs!$B$13,OR(A831&lt;Inputs!$B$19,Inputs!$B$20=1)),D831*Inputs!$B$11/C831,0)</f>
        <v>40.1639344262295</v>
      </c>
      <c r="I831" s="37" t="n">
        <f aca="false">Inputs!$C$9-SUMIFS(Cash_Events!$G$6:$G$20,Cash_Events!$C$6:$C$20,"FHL",Cash_Events!$B$6:$B$20,"&lt;="&amp;A831)</f>
        <v>735000</v>
      </c>
      <c r="J831" s="38" t="n">
        <f aca="false">VLOOKUP(A831,Inputs!$F$40:$G$48,2,TRUE())</f>
        <v>0.0457048</v>
      </c>
      <c r="K831" s="38" t="n">
        <f aca="false">J831+Inputs!$C$10</f>
        <v>0.1132048</v>
      </c>
      <c r="L831" s="37" t="n">
        <f aca="false">I831*K831/C831</f>
        <v>227.337508196721</v>
      </c>
      <c r="M831" s="37" t="n">
        <f aca="false">IF(AND(A831&gt;=Inputs!$C$13,OR(A831&lt;Inputs!$B$19,Inputs!$B$20=1)),I831*Inputs!$C$11/C831,0)</f>
        <v>40.1639344262295</v>
      </c>
    </row>
    <row r="832" customFormat="false" ht="15" hidden="false" customHeight="false" outlineLevel="0" collapsed="false">
      <c r="A832" s="35" t="n">
        <f aca="false">A831+1</f>
        <v>45639</v>
      </c>
      <c r="B832" s="35" t="n">
        <f aca="false">EOMONTH(A832+1,0)</f>
        <v>45657</v>
      </c>
      <c r="C832" s="36" t="n">
        <f aca="false">IF(MOD(YEAR(A832),4)=0,366,365)</f>
        <v>366</v>
      </c>
      <c r="D832" s="37" t="n">
        <f aca="false">Inputs!$B$9-SUMIFS(Cash_Events!$G$6:$G$20,Cash_Events!$C$6:$C$20,"rAGMF",Cash_Events!$B$6:$B$20,"&lt;="&amp;A832)</f>
        <v>735000</v>
      </c>
      <c r="E832" s="38" t="n">
        <f aca="false">VLOOKUP(A832,Inputs!$A$40:$B$48,2,TRUE())</f>
        <v>0.0461541</v>
      </c>
      <c r="F832" s="38" t="n">
        <f aca="false">E832+Inputs!$B$10</f>
        <v>0.1136541</v>
      </c>
      <c r="G832" s="37" t="n">
        <f aca="false">D832*F832/C832</f>
        <v>228.239790983607</v>
      </c>
      <c r="H832" s="37" t="n">
        <f aca="false">IF(AND(A832&gt;=Inputs!$B$13,OR(A832&lt;Inputs!$B$19,Inputs!$B$20=1)),D832*Inputs!$B$11/C832,0)</f>
        <v>40.1639344262295</v>
      </c>
      <c r="I832" s="37" t="n">
        <f aca="false">Inputs!$C$9-SUMIFS(Cash_Events!$G$6:$G$20,Cash_Events!$C$6:$C$20,"FHL",Cash_Events!$B$6:$B$20,"&lt;="&amp;A832)</f>
        <v>735000</v>
      </c>
      <c r="J832" s="38" t="n">
        <f aca="false">VLOOKUP(A832,Inputs!$F$40:$G$48,2,TRUE())</f>
        <v>0.0457048</v>
      </c>
      <c r="K832" s="38" t="n">
        <f aca="false">J832+Inputs!$C$10</f>
        <v>0.1132048</v>
      </c>
      <c r="L832" s="37" t="n">
        <f aca="false">I832*K832/C832</f>
        <v>227.337508196721</v>
      </c>
      <c r="M832" s="37" t="n">
        <f aca="false">IF(AND(A832&gt;=Inputs!$C$13,OR(A832&lt;Inputs!$B$19,Inputs!$B$20=1)),I832*Inputs!$C$11/C832,0)</f>
        <v>40.1639344262295</v>
      </c>
    </row>
    <row r="833" customFormat="false" ht="15" hidden="false" customHeight="false" outlineLevel="0" collapsed="false">
      <c r="A833" s="35" t="n">
        <f aca="false">A832+1</f>
        <v>45640</v>
      </c>
      <c r="B833" s="35" t="n">
        <f aca="false">EOMONTH(A833+1,0)</f>
        <v>45657</v>
      </c>
      <c r="C833" s="36" t="n">
        <f aca="false">IF(MOD(YEAR(A833),4)=0,366,365)</f>
        <v>366</v>
      </c>
      <c r="D833" s="37" t="n">
        <f aca="false">Inputs!$B$9-SUMIFS(Cash_Events!$G$6:$G$20,Cash_Events!$C$6:$C$20,"rAGMF",Cash_Events!$B$6:$B$20,"&lt;="&amp;A833)</f>
        <v>735000</v>
      </c>
      <c r="E833" s="38" t="n">
        <f aca="false">VLOOKUP(A833,Inputs!$A$40:$B$48,2,TRUE())</f>
        <v>0.0461541</v>
      </c>
      <c r="F833" s="38" t="n">
        <f aca="false">E833+Inputs!$B$10</f>
        <v>0.1136541</v>
      </c>
      <c r="G833" s="37" t="n">
        <f aca="false">D833*F833/C833</f>
        <v>228.239790983607</v>
      </c>
      <c r="H833" s="37" t="n">
        <f aca="false">IF(AND(A833&gt;=Inputs!$B$13,OR(A833&lt;Inputs!$B$19,Inputs!$B$20=1)),D833*Inputs!$B$11/C833,0)</f>
        <v>40.1639344262295</v>
      </c>
      <c r="I833" s="37" t="n">
        <f aca="false">Inputs!$C$9-SUMIFS(Cash_Events!$G$6:$G$20,Cash_Events!$C$6:$C$20,"FHL",Cash_Events!$B$6:$B$20,"&lt;="&amp;A833)</f>
        <v>735000</v>
      </c>
      <c r="J833" s="38" t="n">
        <f aca="false">VLOOKUP(A833,Inputs!$F$40:$G$48,2,TRUE())</f>
        <v>0.0457048</v>
      </c>
      <c r="K833" s="38" t="n">
        <f aca="false">J833+Inputs!$C$10</f>
        <v>0.1132048</v>
      </c>
      <c r="L833" s="37" t="n">
        <f aca="false">I833*K833/C833</f>
        <v>227.337508196721</v>
      </c>
      <c r="M833" s="37" t="n">
        <f aca="false">IF(AND(A833&gt;=Inputs!$C$13,OR(A833&lt;Inputs!$B$19,Inputs!$B$20=1)),I833*Inputs!$C$11/C833,0)</f>
        <v>40.1639344262295</v>
      </c>
    </row>
    <row r="834" customFormat="false" ht="15" hidden="false" customHeight="false" outlineLevel="0" collapsed="false">
      <c r="A834" s="35" t="n">
        <f aca="false">A833+1</f>
        <v>45641</v>
      </c>
      <c r="B834" s="35" t="n">
        <f aca="false">EOMONTH(A834+1,0)</f>
        <v>45657</v>
      </c>
      <c r="C834" s="36" t="n">
        <f aca="false">IF(MOD(YEAR(A834),4)=0,366,365)</f>
        <v>366</v>
      </c>
      <c r="D834" s="37" t="n">
        <f aca="false">Inputs!$B$9-SUMIFS(Cash_Events!$G$6:$G$20,Cash_Events!$C$6:$C$20,"rAGMF",Cash_Events!$B$6:$B$20,"&lt;="&amp;A834)</f>
        <v>735000</v>
      </c>
      <c r="E834" s="38" t="n">
        <f aca="false">VLOOKUP(A834,Inputs!$A$40:$B$48,2,TRUE())</f>
        <v>0.0461541</v>
      </c>
      <c r="F834" s="38" t="n">
        <f aca="false">E834+Inputs!$B$10</f>
        <v>0.1136541</v>
      </c>
      <c r="G834" s="37" t="n">
        <f aca="false">D834*F834/C834</f>
        <v>228.239790983607</v>
      </c>
      <c r="H834" s="37" t="n">
        <f aca="false">IF(AND(A834&gt;=Inputs!$B$13,OR(A834&lt;Inputs!$B$19,Inputs!$B$20=1)),D834*Inputs!$B$11/C834,0)</f>
        <v>40.1639344262295</v>
      </c>
      <c r="I834" s="37" t="n">
        <f aca="false">Inputs!$C$9-SUMIFS(Cash_Events!$G$6:$G$20,Cash_Events!$C$6:$C$20,"FHL",Cash_Events!$B$6:$B$20,"&lt;="&amp;A834)</f>
        <v>735000</v>
      </c>
      <c r="J834" s="38" t="n">
        <f aca="false">VLOOKUP(A834,Inputs!$F$40:$G$48,2,TRUE())</f>
        <v>0.0457048</v>
      </c>
      <c r="K834" s="38" t="n">
        <f aca="false">J834+Inputs!$C$10</f>
        <v>0.1132048</v>
      </c>
      <c r="L834" s="37" t="n">
        <f aca="false">I834*K834/C834</f>
        <v>227.337508196721</v>
      </c>
      <c r="M834" s="37" t="n">
        <f aca="false">IF(AND(A834&gt;=Inputs!$C$13,OR(A834&lt;Inputs!$B$19,Inputs!$B$20=1)),I834*Inputs!$C$11/C834,0)</f>
        <v>40.1639344262295</v>
      </c>
    </row>
    <row r="835" customFormat="false" ht="15" hidden="false" customHeight="false" outlineLevel="0" collapsed="false">
      <c r="A835" s="35" t="n">
        <f aca="false">A834+1</f>
        <v>45642</v>
      </c>
      <c r="B835" s="35" t="n">
        <f aca="false">EOMONTH(A835+1,0)</f>
        <v>45657</v>
      </c>
      <c r="C835" s="36" t="n">
        <f aca="false">IF(MOD(YEAR(A835),4)=0,366,365)</f>
        <v>366</v>
      </c>
      <c r="D835" s="37" t="n">
        <f aca="false">Inputs!$B$9-SUMIFS(Cash_Events!$G$6:$G$20,Cash_Events!$C$6:$C$20,"rAGMF",Cash_Events!$B$6:$B$20,"&lt;="&amp;A835)</f>
        <v>735000</v>
      </c>
      <c r="E835" s="38" t="n">
        <f aca="false">VLOOKUP(A835,Inputs!$A$40:$B$48,2,TRUE())</f>
        <v>0.0461541</v>
      </c>
      <c r="F835" s="38" t="n">
        <f aca="false">E835+Inputs!$B$10</f>
        <v>0.1136541</v>
      </c>
      <c r="G835" s="37" t="n">
        <f aca="false">D835*F835/C835</f>
        <v>228.239790983607</v>
      </c>
      <c r="H835" s="37" t="n">
        <f aca="false">IF(AND(A835&gt;=Inputs!$B$13,OR(A835&lt;Inputs!$B$19,Inputs!$B$20=1)),D835*Inputs!$B$11/C835,0)</f>
        <v>40.1639344262295</v>
      </c>
      <c r="I835" s="37" t="n">
        <f aca="false">Inputs!$C$9-SUMIFS(Cash_Events!$G$6:$G$20,Cash_Events!$C$6:$C$20,"FHL",Cash_Events!$B$6:$B$20,"&lt;="&amp;A835)</f>
        <v>735000</v>
      </c>
      <c r="J835" s="38" t="n">
        <f aca="false">VLOOKUP(A835,Inputs!$F$40:$G$48,2,TRUE())</f>
        <v>0.0457048</v>
      </c>
      <c r="K835" s="38" t="n">
        <f aca="false">J835+Inputs!$C$10</f>
        <v>0.1132048</v>
      </c>
      <c r="L835" s="37" t="n">
        <f aca="false">I835*K835/C835</f>
        <v>227.337508196721</v>
      </c>
      <c r="M835" s="37" t="n">
        <f aca="false">IF(AND(A835&gt;=Inputs!$C$13,OR(A835&lt;Inputs!$B$19,Inputs!$B$20=1)),I835*Inputs!$C$11/C835,0)</f>
        <v>40.1639344262295</v>
      </c>
    </row>
    <row r="836" customFormat="false" ht="15" hidden="false" customHeight="false" outlineLevel="0" collapsed="false">
      <c r="A836" s="35" t="n">
        <f aca="false">A835+1</f>
        <v>45643</v>
      </c>
      <c r="B836" s="35" t="n">
        <f aca="false">EOMONTH(A836+1,0)</f>
        <v>45657</v>
      </c>
      <c r="C836" s="36" t="n">
        <f aca="false">IF(MOD(YEAR(A836),4)=0,366,365)</f>
        <v>366</v>
      </c>
      <c r="D836" s="37" t="n">
        <f aca="false">Inputs!$B$9-SUMIFS(Cash_Events!$G$6:$G$20,Cash_Events!$C$6:$C$20,"rAGMF",Cash_Events!$B$6:$B$20,"&lt;="&amp;A836)</f>
        <v>735000</v>
      </c>
      <c r="E836" s="38" t="n">
        <f aca="false">VLOOKUP(A836,Inputs!$A$40:$B$48,2,TRUE())</f>
        <v>0.0461541</v>
      </c>
      <c r="F836" s="38" t="n">
        <f aca="false">E836+Inputs!$B$10</f>
        <v>0.1136541</v>
      </c>
      <c r="G836" s="37" t="n">
        <f aca="false">D836*F836/C836</f>
        <v>228.239790983607</v>
      </c>
      <c r="H836" s="37" t="n">
        <f aca="false">IF(AND(A836&gt;=Inputs!$B$13,OR(A836&lt;Inputs!$B$19,Inputs!$B$20=1)),D836*Inputs!$B$11/C836,0)</f>
        <v>40.1639344262295</v>
      </c>
      <c r="I836" s="37" t="n">
        <f aca="false">Inputs!$C$9-SUMIFS(Cash_Events!$G$6:$G$20,Cash_Events!$C$6:$C$20,"FHL",Cash_Events!$B$6:$B$20,"&lt;="&amp;A836)</f>
        <v>735000</v>
      </c>
      <c r="J836" s="38" t="n">
        <f aca="false">VLOOKUP(A836,Inputs!$F$40:$G$48,2,TRUE())</f>
        <v>0.0457048</v>
      </c>
      <c r="K836" s="38" t="n">
        <f aca="false">J836+Inputs!$C$10</f>
        <v>0.1132048</v>
      </c>
      <c r="L836" s="37" t="n">
        <f aca="false">I836*K836/C836</f>
        <v>227.337508196721</v>
      </c>
      <c r="M836" s="37" t="n">
        <f aca="false">IF(AND(A836&gt;=Inputs!$C$13,OR(A836&lt;Inputs!$B$19,Inputs!$B$20=1)),I836*Inputs!$C$11/C836,0)</f>
        <v>40.1639344262295</v>
      </c>
    </row>
    <row r="837" customFormat="false" ht="15" hidden="false" customHeight="false" outlineLevel="0" collapsed="false">
      <c r="A837" s="35" t="n">
        <f aca="false">A836+1</f>
        <v>45644</v>
      </c>
      <c r="B837" s="35" t="n">
        <f aca="false">EOMONTH(A837+1,0)</f>
        <v>45657</v>
      </c>
      <c r="C837" s="36" t="n">
        <f aca="false">IF(MOD(YEAR(A837),4)=0,366,365)</f>
        <v>366</v>
      </c>
      <c r="D837" s="37" t="n">
        <f aca="false">Inputs!$B$9-SUMIFS(Cash_Events!$G$6:$G$20,Cash_Events!$C$6:$C$20,"rAGMF",Cash_Events!$B$6:$B$20,"&lt;="&amp;A837)</f>
        <v>735000</v>
      </c>
      <c r="E837" s="38" t="n">
        <f aca="false">VLOOKUP(A837,Inputs!$A$40:$B$48,2,TRUE())</f>
        <v>0.0461541</v>
      </c>
      <c r="F837" s="38" t="n">
        <f aca="false">E837+Inputs!$B$10</f>
        <v>0.1136541</v>
      </c>
      <c r="G837" s="37" t="n">
        <f aca="false">D837*F837/C837</f>
        <v>228.239790983607</v>
      </c>
      <c r="H837" s="37" t="n">
        <f aca="false">IF(AND(A837&gt;=Inputs!$B$13,OR(A837&lt;Inputs!$B$19,Inputs!$B$20=1)),D837*Inputs!$B$11/C837,0)</f>
        <v>40.1639344262295</v>
      </c>
      <c r="I837" s="37" t="n">
        <f aca="false">Inputs!$C$9-SUMIFS(Cash_Events!$G$6:$G$20,Cash_Events!$C$6:$C$20,"FHL",Cash_Events!$B$6:$B$20,"&lt;="&amp;A837)</f>
        <v>735000</v>
      </c>
      <c r="J837" s="38" t="n">
        <f aca="false">VLOOKUP(A837,Inputs!$F$40:$G$48,2,TRUE())</f>
        <v>0.0457048</v>
      </c>
      <c r="K837" s="38" t="n">
        <f aca="false">J837+Inputs!$C$10</f>
        <v>0.1132048</v>
      </c>
      <c r="L837" s="37" t="n">
        <f aca="false">I837*K837/C837</f>
        <v>227.337508196721</v>
      </c>
      <c r="M837" s="37" t="n">
        <f aca="false">IF(AND(A837&gt;=Inputs!$C$13,OR(A837&lt;Inputs!$B$19,Inputs!$B$20=1)),I837*Inputs!$C$11/C837,0)</f>
        <v>40.1639344262295</v>
      </c>
    </row>
    <row r="838" customFormat="false" ht="15" hidden="false" customHeight="false" outlineLevel="0" collapsed="false">
      <c r="A838" s="35" t="n">
        <f aca="false">A837+1</f>
        <v>45645</v>
      </c>
      <c r="B838" s="35" t="n">
        <f aca="false">EOMONTH(A838+1,0)</f>
        <v>45657</v>
      </c>
      <c r="C838" s="36" t="n">
        <f aca="false">IF(MOD(YEAR(A838),4)=0,366,365)</f>
        <v>366</v>
      </c>
      <c r="D838" s="37" t="n">
        <f aca="false">Inputs!$B$9-SUMIFS(Cash_Events!$G$6:$G$20,Cash_Events!$C$6:$C$20,"rAGMF",Cash_Events!$B$6:$B$20,"&lt;="&amp;A838)</f>
        <v>735000</v>
      </c>
      <c r="E838" s="38" t="n">
        <f aca="false">VLOOKUP(A838,Inputs!$A$40:$B$48,2,TRUE())</f>
        <v>0.0461541</v>
      </c>
      <c r="F838" s="38" t="n">
        <f aca="false">E838+Inputs!$B$10</f>
        <v>0.1136541</v>
      </c>
      <c r="G838" s="37" t="n">
        <f aca="false">D838*F838/C838</f>
        <v>228.239790983607</v>
      </c>
      <c r="H838" s="37" t="n">
        <f aca="false">IF(AND(A838&gt;=Inputs!$B$13,OR(A838&lt;Inputs!$B$19,Inputs!$B$20=1)),D838*Inputs!$B$11/C838,0)</f>
        <v>40.1639344262295</v>
      </c>
      <c r="I838" s="37" t="n">
        <f aca="false">Inputs!$C$9-SUMIFS(Cash_Events!$G$6:$G$20,Cash_Events!$C$6:$C$20,"FHL",Cash_Events!$B$6:$B$20,"&lt;="&amp;A838)</f>
        <v>735000</v>
      </c>
      <c r="J838" s="38" t="n">
        <f aca="false">VLOOKUP(A838,Inputs!$F$40:$G$48,2,TRUE())</f>
        <v>0.0457048</v>
      </c>
      <c r="K838" s="38" t="n">
        <f aca="false">J838+Inputs!$C$10</f>
        <v>0.1132048</v>
      </c>
      <c r="L838" s="37" t="n">
        <f aca="false">I838*K838/C838</f>
        <v>227.337508196721</v>
      </c>
      <c r="M838" s="37" t="n">
        <f aca="false">IF(AND(A838&gt;=Inputs!$C$13,OR(A838&lt;Inputs!$B$19,Inputs!$B$20=1)),I838*Inputs!$C$11/C838,0)</f>
        <v>40.1639344262295</v>
      </c>
    </row>
    <row r="839" customFormat="false" ht="15" hidden="false" customHeight="false" outlineLevel="0" collapsed="false">
      <c r="A839" s="35" t="n">
        <f aca="false">A838+1</f>
        <v>45646</v>
      </c>
      <c r="B839" s="35" t="n">
        <f aca="false">EOMONTH(A839+1,0)</f>
        <v>45657</v>
      </c>
      <c r="C839" s="36" t="n">
        <f aca="false">IF(MOD(YEAR(A839),4)=0,366,365)</f>
        <v>366</v>
      </c>
      <c r="D839" s="37" t="n">
        <f aca="false">Inputs!$B$9-SUMIFS(Cash_Events!$G$6:$G$20,Cash_Events!$C$6:$C$20,"rAGMF",Cash_Events!$B$6:$B$20,"&lt;="&amp;A839)</f>
        <v>735000</v>
      </c>
      <c r="E839" s="38" t="n">
        <f aca="false">VLOOKUP(A839,Inputs!$A$40:$B$48,2,TRUE())</f>
        <v>0.0461541</v>
      </c>
      <c r="F839" s="38" t="n">
        <f aca="false">E839+Inputs!$B$10</f>
        <v>0.1136541</v>
      </c>
      <c r="G839" s="37" t="n">
        <f aca="false">D839*F839/C839</f>
        <v>228.239790983607</v>
      </c>
      <c r="H839" s="37" t="n">
        <f aca="false">IF(AND(A839&gt;=Inputs!$B$13,OR(A839&lt;Inputs!$B$19,Inputs!$B$20=1)),D839*Inputs!$B$11/C839,0)</f>
        <v>40.1639344262295</v>
      </c>
      <c r="I839" s="37" t="n">
        <f aca="false">Inputs!$C$9-SUMIFS(Cash_Events!$G$6:$G$20,Cash_Events!$C$6:$C$20,"FHL",Cash_Events!$B$6:$B$20,"&lt;="&amp;A839)</f>
        <v>735000</v>
      </c>
      <c r="J839" s="38" t="n">
        <f aca="false">VLOOKUP(A839,Inputs!$F$40:$G$48,2,TRUE())</f>
        <v>0.0457048</v>
      </c>
      <c r="K839" s="38" t="n">
        <f aca="false">J839+Inputs!$C$10</f>
        <v>0.1132048</v>
      </c>
      <c r="L839" s="37" t="n">
        <f aca="false">I839*K839/C839</f>
        <v>227.337508196721</v>
      </c>
      <c r="M839" s="37" t="n">
        <f aca="false">IF(AND(A839&gt;=Inputs!$C$13,OR(A839&lt;Inputs!$B$19,Inputs!$B$20=1)),I839*Inputs!$C$11/C839,0)</f>
        <v>40.1639344262295</v>
      </c>
    </row>
    <row r="840" customFormat="false" ht="15" hidden="false" customHeight="false" outlineLevel="0" collapsed="false">
      <c r="A840" s="35" t="n">
        <f aca="false">A839+1</f>
        <v>45647</v>
      </c>
      <c r="B840" s="35" t="n">
        <f aca="false">EOMONTH(A840+1,0)</f>
        <v>45657</v>
      </c>
      <c r="C840" s="36" t="n">
        <f aca="false">IF(MOD(YEAR(A840),4)=0,366,365)</f>
        <v>366</v>
      </c>
      <c r="D840" s="37" t="n">
        <f aca="false">Inputs!$B$9-SUMIFS(Cash_Events!$G$6:$G$20,Cash_Events!$C$6:$C$20,"rAGMF",Cash_Events!$B$6:$B$20,"&lt;="&amp;A840)</f>
        <v>735000</v>
      </c>
      <c r="E840" s="38" t="n">
        <f aca="false">VLOOKUP(A840,Inputs!$A$40:$B$48,2,TRUE())</f>
        <v>0.0461541</v>
      </c>
      <c r="F840" s="38" t="n">
        <f aca="false">E840+Inputs!$B$10</f>
        <v>0.1136541</v>
      </c>
      <c r="G840" s="37" t="n">
        <f aca="false">D840*F840/C840</f>
        <v>228.239790983607</v>
      </c>
      <c r="H840" s="37" t="n">
        <f aca="false">IF(AND(A840&gt;=Inputs!$B$13,OR(A840&lt;Inputs!$B$19,Inputs!$B$20=1)),D840*Inputs!$B$11/C840,0)</f>
        <v>40.1639344262295</v>
      </c>
      <c r="I840" s="37" t="n">
        <f aca="false">Inputs!$C$9-SUMIFS(Cash_Events!$G$6:$G$20,Cash_Events!$C$6:$C$20,"FHL",Cash_Events!$B$6:$B$20,"&lt;="&amp;A840)</f>
        <v>735000</v>
      </c>
      <c r="J840" s="38" t="n">
        <f aca="false">VLOOKUP(A840,Inputs!$F$40:$G$48,2,TRUE())</f>
        <v>0.0457048</v>
      </c>
      <c r="K840" s="38" t="n">
        <f aca="false">J840+Inputs!$C$10</f>
        <v>0.1132048</v>
      </c>
      <c r="L840" s="37" t="n">
        <f aca="false">I840*K840/C840</f>
        <v>227.337508196721</v>
      </c>
      <c r="M840" s="37" t="n">
        <f aca="false">IF(AND(A840&gt;=Inputs!$C$13,OR(A840&lt;Inputs!$B$19,Inputs!$B$20=1)),I840*Inputs!$C$11/C840,0)</f>
        <v>40.1639344262295</v>
      </c>
    </row>
    <row r="841" customFormat="false" ht="15" hidden="false" customHeight="false" outlineLevel="0" collapsed="false">
      <c r="A841" s="35" t="n">
        <f aca="false">A840+1</f>
        <v>45648</v>
      </c>
      <c r="B841" s="35" t="n">
        <f aca="false">EOMONTH(A841+1,0)</f>
        <v>45657</v>
      </c>
      <c r="C841" s="36" t="n">
        <f aca="false">IF(MOD(YEAR(A841),4)=0,366,365)</f>
        <v>366</v>
      </c>
      <c r="D841" s="37" t="n">
        <f aca="false">Inputs!$B$9-SUMIFS(Cash_Events!$G$6:$G$20,Cash_Events!$C$6:$C$20,"rAGMF",Cash_Events!$B$6:$B$20,"&lt;="&amp;A841)</f>
        <v>735000</v>
      </c>
      <c r="E841" s="38" t="n">
        <f aca="false">VLOOKUP(A841,Inputs!$A$40:$B$48,2,TRUE())</f>
        <v>0.0461541</v>
      </c>
      <c r="F841" s="38" t="n">
        <f aca="false">E841+Inputs!$B$10</f>
        <v>0.1136541</v>
      </c>
      <c r="G841" s="37" t="n">
        <f aca="false">D841*F841/C841</f>
        <v>228.239790983607</v>
      </c>
      <c r="H841" s="37" t="n">
        <f aca="false">IF(AND(A841&gt;=Inputs!$B$13,OR(A841&lt;Inputs!$B$19,Inputs!$B$20=1)),D841*Inputs!$B$11/C841,0)</f>
        <v>40.1639344262295</v>
      </c>
      <c r="I841" s="37" t="n">
        <f aca="false">Inputs!$C$9-SUMIFS(Cash_Events!$G$6:$G$20,Cash_Events!$C$6:$C$20,"FHL",Cash_Events!$B$6:$B$20,"&lt;="&amp;A841)</f>
        <v>735000</v>
      </c>
      <c r="J841" s="38" t="n">
        <f aca="false">VLOOKUP(A841,Inputs!$F$40:$G$48,2,TRUE())</f>
        <v>0.0457048</v>
      </c>
      <c r="K841" s="38" t="n">
        <f aca="false">J841+Inputs!$C$10</f>
        <v>0.1132048</v>
      </c>
      <c r="L841" s="37" t="n">
        <f aca="false">I841*K841/C841</f>
        <v>227.337508196721</v>
      </c>
      <c r="M841" s="37" t="n">
        <f aca="false">IF(AND(A841&gt;=Inputs!$C$13,OR(A841&lt;Inputs!$B$19,Inputs!$B$20=1)),I841*Inputs!$C$11/C841,0)</f>
        <v>40.1639344262295</v>
      </c>
    </row>
    <row r="842" customFormat="false" ht="15" hidden="false" customHeight="false" outlineLevel="0" collapsed="false">
      <c r="A842" s="35" t="n">
        <f aca="false">A841+1</f>
        <v>45649</v>
      </c>
      <c r="B842" s="35" t="n">
        <f aca="false">EOMONTH(A842+1,0)</f>
        <v>45657</v>
      </c>
      <c r="C842" s="36" t="n">
        <f aca="false">IF(MOD(YEAR(A842),4)=0,366,365)</f>
        <v>366</v>
      </c>
      <c r="D842" s="37" t="n">
        <f aca="false">Inputs!$B$9-SUMIFS(Cash_Events!$G$6:$G$20,Cash_Events!$C$6:$C$20,"rAGMF",Cash_Events!$B$6:$B$20,"&lt;="&amp;A842)</f>
        <v>735000</v>
      </c>
      <c r="E842" s="38" t="n">
        <f aca="false">VLOOKUP(A842,Inputs!$A$40:$B$48,2,TRUE())</f>
        <v>0.0461541</v>
      </c>
      <c r="F842" s="38" t="n">
        <f aca="false">E842+Inputs!$B$10</f>
        <v>0.1136541</v>
      </c>
      <c r="G842" s="37" t="n">
        <f aca="false">D842*F842/C842</f>
        <v>228.239790983607</v>
      </c>
      <c r="H842" s="37" t="n">
        <f aca="false">IF(AND(A842&gt;=Inputs!$B$13,OR(A842&lt;Inputs!$B$19,Inputs!$B$20=1)),D842*Inputs!$B$11/C842,0)</f>
        <v>40.1639344262295</v>
      </c>
      <c r="I842" s="37" t="n">
        <f aca="false">Inputs!$C$9-SUMIFS(Cash_Events!$G$6:$G$20,Cash_Events!$C$6:$C$20,"FHL",Cash_Events!$B$6:$B$20,"&lt;="&amp;A842)</f>
        <v>735000</v>
      </c>
      <c r="J842" s="38" t="n">
        <f aca="false">VLOOKUP(A842,Inputs!$F$40:$G$48,2,TRUE())</f>
        <v>0.0457048</v>
      </c>
      <c r="K842" s="38" t="n">
        <f aca="false">J842+Inputs!$C$10</f>
        <v>0.1132048</v>
      </c>
      <c r="L842" s="37" t="n">
        <f aca="false">I842*K842/C842</f>
        <v>227.337508196721</v>
      </c>
      <c r="M842" s="37" t="n">
        <f aca="false">IF(AND(A842&gt;=Inputs!$C$13,OR(A842&lt;Inputs!$B$19,Inputs!$B$20=1)),I842*Inputs!$C$11/C842,0)</f>
        <v>40.1639344262295</v>
      </c>
    </row>
    <row r="843" customFormat="false" ht="15" hidden="false" customHeight="false" outlineLevel="0" collapsed="false">
      <c r="A843" s="35" t="n">
        <f aca="false">A842+1</f>
        <v>45650</v>
      </c>
      <c r="B843" s="35" t="n">
        <f aca="false">EOMONTH(A843+1,0)</f>
        <v>45657</v>
      </c>
      <c r="C843" s="36" t="n">
        <f aca="false">IF(MOD(YEAR(A843),4)=0,366,365)</f>
        <v>366</v>
      </c>
      <c r="D843" s="37" t="n">
        <f aca="false">Inputs!$B$9-SUMIFS(Cash_Events!$G$6:$G$20,Cash_Events!$C$6:$C$20,"rAGMF",Cash_Events!$B$6:$B$20,"&lt;="&amp;A843)</f>
        <v>735000</v>
      </c>
      <c r="E843" s="38" t="n">
        <f aca="false">VLOOKUP(A843,Inputs!$A$40:$B$48,2,TRUE())</f>
        <v>0.0461541</v>
      </c>
      <c r="F843" s="38" t="n">
        <f aca="false">E843+Inputs!$B$10</f>
        <v>0.1136541</v>
      </c>
      <c r="G843" s="37" t="n">
        <f aca="false">D843*F843/C843</f>
        <v>228.239790983607</v>
      </c>
      <c r="H843" s="37" t="n">
        <f aca="false">IF(AND(A843&gt;=Inputs!$B$13,OR(A843&lt;Inputs!$B$19,Inputs!$B$20=1)),D843*Inputs!$B$11/C843,0)</f>
        <v>40.1639344262295</v>
      </c>
      <c r="I843" s="37" t="n">
        <f aca="false">Inputs!$C$9-SUMIFS(Cash_Events!$G$6:$G$20,Cash_Events!$C$6:$C$20,"FHL",Cash_Events!$B$6:$B$20,"&lt;="&amp;A843)</f>
        <v>735000</v>
      </c>
      <c r="J843" s="38" t="n">
        <f aca="false">VLOOKUP(A843,Inputs!$F$40:$G$48,2,TRUE())</f>
        <v>0.0457048</v>
      </c>
      <c r="K843" s="38" t="n">
        <f aca="false">J843+Inputs!$C$10</f>
        <v>0.1132048</v>
      </c>
      <c r="L843" s="37" t="n">
        <f aca="false">I843*K843/C843</f>
        <v>227.337508196721</v>
      </c>
      <c r="M843" s="37" t="n">
        <f aca="false">IF(AND(A843&gt;=Inputs!$C$13,OR(A843&lt;Inputs!$B$19,Inputs!$B$20=1)),I843*Inputs!$C$11/C843,0)</f>
        <v>40.1639344262295</v>
      </c>
    </row>
    <row r="844" customFormat="false" ht="15" hidden="false" customHeight="false" outlineLevel="0" collapsed="false">
      <c r="A844" s="35" t="n">
        <f aca="false">A843+1</f>
        <v>45651</v>
      </c>
      <c r="B844" s="35" t="n">
        <f aca="false">EOMONTH(A844+1,0)</f>
        <v>45657</v>
      </c>
      <c r="C844" s="36" t="n">
        <f aca="false">IF(MOD(YEAR(A844),4)=0,366,365)</f>
        <v>366</v>
      </c>
      <c r="D844" s="37" t="n">
        <f aca="false">Inputs!$B$9-SUMIFS(Cash_Events!$G$6:$G$20,Cash_Events!$C$6:$C$20,"rAGMF",Cash_Events!$B$6:$B$20,"&lt;="&amp;A844)</f>
        <v>735000</v>
      </c>
      <c r="E844" s="38" t="n">
        <f aca="false">VLOOKUP(A844,Inputs!$A$40:$B$48,2,TRUE())</f>
        <v>0.0461541</v>
      </c>
      <c r="F844" s="38" t="n">
        <f aca="false">E844+Inputs!$B$10</f>
        <v>0.1136541</v>
      </c>
      <c r="G844" s="37" t="n">
        <f aca="false">D844*F844/C844</f>
        <v>228.239790983607</v>
      </c>
      <c r="H844" s="37" t="n">
        <f aca="false">IF(AND(A844&gt;=Inputs!$B$13,OR(A844&lt;Inputs!$B$19,Inputs!$B$20=1)),D844*Inputs!$B$11/C844,0)</f>
        <v>40.1639344262295</v>
      </c>
      <c r="I844" s="37" t="n">
        <f aca="false">Inputs!$C$9-SUMIFS(Cash_Events!$G$6:$G$20,Cash_Events!$C$6:$C$20,"FHL",Cash_Events!$B$6:$B$20,"&lt;="&amp;A844)</f>
        <v>735000</v>
      </c>
      <c r="J844" s="38" t="n">
        <f aca="false">VLOOKUP(A844,Inputs!$F$40:$G$48,2,TRUE())</f>
        <v>0.0457048</v>
      </c>
      <c r="K844" s="38" t="n">
        <f aca="false">J844+Inputs!$C$10</f>
        <v>0.1132048</v>
      </c>
      <c r="L844" s="37" t="n">
        <f aca="false">I844*K844/C844</f>
        <v>227.337508196721</v>
      </c>
      <c r="M844" s="37" t="n">
        <f aca="false">IF(AND(A844&gt;=Inputs!$C$13,OR(A844&lt;Inputs!$B$19,Inputs!$B$20=1)),I844*Inputs!$C$11/C844,0)</f>
        <v>40.1639344262295</v>
      </c>
    </row>
    <row r="845" customFormat="false" ht="15" hidden="false" customHeight="false" outlineLevel="0" collapsed="false">
      <c r="A845" s="35" t="n">
        <f aca="false">A844+1</f>
        <v>45652</v>
      </c>
      <c r="B845" s="35" t="n">
        <f aca="false">EOMONTH(A845+1,0)</f>
        <v>45657</v>
      </c>
      <c r="C845" s="36" t="n">
        <f aca="false">IF(MOD(YEAR(A845),4)=0,366,365)</f>
        <v>366</v>
      </c>
      <c r="D845" s="37" t="n">
        <f aca="false">Inputs!$B$9-SUMIFS(Cash_Events!$G$6:$G$20,Cash_Events!$C$6:$C$20,"rAGMF",Cash_Events!$B$6:$B$20,"&lt;="&amp;A845)</f>
        <v>735000</v>
      </c>
      <c r="E845" s="38" t="n">
        <f aca="false">VLOOKUP(A845,Inputs!$A$40:$B$48,2,TRUE())</f>
        <v>0.0461541</v>
      </c>
      <c r="F845" s="38" t="n">
        <f aca="false">E845+Inputs!$B$10</f>
        <v>0.1136541</v>
      </c>
      <c r="G845" s="37" t="n">
        <f aca="false">D845*F845/C845</f>
        <v>228.239790983607</v>
      </c>
      <c r="H845" s="37" t="n">
        <f aca="false">IF(AND(A845&gt;=Inputs!$B$13,OR(A845&lt;Inputs!$B$19,Inputs!$B$20=1)),D845*Inputs!$B$11/C845,0)</f>
        <v>40.1639344262295</v>
      </c>
      <c r="I845" s="37" t="n">
        <f aca="false">Inputs!$C$9-SUMIFS(Cash_Events!$G$6:$G$20,Cash_Events!$C$6:$C$20,"FHL",Cash_Events!$B$6:$B$20,"&lt;="&amp;A845)</f>
        <v>735000</v>
      </c>
      <c r="J845" s="38" t="n">
        <f aca="false">VLOOKUP(A845,Inputs!$F$40:$G$48,2,TRUE())</f>
        <v>0.0457048</v>
      </c>
      <c r="K845" s="38" t="n">
        <f aca="false">J845+Inputs!$C$10</f>
        <v>0.1132048</v>
      </c>
      <c r="L845" s="37" t="n">
        <f aca="false">I845*K845/C845</f>
        <v>227.337508196721</v>
      </c>
      <c r="M845" s="37" t="n">
        <f aca="false">IF(AND(A845&gt;=Inputs!$C$13,OR(A845&lt;Inputs!$B$19,Inputs!$B$20=1)),I845*Inputs!$C$11/C845,0)</f>
        <v>40.1639344262295</v>
      </c>
    </row>
    <row r="846" customFormat="false" ht="15" hidden="false" customHeight="false" outlineLevel="0" collapsed="false">
      <c r="A846" s="35" t="n">
        <f aca="false">A845+1</f>
        <v>45653</v>
      </c>
      <c r="B846" s="35" t="n">
        <f aca="false">EOMONTH(A846+1,0)</f>
        <v>45657</v>
      </c>
      <c r="C846" s="36" t="n">
        <f aca="false">IF(MOD(YEAR(A846),4)=0,366,365)</f>
        <v>366</v>
      </c>
      <c r="D846" s="37" t="n">
        <f aca="false">Inputs!$B$9-SUMIFS(Cash_Events!$G$6:$G$20,Cash_Events!$C$6:$C$20,"rAGMF",Cash_Events!$B$6:$B$20,"&lt;="&amp;A846)</f>
        <v>735000</v>
      </c>
      <c r="E846" s="38" t="n">
        <f aca="false">VLOOKUP(A846,Inputs!$A$40:$B$48,2,TRUE())</f>
        <v>0.0461541</v>
      </c>
      <c r="F846" s="38" t="n">
        <f aca="false">E846+Inputs!$B$10</f>
        <v>0.1136541</v>
      </c>
      <c r="G846" s="37" t="n">
        <f aca="false">D846*F846/C846</f>
        <v>228.239790983607</v>
      </c>
      <c r="H846" s="37" t="n">
        <f aca="false">IF(AND(A846&gt;=Inputs!$B$13,OR(A846&lt;Inputs!$B$19,Inputs!$B$20=1)),D846*Inputs!$B$11/C846,0)</f>
        <v>40.1639344262295</v>
      </c>
      <c r="I846" s="37" t="n">
        <f aca="false">Inputs!$C$9-SUMIFS(Cash_Events!$G$6:$G$20,Cash_Events!$C$6:$C$20,"FHL",Cash_Events!$B$6:$B$20,"&lt;="&amp;A846)</f>
        <v>735000</v>
      </c>
      <c r="J846" s="38" t="n">
        <f aca="false">VLOOKUP(A846,Inputs!$F$40:$G$48,2,TRUE())</f>
        <v>0.0457048</v>
      </c>
      <c r="K846" s="38" t="n">
        <f aca="false">J846+Inputs!$C$10</f>
        <v>0.1132048</v>
      </c>
      <c r="L846" s="37" t="n">
        <f aca="false">I846*K846/C846</f>
        <v>227.337508196721</v>
      </c>
      <c r="M846" s="37" t="n">
        <f aca="false">IF(AND(A846&gt;=Inputs!$C$13,OR(A846&lt;Inputs!$B$19,Inputs!$B$20=1)),I846*Inputs!$C$11/C846,0)</f>
        <v>40.1639344262295</v>
      </c>
    </row>
    <row r="847" customFormat="false" ht="15" hidden="false" customHeight="false" outlineLevel="0" collapsed="false">
      <c r="A847" s="35" t="n">
        <f aca="false">A846+1</f>
        <v>45654</v>
      </c>
      <c r="B847" s="35" t="n">
        <f aca="false">EOMONTH(A847+1,0)</f>
        <v>45657</v>
      </c>
      <c r="C847" s="36" t="n">
        <f aca="false">IF(MOD(YEAR(A847),4)=0,366,365)</f>
        <v>366</v>
      </c>
      <c r="D847" s="37" t="n">
        <f aca="false">Inputs!$B$9-SUMIFS(Cash_Events!$G$6:$G$20,Cash_Events!$C$6:$C$20,"rAGMF",Cash_Events!$B$6:$B$20,"&lt;="&amp;A847)</f>
        <v>735000</v>
      </c>
      <c r="E847" s="38" t="n">
        <f aca="false">VLOOKUP(A847,Inputs!$A$40:$B$48,2,TRUE())</f>
        <v>0.0461541</v>
      </c>
      <c r="F847" s="38" t="n">
        <f aca="false">E847+Inputs!$B$10</f>
        <v>0.1136541</v>
      </c>
      <c r="G847" s="37" t="n">
        <f aca="false">D847*F847/C847</f>
        <v>228.239790983607</v>
      </c>
      <c r="H847" s="37" t="n">
        <f aca="false">IF(AND(A847&gt;=Inputs!$B$13,OR(A847&lt;Inputs!$B$19,Inputs!$B$20=1)),D847*Inputs!$B$11/C847,0)</f>
        <v>40.1639344262295</v>
      </c>
      <c r="I847" s="37" t="n">
        <f aca="false">Inputs!$C$9-SUMIFS(Cash_Events!$G$6:$G$20,Cash_Events!$C$6:$C$20,"FHL",Cash_Events!$B$6:$B$20,"&lt;="&amp;A847)</f>
        <v>735000</v>
      </c>
      <c r="J847" s="38" t="n">
        <f aca="false">VLOOKUP(A847,Inputs!$F$40:$G$48,2,TRUE())</f>
        <v>0.0457048</v>
      </c>
      <c r="K847" s="38" t="n">
        <f aca="false">J847+Inputs!$C$10</f>
        <v>0.1132048</v>
      </c>
      <c r="L847" s="37" t="n">
        <f aca="false">I847*K847/C847</f>
        <v>227.337508196721</v>
      </c>
      <c r="M847" s="37" t="n">
        <f aca="false">IF(AND(A847&gt;=Inputs!$C$13,OR(A847&lt;Inputs!$B$19,Inputs!$B$20=1)),I847*Inputs!$C$11/C847,0)</f>
        <v>40.1639344262295</v>
      </c>
    </row>
    <row r="848" customFormat="false" ht="15" hidden="false" customHeight="false" outlineLevel="0" collapsed="false">
      <c r="A848" s="35" t="n">
        <f aca="false">A847+1</f>
        <v>45655</v>
      </c>
      <c r="B848" s="35" t="n">
        <f aca="false">EOMONTH(A848+1,0)</f>
        <v>45657</v>
      </c>
      <c r="C848" s="36" t="n">
        <f aca="false">IF(MOD(YEAR(A848),4)=0,366,365)</f>
        <v>366</v>
      </c>
      <c r="D848" s="37" t="n">
        <f aca="false">Inputs!$B$9-SUMIFS(Cash_Events!$G$6:$G$20,Cash_Events!$C$6:$C$20,"rAGMF",Cash_Events!$B$6:$B$20,"&lt;="&amp;A848)</f>
        <v>735000</v>
      </c>
      <c r="E848" s="38" t="n">
        <f aca="false">VLOOKUP(A848,Inputs!$A$40:$B$48,2,TRUE())</f>
        <v>0.0461541</v>
      </c>
      <c r="F848" s="38" t="n">
        <f aca="false">E848+Inputs!$B$10</f>
        <v>0.1136541</v>
      </c>
      <c r="G848" s="37" t="n">
        <f aca="false">D848*F848/C848</f>
        <v>228.239790983607</v>
      </c>
      <c r="H848" s="37" t="n">
        <f aca="false">IF(AND(A848&gt;=Inputs!$B$13,OR(A848&lt;Inputs!$B$19,Inputs!$B$20=1)),D848*Inputs!$B$11/C848,0)</f>
        <v>40.1639344262295</v>
      </c>
      <c r="I848" s="37" t="n">
        <f aca="false">Inputs!$C$9-SUMIFS(Cash_Events!$G$6:$G$20,Cash_Events!$C$6:$C$20,"FHL",Cash_Events!$B$6:$B$20,"&lt;="&amp;A848)</f>
        <v>735000</v>
      </c>
      <c r="J848" s="38" t="n">
        <f aca="false">VLOOKUP(A848,Inputs!$F$40:$G$48,2,TRUE())</f>
        <v>0.0457048</v>
      </c>
      <c r="K848" s="38" t="n">
        <f aca="false">J848+Inputs!$C$10</f>
        <v>0.1132048</v>
      </c>
      <c r="L848" s="37" t="n">
        <f aca="false">I848*K848/C848</f>
        <v>227.337508196721</v>
      </c>
      <c r="M848" s="37" t="n">
        <f aca="false">IF(AND(A848&gt;=Inputs!$C$13,OR(A848&lt;Inputs!$B$19,Inputs!$B$20=1)),I848*Inputs!$C$11/C848,0)</f>
        <v>40.1639344262295</v>
      </c>
    </row>
    <row r="849" customFormat="false" ht="15" hidden="false" customHeight="false" outlineLevel="0" collapsed="false">
      <c r="A849" s="35" t="n">
        <f aca="false">A848+1</f>
        <v>45656</v>
      </c>
      <c r="B849" s="35" t="n">
        <f aca="false">EOMONTH(A849+1,0)</f>
        <v>45657</v>
      </c>
      <c r="C849" s="36" t="n">
        <f aca="false">IF(MOD(YEAR(A849),4)=0,366,365)</f>
        <v>366</v>
      </c>
      <c r="D849" s="37" t="n">
        <f aca="false">Inputs!$B$9-SUMIFS(Cash_Events!$G$6:$G$20,Cash_Events!$C$6:$C$20,"rAGMF",Cash_Events!$B$6:$B$20,"&lt;="&amp;A849)</f>
        <v>735000</v>
      </c>
      <c r="E849" s="38" t="n">
        <f aca="false">VLOOKUP(A849,Inputs!$A$40:$B$48,2,TRUE())</f>
        <v>0.0461541</v>
      </c>
      <c r="F849" s="38" t="n">
        <f aca="false">E849+Inputs!$B$10</f>
        <v>0.1136541</v>
      </c>
      <c r="G849" s="37" t="n">
        <f aca="false">D849*F849/C849</f>
        <v>228.239790983607</v>
      </c>
      <c r="H849" s="37" t="n">
        <f aca="false">IF(AND(A849&gt;=Inputs!$B$13,OR(A849&lt;Inputs!$B$19,Inputs!$B$20=1)),D849*Inputs!$B$11/C849,0)</f>
        <v>40.1639344262295</v>
      </c>
      <c r="I849" s="37" t="n">
        <f aca="false">Inputs!$C$9-SUMIFS(Cash_Events!$G$6:$G$20,Cash_Events!$C$6:$C$20,"FHL",Cash_Events!$B$6:$B$20,"&lt;="&amp;A849)</f>
        <v>735000</v>
      </c>
      <c r="J849" s="38" t="n">
        <f aca="false">VLOOKUP(A849,Inputs!$F$40:$G$48,2,TRUE())</f>
        <v>0.0457048</v>
      </c>
      <c r="K849" s="38" t="n">
        <f aca="false">J849+Inputs!$C$10</f>
        <v>0.1132048</v>
      </c>
      <c r="L849" s="37" t="n">
        <f aca="false">I849*K849/C849</f>
        <v>227.337508196721</v>
      </c>
      <c r="M849" s="37" t="n">
        <f aca="false">IF(AND(A849&gt;=Inputs!$C$13,OR(A849&lt;Inputs!$B$19,Inputs!$B$20=1)),I849*Inputs!$C$11/C849,0)</f>
        <v>40.1639344262295</v>
      </c>
    </row>
    <row r="850" customFormat="false" ht="15" hidden="false" customHeight="false" outlineLevel="0" collapsed="false">
      <c r="A850" s="35" t="n">
        <f aca="false">A849+1</f>
        <v>45657</v>
      </c>
      <c r="B850" s="35" t="n">
        <f aca="false">EOMONTH(A850+1,0)</f>
        <v>45688</v>
      </c>
      <c r="C850" s="36" t="n">
        <f aca="false">IF(MOD(YEAR(A850),4)=0,366,365)</f>
        <v>366</v>
      </c>
      <c r="D850" s="37" t="n">
        <f aca="false">Inputs!$B$9-SUMIFS(Cash_Events!$G$6:$G$20,Cash_Events!$C$6:$C$20,"rAGMF",Cash_Events!$B$6:$B$20,"&lt;="&amp;A850)</f>
        <v>735000</v>
      </c>
      <c r="E850" s="38" t="n">
        <f aca="false">VLOOKUP(A850,Inputs!$A$40:$B$48,2,TRUE())</f>
        <v>0.0461541</v>
      </c>
      <c r="F850" s="38" t="n">
        <f aca="false">E850+Inputs!$B$10</f>
        <v>0.1136541</v>
      </c>
      <c r="G850" s="37" t="n">
        <f aca="false">D850*F850/C850</f>
        <v>228.239790983607</v>
      </c>
      <c r="H850" s="37" t="n">
        <f aca="false">IF(AND(A850&gt;=Inputs!$B$13,OR(A850&lt;Inputs!$B$19,Inputs!$B$20=1)),D850*Inputs!$B$11/C850,0)</f>
        <v>40.1639344262295</v>
      </c>
      <c r="I850" s="37" t="n">
        <f aca="false">Inputs!$C$9-SUMIFS(Cash_Events!$G$6:$G$20,Cash_Events!$C$6:$C$20,"FHL",Cash_Events!$B$6:$B$20,"&lt;="&amp;A850)</f>
        <v>735000</v>
      </c>
      <c r="J850" s="38" t="n">
        <f aca="false">VLOOKUP(A850,Inputs!$F$40:$G$48,2,TRUE())</f>
        <v>0.0457048</v>
      </c>
      <c r="K850" s="38" t="n">
        <f aca="false">J850+Inputs!$C$10</f>
        <v>0.1132048</v>
      </c>
      <c r="L850" s="37" t="n">
        <f aca="false">I850*K850/C850</f>
        <v>227.337508196721</v>
      </c>
      <c r="M850" s="37" t="n">
        <f aca="false">IF(AND(A850&gt;=Inputs!$C$13,OR(A850&lt;Inputs!$B$19,Inputs!$B$20=1)),I850*Inputs!$C$11/C850,0)</f>
        <v>40.1639344262295</v>
      </c>
    </row>
    <row r="851" customFormat="false" ht="15" hidden="false" customHeight="false" outlineLevel="0" collapsed="false">
      <c r="A851" s="35" t="n">
        <f aca="false">A850+1</f>
        <v>45658</v>
      </c>
      <c r="B851" s="35" t="n">
        <f aca="false">EOMONTH(A851+1,0)</f>
        <v>45688</v>
      </c>
      <c r="C851" s="36" t="n">
        <f aca="false">IF(MOD(YEAR(A851),4)=0,366,365)</f>
        <v>365</v>
      </c>
      <c r="D851" s="37" t="n">
        <f aca="false">Inputs!$B$9-SUMIFS(Cash_Events!$G$6:$G$20,Cash_Events!$C$6:$C$20,"rAGMF",Cash_Events!$B$6:$B$20,"&lt;="&amp;A851)</f>
        <v>735000</v>
      </c>
      <c r="E851" s="38" t="n">
        <f aca="false">VLOOKUP(A851,Inputs!$A$40:$B$48,2,TRUE())</f>
        <v>0.0461541</v>
      </c>
      <c r="F851" s="38" t="n">
        <f aca="false">E851+Inputs!$B$10</f>
        <v>0.1136541</v>
      </c>
      <c r="G851" s="37" t="n">
        <f aca="false">D851*F851/C851</f>
        <v>228.865105479452</v>
      </c>
      <c r="H851" s="37" t="n">
        <f aca="false">IF(AND(A851&gt;=Inputs!$B$13,OR(A851&lt;Inputs!$B$19,Inputs!$B$20=1)),D851*Inputs!$B$11/C851,0)</f>
        <v>40.2739726027397</v>
      </c>
      <c r="I851" s="37" t="n">
        <f aca="false">Inputs!$C$9-SUMIFS(Cash_Events!$G$6:$G$20,Cash_Events!$C$6:$C$20,"FHL",Cash_Events!$B$6:$B$20,"&lt;="&amp;A851)</f>
        <v>735000</v>
      </c>
      <c r="J851" s="38" t="n">
        <f aca="false">VLOOKUP(A851,Inputs!$F$40:$G$48,2,TRUE())</f>
        <v>0.0457048</v>
      </c>
      <c r="K851" s="38" t="n">
        <f aca="false">J851+Inputs!$C$10</f>
        <v>0.1132048</v>
      </c>
      <c r="L851" s="37" t="n">
        <f aca="false">I851*K851/C851</f>
        <v>227.960350684931</v>
      </c>
      <c r="M851" s="37" t="n">
        <f aca="false">IF(AND(A851&gt;=Inputs!$C$13,OR(A851&lt;Inputs!$B$19,Inputs!$B$20=1)),I851*Inputs!$C$11/C851,0)</f>
        <v>40.2739726027397</v>
      </c>
    </row>
    <row r="852" customFormat="false" ht="15" hidden="false" customHeight="false" outlineLevel="0" collapsed="false">
      <c r="A852" s="35" t="n">
        <f aca="false">A851+1</f>
        <v>45659</v>
      </c>
      <c r="B852" s="35" t="n">
        <f aca="false">EOMONTH(A852+1,0)</f>
        <v>45688</v>
      </c>
      <c r="C852" s="36" t="n">
        <f aca="false">IF(MOD(YEAR(A852),4)=0,366,365)</f>
        <v>365</v>
      </c>
      <c r="D852" s="37" t="n">
        <f aca="false">Inputs!$B$9-SUMIFS(Cash_Events!$G$6:$G$20,Cash_Events!$C$6:$C$20,"rAGMF",Cash_Events!$B$6:$B$20,"&lt;="&amp;A852)</f>
        <v>735000</v>
      </c>
      <c r="E852" s="38" t="n">
        <f aca="false">VLOOKUP(A852,Inputs!$A$40:$B$48,2,TRUE())</f>
        <v>0.0461541</v>
      </c>
      <c r="F852" s="38" t="n">
        <f aca="false">E852+Inputs!$B$10</f>
        <v>0.1136541</v>
      </c>
      <c r="G852" s="37" t="n">
        <f aca="false">D852*F852/C852</f>
        <v>228.865105479452</v>
      </c>
      <c r="H852" s="37" t="n">
        <f aca="false">IF(AND(A852&gt;=Inputs!$B$13,OR(A852&lt;Inputs!$B$19,Inputs!$B$20=1)),D852*Inputs!$B$11/C852,0)</f>
        <v>40.2739726027397</v>
      </c>
      <c r="I852" s="37" t="n">
        <f aca="false">Inputs!$C$9-SUMIFS(Cash_Events!$G$6:$G$20,Cash_Events!$C$6:$C$20,"FHL",Cash_Events!$B$6:$B$20,"&lt;="&amp;A852)</f>
        <v>735000</v>
      </c>
      <c r="J852" s="38" t="n">
        <f aca="false">VLOOKUP(A852,Inputs!$F$40:$G$48,2,TRUE())</f>
        <v>0.0457048</v>
      </c>
      <c r="K852" s="38" t="n">
        <f aca="false">J852+Inputs!$C$10</f>
        <v>0.1132048</v>
      </c>
      <c r="L852" s="37" t="n">
        <f aca="false">I852*K852/C852</f>
        <v>227.960350684931</v>
      </c>
      <c r="M852" s="37" t="n">
        <f aca="false">IF(AND(A852&gt;=Inputs!$C$13,OR(A852&lt;Inputs!$B$19,Inputs!$B$20=1)),I852*Inputs!$C$11/C852,0)</f>
        <v>40.2739726027397</v>
      </c>
    </row>
    <row r="853" customFormat="false" ht="15" hidden="false" customHeight="false" outlineLevel="0" collapsed="false">
      <c r="A853" s="35" t="n">
        <f aca="false">A852+1</f>
        <v>45660</v>
      </c>
      <c r="B853" s="35" t="n">
        <f aca="false">EOMONTH(A853+1,0)</f>
        <v>45688</v>
      </c>
      <c r="C853" s="36" t="n">
        <f aca="false">IF(MOD(YEAR(A853),4)=0,366,365)</f>
        <v>365</v>
      </c>
      <c r="D853" s="37" t="n">
        <f aca="false">Inputs!$B$9-SUMIFS(Cash_Events!$G$6:$G$20,Cash_Events!$C$6:$C$20,"rAGMF",Cash_Events!$B$6:$B$20,"&lt;="&amp;A853)</f>
        <v>735000</v>
      </c>
      <c r="E853" s="38" t="n">
        <f aca="false">VLOOKUP(A853,Inputs!$A$40:$B$48,2,TRUE())</f>
        <v>0.0461541</v>
      </c>
      <c r="F853" s="38" t="n">
        <f aca="false">E853+Inputs!$B$10</f>
        <v>0.1136541</v>
      </c>
      <c r="G853" s="37" t="n">
        <f aca="false">D853*F853/C853</f>
        <v>228.865105479452</v>
      </c>
      <c r="H853" s="37" t="n">
        <f aca="false">IF(AND(A853&gt;=Inputs!$B$13,OR(A853&lt;Inputs!$B$19,Inputs!$B$20=1)),D853*Inputs!$B$11/C853,0)</f>
        <v>40.2739726027397</v>
      </c>
      <c r="I853" s="37" t="n">
        <f aca="false">Inputs!$C$9-SUMIFS(Cash_Events!$G$6:$G$20,Cash_Events!$C$6:$C$20,"FHL",Cash_Events!$B$6:$B$20,"&lt;="&amp;A853)</f>
        <v>735000</v>
      </c>
      <c r="J853" s="38" t="n">
        <f aca="false">VLOOKUP(A853,Inputs!$F$40:$G$48,2,TRUE())</f>
        <v>0.0457048</v>
      </c>
      <c r="K853" s="38" t="n">
        <f aca="false">J853+Inputs!$C$10</f>
        <v>0.1132048</v>
      </c>
      <c r="L853" s="37" t="n">
        <f aca="false">I853*K853/C853</f>
        <v>227.960350684931</v>
      </c>
      <c r="M853" s="37" t="n">
        <f aca="false">IF(AND(A853&gt;=Inputs!$C$13,OR(A853&lt;Inputs!$B$19,Inputs!$B$20=1)),I853*Inputs!$C$11/C853,0)</f>
        <v>40.2739726027397</v>
      </c>
    </row>
    <row r="854" customFormat="false" ht="15" hidden="false" customHeight="false" outlineLevel="0" collapsed="false">
      <c r="A854" s="35" t="n">
        <f aca="false">A853+1</f>
        <v>45661</v>
      </c>
      <c r="B854" s="35" t="n">
        <f aca="false">EOMONTH(A854+1,0)</f>
        <v>45688</v>
      </c>
      <c r="C854" s="36" t="n">
        <f aca="false">IF(MOD(YEAR(A854),4)=0,366,365)</f>
        <v>365</v>
      </c>
      <c r="D854" s="37" t="n">
        <f aca="false">Inputs!$B$9-SUMIFS(Cash_Events!$G$6:$G$20,Cash_Events!$C$6:$C$20,"rAGMF",Cash_Events!$B$6:$B$20,"&lt;="&amp;A854)</f>
        <v>735000</v>
      </c>
      <c r="E854" s="38" t="n">
        <f aca="false">VLOOKUP(A854,Inputs!$A$40:$B$48,2,TRUE())</f>
        <v>0.0461541</v>
      </c>
      <c r="F854" s="38" t="n">
        <f aca="false">E854+Inputs!$B$10</f>
        <v>0.1136541</v>
      </c>
      <c r="G854" s="37" t="n">
        <f aca="false">D854*F854/C854</f>
        <v>228.865105479452</v>
      </c>
      <c r="H854" s="37" t="n">
        <f aca="false">IF(AND(A854&gt;=Inputs!$B$13,OR(A854&lt;Inputs!$B$19,Inputs!$B$20=1)),D854*Inputs!$B$11/C854,0)</f>
        <v>40.2739726027397</v>
      </c>
      <c r="I854" s="37" t="n">
        <f aca="false">Inputs!$C$9-SUMIFS(Cash_Events!$G$6:$G$20,Cash_Events!$C$6:$C$20,"FHL",Cash_Events!$B$6:$B$20,"&lt;="&amp;A854)</f>
        <v>735000</v>
      </c>
      <c r="J854" s="38" t="n">
        <f aca="false">VLOOKUP(A854,Inputs!$F$40:$G$48,2,TRUE())</f>
        <v>0.0457048</v>
      </c>
      <c r="K854" s="38" t="n">
        <f aca="false">J854+Inputs!$C$10</f>
        <v>0.1132048</v>
      </c>
      <c r="L854" s="37" t="n">
        <f aca="false">I854*K854/C854</f>
        <v>227.960350684931</v>
      </c>
      <c r="M854" s="37" t="n">
        <f aca="false">IF(AND(A854&gt;=Inputs!$C$13,OR(A854&lt;Inputs!$B$19,Inputs!$B$20=1)),I854*Inputs!$C$11/C854,0)</f>
        <v>40.2739726027397</v>
      </c>
    </row>
    <row r="855" customFormat="false" ht="15" hidden="false" customHeight="false" outlineLevel="0" collapsed="false">
      <c r="A855" s="35" t="n">
        <f aca="false">A854+1</f>
        <v>45662</v>
      </c>
      <c r="B855" s="35" t="n">
        <f aca="false">EOMONTH(A855+1,0)</f>
        <v>45688</v>
      </c>
      <c r="C855" s="36" t="n">
        <f aca="false">IF(MOD(YEAR(A855),4)=0,366,365)</f>
        <v>365</v>
      </c>
      <c r="D855" s="37" t="n">
        <f aca="false">Inputs!$B$9-SUMIFS(Cash_Events!$G$6:$G$20,Cash_Events!$C$6:$C$20,"rAGMF",Cash_Events!$B$6:$B$20,"&lt;="&amp;A855)</f>
        <v>735000</v>
      </c>
      <c r="E855" s="38" t="n">
        <f aca="false">VLOOKUP(A855,Inputs!$A$40:$B$48,2,TRUE())</f>
        <v>0.0461541</v>
      </c>
      <c r="F855" s="38" t="n">
        <f aca="false">E855+Inputs!$B$10</f>
        <v>0.1136541</v>
      </c>
      <c r="G855" s="37" t="n">
        <f aca="false">D855*F855/C855</f>
        <v>228.865105479452</v>
      </c>
      <c r="H855" s="37" t="n">
        <f aca="false">IF(AND(A855&gt;=Inputs!$B$13,OR(A855&lt;Inputs!$B$19,Inputs!$B$20=1)),D855*Inputs!$B$11/C855,0)</f>
        <v>40.2739726027397</v>
      </c>
      <c r="I855" s="37" t="n">
        <f aca="false">Inputs!$C$9-SUMIFS(Cash_Events!$G$6:$G$20,Cash_Events!$C$6:$C$20,"FHL",Cash_Events!$B$6:$B$20,"&lt;="&amp;A855)</f>
        <v>735000</v>
      </c>
      <c r="J855" s="38" t="n">
        <f aca="false">VLOOKUP(A855,Inputs!$F$40:$G$48,2,TRUE())</f>
        <v>0.0457048</v>
      </c>
      <c r="K855" s="38" t="n">
        <f aca="false">J855+Inputs!$C$10</f>
        <v>0.1132048</v>
      </c>
      <c r="L855" s="37" t="n">
        <f aca="false">I855*K855/C855</f>
        <v>227.960350684931</v>
      </c>
      <c r="M855" s="37" t="n">
        <f aca="false">IF(AND(A855&gt;=Inputs!$C$13,OR(A855&lt;Inputs!$B$19,Inputs!$B$20=1)),I855*Inputs!$C$11/C855,0)</f>
        <v>40.2739726027397</v>
      </c>
    </row>
    <row r="856" customFormat="false" ht="15" hidden="false" customHeight="false" outlineLevel="0" collapsed="false">
      <c r="A856" s="35" t="n">
        <f aca="false">A855+1</f>
        <v>45663</v>
      </c>
      <c r="B856" s="35" t="n">
        <f aca="false">EOMONTH(A856+1,0)</f>
        <v>45688</v>
      </c>
      <c r="C856" s="36" t="n">
        <f aca="false">IF(MOD(YEAR(A856),4)=0,366,365)</f>
        <v>365</v>
      </c>
      <c r="D856" s="37" t="n">
        <f aca="false">Inputs!$B$9-SUMIFS(Cash_Events!$G$6:$G$20,Cash_Events!$C$6:$C$20,"rAGMF",Cash_Events!$B$6:$B$20,"&lt;="&amp;A856)</f>
        <v>735000</v>
      </c>
      <c r="E856" s="38" t="n">
        <f aca="false">VLOOKUP(A856,Inputs!$A$40:$B$48,2,TRUE())</f>
        <v>0.0461541</v>
      </c>
      <c r="F856" s="38" t="n">
        <f aca="false">E856+Inputs!$B$10</f>
        <v>0.1136541</v>
      </c>
      <c r="G856" s="37" t="n">
        <f aca="false">D856*F856/C856</f>
        <v>228.865105479452</v>
      </c>
      <c r="H856" s="37" t="n">
        <f aca="false">IF(AND(A856&gt;=Inputs!$B$13,OR(A856&lt;Inputs!$B$19,Inputs!$B$20=1)),D856*Inputs!$B$11/C856,0)</f>
        <v>40.2739726027397</v>
      </c>
      <c r="I856" s="37" t="n">
        <f aca="false">Inputs!$C$9-SUMIFS(Cash_Events!$G$6:$G$20,Cash_Events!$C$6:$C$20,"FHL",Cash_Events!$B$6:$B$20,"&lt;="&amp;A856)</f>
        <v>735000</v>
      </c>
      <c r="J856" s="38" t="n">
        <f aca="false">VLOOKUP(A856,Inputs!$F$40:$G$48,2,TRUE())</f>
        <v>0.0457048</v>
      </c>
      <c r="K856" s="38" t="n">
        <f aca="false">J856+Inputs!$C$10</f>
        <v>0.1132048</v>
      </c>
      <c r="L856" s="37" t="n">
        <f aca="false">I856*K856/C856</f>
        <v>227.960350684931</v>
      </c>
      <c r="M856" s="37" t="n">
        <f aca="false">IF(AND(A856&gt;=Inputs!$C$13,OR(A856&lt;Inputs!$B$19,Inputs!$B$20=1)),I856*Inputs!$C$11/C856,0)</f>
        <v>40.2739726027397</v>
      </c>
    </row>
    <row r="857" customFormat="false" ht="15" hidden="false" customHeight="false" outlineLevel="0" collapsed="false">
      <c r="A857" s="35" t="n">
        <f aca="false">A856+1</f>
        <v>45664</v>
      </c>
      <c r="B857" s="35" t="n">
        <f aca="false">EOMONTH(A857+1,0)</f>
        <v>45688</v>
      </c>
      <c r="C857" s="36" t="n">
        <f aca="false">IF(MOD(YEAR(A857),4)=0,366,365)</f>
        <v>365</v>
      </c>
      <c r="D857" s="37" t="n">
        <f aca="false">Inputs!$B$9-SUMIFS(Cash_Events!$G$6:$G$20,Cash_Events!$C$6:$C$20,"rAGMF",Cash_Events!$B$6:$B$20,"&lt;="&amp;A857)</f>
        <v>735000</v>
      </c>
      <c r="E857" s="38" t="n">
        <f aca="false">VLOOKUP(A857,Inputs!$A$40:$B$48,2,TRUE())</f>
        <v>0.0461541</v>
      </c>
      <c r="F857" s="38" t="n">
        <f aca="false">E857+Inputs!$B$10</f>
        <v>0.1136541</v>
      </c>
      <c r="G857" s="37" t="n">
        <f aca="false">D857*F857/C857</f>
        <v>228.865105479452</v>
      </c>
      <c r="H857" s="37" t="n">
        <f aca="false">IF(AND(A857&gt;=Inputs!$B$13,OR(A857&lt;Inputs!$B$19,Inputs!$B$20=1)),D857*Inputs!$B$11/C857,0)</f>
        <v>40.2739726027397</v>
      </c>
      <c r="I857" s="37" t="n">
        <f aca="false">Inputs!$C$9-SUMIFS(Cash_Events!$G$6:$G$20,Cash_Events!$C$6:$C$20,"FHL",Cash_Events!$B$6:$B$20,"&lt;="&amp;A857)</f>
        <v>735000</v>
      </c>
      <c r="J857" s="38" t="n">
        <f aca="false">VLOOKUP(A857,Inputs!$F$40:$G$48,2,TRUE())</f>
        <v>0.0457048</v>
      </c>
      <c r="K857" s="38" t="n">
        <f aca="false">J857+Inputs!$C$10</f>
        <v>0.1132048</v>
      </c>
      <c r="L857" s="37" t="n">
        <f aca="false">I857*K857/C857</f>
        <v>227.960350684931</v>
      </c>
      <c r="M857" s="37" t="n">
        <f aca="false">IF(AND(A857&gt;=Inputs!$C$13,OR(A857&lt;Inputs!$B$19,Inputs!$B$20=1)),I857*Inputs!$C$11/C857,0)</f>
        <v>40.2739726027397</v>
      </c>
    </row>
    <row r="858" customFormat="false" ht="15" hidden="false" customHeight="false" outlineLevel="0" collapsed="false">
      <c r="A858" s="35" t="n">
        <f aca="false">A857+1</f>
        <v>45665</v>
      </c>
      <c r="B858" s="35" t="n">
        <f aca="false">EOMONTH(A858+1,0)</f>
        <v>45688</v>
      </c>
      <c r="C858" s="36" t="n">
        <f aca="false">IF(MOD(YEAR(A858),4)=0,366,365)</f>
        <v>365</v>
      </c>
      <c r="D858" s="37" t="n">
        <f aca="false">Inputs!$B$9-SUMIFS(Cash_Events!$G$6:$G$20,Cash_Events!$C$6:$C$20,"rAGMF",Cash_Events!$B$6:$B$20,"&lt;="&amp;A858)</f>
        <v>735000</v>
      </c>
      <c r="E858" s="38" t="n">
        <f aca="false">VLOOKUP(A858,Inputs!$A$40:$B$48,2,TRUE())</f>
        <v>0.0461541</v>
      </c>
      <c r="F858" s="38" t="n">
        <f aca="false">E858+Inputs!$B$10</f>
        <v>0.1136541</v>
      </c>
      <c r="G858" s="37" t="n">
        <f aca="false">D858*F858/C858</f>
        <v>228.865105479452</v>
      </c>
      <c r="H858" s="37" t="n">
        <f aca="false">IF(AND(A858&gt;=Inputs!$B$13,OR(A858&lt;Inputs!$B$19,Inputs!$B$20=1)),D858*Inputs!$B$11/C858,0)</f>
        <v>40.2739726027397</v>
      </c>
      <c r="I858" s="37" t="n">
        <f aca="false">Inputs!$C$9-SUMIFS(Cash_Events!$G$6:$G$20,Cash_Events!$C$6:$C$20,"FHL",Cash_Events!$B$6:$B$20,"&lt;="&amp;A858)</f>
        <v>735000</v>
      </c>
      <c r="J858" s="38" t="n">
        <f aca="false">VLOOKUP(A858,Inputs!$F$40:$G$48,2,TRUE())</f>
        <v>0.0457048</v>
      </c>
      <c r="K858" s="38" t="n">
        <f aca="false">J858+Inputs!$C$10</f>
        <v>0.1132048</v>
      </c>
      <c r="L858" s="37" t="n">
        <f aca="false">I858*K858/C858</f>
        <v>227.960350684931</v>
      </c>
      <c r="M858" s="37" t="n">
        <f aca="false">IF(AND(A858&gt;=Inputs!$C$13,OR(A858&lt;Inputs!$B$19,Inputs!$B$20=1)),I858*Inputs!$C$11/C858,0)</f>
        <v>40.2739726027397</v>
      </c>
    </row>
    <row r="859" customFormat="false" ht="15" hidden="false" customHeight="false" outlineLevel="0" collapsed="false">
      <c r="A859" s="35" t="n">
        <f aca="false">A858+1</f>
        <v>45666</v>
      </c>
      <c r="B859" s="35" t="n">
        <f aca="false">EOMONTH(A859+1,0)</f>
        <v>45688</v>
      </c>
      <c r="C859" s="36" t="n">
        <f aca="false">IF(MOD(YEAR(A859),4)=0,366,365)</f>
        <v>365</v>
      </c>
      <c r="D859" s="37" t="n">
        <f aca="false">Inputs!$B$9-SUMIFS(Cash_Events!$G$6:$G$20,Cash_Events!$C$6:$C$20,"rAGMF",Cash_Events!$B$6:$B$20,"&lt;="&amp;A859)</f>
        <v>735000</v>
      </c>
      <c r="E859" s="38" t="n">
        <f aca="false">VLOOKUP(A859,Inputs!$A$40:$B$48,2,TRUE())</f>
        <v>0.0461541</v>
      </c>
      <c r="F859" s="38" t="n">
        <f aca="false">E859+Inputs!$B$10</f>
        <v>0.1136541</v>
      </c>
      <c r="G859" s="37" t="n">
        <f aca="false">D859*F859/C859</f>
        <v>228.865105479452</v>
      </c>
      <c r="H859" s="37" t="n">
        <f aca="false">IF(AND(A859&gt;=Inputs!$B$13,OR(A859&lt;Inputs!$B$19,Inputs!$B$20=1)),D859*Inputs!$B$11/C859,0)</f>
        <v>40.2739726027397</v>
      </c>
      <c r="I859" s="37" t="n">
        <f aca="false">Inputs!$C$9-SUMIFS(Cash_Events!$G$6:$G$20,Cash_Events!$C$6:$C$20,"FHL",Cash_Events!$B$6:$B$20,"&lt;="&amp;A859)</f>
        <v>735000</v>
      </c>
      <c r="J859" s="38" t="n">
        <f aca="false">VLOOKUP(A859,Inputs!$F$40:$G$48,2,TRUE())</f>
        <v>0.0457048</v>
      </c>
      <c r="K859" s="38" t="n">
        <f aca="false">J859+Inputs!$C$10</f>
        <v>0.1132048</v>
      </c>
      <c r="L859" s="37" t="n">
        <f aca="false">I859*K859/C859</f>
        <v>227.960350684931</v>
      </c>
      <c r="M859" s="37" t="n">
        <f aca="false">IF(AND(A859&gt;=Inputs!$C$13,OR(A859&lt;Inputs!$B$19,Inputs!$B$20=1)),I859*Inputs!$C$11/C859,0)</f>
        <v>40.2739726027397</v>
      </c>
    </row>
    <row r="860" customFormat="false" ht="15" hidden="false" customHeight="false" outlineLevel="0" collapsed="false">
      <c r="A860" s="35" t="n">
        <f aca="false">A859+1</f>
        <v>45667</v>
      </c>
      <c r="B860" s="35" t="n">
        <f aca="false">EOMONTH(A860+1,0)</f>
        <v>45688</v>
      </c>
      <c r="C860" s="36" t="n">
        <f aca="false">IF(MOD(YEAR(A860),4)=0,366,365)</f>
        <v>365</v>
      </c>
      <c r="D860" s="37" t="n">
        <f aca="false">Inputs!$B$9-SUMIFS(Cash_Events!$G$6:$G$20,Cash_Events!$C$6:$C$20,"rAGMF",Cash_Events!$B$6:$B$20,"&lt;="&amp;A860)</f>
        <v>735000</v>
      </c>
      <c r="E860" s="38" t="n">
        <f aca="false">VLOOKUP(A860,Inputs!$A$40:$B$48,2,TRUE())</f>
        <v>0.0461541</v>
      </c>
      <c r="F860" s="38" t="n">
        <f aca="false">E860+Inputs!$B$10</f>
        <v>0.1136541</v>
      </c>
      <c r="G860" s="37" t="n">
        <f aca="false">D860*F860/C860</f>
        <v>228.865105479452</v>
      </c>
      <c r="H860" s="37" t="n">
        <f aca="false">IF(AND(A860&gt;=Inputs!$B$13,OR(A860&lt;Inputs!$B$19,Inputs!$B$20=1)),D860*Inputs!$B$11/C860,0)</f>
        <v>40.2739726027397</v>
      </c>
      <c r="I860" s="37" t="n">
        <f aca="false">Inputs!$C$9-SUMIFS(Cash_Events!$G$6:$G$20,Cash_Events!$C$6:$C$20,"FHL",Cash_Events!$B$6:$B$20,"&lt;="&amp;A860)</f>
        <v>735000</v>
      </c>
      <c r="J860" s="38" t="n">
        <f aca="false">VLOOKUP(A860,Inputs!$F$40:$G$48,2,TRUE())</f>
        <v>0.0457048</v>
      </c>
      <c r="K860" s="38" t="n">
        <f aca="false">J860+Inputs!$C$10</f>
        <v>0.1132048</v>
      </c>
      <c r="L860" s="37" t="n">
        <f aca="false">I860*K860/C860</f>
        <v>227.960350684931</v>
      </c>
      <c r="M860" s="37" t="n">
        <f aca="false">IF(AND(A860&gt;=Inputs!$C$13,OR(A860&lt;Inputs!$B$19,Inputs!$B$20=1)),I860*Inputs!$C$11/C860,0)</f>
        <v>40.2739726027397</v>
      </c>
    </row>
    <row r="861" customFormat="false" ht="15" hidden="false" customHeight="false" outlineLevel="0" collapsed="false">
      <c r="A861" s="35" t="n">
        <f aca="false">A860+1</f>
        <v>45668</v>
      </c>
      <c r="B861" s="35" t="n">
        <f aca="false">EOMONTH(A861+1,0)</f>
        <v>45688</v>
      </c>
      <c r="C861" s="36" t="n">
        <f aca="false">IF(MOD(YEAR(A861),4)=0,366,365)</f>
        <v>365</v>
      </c>
      <c r="D861" s="37" t="n">
        <f aca="false">Inputs!$B$9-SUMIFS(Cash_Events!$G$6:$G$20,Cash_Events!$C$6:$C$20,"rAGMF",Cash_Events!$B$6:$B$20,"&lt;="&amp;A861)</f>
        <v>735000</v>
      </c>
      <c r="E861" s="38" t="n">
        <f aca="false">VLOOKUP(A861,Inputs!$A$40:$B$48,2,TRUE())</f>
        <v>0.0461541</v>
      </c>
      <c r="F861" s="38" t="n">
        <f aca="false">E861+Inputs!$B$10</f>
        <v>0.1136541</v>
      </c>
      <c r="G861" s="37" t="n">
        <f aca="false">D861*F861/C861</f>
        <v>228.865105479452</v>
      </c>
      <c r="H861" s="37" t="n">
        <f aca="false">IF(AND(A861&gt;=Inputs!$B$13,OR(A861&lt;Inputs!$B$19,Inputs!$B$20=1)),D861*Inputs!$B$11/C861,0)</f>
        <v>40.2739726027397</v>
      </c>
      <c r="I861" s="37" t="n">
        <f aca="false">Inputs!$C$9-SUMIFS(Cash_Events!$G$6:$G$20,Cash_Events!$C$6:$C$20,"FHL",Cash_Events!$B$6:$B$20,"&lt;="&amp;A861)</f>
        <v>735000</v>
      </c>
      <c r="J861" s="38" t="n">
        <f aca="false">VLOOKUP(A861,Inputs!$F$40:$G$48,2,TRUE())</f>
        <v>0.0457048</v>
      </c>
      <c r="K861" s="38" t="n">
        <f aca="false">J861+Inputs!$C$10</f>
        <v>0.1132048</v>
      </c>
      <c r="L861" s="37" t="n">
        <f aca="false">I861*K861/C861</f>
        <v>227.960350684931</v>
      </c>
      <c r="M861" s="37" t="n">
        <f aca="false">IF(AND(A861&gt;=Inputs!$C$13,OR(A861&lt;Inputs!$B$19,Inputs!$B$20=1)),I861*Inputs!$C$11/C861,0)</f>
        <v>40.2739726027397</v>
      </c>
    </row>
    <row r="862" customFormat="false" ht="15" hidden="false" customHeight="false" outlineLevel="0" collapsed="false">
      <c r="A862" s="35" t="n">
        <f aca="false">A861+1</f>
        <v>45669</v>
      </c>
      <c r="B862" s="35" t="n">
        <f aca="false">EOMONTH(A862+1,0)</f>
        <v>45688</v>
      </c>
      <c r="C862" s="36" t="n">
        <f aca="false">IF(MOD(YEAR(A862),4)=0,366,365)</f>
        <v>365</v>
      </c>
      <c r="D862" s="37" t="n">
        <f aca="false">Inputs!$B$9-SUMIFS(Cash_Events!$G$6:$G$20,Cash_Events!$C$6:$C$20,"rAGMF",Cash_Events!$B$6:$B$20,"&lt;="&amp;A862)</f>
        <v>735000</v>
      </c>
      <c r="E862" s="38" t="n">
        <f aca="false">VLOOKUP(A862,Inputs!$A$40:$B$48,2,TRUE())</f>
        <v>0.0461541</v>
      </c>
      <c r="F862" s="38" t="n">
        <f aca="false">E862+Inputs!$B$10</f>
        <v>0.1136541</v>
      </c>
      <c r="G862" s="37" t="n">
        <f aca="false">D862*F862/C862</f>
        <v>228.865105479452</v>
      </c>
      <c r="H862" s="37" t="n">
        <f aca="false">IF(AND(A862&gt;=Inputs!$B$13,OR(A862&lt;Inputs!$B$19,Inputs!$B$20=1)),D862*Inputs!$B$11/C862,0)</f>
        <v>40.2739726027397</v>
      </c>
      <c r="I862" s="37" t="n">
        <f aca="false">Inputs!$C$9-SUMIFS(Cash_Events!$G$6:$G$20,Cash_Events!$C$6:$C$20,"FHL",Cash_Events!$B$6:$B$20,"&lt;="&amp;A862)</f>
        <v>735000</v>
      </c>
      <c r="J862" s="38" t="n">
        <f aca="false">VLOOKUP(A862,Inputs!$F$40:$G$48,2,TRUE())</f>
        <v>0.0457048</v>
      </c>
      <c r="K862" s="38" t="n">
        <f aca="false">J862+Inputs!$C$10</f>
        <v>0.1132048</v>
      </c>
      <c r="L862" s="37" t="n">
        <f aca="false">I862*K862/C862</f>
        <v>227.960350684931</v>
      </c>
      <c r="M862" s="37" t="n">
        <f aca="false">IF(AND(A862&gt;=Inputs!$C$13,OR(A862&lt;Inputs!$B$19,Inputs!$B$20=1)),I862*Inputs!$C$11/C862,0)</f>
        <v>40.2739726027397</v>
      </c>
    </row>
    <row r="863" customFormat="false" ht="15" hidden="false" customHeight="false" outlineLevel="0" collapsed="false">
      <c r="A863" s="35" t="n">
        <f aca="false">A862+1</f>
        <v>45670</v>
      </c>
      <c r="B863" s="35" t="n">
        <f aca="false">EOMONTH(A863+1,0)</f>
        <v>45688</v>
      </c>
      <c r="C863" s="36" t="n">
        <f aca="false">IF(MOD(YEAR(A863),4)=0,366,365)</f>
        <v>365</v>
      </c>
      <c r="D863" s="37" t="n">
        <f aca="false">Inputs!$B$9-SUMIFS(Cash_Events!$G$6:$G$20,Cash_Events!$C$6:$C$20,"rAGMF",Cash_Events!$B$6:$B$20,"&lt;="&amp;A863)</f>
        <v>735000</v>
      </c>
      <c r="E863" s="38" t="n">
        <f aca="false">VLOOKUP(A863,Inputs!$A$40:$B$48,2,TRUE())</f>
        <v>0.0461541</v>
      </c>
      <c r="F863" s="38" t="n">
        <f aca="false">E863+Inputs!$B$10</f>
        <v>0.1136541</v>
      </c>
      <c r="G863" s="37" t="n">
        <f aca="false">D863*F863/C863</f>
        <v>228.865105479452</v>
      </c>
      <c r="H863" s="37" t="n">
        <f aca="false">IF(AND(A863&gt;=Inputs!$B$13,OR(A863&lt;Inputs!$B$19,Inputs!$B$20=1)),D863*Inputs!$B$11/C863,0)</f>
        <v>40.2739726027397</v>
      </c>
      <c r="I863" s="37" t="n">
        <f aca="false">Inputs!$C$9-SUMIFS(Cash_Events!$G$6:$G$20,Cash_Events!$C$6:$C$20,"FHL",Cash_Events!$B$6:$B$20,"&lt;="&amp;A863)</f>
        <v>735000</v>
      </c>
      <c r="J863" s="38" t="n">
        <f aca="false">VLOOKUP(A863,Inputs!$F$40:$G$48,2,TRUE())</f>
        <v>0.0457048</v>
      </c>
      <c r="K863" s="38" t="n">
        <f aca="false">J863+Inputs!$C$10</f>
        <v>0.1132048</v>
      </c>
      <c r="L863" s="37" t="n">
        <f aca="false">I863*K863/C863</f>
        <v>227.960350684931</v>
      </c>
      <c r="M863" s="37" t="n">
        <f aca="false">IF(AND(A863&gt;=Inputs!$C$13,OR(A863&lt;Inputs!$B$19,Inputs!$B$20=1)),I863*Inputs!$C$11/C863,0)</f>
        <v>40.2739726027397</v>
      </c>
    </row>
    <row r="864" customFormat="false" ht="15" hidden="false" customHeight="false" outlineLevel="0" collapsed="false">
      <c r="A864" s="35" t="n">
        <f aca="false">A863+1</f>
        <v>45671</v>
      </c>
      <c r="B864" s="35" t="n">
        <f aca="false">EOMONTH(A864+1,0)</f>
        <v>45688</v>
      </c>
      <c r="C864" s="36" t="n">
        <f aca="false">IF(MOD(YEAR(A864),4)=0,366,365)</f>
        <v>365</v>
      </c>
      <c r="D864" s="37" t="n">
        <f aca="false">Inputs!$B$9-SUMIFS(Cash_Events!$G$6:$G$20,Cash_Events!$C$6:$C$20,"rAGMF",Cash_Events!$B$6:$B$20,"&lt;="&amp;A864)</f>
        <v>735000</v>
      </c>
      <c r="E864" s="38" t="n">
        <f aca="false">VLOOKUP(A864,Inputs!$A$40:$B$48,2,TRUE())</f>
        <v>0.0461541</v>
      </c>
      <c r="F864" s="38" t="n">
        <f aca="false">E864+Inputs!$B$10</f>
        <v>0.1136541</v>
      </c>
      <c r="G864" s="37" t="n">
        <f aca="false">D864*F864/C864</f>
        <v>228.865105479452</v>
      </c>
      <c r="H864" s="37" t="n">
        <f aca="false">IF(AND(A864&gt;=Inputs!$B$13,OR(A864&lt;Inputs!$B$19,Inputs!$B$20=1)),D864*Inputs!$B$11/C864,0)</f>
        <v>40.2739726027397</v>
      </c>
      <c r="I864" s="37" t="n">
        <f aca="false">Inputs!$C$9-SUMIFS(Cash_Events!$G$6:$G$20,Cash_Events!$C$6:$C$20,"FHL",Cash_Events!$B$6:$B$20,"&lt;="&amp;A864)</f>
        <v>735000</v>
      </c>
      <c r="J864" s="38" t="n">
        <f aca="false">VLOOKUP(A864,Inputs!$F$40:$G$48,2,TRUE())</f>
        <v>0.0457048</v>
      </c>
      <c r="K864" s="38" t="n">
        <f aca="false">J864+Inputs!$C$10</f>
        <v>0.1132048</v>
      </c>
      <c r="L864" s="37" t="n">
        <f aca="false">I864*K864/C864</f>
        <v>227.960350684931</v>
      </c>
      <c r="M864" s="37" t="n">
        <f aca="false">IF(AND(A864&gt;=Inputs!$C$13,OR(A864&lt;Inputs!$B$19,Inputs!$B$20=1)),I864*Inputs!$C$11/C864,0)</f>
        <v>40.2739726027397</v>
      </c>
    </row>
    <row r="865" customFormat="false" ht="15" hidden="false" customHeight="false" outlineLevel="0" collapsed="false">
      <c r="A865" s="35" t="n">
        <f aca="false">A864+1</f>
        <v>45672</v>
      </c>
      <c r="B865" s="35" t="n">
        <f aca="false">EOMONTH(A865+1,0)</f>
        <v>45688</v>
      </c>
      <c r="C865" s="36" t="n">
        <f aca="false">IF(MOD(YEAR(A865),4)=0,366,365)</f>
        <v>365</v>
      </c>
      <c r="D865" s="37" t="n">
        <f aca="false">Inputs!$B$9-SUMIFS(Cash_Events!$G$6:$G$20,Cash_Events!$C$6:$C$20,"rAGMF",Cash_Events!$B$6:$B$20,"&lt;="&amp;A865)</f>
        <v>735000</v>
      </c>
      <c r="E865" s="38" t="n">
        <f aca="false">VLOOKUP(A865,Inputs!$A$40:$B$48,2,TRUE())</f>
        <v>0.0461541</v>
      </c>
      <c r="F865" s="38" t="n">
        <f aca="false">E865+Inputs!$B$10</f>
        <v>0.1136541</v>
      </c>
      <c r="G865" s="37" t="n">
        <f aca="false">D865*F865/C865</f>
        <v>228.865105479452</v>
      </c>
      <c r="H865" s="37" t="n">
        <f aca="false">IF(AND(A865&gt;=Inputs!$B$13,OR(A865&lt;Inputs!$B$19,Inputs!$B$20=1)),D865*Inputs!$B$11/C865,0)</f>
        <v>40.2739726027397</v>
      </c>
      <c r="I865" s="37" t="n">
        <f aca="false">Inputs!$C$9-SUMIFS(Cash_Events!$G$6:$G$20,Cash_Events!$C$6:$C$20,"FHL",Cash_Events!$B$6:$B$20,"&lt;="&amp;A865)</f>
        <v>735000</v>
      </c>
      <c r="J865" s="38" t="n">
        <f aca="false">VLOOKUP(A865,Inputs!$F$40:$G$48,2,TRUE())</f>
        <v>0.0457048</v>
      </c>
      <c r="K865" s="38" t="n">
        <f aca="false">J865+Inputs!$C$10</f>
        <v>0.1132048</v>
      </c>
      <c r="L865" s="37" t="n">
        <f aca="false">I865*K865/C865</f>
        <v>227.960350684931</v>
      </c>
      <c r="M865" s="37" t="n">
        <f aca="false">IF(AND(A865&gt;=Inputs!$C$13,OR(A865&lt;Inputs!$B$19,Inputs!$B$20=1)),I865*Inputs!$C$11/C865,0)</f>
        <v>40.2739726027397</v>
      </c>
    </row>
    <row r="866" customFormat="false" ht="15" hidden="false" customHeight="false" outlineLevel="0" collapsed="false">
      <c r="A866" s="35" t="n">
        <f aca="false">A865+1</f>
        <v>45673</v>
      </c>
      <c r="B866" s="35" t="n">
        <f aca="false">EOMONTH(A866+1,0)</f>
        <v>45688</v>
      </c>
      <c r="C866" s="36" t="n">
        <f aca="false">IF(MOD(YEAR(A866),4)=0,366,365)</f>
        <v>365</v>
      </c>
      <c r="D866" s="37" t="n">
        <f aca="false">Inputs!$B$9-SUMIFS(Cash_Events!$G$6:$G$20,Cash_Events!$C$6:$C$20,"rAGMF",Cash_Events!$B$6:$B$20,"&lt;="&amp;A866)</f>
        <v>735000</v>
      </c>
      <c r="E866" s="38" t="n">
        <f aca="false">VLOOKUP(A866,Inputs!$A$40:$B$48,2,TRUE())</f>
        <v>0.0461541</v>
      </c>
      <c r="F866" s="38" t="n">
        <f aca="false">E866+Inputs!$B$10</f>
        <v>0.1136541</v>
      </c>
      <c r="G866" s="37" t="n">
        <f aca="false">D866*F866/C866</f>
        <v>228.865105479452</v>
      </c>
      <c r="H866" s="37" t="n">
        <f aca="false">IF(AND(A866&gt;=Inputs!$B$13,OR(A866&lt;Inputs!$B$19,Inputs!$B$20=1)),D866*Inputs!$B$11/C866,0)</f>
        <v>40.2739726027397</v>
      </c>
      <c r="I866" s="37" t="n">
        <f aca="false">Inputs!$C$9-SUMIFS(Cash_Events!$G$6:$G$20,Cash_Events!$C$6:$C$20,"FHL",Cash_Events!$B$6:$B$20,"&lt;="&amp;A866)</f>
        <v>735000</v>
      </c>
      <c r="J866" s="38" t="n">
        <f aca="false">VLOOKUP(A866,Inputs!$F$40:$G$48,2,TRUE())</f>
        <v>0.0457048</v>
      </c>
      <c r="K866" s="38" t="n">
        <f aca="false">J866+Inputs!$C$10</f>
        <v>0.1132048</v>
      </c>
      <c r="L866" s="37" t="n">
        <f aca="false">I866*K866/C866</f>
        <v>227.960350684931</v>
      </c>
      <c r="M866" s="37" t="n">
        <f aca="false">IF(AND(A866&gt;=Inputs!$C$13,OR(A866&lt;Inputs!$B$19,Inputs!$B$20=1)),I866*Inputs!$C$11/C866,0)</f>
        <v>40.2739726027397</v>
      </c>
    </row>
    <row r="867" customFormat="false" ht="15" hidden="false" customHeight="false" outlineLevel="0" collapsed="false">
      <c r="A867" s="35" t="n">
        <f aca="false">A866+1</f>
        <v>45674</v>
      </c>
      <c r="B867" s="35" t="n">
        <f aca="false">EOMONTH(A867+1,0)</f>
        <v>45688</v>
      </c>
      <c r="C867" s="36" t="n">
        <f aca="false">IF(MOD(YEAR(A867),4)=0,366,365)</f>
        <v>365</v>
      </c>
      <c r="D867" s="37" t="n">
        <f aca="false">Inputs!$B$9-SUMIFS(Cash_Events!$G$6:$G$20,Cash_Events!$C$6:$C$20,"rAGMF",Cash_Events!$B$6:$B$20,"&lt;="&amp;A867)</f>
        <v>735000</v>
      </c>
      <c r="E867" s="38" t="n">
        <f aca="false">VLOOKUP(A867,Inputs!$A$40:$B$48,2,TRUE())</f>
        <v>0.0461541</v>
      </c>
      <c r="F867" s="38" t="n">
        <f aca="false">E867+Inputs!$B$10</f>
        <v>0.1136541</v>
      </c>
      <c r="G867" s="37" t="n">
        <f aca="false">D867*F867/C867</f>
        <v>228.865105479452</v>
      </c>
      <c r="H867" s="37" t="n">
        <f aca="false">IF(AND(A867&gt;=Inputs!$B$13,OR(A867&lt;Inputs!$B$19,Inputs!$B$20=1)),D867*Inputs!$B$11/C867,0)</f>
        <v>40.2739726027397</v>
      </c>
      <c r="I867" s="37" t="n">
        <f aca="false">Inputs!$C$9-SUMIFS(Cash_Events!$G$6:$G$20,Cash_Events!$C$6:$C$20,"FHL",Cash_Events!$B$6:$B$20,"&lt;="&amp;A867)</f>
        <v>735000</v>
      </c>
      <c r="J867" s="38" t="n">
        <f aca="false">VLOOKUP(A867,Inputs!$F$40:$G$48,2,TRUE())</f>
        <v>0.0457048</v>
      </c>
      <c r="K867" s="38" t="n">
        <f aca="false">J867+Inputs!$C$10</f>
        <v>0.1132048</v>
      </c>
      <c r="L867" s="37" t="n">
        <f aca="false">I867*K867/C867</f>
        <v>227.960350684931</v>
      </c>
      <c r="M867" s="37" t="n">
        <f aca="false">IF(AND(A867&gt;=Inputs!$C$13,OR(A867&lt;Inputs!$B$19,Inputs!$B$20=1)),I867*Inputs!$C$11/C867,0)</f>
        <v>40.2739726027397</v>
      </c>
    </row>
    <row r="868" customFormat="false" ht="15" hidden="false" customHeight="false" outlineLevel="0" collapsed="false">
      <c r="A868" s="35" t="n">
        <f aca="false">A867+1</f>
        <v>45675</v>
      </c>
      <c r="B868" s="35" t="n">
        <f aca="false">EOMONTH(A868+1,0)</f>
        <v>45688</v>
      </c>
      <c r="C868" s="36" t="n">
        <f aca="false">IF(MOD(YEAR(A868),4)=0,366,365)</f>
        <v>365</v>
      </c>
      <c r="D868" s="37" t="n">
        <f aca="false">Inputs!$B$9-SUMIFS(Cash_Events!$G$6:$G$20,Cash_Events!$C$6:$C$20,"rAGMF",Cash_Events!$B$6:$B$20,"&lt;="&amp;A868)</f>
        <v>735000</v>
      </c>
      <c r="E868" s="38" t="n">
        <f aca="false">VLOOKUP(A868,Inputs!$A$40:$B$48,2,TRUE())</f>
        <v>0.0461541</v>
      </c>
      <c r="F868" s="38" t="n">
        <f aca="false">E868+Inputs!$B$10</f>
        <v>0.1136541</v>
      </c>
      <c r="G868" s="37" t="n">
        <f aca="false">D868*F868/C868</f>
        <v>228.865105479452</v>
      </c>
      <c r="H868" s="37" t="n">
        <f aca="false">IF(AND(A868&gt;=Inputs!$B$13,OR(A868&lt;Inputs!$B$19,Inputs!$B$20=1)),D868*Inputs!$B$11/C868,0)</f>
        <v>40.2739726027397</v>
      </c>
      <c r="I868" s="37" t="n">
        <f aca="false">Inputs!$C$9-SUMIFS(Cash_Events!$G$6:$G$20,Cash_Events!$C$6:$C$20,"FHL",Cash_Events!$B$6:$B$20,"&lt;="&amp;A868)</f>
        <v>735000</v>
      </c>
      <c r="J868" s="38" t="n">
        <f aca="false">VLOOKUP(A868,Inputs!$F$40:$G$48,2,TRUE())</f>
        <v>0.0457048</v>
      </c>
      <c r="K868" s="38" t="n">
        <f aca="false">J868+Inputs!$C$10</f>
        <v>0.1132048</v>
      </c>
      <c r="L868" s="37" t="n">
        <f aca="false">I868*K868/C868</f>
        <v>227.960350684931</v>
      </c>
      <c r="M868" s="37" t="n">
        <f aca="false">IF(AND(A868&gt;=Inputs!$C$13,OR(A868&lt;Inputs!$B$19,Inputs!$B$20=1)),I868*Inputs!$C$11/C868,0)</f>
        <v>40.2739726027397</v>
      </c>
    </row>
    <row r="869" customFormat="false" ht="15" hidden="false" customHeight="false" outlineLevel="0" collapsed="false">
      <c r="A869" s="35" t="n">
        <f aca="false">A868+1</f>
        <v>45676</v>
      </c>
      <c r="B869" s="35" t="n">
        <f aca="false">EOMONTH(A869+1,0)</f>
        <v>45688</v>
      </c>
      <c r="C869" s="36" t="n">
        <f aca="false">IF(MOD(YEAR(A869),4)=0,366,365)</f>
        <v>365</v>
      </c>
      <c r="D869" s="37" t="n">
        <f aca="false">Inputs!$B$9-SUMIFS(Cash_Events!$G$6:$G$20,Cash_Events!$C$6:$C$20,"rAGMF",Cash_Events!$B$6:$B$20,"&lt;="&amp;A869)</f>
        <v>735000</v>
      </c>
      <c r="E869" s="38" t="n">
        <f aca="false">VLOOKUP(A869,Inputs!$A$40:$B$48,2,TRUE())</f>
        <v>0.0461541</v>
      </c>
      <c r="F869" s="38" t="n">
        <f aca="false">E869+Inputs!$B$10</f>
        <v>0.1136541</v>
      </c>
      <c r="G869" s="37" t="n">
        <f aca="false">D869*F869/C869</f>
        <v>228.865105479452</v>
      </c>
      <c r="H869" s="37" t="n">
        <f aca="false">IF(AND(A869&gt;=Inputs!$B$13,OR(A869&lt;Inputs!$B$19,Inputs!$B$20=1)),D869*Inputs!$B$11/C869,0)</f>
        <v>40.2739726027397</v>
      </c>
      <c r="I869" s="37" t="n">
        <f aca="false">Inputs!$C$9-SUMIFS(Cash_Events!$G$6:$G$20,Cash_Events!$C$6:$C$20,"FHL",Cash_Events!$B$6:$B$20,"&lt;="&amp;A869)</f>
        <v>735000</v>
      </c>
      <c r="J869" s="38" t="n">
        <f aca="false">VLOOKUP(A869,Inputs!$F$40:$G$48,2,TRUE())</f>
        <v>0.0457048</v>
      </c>
      <c r="K869" s="38" t="n">
        <f aca="false">J869+Inputs!$C$10</f>
        <v>0.1132048</v>
      </c>
      <c r="L869" s="37" t="n">
        <f aca="false">I869*K869/C869</f>
        <v>227.960350684931</v>
      </c>
      <c r="M869" s="37" t="n">
        <f aca="false">IF(AND(A869&gt;=Inputs!$C$13,OR(A869&lt;Inputs!$B$19,Inputs!$B$20=1)),I869*Inputs!$C$11/C869,0)</f>
        <v>40.2739726027397</v>
      </c>
    </row>
    <row r="870" customFormat="false" ht="15" hidden="false" customHeight="false" outlineLevel="0" collapsed="false">
      <c r="A870" s="35" t="n">
        <f aca="false">A869+1</f>
        <v>45677</v>
      </c>
      <c r="B870" s="35" t="n">
        <f aca="false">EOMONTH(A870+1,0)</f>
        <v>45688</v>
      </c>
      <c r="C870" s="36" t="n">
        <f aca="false">IF(MOD(YEAR(A870),4)=0,366,365)</f>
        <v>365</v>
      </c>
      <c r="D870" s="37" t="n">
        <f aca="false">Inputs!$B$9-SUMIFS(Cash_Events!$G$6:$G$20,Cash_Events!$C$6:$C$20,"rAGMF",Cash_Events!$B$6:$B$20,"&lt;="&amp;A870)</f>
        <v>735000</v>
      </c>
      <c r="E870" s="38" t="n">
        <f aca="false">VLOOKUP(A870,Inputs!$A$40:$B$48,2,TRUE())</f>
        <v>0.0461541</v>
      </c>
      <c r="F870" s="38" t="n">
        <f aca="false">E870+Inputs!$B$10</f>
        <v>0.1136541</v>
      </c>
      <c r="G870" s="37" t="n">
        <f aca="false">D870*F870/C870</f>
        <v>228.865105479452</v>
      </c>
      <c r="H870" s="37" t="n">
        <f aca="false">IF(AND(A870&gt;=Inputs!$B$13,OR(A870&lt;Inputs!$B$19,Inputs!$B$20=1)),D870*Inputs!$B$11/C870,0)</f>
        <v>40.2739726027397</v>
      </c>
      <c r="I870" s="37" t="n">
        <f aca="false">Inputs!$C$9-SUMIFS(Cash_Events!$G$6:$G$20,Cash_Events!$C$6:$C$20,"FHL",Cash_Events!$B$6:$B$20,"&lt;="&amp;A870)</f>
        <v>735000</v>
      </c>
      <c r="J870" s="38" t="n">
        <f aca="false">VLOOKUP(A870,Inputs!$F$40:$G$48,2,TRUE())</f>
        <v>0.0457048</v>
      </c>
      <c r="K870" s="38" t="n">
        <f aca="false">J870+Inputs!$C$10</f>
        <v>0.1132048</v>
      </c>
      <c r="L870" s="37" t="n">
        <f aca="false">I870*K870/C870</f>
        <v>227.960350684931</v>
      </c>
      <c r="M870" s="37" t="n">
        <f aca="false">IF(AND(A870&gt;=Inputs!$C$13,OR(A870&lt;Inputs!$B$19,Inputs!$B$20=1)),I870*Inputs!$C$11/C870,0)</f>
        <v>40.2739726027397</v>
      </c>
    </row>
    <row r="871" customFormat="false" ht="15" hidden="false" customHeight="false" outlineLevel="0" collapsed="false">
      <c r="A871" s="35" t="n">
        <f aca="false">A870+1</f>
        <v>45678</v>
      </c>
      <c r="B871" s="35" t="n">
        <f aca="false">EOMONTH(A871+1,0)</f>
        <v>45688</v>
      </c>
      <c r="C871" s="36" t="n">
        <f aca="false">IF(MOD(YEAR(A871),4)=0,366,365)</f>
        <v>365</v>
      </c>
      <c r="D871" s="37" t="n">
        <f aca="false">Inputs!$B$9-SUMIFS(Cash_Events!$G$6:$G$20,Cash_Events!$C$6:$C$20,"rAGMF",Cash_Events!$B$6:$B$20,"&lt;="&amp;A871)</f>
        <v>735000</v>
      </c>
      <c r="E871" s="38" t="n">
        <f aca="false">VLOOKUP(A871,Inputs!$A$40:$B$48,2,TRUE())</f>
        <v>0.0461541</v>
      </c>
      <c r="F871" s="38" t="n">
        <f aca="false">E871+Inputs!$B$10</f>
        <v>0.1136541</v>
      </c>
      <c r="G871" s="37" t="n">
        <f aca="false">D871*F871/C871</f>
        <v>228.865105479452</v>
      </c>
      <c r="H871" s="37" t="n">
        <f aca="false">IF(AND(A871&gt;=Inputs!$B$13,OR(A871&lt;Inputs!$B$19,Inputs!$B$20=1)),D871*Inputs!$B$11/C871,0)</f>
        <v>40.2739726027397</v>
      </c>
      <c r="I871" s="37" t="n">
        <f aca="false">Inputs!$C$9-SUMIFS(Cash_Events!$G$6:$G$20,Cash_Events!$C$6:$C$20,"FHL",Cash_Events!$B$6:$B$20,"&lt;="&amp;A871)</f>
        <v>735000</v>
      </c>
      <c r="J871" s="38" t="n">
        <f aca="false">VLOOKUP(A871,Inputs!$F$40:$G$48,2,TRUE())</f>
        <v>0.0457048</v>
      </c>
      <c r="K871" s="38" t="n">
        <f aca="false">J871+Inputs!$C$10</f>
        <v>0.1132048</v>
      </c>
      <c r="L871" s="37" t="n">
        <f aca="false">I871*K871/C871</f>
        <v>227.960350684931</v>
      </c>
      <c r="M871" s="37" t="n">
        <f aca="false">IF(AND(A871&gt;=Inputs!$C$13,OR(A871&lt;Inputs!$B$19,Inputs!$B$20=1)),I871*Inputs!$C$11/C871,0)</f>
        <v>40.2739726027397</v>
      </c>
    </row>
    <row r="872" customFormat="false" ht="15" hidden="false" customHeight="false" outlineLevel="0" collapsed="false">
      <c r="A872" s="35" t="n">
        <f aca="false">A871+1</f>
        <v>45679</v>
      </c>
      <c r="B872" s="35" t="n">
        <f aca="false">EOMONTH(A872+1,0)</f>
        <v>45688</v>
      </c>
      <c r="C872" s="36" t="n">
        <f aca="false">IF(MOD(YEAR(A872),4)=0,366,365)</f>
        <v>365</v>
      </c>
      <c r="D872" s="37" t="n">
        <f aca="false">Inputs!$B$9-SUMIFS(Cash_Events!$G$6:$G$20,Cash_Events!$C$6:$C$20,"rAGMF",Cash_Events!$B$6:$B$20,"&lt;="&amp;A872)</f>
        <v>735000</v>
      </c>
      <c r="E872" s="38" t="n">
        <f aca="false">VLOOKUP(A872,Inputs!$A$40:$B$48,2,TRUE())</f>
        <v>0.0461541</v>
      </c>
      <c r="F872" s="38" t="n">
        <f aca="false">E872+Inputs!$B$10</f>
        <v>0.1136541</v>
      </c>
      <c r="G872" s="37" t="n">
        <f aca="false">D872*F872/C872</f>
        <v>228.865105479452</v>
      </c>
      <c r="H872" s="37" t="n">
        <f aca="false">IF(AND(A872&gt;=Inputs!$B$13,OR(A872&lt;Inputs!$B$19,Inputs!$B$20=1)),D872*Inputs!$B$11/C872,0)</f>
        <v>40.2739726027397</v>
      </c>
      <c r="I872" s="37" t="n">
        <f aca="false">Inputs!$C$9-SUMIFS(Cash_Events!$G$6:$G$20,Cash_Events!$C$6:$C$20,"FHL",Cash_Events!$B$6:$B$20,"&lt;="&amp;A872)</f>
        <v>735000</v>
      </c>
      <c r="J872" s="38" t="n">
        <f aca="false">VLOOKUP(A872,Inputs!$F$40:$G$48,2,TRUE())</f>
        <v>0.0457048</v>
      </c>
      <c r="K872" s="38" t="n">
        <f aca="false">J872+Inputs!$C$10</f>
        <v>0.1132048</v>
      </c>
      <c r="L872" s="37" t="n">
        <f aca="false">I872*K872/C872</f>
        <v>227.960350684931</v>
      </c>
      <c r="M872" s="37" t="n">
        <f aca="false">IF(AND(A872&gt;=Inputs!$C$13,OR(A872&lt;Inputs!$B$19,Inputs!$B$20=1)),I872*Inputs!$C$11/C872,0)</f>
        <v>40.2739726027397</v>
      </c>
    </row>
    <row r="873" customFormat="false" ht="15" hidden="false" customHeight="false" outlineLevel="0" collapsed="false">
      <c r="A873" s="35" t="n">
        <f aca="false">A872+1</f>
        <v>45680</v>
      </c>
      <c r="B873" s="35" t="n">
        <f aca="false">EOMONTH(A873+1,0)</f>
        <v>45688</v>
      </c>
      <c r="C873" s="36" t="n">
        <f aca="false">IF(MOD(YEAR(A873),4)=0,366,365)</f>
        <v>365</v>
      </c>
      <c r="D873" s="37" t="n">
        <f aca="false">Inputs!$B$9-SUMIFS(Cash_Events!$G$6:$G$20,Cash_Events!$C$6:$C$20,"rAGMF",Cash_Events!$B$6:$B$20,"&lt;="&amp;A873)</f>
        <v>735000</v>
      </c>
      <c r="E873" s="38" t="n">
        <f aca="false">VLOOKUP(A873,Inputs!$A$40:$B$48,2,TRUE())</f>
        <v>0.0461541</v>
      </c>
      <c r="F873" s="38" t="n">
        <f aca="false">E873+Inputs!$B$10</f>
        <v>0.1136541</v>
      </c>
      <c r="G873" s="37" t="n">
        <f aca="false">D873*F873/C873</f>
        <v>228.865105479452</v>
      </c>
      <c r="H873" s="37" t="n">
        <f aca="false">IF(AND(A873&gt;=Inputs!$B$13,OR(A873&lt;Inputs!$B$19,Inputs!$B$20=1)),D873*Inputs!$B$11/C873,0)</f>
        <v>40.2739726027397</v>
      </c>
      <c r="I873" s="37" t="n">
        <f aca="false">Inputs!$C$9-SUMIFS(Cash_Events!$G$6:$G$20,Cash_Events!$C$6:$C$20,"FHL",Cash_Events!$B$6:$B$20,"&lt;="&amp;A873)</f>
        <v>735000</v>
      </c>
      <c r="J873" s="38" t="n">
        <f aca="false">VLOOKUP(A873,Inputs!$F$40:$G$48,2,TRUE())</f>
        <v>0.0457048</v>
      </c>
      <c r="K873" s="38" t="n">
        <f aca="false">J873+Inputs!$C$10</f>
        <v>0.1132048</v>
      </c>
      <c r="L873" s="37" t="n">
        <f aca="false">I873*K873/C873</f>
        <v>227.960350684931</v>
      </c>
      <c r="M873" s="37" t="n">
        <f aca="false">IF(AND(A873&gt;=Inputs!$C$13,OR(A873&lt;Inputs!$B$19,Inputs!$B$20=1)),I873*Inputs!$C$11/C873,0)</f>
        <v>40.2739726027397</v>
      </c>
    </row>
    <row r="874" customFormat="false" ht="15" hidden="false" customHeight="false" outlineLevel="0" collapsed="false">
      <c r="A874" s="35" t="n">
        <f aca="false">A873+1</f>
        <v>45681</v>
      </c>
      <c r="B874" s="35" t="n">
        <f aca="false">EOMONTH(A874+1,0)</f>
        <v>45688</v>
      </c>
      <c r="C874" s="36" t="n">
        <f aca="false">IF(MOD(YEAR(A874),4)=0,366,365)</f>
        <v>365</v>
      </c>
      <c r="D874" s="37" t="n">
        <f aca="false">Inputs!$B$9-SUMIFS(Cash_Events!$G$6:$G$20,Cash_Events!$C$6:$C$20,"rAGMF",Cash_Events!$B$6:$B$20,"&lt;="&amp;A874)</f>
        <v>735000</v>
      </c>
      <c r="E874" s="38" t="n">
        <f aca="false">VLOOKUP(A874,Inputs!$A$40:$B$48,2,TRUE())</f>
        <v>0.0461541</v>
      </c>
      <c r="F874" s="38" t="n">
        <f aca="false">E874+Inputs!$B$10</f>
        <v>0.1136541</v>
      </c>
      <c r="G874" s="37" t="n">
        <f aca="false">D874*F874/C874</f>
        <v>228.865105479452</v>
      </c>
      <c r="H874" s="37" t="n">
        <f aca="false">IF(AND(A874&gt;=Inputs!$B$13,OR(A874&lt;Inputs!$B$19,Inputs!$B$20=1)),D874*Inputs!$B$11/C874,0)</f>
        <v>40.2739726027397</v>
      </c>
      <c r="I874" s="37" t="n">
        <f aca="false">Inputs!$C$9-SUMIFS(Cash_Events!$G$6:$G$20,Cash_Events!$C$6:$C$20,"FHL",Cash_Events!$B$6:$B$20,"&lt;="&amp;A874)</f>
        <v>735000</v>
      </c>
      <c r="J874" s="38" t="n">
        <f aca="false">VLOOKUP(A874,Inputs!$F$40:$G$48,2,TRUE())</f>
        <v>0.0457048</v>
      </c>
      <c r="K874" s="38" t="n">
        <f aca="false">J874+Inputs!$C$10</f>
        <v>0.1132048</v>
      </c>
      <c r="L874" s="37" t="n">
        <f aca="false">I874*K874/C874</f>
        <v>227.960350684931</v>
      </c>
      <c r="M874" s="37" t="n">
        <f aca="false">IF(AND(A874&gt;=Inputs!$C$13,OR(A874&lt;Inputs!$B$19,Inputs!$B$20=1)),I874*Inputs!$C$11/C874,0)</f>
        <v>40.2739726027397</v>
      </c>
    </row>
    <row r="875" customFormat="false" ht="15" hidden="false" customHeight="false" outlineLevel="0" collapsed="false">
      <c r="A875" s="35" t="n">
        <f aca="false">A874+1</f>
        <v>45682</v>
      </c>
      <c r="B875" s="35" t="n">
        <f aca="false">EOMONTH(A875+1,0)</f>
        <v>45688</v>
      </c>
      <c r="C875" s="36" t="n">
        <f aca="false">IF(MOD(YEAR(A875),4)=0,366,365)</f>
        <v>365</v>
      </c>
      <c r="D875" s="37" t="n">
        <f aca="false">Inputs!$B$9-SUMIFS(Cash_Events!$G$6:$G$20,Cash_Events!$C$6:$C$20,"rAGMF",Cash_Events!$B$6:$B$20,"&lt;="&amp;A875)</f>
        <v>735000</v>
      </c>
      <c r="E875" s="38" t="n">
        <f aca="false">VLOOKUP(A875,Inputs!$A$40:$B$48,2,TRUE())</f>
        <v>0.0461541</v>
      </c>
      <c r="F875" s="38" t="n">
        <f aca="false">E875+Inputs!$B$10</f>
        <v>0.1136541</v>
      </c>
      <c r="G875" s="37" t="n">
        <f aca="false">D875*F875/C875</f>
        <v>228.865105479452</v>
      </c>
      <c r="H875" s="37" t="n">
        <f aca="false">IF(AND(A875&gt;=Inputs!$B$13,OR(A875&lt;Inputs!$B$19,Inputs!$B$20=1)),D875*Inputs!$B$11/C875,0)</f>
        <v>40.2739726027397</v>
      </c>
      <c r="I875" s="37" t="n">
        <f aca="false">Inputs!$C$9-SUMIFS(Cash_Events!$G$6:$G$20,Cash_Events!$C$6:$C$20,"FHL",Cash_Events!$B$6:$B$20,"&lt;="&amp;A875)</f>
        <v>735000</v>
      </c>
      <c r="J875" s="38" t="n">
        <f aca="false">VLOOKUP(A875,Inputs!$F$40:$G$48,2,TRUE())</f>
        <v>0.0457048</v>
      </c>
      <c r="K875" s="38" t="n">
        <f aca="false">J875+Inputs!$C$10</f>
        <v>0.1132048</v>
      </c>
      <c r="L875" s="37" t="n">
        <f aca="false">I875*K875/C875</f>
        <v>227.960350684931</v>
      </c>
      <c r="M875" s="37" t="n">
        <f aca="false">IF(AND(A875&gt;=Inputs!$C$13,OR(A875&lt;Inputs!$B$19,Inputs!$B$20=1)),I875*Inputs!$C$11/C875,0)</f>
        <v>40.2739726027397</v>
      </c>
    </row>
    <row r="876" customFormat="false" ht="15" hidden="false" customHeight="false" outlineLevel="0" collapsed="false">
      <c r="A876" s="35" t="n">
        <f aca="false">A875+1</f>
        <v>45683</v>
      </c>
      <c r="B876" s="35" t="n">
        <f aca="false">EOMONTH(A876+1,0)</f>
        <v>45688</v>
      </c>
      <c r="C876" s="36" t="n">
        <f aca="false">IF(MOD(YEAR(A876),4)=0,366,365)</f>
        <v>365</v>
      </c>
      <c r="D876" s="37" t="n">
        <f aca="false">Inputs!$B$9-SUMIFS(Cash_Events!$G$6:$G$20,Cash_Events!$C$6:$C$20,"rAGMF",Cash_Events!$B$6:$B$20,"&lt;="&amp;A876)</f>
        <v>735000</v>
      </c>
      <c r="E876" s="38" t="n">
        <f aca="false">VLOOKUP(A876,Inputs!$A$40:$B$48,2,TRUE())</f>
        <v>0.0461541</v>
      </c>
      <c r="F876" s="38" t="n">
        <f aca="false">E876+Inputs!$B$10</f>
        <v>0.1136541</v>
      </c>
      <c r="G876" s="37" t="n">
        <f aca="false">D876*F876/C876</f>
        <v>228.865105479452</v>
      </c>
      <c r="H876" s="37" t="n">
        <f aca="false">IF(AND(A876&gt;=Inputs!$B$13,OR(A876&lt;Inputs!$B$19,Inputs!$B$20=1)),D876*Inputs!$B$11/C876,0)</f>
        <v>40.2739726027397</v>
      </c>
      <c r="I876" s="37" t="n">
        <f aca="false">Inputs!$C$9-SUMIFS(Cash_Events!$G$6:$G$20,Cash_Events!$C$6:$C$20,"FHL",Cash_Events!$B$6:$B$20,"&lt;="&amp;A876)</f>
        <v>735000</v>
      </c>
      <c r="J876" s="38" t="n">
        <f aca="false">VLOOKUP(A876,Inputs!$F$40:$G$48,2,TRUE())</f>
        <v>0.0457048</v>
      </c>
      <c r="K876" s="38" t="n">
        <f aca="false">J876+Inputs!$C$10</f>
        <v>0.1132048</v>
      </c>
      <c r="L876" s="37" t="n">
        <f aca="false">I876*K876/C876</f>
        <v>227.960350684931</v>
      </c>
      <c r="M876" s="37" t="n">
        <f aca="false">IF(AND(A876&gt;=Inputs!$C$13,OR(A876&lt;Inputs!$B$19,Inputs!$B$20=1)),I876*Inputs!$C$11/C876,0)</f>
        <v>40.2739726027397</v>
      </c>
    </row>
    <row r="877" customFormat="false" ht="15" hidden="false" customHeight="false" outlineLevel="0" collapsed="false">
      <c r="A877" s="35" t="n">
        <f aca="false">A876+1</f>
        <v>45684</v>
      </c>
      <c r="B877" s="35" t="n">
        <f aca="false">EOMONTH(A877+1,0)</f>
        <v>45688</v>
      </c>
      <c r="C877" s="36" t="n">
        <f aca="false">IF(MOD(YEAR(A877),4)=0,366,365)</f>
        <v>365</v>
      </c>
      <c r="D877" s="37" t="n">
        <f aca="false">Inputs!$B$9-SUMIFS(Cash_Events!$G$6:$G$20,Cash_Events!$C$6:$C$20,"rAGMF",Cash_Events!$B$6:$B$20,"&lt;="&amp;A877)</f>
        <v>735000</v>
      </c>
      <c r="E877" s="38" t="n">
        <f aca="false">VLOOKUP(A877,Inputs!$A$40:$B$48,2,TRUE())</f>
        <v>0.0461541</v>
      </c>
      <c r="F877" s="38" t="n">
        <f aca="false">E877+Inputs!$B$10</f>
        <v>0.1136541</v>
      </c>
      <c r="G877" s="37" t="n">
        <f aca="false">D877*F877/C877</f>
        <v>228.865105479452</v>
      </c>
      <c r="H877" s="37" t="n">
        <f aca="false">IF(AND(A877&gt;=Inputs!$B$13,OR(A877&lt;Inputs!$B$19,Inputs!$B$20=1)),D877*Inputs!$B$11/C877,0)</f>
        <v>40.2739726027397</v>
      </c>
      <c r="I877" s="37" t="n">
        <f aca="false">Inputs!$C$9-SUMIFS(Cash_Events!$G$6:$G$20,Cash_Events!$C$6:$C$20,"FHL",Cash_Events!$B$6:$B$20,"&lt;="&amp;A877)</f>
        <v>735000</v>
      </c>
      <c r="J877" s="38" t="n">
        <f aca="false">VLOOKUP(A877,Inputs!$F$40:$G$48,2,TRUE())</f>
        <v>0.0457048</v>
      </c>
      <c r="K877" s="38" t="n">
        <f aca="false">J877+Inputs!$C$10</f>
        <v>0.1132048</v>
      </c>
      <c r="L877" s="37" t="n">
        <f aca="false">I877*K877/C877</f>
        <v>227.960350684931</v>
      </c>
      <c r="M877" s="37" t="n">
        <f aca="false">IF(AND(A877&gt;=Inputs!$C$13,OR(A877&lt;Inputs!$B$19,Inputs!$B$20=1)),I877*Inputs!$C$11/C877,0)</f>
        <v>40.2739726027397</v>
      </c>
    </row>
    <row r="878" customFormat="false" ht="15" hidden="false" customHeight="false" outlineLevel="0" collapsed="false">
      <c r="A878" s="35" t="n">
        <f aca="false">A877+1</f>
        <v>45685</v>
      </c>
      <c r="B878" s="35" t="n">
        <f aca="false">EOMONTH(A878+1,0)</f>
        <v>45688</v>
      </c>
      <c r="C878" s="36" t="n">
        <f aca="false">IF(MOD(YEAR(A878),4)=0,366,365)</f>
        <v>365</v>
      </c>
      <c r="D878" s="37" t="n">
        <f aca="false">Inputs!$B$9-SUMIFS(Cash_Events!$G$6:$G$20,Cash_Events!$C$6:$C$20,"rAGMF",Cash_Events!$B$6:$B$20,"&lt;="&amp;A878)</f>
        <v>735000</v>
      </c>
      <c r="E878" s="38" t="n">
        <f aca="false">VLOOKUP(A878,Inputs!$A$40:$B$48,2,TRUE())</f>
        <v>0.0461541</v>
      </c>
      <c r="F878" s="38" t="n">
        <f aca="false">E878+Inputs!$B$10</f>
        <v>0.1136541</v>
      </c>
      <c r="G878" s="37" t="n">
        <f aca="false">D878*F878/C878</f>
        <v>228.865105479452</v>
      </c>
      <c r="H878" s="37" t="n">
        <f aca="false">IF(AND(A878&gt;=Inputs!$B$13,OR(A878&lt;Inputs!$B$19,Inputs!$B$20=1)),D878*Inputs!$B$11/C878,0)</f>
        <v>40.2739726027397</v>
      </c>
      <c r="I878" s="37" t="n">
        <f aca="false">Inputs!$C$9-SUMIFS(Cash_Events!$G$6:$G$20,Cash_Events!$C$6:$C$20,"FHL",Cash_Events!$B$6:$B$20,"&lt;="&amp;A878)</f>
        <v>735000</v>
      </c>
      <c r="J878" s="38" t="n">
        <f aca="false">VLOOKUP(A878,Inputs!$F$40:$G$48,2,TRUE())</f>
        <v>0.0457048</v>
      </c>
      <c r="K878" s="38" t="n">
        <f aca="false">J878+Inputs!$C$10</f>
        <v>0.1132048</v>
      </c>
      <c r="L878" s="37" t="n">
        <f aca="false">I878*K878/C878</f>
        <v>227.960350684931</v>
      </c>
      <c r="M878" s="37" t="n">
        <f aca="false">IF(AND(A878&gt;=Inputs!$C$13,OR(A878&lt;Inputs!$B$19,Inputs!$B$20=1)),I878*Inputs!$C$11/C878,0)</f>
        <v>40.2739726027397</v>
      </c>
    </row>
    <row r="879" customFormat="false" ht="15" hidden="false" customHeight="false" outlineLevel="0" collapsed="false">
      <c r="A879" s="35" t="n">
        <f aca="false">A878+1</f>
        <v>45686</v>
      </c>
      <c r="B879" s="35" t="n">
        <f aca="false">EOMONTH(A879+1,0)</f>
        <v>45688</v>
      </c>
      <c r="C879" s="36" t="n">
        <f aca="false">IF(MOD(YEAR(A879),4)=0,366,365)</f>
        <v>365</v>
      </c>
      <c r="D879" s="37" t="n">
        <f aca="false">Inputs!$B$9-SUMIFS(Cash_Events!$G$6:$G$20,Cash_Events!$C$6:$C$20,"rAGMF",Cash_Events!$B$6:$B$20,"&lt;="&amp;A879)</f>
        <v>735000</v>
      </c>
      <c r="E879" s="38" t="n">
        <f aca="false">VLOOKUP(A879,Inputs!$A$40:$B$48,2,TRUE())</f>
        <v>0.0461541</v>
      </c>
      <c r="F879" s="38" t="n">
        <f aca="false">E879+Inputs!$B$10</f>
        <v>0.1136541</v>
      </c>
      <c r="G879" s="37" t="n">
        <f aca="false">D879*F879/C879</f>
        <v>228.865105479452</v>
      </c>
      <c r="H879" s="37" t="n">
        <f aca="false">IF(AND(A879&gt;=Inputs!$B$13,OR(A879&lt;Inputs!$B$19,Inputs!$B$20=1)),D879*Inputs!$B$11/C879,0)</f>
        <v>40.2739726027397</v>
      </c>
      <c r="I879" s="37" t="n">
        <f aca="false">Inputs!$C$9-SUMIFS(Cash_Events!$G$6:$G$20,Cash_Events!$C$6:$C$20,"FHL",Cash_Events!$B$6:$B$20,"&lt;="&amp;A879)</f>
        <v>735000</v>
      </c>
      <c r="J879" s="38" t="n">
        <f aca="false">VLOOKUP(A879,Inputs!$F$40:$G$48,2,TRUE())</f>
        <v>0.0457048</v>
      </c>
      <c r="K879" s="38" t="n">
        <f aca="false">J879+Inputs!$C$10</f>
        <v>0.1132048</v>
      </c>
      <c r="L879" s="37" t="n">
        <f aca="false">I879*K879/C879</f>
        <v>227.960350684931</v>
      </c>
      <c r="M879" s="37" t="n">
        <f aca="false">IF(AND(A879&gt;=Inputs!$C$13,OR(A879&lt;Inputs!$B$19,Inputs!$B$20=1)),I879*Inputs!$C$11/C879,0)</f>
        <v>40.2739726027397</v>
      </c>
    </row>
    <row r="880" customFormat="false" ht="15" hidden="false" customHeight="false" outlineLevel="0" collapsed="false">
      <c r="A880" s="35" t="n">
        <f aca="false">A879+1</f>
        <v>45687</v>
      </c>
      <c r="B880" s="35" t="n">
        <f aca="false">EOMONTH(A880+1,0)</f>
        <v>45688</v>
      </c>
      <c r="C880" s="36" t="n">
        <f aca="false">IF(MOD(YEAR(A880),4)=0,366,365)</f>
        <v>365</v>
      </c>
      <c r="D880" s="37" t="n">
        <f aca="false">Inputs!$B$9-SUMIFS(Cash_Events!$G$6:$G$20,Cash_Events!$C$6:$C$20,"rAGMF",Cash_Events!$B$6:$B$20,"&lt;="&amp;A880)</f>
        <v>735000</v>
      </c>
      <c r="E880" s="38" t="n">
        <f aca="false">VLOOKUP(A880,Inputs!$A$40:$B$48,2,TRUE())</f>
        <v>0.0461541</v>
      </c>
      <c r="F880" s="38" t="n">
        <f aca="false">E880+Inputs!$B$10</f>
        <v>0.1136541</v>
      </c>
      <c r="G880" s="37" t="n">
        <f aca="false">D880*F880/C880</f>
        <v>228.865105479452</v>
      </c>
      <c r="H880" s="37" t="n">
        <f aca="false">IF(AND(A880&gt;=Inputs!$B$13,OR(A880&lt;Inputs!$B$19,Inputs!$B$20=1)),D880*Inputs!$B$11/C880,0)</f>
        <v>40.2739726027397</v>
      </c>
      <c r="I880" s="37" t="n">
        <f aca="false">Inputs!$C$9-SUMIFS(Cash_Events!$G$6:$G$20,Cash_Events!$C$6:$C$20,"FHL",Cash_Events!$B$6:$B$20,"&lt;="&amp;A880)</f>
        <v>735000</v>
      </c>
      <c r="J880" s="38" t="n">
        <f aca="false">VLOOKUP(A880,Inputs!$F$40:$G$48,2,TRUE())</f>
        <v>0.0457048</v>
      </c>
      <c r="K880" s="38" t="n">
        <f aca="false">J880+Inputs!$C$10</f>
        <v>0.1132048</v>
      </c>
      <c r="L880" s="37" t="n">
        <f aca="false">I880*K880/C880</f>
        <v>227.960350684931</v>
      </c>
      <c r="M880" s="37" t="n">
        <f aca="false">IF(AND(A880&gt;=Inputs!$C$13,OR(A880&lt;Inputs!$B$19,Inputs!$B$20=1)),I880*Inputs!$C$11/C880,0)</f>
        <v>40.2739726027397</v>
      </c>
    </row>
    <row r="881" customFormat="false" ht="15" hidden="false" customHeight="false" outlineLevel="0" collapsed="false">
      <c r="A881" s="35" t="n">
        <f aca="false">A880+1</f>
        <v>45688</v>
      </c>
      <c r="B881" s="35" t="n">
        <f aca="false">EOMONTH(A881+1,0)</f>
        <v>45716</v>
      </c>
      <c r="C881" s="36" t="n">
        <f aca="false">IF(MOD(YEAR(A881),4)=0,366,365)</f>
        <v>365</v>
      </c>
      <c r="D881" s="37" t="n">
        <f aca="false">Inputs!$B$9-SUMIFS(Cash_Events!$G$6:$G$20,Cash_Events!$C$6:$C$20,"rAGMF",Cash_Events!$B$6:$B$20,"&lt;="&amp;A881)</f>
        <v>735000</v>
      </c>
      <c r="E881" s="38" t="n">
        <f aca="false">VLOOKUP(A881,Inputs!$A$40:$B$48,2,TRUE())</f>
        <v>0.0461541</v>
      </c>
      <c r="F881" s="38" t="n">
        <f aca="false">E881+Inputs!$B$10</f>
        <v>0.1136541</v>
      </c>
      <c r="G881" s="37" t="n">
        <f aca="false">D881*F881/C881</f>
        <v>228.865105479452</v>
      </c>
      <c r="H881" s="37" t="n">
        <f aca="false">IF(AND(A881&gt;=Inputs!$B$13,OR(A881&lt;Inputs!$B$19,Inputs!$B$20=1)),D881*Inputs!$B$11/C881,0)</f>
        <v>40.2739726027397</v>
      </c>
      <c r="I881" s="37" t="n">
        <f aca="false">Inputs!$C$9-SUMIFS(Cash_Events!$G$6:$G$20,Cash_Events!$C$6:$C$20,"FHL",Cash_Events!$B$6:$B$20,"&lt;="&amp;A881)</f>
        <v>735000</v>
      </c>
      <c r="J881" s="38" t="n">
        <f aca="false">VLOOKUP(A881,Inputs!$F$40:$G$48,2,TRUE())</f>
        <v>0.0457048</v>
      </c>
      <c r="K881" s="38" t="n">
        <f aca="false">J881+Inputs!$C$10</f>
        <v>0.1132048</v>
      </c>
      <c r="L881" s="37" t="n">
        <f aca="false">I881*K881/C881</f>
        <v>227.960350684931</v>
      </c>
      <c r="M881" s="37" t="n">
        <f aca="false">IF(AND(A881&gt;=Inputs!$C$13,OR(A881&lt;Inputs!$B$19,Inputs!$B$20=1)),I881*Inputs!$C$11/C881,0)</f>
        <v>40.2739726027397</v>
      </c>
    </row>
    <row r="882" customFormat="false" ht="15" hidden="false" customHeight="false" outlineLevel="0" collapsed="false">
      <c r="A882" s="35" t="n">
        <f aca="false">A881+1</f>
        <v>45689</v>
      </c>
      <c r="B882" s="35" t="n">
        <f aca="false">EOMONTH(A882+1,0)</f>
        <v>45716</v>
      </c>
      <c r="C882" s="36" t="n">
        <f aca="false">IF(MOD(YEAR(A882),4)=0,366,365)</f>
        <v>365</v>
      </c>
      <c r="D882" s="37" t="n">
        <f aca="false">Inputs!$B$9-SUMIFS(Cash_Events!$G$6:$G$20,Cash_Events!$C$6:$C$20,"rAGMF",Cash_Events!$B$6:$B$20,"&lt;="&amp;A882)</f>
        <v>735000</v>
      </c>
      <c r="E882" s="38" t="n">
        <f aca="false">VLOOKUP(A882,Inputs!$A$40:$B$48,2,TRUE())</f>
        <v>0.0461541</v>
      </c>
      <c r="F882" s="38" t="n">
        <f aca="false">E882+Inputs!$B$10</f>
        <v>0.1136541</v>
      </c>
      <c r="G882" s="37" t="n">
        <f aca="false">D882*F882/C882</f>
        <v>228.865105479452</v>
      </c>
      <c r="H882" s="37" t="n">
        <f aca="false">IF(AND(A882&gt;=Inputs!$B$13,OR(A882&lt;Inputs!$B$19,Inputs!$B$20=1)),D882*Inputs!$B$11/C882,0)</f>
        <v>40.2739726027397</v>
      </c>
      <c r="I882" s="37" t="n">
        <f aca="false">Inputs!$C$9-SUMIFS(Cash_Events!$G$6:$G$20,Cash_Events!$C$6:$C$20,"FHL",Cash_Events!$B$6:$B$20,"&lt;="&amp;A882)</f>
        <v>735000</v>
      </c>
      <c r="J882" s="38" t="n">
        <f aca="false">VLOOKUP(A882,Inputs!$F$40:$G$48,2,TRUE())</f>
        <v>0.0457048</v>
      </c>
      <c r="K882" s="38" t="n">
        <f aca="false">J882+Inputs!$C$10</f>
        <v>0.1132048</v>
      </c>
      <c r="L882" s="37" t="n">
        <f aca="false">I882*K882/C882</f>
        <v>227.960350684931</v>
      </c>
      <c r="M882" s="37" t="n">
        <f aca="false">IF(AND(A882&gt;=Inputs!$C$13,OR(A882&lt;Inputs!$B$19,Inputs!$B$20=1)),I882*Inputs!$C$11/C882,0)</f>
        <v>40.2739726027397</v>
      </c>
    </row>
    <row r="883" customFormat="false" ht="15" hidden="false" customHeight="false" outlineLevel="0" collapsed="false">
      <c r="A883" s="35" t="n">
        <f aca="false">A882+1</f>
        <v>45690</v>
      </c>
      <c r="B883" s="35" t="n">
        <f aca="false">EOMONTH(A883+1,0)</f>
        <v>45716</v>
      </c>
      <c r="C883" s="36" t="n">
        <f aca="false">IF(MOD(YEAR(A883),4)=0,366,365)</f>
        <v>365</v>
      </c>
      <c r="D883" s="37" t="n">
        <f aca="false">Inputs!$B$9-SUMIFS(Cash_Events!$G$6:$G$20,Cash_Events!$C$6:$C$20,"rAGMF",Cash_Events!$B$6:$B$20,"&lt;="&amp;A883)</f>
        <v>735000</v>
      </c>
      <c r="E883" s="38" t="n">
        <f aca="false">VLOOKUP(A883,Inputs!$A$40:$B$48,2,TRUE())</f>
        <v>0.0461541</v>
      </c>
      <c r="F883" s="38" t="n">
        <f aca="false">E883+Inputs!$B$10</f>
        <v>0.1136541</v>
      </c>
      <c r="G883" s="37" t="n">
        <f aca="false">D883*F883/C883</f>
        <v>228.865105479452</v>
      </c>
      <c r="H883" s="37" t="n">
        <f aca="false">IF(AND(A883&gt;=Inputs!$B$13,OR(A883&lt;Inputs!$B$19,Inputs!$B$20=1)),D883*Inputs!$B$11/C883,0)</f>
        <v>40.2739726027397</v>
      </c>
      <c r="I883" s="37" t="n">
        <f aca="false">Inputs!$C$9-SUMIFS(Cash_Events!$G$6:$G$20,Cash_Events!$C$6:$C$20,"FHL",Cash_Events!$B$6:$B$20,"&lt;="&amp;A883)</f>
        <v>735000</v>
      </c>
      <c r="J883" s="38" t="n">
        <f aca="false">VLOOKUP(A883,Inputs!$F$40:$G$48,2,TRUE())</f>
        <v>0.0457048</v>
      </c>
      <c r="K883" s="38" t="n">
        <f aca="false">J883+Inputs!$C$10</f>
        <v>0.1132048</v>
      </c>
      <c r="L883" s="37" t="n">
        <f aca="false">I883*K883/C883</f>
        <v>227.960350684931</v>
      </c>
      <c r="M883" s="37" t="n">
        <f aca="false">IF(AND(A883&gt;=Inputs!$C$13,OR(A883&lt;Inputs!$B$19,Inputs!$B$20=1)),I883*Inputs!$C$11/C883,0)</f>
        <v>40.2739726027397</v>
      </c>
    </row>
    <row r="884" customFormat="false" ht="15" hidden="false" customHeight="false" outlineLevel="0" collapsed="false">
      <c r="A884" s="35" t="n">
        <f aca="false">A883+1</f>
        <v>45691</v>
      </c>
      <c r="B884" s="35" t="n">
        <f aca="false">EOMONTH(A884+1,0)</f>
        <v>45716</v>
      </c>
      <c r="C884" s="36" t="n">
        <f aca="false">IF(MOD(YEAR(A884),4)=0,366,365)</f>
        <v>365</v>
      </c>
      <c r="D884" s="37" t="n">
        <f aca="false">Inputs!$B$9-SUMIFS(Cash_Events!$G$6:$G$20,Cash_Events!$C$6:$C$20,"rAGMF",Cash_Events!$B$6:$B$20,"&lt;="&amp;A884)</f>
        <v>735000</v>
      </c>
      <c r="E884" s="38" t="n">
        <f aca="false">VLOOKUP(A884,Inputs!$A$40:$B$48,2,TRUE())</f>
        <v>0.0461541</v>
      </c>
      <c r="F884" s="38" t="n">
        <f aca="false">E884+Inputs!$B$10</f>
        <v>0.1136541</v>
      </c>
      <c r="G884" s="37" t="n">
        <f aca="false">D884*F884/C884</f>
        <v>228.865105479452</v>
      </c>
      <c r="H884" s="37" t="n">
        <f aca="false">IF(AND(A884&gt;=Inputs!$B$13,OR(A884&lt;Inputs!$B$19,Inputs!$B$20=1)),D884*Inputs!$B$11/C884,0)</f>
        <v>40.2739726027397</v>
      </c>
      <c r="I884" s="37" t="n">
        <f aca="false">Inputs!$C$9-SUMIFS(Cash_Events!$G$6:$G$20,Cash_Events!$C$6:$C$20,"FHL",Cash_Events!$B$6:$B$20,"&lt;="&amp;A884)</f>
        <v>735000</v>
      </c>
      <c r="J884" s="38" t="n">
        <f aca="false">VLOOKUP(A884,Inputs!$F$40:$G$48,2,TRUE())</f>
        <v>0.0457048</v>
      </c>
      <c r="K884" s="38" t="n">
        <f aca="false">J884+Inputs!$C$10</f>
        <v>0.1132048</v>
      </c>
      <c r="L884" s="37" t="n">
        <f aca="false">I884*K884/C884</f>
        <v>227.960350684931</v>
      </c>
      <c r="M884" s="37" t="n">
        <f aca="false">IF(AND(A884&gt;=Inputs!$C$13,OR(A884&lt;Inputs!$B$19,Inputs!$B$20=1)),I884*Inputs!$C$11/C884,0)</f>
        <v>40.2739726027397</v>
      </c>
    </row>
    <row r="885" customFormat="false" ht="15" hidden="false" customHeight="false" outlineLevel="0" collapsed="false">
      <c r="A885" s="35" t="n">
        <f aca="false">A884+1</f>
        <v>45692</v>
      </c>
      <c r="B885" s="35" t="n">
        <f aca="false">EOMONTH(A885+1,0)</f>
        <v>45716</v>
      </c>
      <c r="C885" s="36" t="n">
        <f aca="false">IF(MOD(YEAR(A885),4)=0,366,365)</f>
        <v>365</v>
      </c>
      <c r="D885" s="37" t="n">
        <f aca="false">Inputs!$B$9-SUMIFS(Cash_Events!$G$6:$G$20,Cash_Events!$C$6:$C$20,"rAGMF",Cash_Events!$B$6:$B$20,"&lt;="&amp;A885)</f>
        <v>735000</v>
      </c>
      <c r="E885" s="38" t="n">
        <f aca="false">VLOOKUP(A885,Inputs!$A$40:$B$48,2,TRUE())</f>
        <v>0.0461541</v>
      </c>
      <c r="F885" s="38" t="n">
        <f aca="false">E885+Inputs!$B$10</f>
        <v>0.1136541</v>
      </c>
      <c r="G885" s="37" t="n">
        <f aca="false">D885*F885/C885</f>
        <v>228.865105479452</v>
      </c>
      <c r="H885" s="37" t="n">
        <f aca="false">IF(AND(A885&gt;=Inputs!$B$13,OR(A885&lt;Inputs!$B$19,Inputs!$B$20=1)),D885*Inputs!$B$11/C885,0)</f>
        <v>40.2739726027397</v>
      </c>
      <c r="I885" s="37" t="n">
        <f aca="false">Inputs!$C$9-SUMIFS(Cash_Events!$G$6:$G$20,Cash_Events!$C$6:$C$20,"FHL",Cash_Events!$B$6:$B$20,"&lt;="&amp;A885)</f>
        <v>735000</v>
      </c>
      <c r="J885" s="38" t="n">
        <f aca="false">VLOOKUP(A885,Inputs!$F$40:$G$48,2,TRUE())</f>
        <v>0.0457048</v>
      </c>
      <c r="K885" s="38" t="n">
        <f aca="false">J885+Inputs!$C$10</f>
        <v>0.1132048</v>
      </c>
      <c r="L885" s="37" t="n">
        <f aca="false">I885*K885/C885</f>
        <v>227.960350684931</v>
      </c>
      <c r="M885" s="37" t="n">
        <f aca="false">IF(AND(A885&gt;=Inputs!$C$13,OR(A885&lt;Inputs!$B$19,Inputs!$B$20=1)),I885*Inputs!$C$11/C885,0)</f>
        <v>40.2739726027397</v>
      </c>
    </row>
    <row r="886" customFormat="false" ht="15" hidden="false" customHeight="false" outlineLevel="0" collapsed="false">
      <c r="A886" s="35" t="n">
        <f aca="false">A885+1</f>
        <v>45693</v>
      </c>
      <c r="B886" s="35" t="n">
        <f aca="false">EOMONTH(A886+1,0)</f>
        <v>45716</v>
      </c>
      <c r="C886" s="36" t="n">
        <f aca="false">IF(MOD(YEAR(A886),4)=0,366,365)</f>
        <v>365</v>
      </c>
      <c r="D886" s="37" t="n">
        <f aca="false">Inputs!$B$9-SUMIFS(Cash_Events!$G$6:$G$20,Cash_Events!$C$6:$C$20,"rAGMF",Cash_Events!$B$6:$B$20,"&lt;="&amp;A886)</f>
        <v>735000</v>
      </c>
      <c r="E886" s="38" t="n">
        <f aca="false">VLOOKUP(A886,Inputs!$A$40:$B$48,2,TRUE())</f>
        <v>0.0461541</v>
      </c>
      <c r="F886" s="38" t="n">
        <f aca="false">E886+Inputs!$B$10</f>
        <v>0.1136541</v>
      </c>
      <c r="G886" s="37" t="n">
        <f aca="false">D886*F886/C886</f>
        <v>228.865105479452</v>
      </c>
      <c r="H886" s="37" t="n">
        <f aca="false">IF(AND(A886&gt;=Inputs!$B$13,OR(A886&lt;Inputs!$B$19,Inputs!$B$20=1)),D886*Inputs!$B$11/C886,0)</f>
        <v>40.2739726027397</v>
      </c>
      <c r="I886" s="37" t="n">
        <f aca="false">Inputs!$C$9-SUMIFS(Cash_Events!$G$6:$G$20,Cash_Events!$C$6:$C$20,"FHL",Cash_Events!$B$6:$B$20,"&lt;="&amp;A886)</f>
        <v>735000</v>
      </c>
      <c r="J886" s="38" t="n">
        <f aca="false">VLOOKUP(A886,Inputs!$F$40:$G$48,2,TRUE())</f>
        <v>0.0457048</v>
      </c>
      <c r="K886" s="38" t="n">
        <f aca="false">J886+Inputs!$C$10</f>
        <v>0.1132048</v>
      </c>
      <c r="L886" s="37" t="n">
        <f aca="false">I886*K886/C886</f>
        <v>227.960350684931</v>
      </c>
      <c r="M886" s="37" t="n">
        <f aca="false">IF(AND(A886&gt;=Inputs!$C$13,OR(A886&lt;Inputs!$B$19,Inputs!$B$20=1)),I886*Inputs!$C$11/C886,0)</f>
        <v>40.2739726027397</v>
      </c>
    </row>
    <row r="887" customFormat="false" ht="15" hidden="false" customHeight="false" outlineLevel="0" collapsed="false">
      <c r="A887" s="35" t="n">
        <f aca="false">A886+1</f>
        <v>45694</v>
      </c>
      <c r="B887" s="35" t="n">
        <f aca="false">EOMONTH(A887+1,0)</f>
        <v>45716</v>
      </c>
      <c r="C887" s="36" t="n">
        <f aca="false">IF(MOD(YEAR(A887),4)=0,366,365)</f>
        <v>365</v>
      </c>
      <c r="D887" s="37" t="n">
        <f aca="false">Inputs!$B$9-SUMIFS(Cash_Events!$G$6:$G$20,Cash_Events!$C$6:$C$20,"rAGMF",Cash_Events!$B$6:$B$20,"&lt;="&amp;A887)</f>
        <v>735000</v>
      </c>
      <c r="E887" s="38" t="n">
        <f aca="false">VLOOKUP(A887,Inputs!$A$40:$B$48,2,TRUE())</f>
        <v>0.0461541</v>
      </c>
      <c r="F887" s="38" t="n">
        <f aca="false">E887+Inputs!$B$10</f>
        <v>0.1136541</v>
      </c>
      <c r="G887" s="37" t="n">
        <f aca="false">D887*F887/C887</f>
        <v>228.865105479452</v>
      </c>
      <c r="H887" s="37" t="n">
        <f aca="false">IF(AND(A887&gt;=Inputs!$B$13,OR(A887&lt;Inputs!$B$19,Inputs!$B$20=1)),D887*Inputs!$B$11/C887,0)</f>
        <v>40.2739726027397</v>
      </c>
      <c r="I887" s="37" t="n">
        <f aca="false">Inputs!$C$9-SUMIFS(Cash_Events!$G$6:$G$20,Cash_Events!$C$6:$C$20,"FHL",Cash_Events!$B$6:$B$20,"&lt;="&amp;A887)</f>
        <v>735000</v>
      </c>
      <c r="J887" s="38" t="n">
        <f aca="false">VLOOKUP(A887,Inputs!$F$40:$G$48,2,TRUE())</f>
        <v>0.0457048</v>
      </c>
      <c r="K887" s="38" t="n">
        <f aca="false">J887+Inputs!$C$10</f>
        <v>0.1132048</v>
      </c>
      <c r="L887" s="37" t="n">
        <f aca="false">I887*K887/C887</f>
        <v>227.960350684931</v>
      </c>
      <c r="M887" s="37" t="n">
        <f aca="false">IF(AND(A887&gt;=Inputs!$C$13,OR(A887&lt;Inputs!$B$19,Inputs!$B$20=1)),I887*Inputs!$C$11/C887,0)</f>
        <v>40.2739726027397</v>
      </c>
    </row>
    <row r="888" customFormat="false" ht="15" hidden="false" customHeight="false" outlineLevel="0" collapsed="false">
      <c r="A888" s="35" t="n">
        <f aca="false">A887+1</f>
        <v>45695</v>
      </c>
      <c r="B888" s="35" t="n">
        <f aca="false">EOMONTH(A888+1,0)</f>
        <v>45716</v>
      </c>
      <c r="C888" s="36" t="n">
        <f aca="false">IF(MOD(YEAR(A888),4)=0,366,365)</f>
        <v>365</v>
      </c>
      <c r="D888" s="37" t="n">
        <f aca="false">Inputs!$B$9-SUMIFS(Cash_Events!$G$6:$G$20,Cash_Events!$C$6:$C$20,"rAGMF",Cash_Events!$B$6:$B$20,"&lt;="&amp;A888)</f>
        <v>735000</v>
      </c>
      <c r="E888" s="38" t="n">
        <f aca="false">VLOOKUP(A888,Inputs!$A$40:$B$48,2,TRUE())</f>
        <v>0.0461541</v>
      </c>
      <c r="F888" s="38" t="n">
        <f aca="false">E888+Inputs!$B$10</f>
        <v>0.1136541</v>
      </c>
      <c r="G888" s="37" t="n">
        <f aca="false">D888*F888/C888</f>
        <v>228.865105479452</v>
      </c>
      <c r="H888" s="37" t="n">
        <f aca="false">IF(AND(A888&gt;=Inputs!$B$13,OR(A888&lt;Inputs!$B$19,Inputs!$B$20=1)),D888*Inputs!$B$11/C888,0)</f>
        <v>40.2739726027397</v>
      </c>
      <c r="I888" s="37" t="n">
        <f aca="false">Inputs!$C$9-SUMIFS(Cash_Events!$G$6:$G$20,Cash_Events!$C$6:$C$20,"FHL",Cash_Events!$B$6:$B$20,"&lt;="&amp;A888)</f>
        <v>735000</v>
      </c>
      <c r="J888" s="38" t="n">
        <f aca="false">VLOOKUP(A888,Inputs!$F$40:$G$48,2,TRUE())</f>
        <v>0.0457048</v>
      </c>
      <c r="K888" s="38" t="n">
        <f aca="false">J888+Inputs!$C$10</f>
        <v>0.1132048</v>
      </c>
      <c r="L888" s="37" t="n">
        <f aca="false">I888*K888/C888</f>
        <v>227.960350684931</v>
      </c>
      <c r="M888" s="37" t="n">
        <f aca="false">IF(AND(A888&gt;=Inputs!$C$13,OR(A888&lt;Inputs!$B$19,Inputs!$B$20=1)),I888*Inputs!$C$11/C888,0)</f>
        <v>40.2739726027397</v>
      </c>
    </row>
    <row r="889" customFormat="false" ht="15" hidden="false" customHeight="false" outlineLevel="0" collapsed="false">
      <c r="A889" s="35" t="n">
        <f aca="false">A888+1</f>
        <v>45696</v>
      </c>
      <c r="B889" s="35" t="n">
        <f aca="false">EOMONTH(A889+1,0)</f>
        <v>45716</v>
      </c>
      <c r="C889" s="36" t="n">
        <f aca="false">IF(MOD(YEAR(A889),4)=0,366,365)</f>
        <v>365</v>
      </c>
      <c r="D889" s="37" t="n">
        <f aca="false">Inputs!$B$9-SUMIFS(Cash_Events!$G$6:$G$20,Cash_Events!$C$6:$C$20,"rAGMF",Cash_Events!$B$6:$B$20,"&lt;="&amp;A889)</f>
        <v>735000</v>
      </c>
      <c r="E889" s="38" t="n">
        <f aca="false">VLOOKUP(A889,Inputs!$A$40:$B$48,2,TRUE())</f>
        <v>0.0461541</v>
      </c>
      <c r="F889" s="38" t="n">
        <f aca="false">E889+Inputs!$B$10</f>
        <v>0.1136541</v>
      </c>
      <c r="G889" s="37" t="n">
        <f aca="false">D889*F889/C889</f>
        <v>228.865105479452</v>
      </c>
      <c r="H889" s="37" t="n">
        <f aca="false">IF(AND(A889&gt;=Inputs!$B$13,OR(A889&lt;Inputs!$B$19,Inputs!$B$20=1)),D889*Inputs!$B$11/C889,0)</f>
        <v>40.2739726027397</v>
      </c>
      <c r="I889" s="37" t="n">
        <f aca="false">Inputs!$C$9-SUMIFS(Cash_Events!$G$6:$G$20,Cash_Events!$C$6:$C$20,"FHL",Cash_Events!$B$6:$B$20,"&lt;="&amp;A889)</f>
        <v>735000</v>
      </c>
      <c r="J889" s="38" t="n">
        <f aca="false">VLOOKUP(A889,Inputs!$F$40:$G$48,2,TRUE())</f>
        <v>0.0457048</v>
      </c>
      <c r="K889" s="38" t="n">
        <f aca="false">J889+Inputs!$C$10</f>
        <v>0.1132048</v>
      </c>
      <c r="L889" s="37" t="n">
        <f aca="false">I889*K889/C889</f>
        <v>227.960350684931</v>
      </c>
      <c r="M889" s="37" t="n">
        <f aca="false">IF(AND(A889&gt;=Inputs!$C$13,OR(A889&lt;Inputs!$B$19,Inputs!$B$20=1)),I889*Inputs!$C$11/C889,0)</f>
        <v>40.2739726027397</v>
      </c>
    </row>
    <row r="890" customFormat="false" ht="15" hidden="false" customHeight="false" outlineLevel="0" collapsed="false">
      <c r="A890" s="35" t="n">
        <f aca="false">A889+1</f>
        <v>45697</v>
      </c>
      <c r="B890" s="35" t="n">
        <f aca="false">EOMONTH(A890+1,0)</f>
        <v>45716</v>
      </c>
      <c r="C890" s="36" t="n">
        <f aca="false">IF(MOD(YEAR(A890),4)=0,366,365)</f>
        <v>365</v>
      </c>
      <c r="D890" s="37" t="n">
        <f aca="false">Inputs!$B$9-SUMIFS(Cash_Events!$G$6:$G$20,Cash_Events!$C$6:$C$20,"rAGMF",Cash_Events!$B$6:$B$20,"&lt;="&amp;A890)</f>
        <v>735000</v>
      </c>
      <c r="E890" s="38" t="n">
        <f aca="false">VLOOKUP(A890,Inputs!$A$40:$B$48,2,TRUE())</f>
        <v>0.0461541</v>
      </c>
      <c r="F890" s="38" t="n">
        <f aca="false">E890+Inputs!$B$10</f>
        <v>0.1136541</v>
      </c>
      <c r="G890" s="37" t="n">
        <f aca="false">D890*F890/C890</f>
        <v>228.865105479452</v>
      </c>
      <c r="H890" s="37" t="n">
        <f aca="false">IF(AND(A890&gt;=Inputs!$B$13,OR(A890&lt;Inputs!$B$19,Inputs!$B$20=1)),D890*Inputs!$B$11/C890,0)</f>
        <v>40.2739726027397</v>
      </c>
      <c r="I890" s="37" t="n">
        <f aca="false">Inputs!$C$9-SUMIFS(Cash_Events!$G$6:$G$20,Cash_Events!$C$6:$C$20,"FHL",Cash_Events!$B$6:$B$20,"&lt;="&amp;A890)</f>
        <v>735000</v>
      </c>
      <c r="J890" s="38" t="n">
        <f aca="false">VLOOKUP(A890,Inputs!$F$40:$G$48,2,TRUE())</f>
        <v>0.0457048</v>
      </c>
      <c r="K890" s="38" t="n">
        <f aca="false">J890+Inputs!$C$10</f>
        <v>0.1132048</v>
      </c>
      <c r="L890" s="37" t="n">
        <f aca="false">I890*K890/C890</f>
        <v>227.960350684931</v>
      </c>
      <c r="M890" s="37" t="n">
        <f aca="false">IF(AND(A890&gt;=Inputs!$C$13,OR(A890&lt;Inputs!$B$19,Inputs!$B$20=1)),I890*Inputs!$C$11/C890,0)</f>
        <v>40.2739726027397</v>
      </c>
    </row>
    <row r="891" customFormat="false" ht="15" hidden="false" customHeight="false" outlineLevel="0" collapsed="false">
      <c r="A891" s="35" t="n">
        <f aca="false">A890+1</f>
        <v>45698</v>
      </c>
      <c r="B891" s="35" t="n">
        <f aca="false">EOMONTH(A891+1,0)</f>
        <v>45716</v>
      </c>
      <c r="C891" s="36" t="n">
        <f aca="false">IF(MOD(YEAR(A891),4)=0,366,365)</f>
        <v>365</v>
      </c>
      <c r="D891" s="37" t="n">
        <f aca="false">Inputs!$B$9-SUMIFS(Cash_Events!$G$6:$G$20,Cash_Events!$C$6:$C$20,"rAGMF",Cash_Events!$B$6:$B$20,"&lt;="&amp;A891)</f>
        <v>735000</v>
      </c>
      <c r="E891" s="38" t="n">
        <f aca="false">VLOOKUP(A891,Inputs!$A$40:$B$48,2,TRUE())</f>
        <v>0.0461541</v>
      </c>
      <c r="F891" s="38" t="n">
        <f aca="false">E891+Inputs!$B$10</f>
        <v>0.1136541</v>
      </c>
      <c r="G891" s="37" t="n">
        <f aca="false">D891*F891/C891</f>
        <v>228.865105479452</v>
      </c>
      <c r="H891" s="37" t="n">
        <f aca="false">IF(AND(A891&gt;=Inputs!$B$13,OR(A891&lt;Inputs!$B$19,Inputs!$B$20=1)),D891*Inputs!$B$11/C891,0)</f>
        <v>40.2739726027397</v>
      </c>
      <c r="I891" s="37" t="n">
        <f aca="false">Inputs!$C$9-SUMIFS(Cash_Events!$G$6:$G$20,Cash_Events!$C$6:$C$20,"FHL",Cash_Events!$B$6:$B$20,"&lt;="&amp;A891)</f>
        <v>735000</v>
      </c>
      <c r="J891" s="38" t="n">
        <f aca="false">VLOOKUP(A891,Inputs!$F$40:$G$48,2,TRUE())</f>
        <v>0.0457048</v>
      </c>
      <c r="K891" s="38" t="n">
        <f aca="false">J891+Inputs!$C$10</f>
        <v>0.1132048</v>
      </c>
      <c r="L891" s="37" t="n">
        <f aca="false">I891*K891/C891</f>
        <v>227.960350684931</v>
      </c>
      <c r="M891" s="37" t="n">
        <f aca="false">IF(AND(A891&gt;=Inputs!$C$13,OR(A891&lt;Inputs!$B$19,Inputs!$B$20=1)),I891*Inputs!$C$11/C891,0)</f>
        <v>40.2739726027397</v>
      </c>
    </row>
    <row r="892" customFormat="false" ht="15" hidden="false" customHeight="false" outlineLevel="0" collapsed="false">
      <c r="A892" s="35" t="n">
        <f aca="false">A891+1</f>
        <v>45699</v>
      </c>
      <c r="B892" s="35" t="n">
        <f aca="false">EOMONTH(A892+1,0)</f>
        <v>45716</v>
      </c>
      <c r="C892" s="36" t="n">
        <f aca="false">IF(MOD(YEAR(A892),4)=0,366,365)</f>
        <v>365</v>
      </c>
      <c r="D892" s="37" t="n">
        <f aca="false">Inputs!$B$9-SUMIFS(Cash_Events!$G$6:$G$20,Cash_Events!$C$6:$C$20,"rAGMF",Cash_Events!$B$6:$B$20,"&lt;="&amp;A892)</f>
        <v>735000</v>
      </c>
      <c r="E892" s="38" t="n">
        <f aca="false">VLOOKUP(A892,Inputs!$A$40:$B$48,2,TRUE())</f>
        <v>0.0461541</v>
      </c>
      <c r="F892" s="38" t="n">
        <f aca="false">E892+Inputs!$B$10</f>
        <v>0.1136541</v>
      </c>
      <c r="G892" s="37" t="n">
        <f aca="false">D892*F892/C892</f>
        <v>228.865105479452</v>
      </c>
      <c r="H892" s="37" t="n">
        <f aca="false">IF(AND(A892&gt;=Inputs!$B$13,OR(A892&lt;Inputs!$B$19,Inputs!$B$20=1)),D892*Inputs!$B$11/C892,0)</f>
        <v>40.2739726027397</v>
      </c>
      <c r="I892" s="37" t="n">
        <f aca="false">Inputs!$C$9-SUMIFS(Cash_Events!$G$6:$G$20,Cash_Events!$C$6:$C$20,"FHL",Cash_Events!$B$6:$B$20,"&lt;="&amp;A892)</f>
        <v>735000</v>
      </c>
      <c r="J892" s="38" t="n">
        <f aca="false">VLOOKUP(A892,Inputs!$F$40:$G$48,2,TRUE())</f>
        <v>0.0457048</v>
      </c>
      <c r="K892" s="38" t="n">
        <f aca="false">J892+Inputs!$C$10</f>
        <v>0.1132048</v>
      </c>
      <c r="L892" s="37" t="n">
        <f aca="false">I892*K892/C892</f>
        <v>227.960350684931</v>
      </c>
      <c r="M892" s="37" t="n">
        <f aca="false">IF(AND(A892&gt;=Inputs!$C$13,OR(A892&lt;Inputs!$B$19,Inputs!$B$20=1)),I892*Inputs!$C$11/C892,0)</f>
        <v>40.2739726027397</v>
      </c>
    </row>
    <row r="893" customFormat="false" ht="15" hidden="false" customHeight="false" outlineLevel="0" collapsed="false">
      <c r="A893" s="35" t="n">
        <f aca="false">A892+1</f>
        <v>45700</v>
      </c>
      <c r="B893" s="35" t="n">
        <f aca="false">EOMONTH(A893+1,0)</f>
        <v>45716</v>
      </c>
      <c r="C893" s="36" t="n">
        <f aca="false">IF(MOD(YEAR(A893),4)=0,366,365)</f>
        <v>365</v>
      </c>
      <c r="D893" s="37" t="n">
        <f aca="false">Inputs!$B$9-SUMIFS(Cash_Events!$G$6:$G$20,Cash_Events!$C$6:$C$20,"rAGMF",Cash_Events!$B$6:$B$20,"&lt;="&amp;A893)</f>
        <v>735000</v>
      </c>
      <c r="E893" s="38" t="n">
        <f aca="false">VLOOKUP(A893,Inputs!$A$40:$B$48,2,TRUE())</f>
        <v>0.0461541</v>
      </c>
      <c r="F893" s="38" t="n">
        <f aca="false">E893+Inputs!$B$10</f>
        <v>0.1136541</v>
      </c>
      <c r="G893" s="37" t="n">
        <f aca="false">D893*F893/C893</f>
        <v>228.865105479452</v>
      </c>
      <c r="H893" s="37" t="n">
        <f aca="false">IF(AND(A893&gt;=Inputs!$B$13,OR(A893&lt;Inputs!$B$19,Inputs!$B$20=1)),D893*Inputs!$B$11/C893,0)</f>
        <v>40.2739726027397</v>
      </c>
      <c r="I893" s="37" t="n">
        <f aca="false">Inputs!$C$9-SUMIFS(Cash_Events!$G$6:$G$20,Cash_Events!$C$6:$C$20,"FHL",Cash_Events!$B$6:$B$20,"&lt;="&amp;A893)</f>
        <v>735000</v>
      </c>
      <c r="J893" s="38" t="n">
        <f aca="false">VLOOKUP(A893,Inputs!$F$40:$G$48,2,TRUE())</f>
        <v>0.0457048</v>
      </c>
      <c r="K893" s="38" t="n">
        <f aca="false">J893+Inputs!$C$10</f>
        <v>0.1132048</v>
      </c>
      <c r="L893" s="37" t="n">
        <f aca="false">I893*K893/C893</f>
        <v>227.960350684931</v>
      </c>
      <c r="M893" s="37" t="n">
        <f aca="false">IF(AND(A893&gt;=Inputs!$C$13,OR(A893&lt;Inputs!$B$19,Inputs!$B$20=1)),I893*Inputs!$C$11/C893,0)</f>
        <v>40.2739726027397</v>
      </c>
    </row>
    <row r="894" customFormat="false" ht="15" hidden="false" customHeight="false" outlineLevel="0" collapsed="false">
      <c r="A894" s="35" t="n">
        <f aca="false">A893+1</f>
        <v>45701</v>
      </c>
      <c r="B894" s="35" t="n">
        <f aca="false">EOMONTH(A894+1,0)</f>
        <v>45716</v>
      </c>
      <c r="C894" s="36" t="n">
        <f aca="false">IF(MOD(YEAR(A894),4)=0,366,365)</f>
        <v>365</v>
      </c>
      <c r="D894" s="37" t="n">
        <f aca="false">Inputs!$B$9-SUMIFS(Cash_Events!$G$6:$G$20,Cash_Events!$C$6:$C$20,"rAGMF",Cash_Events!$B$6:$B$20,"&lt;="&amp;A894)</f>
        <v>735000</v>
      </c>
      <c r="E894" s="38" t="n">
        <f aca="false">VLOOKUP(A894,Inputs!$A$40:$B$48,2,TRUE())</f>
        <v>0.0461541</v>
      </c>
      <c r="F894" s="38" t="n">
        <f aca="false">E894+Inputs!$B$10</f>
        <v>0.1136541</v>
      </c>
      <c r="G894" s="37" t="n">
        <f aca="false">D894*F894/C894</f>
        <v>228.865105479452</v>
      </c>
      <c r="H894" s="37" t="n">
        <f aca="false">IF(AND(A894&gt;=Inputs!$B$13,OR(A894&lt;Inputs!$B$19,Inputs!$B$20=1)),D894*Inputs!$B$11/C894,0)</f>
        <v>40.2739726027397</v>
      </c>
      <c r="I894" s="37" t="n">
        <f aca="false">Inputs!$C$9-SUMIFS(Cash_Events!$G$6:$G$20,Cash_Events!$C$6:$C$20,"FHL",Cash_Events!$B$6:$B$20,"&lt;="&amp;A894)</f>
        <v>735000</v>
      </c>
      <c r="J894" s="38" t="n">
        <f aca="false">VLOOKUP(A894,Inputs!$F$40:$G$48,2,TRUE())</f>
        <v>0.0457048</v>
      </c>
      <c r="K894" s="38" t="n">
        <f aca="false">J894+Inputs!$C$10</f>
        <v>0.1132048</v>
      </c>
      <c r="L894" s="37" t="n">
        <f aca="false">I894*K894/C894</f>
        <v>227.960350684931</v>
      </c>
      <c r="M894" s="37" t="n">
        <f aca="false">IF(AND(A894&gt;=Inputs!$C$13,OR(A894&lt;Inputs!$B$19,Inputs!$B$20=1)),I894*Inputs!$C$11/C894,0)</f>
        <v>40.2739726027397</v>
      </c>
    </row>
    <row r="895" customFormat="false" ht="15" hidden="false" customHeight="false" outlineLevel="0" collapsed="false">
      <c r="A895" s="35" t="n">
        <f aca="false">A894+1</f>
        <v>45702</v>
      </c>
      <c r="B895" s="35" t="n">
        <f aca="false">EOMONTH(A895+1,0)</f>
        <v>45716</v>
      </c>
      <c r="C895" s="36" t="n">
        <f aca="false">IF(MOD(YEAR(A895),4)=0,366,365)</f>
        <v>365</v>
      </c>
      <c r="D895" s="37" t="n">
        <f aca="false">Inputs!$B$9-SUMIFS(Cash_Events!$G$6:$G$20,Cash_Events!$C$6:$C$20,"rAGMF",Cash_Events!$B$6:$B$20,"&lt;="&amp;A895)</f>
        <v>735000</v>
      </c>
      <c r="E895" s="38" t="n">
        <f aca="false">VLOOKUP(A895,Inputs!$A$40:$B$48,2,TRUE())</f>
        <v>0.0461541</v>
      </c>
      <c r="F895" s="38" t="n">
        <f aca="false">E895+Inputs!$B$10</f>
        <v>0.1136541</v>
      </c>
      <c r="G895" s="37" t="n">
        <f aca="false">D895*F895/C895</f>
        <v>228.865105479452</v>
      </c>
      <c r="H895" s="37" t="n">
        <f aca="false">IF(AND(A895&gt;=Inputs!$B$13,OR(A895&lt;Inputs!$B$19,Inputs!$B$20=1)),D895*Inputs!$B$11/C895,0)</f>
        <v>40.2739726027397</v>
      </c>
      <c r="I895" s="37" t="n">
        <f aca="false">Inputs!$C$9-SUMIFS(Cash_Events!$G$6:$G$20,Cash_Events!$C$6:$C$20,"FHL",Cash_Events!$B$6:$B$20,"&lt;="&amp;A895)</f>
        <v>735000</v>
      </c>
      <c r="J895" s="38" t="n">
        <f aca="false">VLOOKUP(A895,Inputs!$F$40:$G$48,2,TRUE())</f>
        <v>0.0457048</v>
      </c>
      <c r="K895" s="38" t="n">
        <f aca="false">J895+Inputs!$C$10</f>
        <v>0.1132048</v>
      </c>
      <c r="L895" s="37" t="n">
        <f aca="false">I895*K895/C895</f>
        <v>227.960350684931</v>
      </c>
      <c r="M895" s="37" t="n">
        <f aca="false">IF(AND(A895&gt;=Inputs!$C$13,OR(A895&lt;Inputs!$B$19,Inputs!$B$20=1)),I895*Inputs!$C$11/C895,0)</f>
        <v>40.2739726027397</v>
      </c>
    </row>
    <row r="896" customFormat="false" ht="15" hidden="false" customHeight="false" outlineLevel="0" collapsed="false">
      <c r="A896" s="35" t="n">
        <f aca="false">A895+1</f>
        <v>45703</v>
      </c>
      <c r="B896" s="35" t="n">
        <f aca="false">EOMONTH(A896+1,0)</f>
        <v>45716</v>
      </c>
      <c r="C896" s="36" t="n">
        <f aca="false">IF(MOD(YEAR(A896),4)=0,366,365)</f>
        <v>365</v>
      </c>
      <c r="D896" s="37" t="n">
        <f aca="false">Inputs!$B$9-SUMIFS(Cash_Events!$G$6:$G$20,Cash_Events!$C$6:$C$20,"rAGMF",Cash_Events!$B$6:$B$20,"&lt;="&amp;A896)</f>
        <v>735000</v>
      </c>
      <c r="E896" s="38" t="n">
        <f aca="false">VLOOKUP(A896,Inputs!$A$40:$B$48,2,TRUE())</f>
        <v>0.0461541</v>
      </c>
      <c r="F896" s="38" t="n">
        <f aca="false">E896+Inputs!$B$10</f>
        <v>0.1136541</v>
      </c>
      <c r="G896" s="37" t="n">
        <f aca="false">D896*F896/C896</f>
        <v>228.865105479452</v>
      </c>
      <c r="H896" s="37" t="n">
        <f aca="false">IF(AND(A896&gt;=Inputs!$B$13,OR(A896&lt;Inputs!$B$19,Inputs!$B$20=1)),D896*Inputs!$B$11/C896,0)</f>
        <v>40.2739726027397</v>
      </c>
      <c r="I896" s="37" t="n">
        <f aca="false">Inputs!$C$9-SUMIFS(Cash_Events!$G$6:$G$20,Cash_Events!$C$6:$C$20,"FHL",Cash_Events!$B$6:$B$20,"&lt;="&amp;A896)</f>
        <v>735000</v>
      </c>
      <c r="J896" s="38" t="n">
        <f aca="false">VLOOKUP(A896,Inputs!$F$40:$G$48,2,TRUE())</f>
        <v>0.0457048</v>
      </c>
      <c r="K896" s="38" t="n">
        <f aca="false">J896+Inputs!$C$10</f>
        <v>0.1132048</v>
      </c>
      <c r="L896" s="37" t="n">
        <f aca="false">I896*K896/C896</f>
        <v>227.960350684931</v>
      </c>
      <c r="M896" s="37" t="n">
        <f aca="false">IF(AND(A896&gt;=Inputs!$C$13,OR(A896&lt;Inputs!$B$19,Inputs!$B$20=1)),I896*Inputs!$C$11/C896,0)</f>
        <v>40.2739726027397</v>
      </c>
    </row>
    <row r="897" customFormat="false" ht="15" hidden="false" customHeight="false" outlineLevel="0" collapsed="false">
      <c r="A897" s="35" t="n">
        <f aca="false">A896+1</f>
        <v>45704</v>
      </c>
      <c r="B897" s="35" t="n">
        <f aca="false">EOMONTH(A897+1,0)</f>
        <v>45716</v>
      </c>
      <c r="C897" s="36" t="n">
        <f aca="false">IF(MOD(YEAR(A897),4)=0,366,365)</f>
        <v>365</v>
      </c>
      <c r="D897" s="37" t="n">
        <f aca="false">Inputs!$B$9-SUMIFS(Cash_Events!$G$6:$G$20,Cash_Events!$C$6:$C$20,"rAGMF",Cash_Events!$B$6:$B$20,"&lt;="&amp;A897)</f>
        <v>735000</v>
      </c>
      <c r="E897" s="38" t="n">
        <f aca="false">VLOOKUP(A897,Inputs!$A$40:$B$48,2,TRUE())</f>
        <v>0.0461541</v>
      </c>
      <c r="F897" s="38" t="n">
        <f aca="false">E897+Inputs!$B$10</f>
        <v>0.1136541</v>
      </c>
      <c r="G897" s="37" t="n">
        <f aca="false">D897*F897/C897</f>
        <v>228.865105479452</v>
      </c>
      <c r="H897" s="37" t="n">
        <f aca="false">IF(AND(A897&gt;=Inputs!$B$13,OR(A897&lt;Inputs!$B$19,Inputs!$B$20=1)),D897*Inputs!$B$11/C897,0)</f>
        <v>40.2739726027397</v>
      </c>
      <c r="I897" s="37" t="n">
        <f aca="false">Inputs!$C$9-SUMIFS(Cash_Events!$G$6:$G$20,Cash_Events!$C$6:$C$20,"FHL",Cash_Events!$B$6:$B$20,"&lt;="&amp;A897)</f>
        <v>735000</v>
      </c>
      <c r="J897" s="38" t="n">
        <f aca="false">VLOOKUP(A897,Inputs!$F$40:$G$48,2,TRUE())</f>
        <v>0.0457048</v>
      </c>
      <c r="K897" s="38" t="n">
        <f aca="false">J897+Inputs!$C$10</f>
        <v>0.1132048</v>
      </c>
      <c r="L897" s="37" t="n">
        <f aca="false">I897*K897/C897</f>
        <v>227.960350684931</v>
      </c>
      <c r="M897" s="37" t="n">
        <f aca="false">IF(AND(A897&gt;=Inputs!$C$13,OR(A897&lt;Inputs!$B$19,Inputs!$B$20=1)),I897*Inputs!$C$11/C897,0)</f>
        <v>40.2739726027397</v>
      </c>
    </row>
    <row r="898" customFormat="false" ht="15" hidden="false" customHeight="false" outlineLevel="0" collapsed="false">
      <c r="A898" s="35" t="n">
        <f aca="false">A897+1</f>
        <v>45705</v>
      </c>
      <c r="B898" s="35" t="n">
        <f aca="false">EOMONTH(A898+1,0)</f>
        <v>45716</v>
      </c>
      <c r="C898" s="36" t="n">
        <f aca="false">IF(MOD(YEAR(A898),4)=0,366,365)</f>
        <v>365</v>
      </c>
      <c r="D898" s="37" t="n">
        <f aca="false">Inputs!$B$9-SUMIFS(Cash_Events!$G$6:$G$20,Cash_Events!$C$6:$C$20,"rAGMF",Cash_Events!$B$6:$B$20,"&lt;="&amp;A898)</f>
        <v>735000</v>
      </c>
      <c r="E898" s="38" t="n">
        <f aca="false">VLOOKUP(A898,Inputs!$A$40:$B$48,2,TRUE())</f>
        <v>0.0461541</v>
      </c>
      <c r="F898" s="38" t="n">
        <f aca="false">E898+Inputs!$B$10</f>
        <v>0.1136541</v>
      </c>
      <c r="G898" s="37" t="n">
        <f aca="false">D898*F898/C898</f>
        <v>228.865105479452</v>
      </c>
      <c r="H898" s="37" t="n">
        <f aca="false">IF(AND(A898&gt;=Inputs!$B$13,OR(A898&lt;Inputs!$B$19,Inputs!$B$20=1)),D898*Inputs!$B$11/C898,0)</f>
        <v>40.2739726027397</v>
      </c>
      <c r="I898" s="37" t="n">
        <f aca="false">Inputs!$C$9-SUMIFS(Cash_Events!$G$6:$G$20,Cash_Events!$C$6:$C$20,"FHL",Cash_Events!$B$6:$B$20,"&lt;="&amp;A898)</f>
        <v>735000</v>
      </c>
      <c r="J898" s="38" t="n">
        <f aca="false">VLOOKUP(A898,Inputs!$F$40:$G$48,2,TRUE())</f>
        <v>0.0457048</v>
      </c>
      <c r="K898" s="38" t="n">
        <f aca="false">J898+Inputs!$C$10</f>
        <v>0.1132048</v>
      </c>
      <c r="L898" s="37" t="n">
        <f aca="false">I898*K898/C898</f>
        <v>227.960350684931</v>
      </c>
      <c r="M898" s="37" t="n">
        <f aca="false">IF(AND(A898&gt;=Inputs!$C$13,OR(A898&lt;Inputs!$B$19,Inputs!$B$20=1)),I898*Inputs!$C$11/C898,0)</f>
        <v>40.2739726027397</v>
      </c>
    </row>
    <row r="899" customFormat="false" ht="15" hidden="false" customHeight="false" outlineLevel="0" collapsed="false">
      <c r="A899" s="35" t="n">
        <f aca="false">A898+1</f>
        <v>45706</v>
      </c>
      <c r="B899" s="35" t="n">
        <f aca="false">EOMONTH(A899+1,0)</f>
        <v>45716</v>
      </c>
      <c r="C899" s="36" t="n">
        <f aca="false">IF(MOD(YEAR(A899),4)=0,366,365)</f>
        <v>365</v>
      </c>
      <c r="D899" s="37" t="n">
        <f aca="false">Inputs!$B$9-SUMIFS(Cash_Events!$G$6:$G$20,Cash_Events!$C$6:$C$20,"rAGMF",Cash_Events!$B$6:$B$20,"&lt;="&amp;A899)</f>
        <v>735000</v>
      </c>
      <c r="E899" s="38" t="n">
        <f aca="false">VLOOKUP(A899,Inputs!$A$40:$B$48,2,TRUE())</f>
        <v>0.0461541</v>
      </c>
      <c r="F899" s="38" t="n">
        <f aca="false">E899+Inputs!$B$10</f>
        <v>0.1136541</v>
      </c>
      <c r="G899" s="37" t="n">
        <f aca="false">D899*F899/C899</f>
        <v>228.865105479452</v>
      </c>
      <c r="H899" s="37" t="n">
        <f aca="false">IF(AND(A899&gt;=Inputs!$B$13,OR(A899&lt;Inputs!$B$19,Inputs!$B$20=1)),D899*Inputs!$B$11/C899,0)</f>
        <v>40.2739726027397</v>
      </c>
      <c r="I899" s="37" t="n">
        <f aca="false">Inputs!$C$9-SUMIFS(Cash_Events!$G$6:$G$20,Cash_Events!$C$6:$C$20,"FHL",Cash_Events!$B$6:$B$20,"&lt;="&amp;A899)</f>
        <v>735000</v>
      </c>
      <c r="J899" s="38" t="n">
        <f aca="false">VLOOKUP(A899,Inputs!$F$40:$G$48,2,TRUE())</f>
        <v>0.0457048</v>
      </c>
      <c r="K899" s="38" t="n">
        <f aca="false">J899+Inputs!$C$10</f>
        <v>0.1132048</v>
      </c>
      <c r="L899" s="37" t="n">
        <f aca="false">I899*K899/C899</f>
        <v>227.960350684931</v>
      </c>
      <c r="M899" s="37" t="n">
        <f aca="false">IF(AND(A899&gt;=Inputs!$C$13,OR(A899&lt;Inputs!$B$19,Inputs!$B$20=1)),I899*Inputs!$C$11/C899,0)</f>
        <v>40.2739726027397</v>
      </c>
    </row>
    <row r="900" customFormat="false" ht="15" hidden="false" customHeight="false" outlineLevel="0" collapsed="false">
      <c r="A900" s="35" t="n">
        <f aca="false">A899+1</f>
        <v>45707</v>
      </c>
      <c r="B900" s="35" t="n">
        <f aca="false">EOMONTH(A900+1,0)</f>
        <v>45716</v>
      </c>
      <c r="C900" s="36" t="n">
        <f aca="false">IF(MOD(YEAR(A900),4)=0,366,365)</f>
        <v>365</v>
      </c>
      <c r="D900" s="37" t="n">
        <f aca="false">Inputs!$B$9-SUMIFS(Cash_Events!$G$6:$G$20,Cash_Events!$C$6:$C$20,"rAGMF",Cash_Events!$B$6:$B$20,"&lt;="&amp;A900)</f>
        <v>735000</v>
      </c>
      <c r="E900" s="38" t="n">
        <f aca="false">VLOOKUP(A900,Inputs!$A$40:$B$48,2,TRUE())</f>
        <v>0.0461541</v>
      </c>
      <c r="F900" s="38" t="n">
        <f aca="false">E900+Inputs!$B$10</f>
        <v>0.1136541</v>
      </c>
      <c r="G900" s="37" t="n">
        <f aca="false">D900*F900/C900</f>
        <v>228.865105479452</v>
      </c>
      <c r="H900" s="37" t="n">
        <f aca="false">IF(AND(A900&gt;=Inputs!$B$13,OR(A900&lt;Inputs!$B$19,Inputs!$B$20=1)),D900*Inputs!$B$11/C900,0)</f>
        <v>40.2739726027397</v>
      </c>
      <c r="I900" s="37" t="n">
        <f aca="false">Inputs!$C$9-SUMIFS(Cash_Events!$G$6:$G$20,Cash_Events!$C$6:$C$20,"FHL",Cash_Events!$B$6:$B$20,"&lt;="&amp;A900)</f>
        <v>735000</v>
      </c>
      <c r="J900" s="38" t="n">
        <f aca="false">VLOOKUP(A900,Inputs!$F$40:$G$48,2,TRUE())</f>
        <v>0.0457048</v>
      </c>
      <c r="K900" s="38" t="n">
        <f aca="false">J900+Inputs!$C$10</f>
        <v>0.1132048</v>
      </c>
      <c r="L900" s="37" t="n">
        <f aca="false">I900*K900/C900</f>
        <v>227.960350684931</v>
      </c>
      <c r="M900" s="37" t="n">
        <f aca="false">IF(AND(A900&gt;=Inputs!$C$13,OR(A900&lt;Inputs!$B$19,Inputs!$B$20=1)),I900*Inputs!$C$11/C900,0)</f>
        <v>40.2739726027397</v>
      </c>
    </row>
    <row r="901" customFormat="false" ht="15" hidden="false" customHeight="false" outlineLevel="0" collapsed="false">
      <c r="A901" s="35" t="n">
        <f aca="false">A900+1</f>
        <v>45708</v>
      </c>
      <c r="B901" s="35" t="n">
        <f aca="false">EOMONTH(A901+1,0)</f>
        <v>45716</v>
      </c>
      <c r="C901" s="36" t="n">
        <f aca="false">IF(MOD(YEAR(A901),4)=0,366,365)</f>
        <v>365</v>
      </c>
      <c r="D901" s="37" t="n">
        <f aca="false">Inputs!$B$9-SUMIFS(Cash_Events!$G$6:$G$20,Cash_Events!$C$6:$C$20,"rAGMF",Cash_Events!$B$6:$B$20,"&lt;="&amp;A901)</f>
        <v>735000</v>
      </c>
      <c r="E901" s="38" t="n">
        <f aca="false">VLOOKUP(A901,Inputs!$A$40:$B$48,2,TRUE())</f>
        <v>0.0461541</v>
      </c>
      <c r="F901" s="38" t="n">
        <f aca="false">E901+Inputs!$B$10</f>
        <v>0.1136541</v>
      </c>
      <c r="G901" s="37" t="n">
        <f aca="false">D901*F901/C901</f>
        <v>228.865105479452</v>
      </c>
      <c r="H901" s="37" t="n">
        <f aca="false">IF(AND(A901&gt;=Inputs!$B$13,OR(A901&lt;Inputs!$B$19,Inputs!$B$20=1)),D901*Inputs!$B$11/C901,0)</f>
        <v>40.2739726027397</v>
      </c>
      <c r="I901" s="37" t="n">
        <f aca="false">Inputs!$C$9-SUMIFS(Cash_Events!$G$6:$G$20,Cash_Events!$C$6:$C$20,"FHL",Cash_Events!$B$6:$B$20,"&lt;="&amp;A901)</f>
        <v>735000</v>
      </c>
      <c r="J901" s="38" t="n">
        <f aca="false">VLOOKUP(A901,Inputs!$F$40:$G$48,2,TRUE())</f>
        <v>0.0457048</v>
      </c>
      <c r="K901" s="38" t="n">
        <f aca="false">J901+Inputs!$C$10</f>
        <v>0.1132048</v>
      </c>
      <c r="L901" s="37" t="n">
        <f aca="false">I901*K901/C901</f>
        <v>227.960350684931</v>
      </c>
      <c r="M901" s="37" t="n">
        <f aca="false">IF(AND(A901&gt;=Inputs!$C$13,OR(A901&lt;Inputs!$B$19,Inputs!$B$20=1)),I901*Inputs!$C$11/C901,0)</f>
        <v>40.2739726027397</v>
      </c>
    </row>
    <row r="902" customFormat="false" ht="15" hidden="false" customHeight="false" outlineLevel="0" collapsed="false">
      <c r="A902" s="35" t="n">
        <f aca="false">A901+1</f>
        <v>45709</v>
      </c>
      <c r="B902" s="35" t="n">
        <f aca="false">EOMONTH(A902+1,0)</f>
        <v>45716</v>
      </c>
      <c r="C902" s="36" t="n">
        <f aca="false">IF(MOD(YEAR(A902),4)=0,366,365)</f>
        <v>365</v>
      </c>
      <c r="D902" s="37" t="n">
        <f aca="false">Inputs!$B$9-SUMIFS(Cash_Events!$G$6:$G$20,Cash_Events!$C$6:$C$20,"rAGMF",Cash_Events!$B$6:$B$20,"&lt;="&amp;A902)</f>
        <v>735000</v>
      </c>
      <c r="E902" s="38" t="n">
        <f aca="false">VLOOKUP(A902,Inputs!$A$40:$B$48,2,TRUE())</f>
        <v>0.0461541</v>
      </c>
      <c r="F902" s="38" t="n">
        <f aca="false">E902+Inputs!$B$10</f>
        <v>0.1136541</v>
      </c>
      <c r="G902" s="37" t="n">
        <f aca="false">D902*F902/C902</f>
        <v>228.865105479452</v>
      </c>
      <c r="H902" s="37" t="n">
        <f aca="false">IF(AND(A902&gt;=Inputs!$B$13,OR(A902&lt;Inputs!$B$19,Inputs!$B$20=1)),D902*Inputs!$B$11/C902,0)</f>
        <v>40.2739726027397</v>
      </c>
      <c r="I902" s="37" t="n">
        <f aca="false">Inputs!$C$9-SUMIFS(Cash_Events!$G$6:$G$20,Cash_Events!$C$6:$C$20,"FHL",Cash_Events!$B$6:$B$20,"&lt;="&amp;A902)</f>
        <v>735000</v>
      </c>
      <c r="J902" s="38" t="n">
        <f aca="false">VLOOKUP(A902,Inputs!$F$40:$G$48,2,TRUE())</f>
        <v>0.0457048</v>
      </c>
      <c r="K902" s="38" t="n">
        <f aca="false">J902+Inputs!$C$10</f>
        <v>0.1132048</v>
      </c>
      <c r="L902" s="37" t="n">
        <f aca="false">I902*K902/C902</f>
        <v>227.960350684931</v>
      </c>
      <c r="M902" s="37" t="n">
        <f aca="false">IF(AND(A902&gt;=Inputs!$C$13,OR(A902&lt;Inputs!$B$19,Inputs!$B$20=1)),I902*Inputs!$C$11/C902,0)</f>
        <v>40.2739726027397</v>
      </c>
    </row>
    <row r="903" customFormat="false" ht="15" hidden="false" customHeight="false" outlineLevel="0" collapsed="false">
      <c r="A903" s="35" t="n">
        <f aca="false">A902+1</f>
        <v>45710</v>
      </c>
      <c r="B903" s="35" t="n">
        <f aca="false">EOMONTH(A903+1,0)</f>
        <v>45716</v>
      </c>
      <c r="C903" s="36" t="n">
        <f aca="false">IF(MOD(YEAR(A903),4)=0,366,365)</f>
        <v>365</v>
      </c>
      <c r="D903" s="37" t="n">
        <f aca="false">Inputs!$B$9-SUMIFS(Cash_Events!$G$6:$G$20,Cash_Events!$C$6:$C$20,"rAGMF",Cash_Events!$B$6:$B$20,"&lt;="&amp;A903)</f>
        <v>735000</v>
      </c>
      <c r="E903" s="38" t="n">
        <f aca="false">VLOOKUP(A903,Inputs!$A$40:$B$48,2,TRUE())</f>
        <v>0.0461541</v>
      </c>
      <c r="F903" s="38" t="n">
        <f aca="false">E903+Inputs!$B$10</f>
        <v>0.1136541</v>
      </c>
      <c r="G903" s="37" t="n">
        <f aca="false">D903*F903/C903</f>
        <v>228.865105479452</v>
      </c>
      <c r="H903" s="37" t="n">
        <f aca="false">IF(AND(A903&gt;=Inputs!$B$13,OR(A903&lt;Inputs!$B$19,Inputs!$B$20=1)),D903*Inputs!$B$11/C903,0)</f>
        <v>40.2739726027397</v>
      </c>
      <c r="I903" s="37" t="n">
        <f aca="false">Inputs!$C$9-SUMIFS(Cash_Events!$G$6:$G$20,Cash_Events!$C$6:$C$20,"FHL",Cash_Events!$B$6:$B$20,"&lt;="&amp;A903)</f>
        <v>735000</v>
      </c>
      <c r="J903" s="38" t="n">
        <f aca="false">VLOOKUP(A903,Inputs!$F$40:$G$48,2,TRUE())</f>
        <v>0.0457048</v>
      </c>
      <c r="K903" s="38" t="n">
        <f aca="false">J903+Inputs!$C$10</f>
        <v>0.1132048</v>
      </c>
      <c r="L903" s="37" t="n">
        <f aca="false">I903*K903/C903</f>
        <v>227.960350684931</v>
      </c>
      <c r="M903" s="37" t="n">
        <f aca="false">IF(AND(A903&gt;=Inputs!$C$13,OR(A903&lt;Inputs!$B$19,Inputs!$B$20=1)),I903*Inputs!$C$11/C903,0)</f>
        <v>40.2739726027397</v>
      </c>
    </row>
    <row r="904" customFormat="false" ht="15" hidden="false" customHeight="false" outlineLevel="0" collapsed="false">
      <c r="A904" s="35" t="n">
        <f aca="false">A903+1</f>
        <v>45711</v>
      </c>
      <c r="B904" s="35" t="n">
        <f aca="false">EOMONTH(A904+1,0)</f>
        <v>45716</v>
      </c>
      <c r="C904" s="36" t="n">
        <f aca="false">IF(MOD(YEAR(A904),4)=0,366,365)</f>
        <v>365</v>
      </c>
      <c r="D904" s="37" t="n">
        <f aca="false">Inputs!$B$9-SUMIFS(Cash_Events!$G$6:$G$20,Cash_Events!$C$6:$C$20,"rAGMF",Cash_Events!$B$6:$B$20,"&lt;="&amp;A904)</f>
        <v>735000</v>
      </c>
      <c r="E904" s="38" t="n">
        <f aca="false">VLOOKUP(A904,Inputs!$A$40:$B$48,2,TRUE())</f>
        <v>0.0461541</v>
      </c>
      <c r="F904" s="38" t="n">
        <f aca="false">E904+Inputs!$B$10</f>
        <v>0.1136541</v>
      </c>
      <c r="G904" s="37" t="n">
        <f aca="false">D904*F904/C904</f>
        <v>228.865105479452</v>
      </c>
      <c r="H904" s="37" t="n">
        <f aca="false">IF(AND(A904&gt;=Inputs!$B$13,OR(A904&lt;Inputs!$B$19,Inputs!$B$20=1)),D904*Inputs!$B$11/C904,0)</f>
        <v>40.2739726027397</v>
      </c>
      <c r="I904" s="37" t="n">
        <f aca="false">Inputs!$C$9-SUMIFS(Cash_Events!$G$6:$G$20,Cash_Events!$C$6:$C$20,"FHL",Cash_Events!$B$6:$B$20,"&lt;="&amp;A904)</f>
        <v>735000</v>
      </c>
      <c r="J904" s="38" t="n">
        <f aca="false">VLOOKUP(A904,Inputs!$F$40:$G$48,2,TRUE())</f>
        <v>0.0457048</v>
      </c>
      <c r="K904" s="38" t="n">
        <f aca="false">J904+Inputs!$C$10</f>
        <v>0.1132048</v>
      </c>
      <c r="L904" s="37" t="n">
        <f aca="false">I904*K904/C904</f>
        <v>227.960350684931</v>
      </c>
      <c r="M904" s="37" t="n">
        <f aca="false">IF(AND(A904&gt;=Inputs!$C$13,OR(A904&lt;Inputs!$B$19,Inputs!$B$20=1)),I904*Inputs!$C$11/C904,0)</f>
        <v>40.2739726027397</v>
      </c>
    </row>
    <row r="905" customFormat="false" ht="15" hidden="false" customHeight="false" outlineLevel="0" collapsed="false">
      <c r="A905" s="35" t="n">
        <f aca="false">A904+1</f>
        <v>45712</v>
      </c>
      <c r="B905" s="35" t="n">
        <f aca="false">EOMONTH(A905+1,0)</f>
        <v>45716</v>
      </c>
      <c r="C905" s="36" t="n">
        <f aca="false">IF(MOD(YEAR(A905),4)=0,366,365)</f>
        <v>365</v>
      </c>
      <c r="D905" s="37" t="n">
        <f aca="false">Inputs!$B$9-SUMIFS(Cash_Events!$G$6:$G$20,Cash_Events!$C$6:$C$20,"rAGMF",Cash_Events!$B$6:$B$20,"&lt;="&amp;A905)</f>
        <v>735000</v>
      </c>
      <c r="E905" s="38" t="n">
        <f aca="false">VLOOKUP(A905,Inputs!$A$40:$B$48,2,TRUE())</f>
        <v>0.0461541</v>
      </c>
      <c r="F905" s="38" t="n">
        <f aca="false">E905+Inputs!$B$10</f>
        <v>0.1136541</v>
      </c>
      <c r="G905" s="37" t="n">
        <f aca="false">D905*F905/C905</f>
        <v>228.865105479452</v>
      </c>
      <c r="H905" s="37" t="n">
        <f aca="false">IF(AND(A905&gt;=Inputs!$B$13,OR(A905&lt;Inputs!$B$19,Inputs!$B$20=1)),D905*Inputs!$B$11/C905,0)</f>
        <v>40.2739726027397</v>
      </c>
      <c r="I905" s="37" t="n">
        <f aca="false">Inputs!$C$9-SUMIFS(Cash_Events!$G$6:$G$20,Cash_Events!$C$6:$C$20,"FHL",Cash_Events!$B$6:$B$20,"&lt;="&amp;A905)</f>
        <v>735000</v>
      </c>
      <c r="J905" s="38" t="n">
        <f aca="false">VLOOKUP(A905,Inputs!$F$40:$G$48,2,TRUE())</f>
        <v>0.0457048</v>
      </c>
      <c r="K905" s="38" t="n">
        <f aca="false">J905+Inputs!$C$10</f>
        <v>0.1132048</v>
      </c>
      <c r="L905" s="37" t="n">
        <f aca="false">I905*K905/C905</f>
        <v>227.960350684931</v>
      </c>
      <c r="M905" s="37" t="n">
        <f aca="false">IF(AND(A905&gt;=Inputs!$C$13,OR(A905&lt;Inputs!$B$19,Inputs!$B$20=1)),I905*Inputs!$C$11/C905,0)</f>
        <v>40.2739726027397</v>
      </c>
    </row>
    <row r="906" customFormat="false" ht="15" hidden="false" customHeight="false" outlineLevel="0" collapsed="false">
      <c r="A906" s="35" t="n">
        <f aca="false">A905+1</f>
        <v>45713</v>
      </c>
      <c r="B906" s="35" t="n">
        <f aca="false">EOMONTH(A906+1,0)</f>
        <v>45716</v>
      </c>
      <c r="C906" s="36" t="n">
        <f aca="false">IF(MOD(YEAR(A906),4)=0,366,365)</f>
        <v>365</v>
      </c>
      <c r="D906" s="37" t="n">
        <f aca="false">Inputs!$B$9-SUMIFS(Cash_Events!$G$6:$G$20,Cash_Events!$C$6:$C$20,"rAGMF",Cash_Events!$B$6:$B$20,"&lt;="&amp;A906)</f>
        <v>735000</v>
      </c>
      <c r="E906" s="38" t="n">
        <f aca="false">VLOOKUP(A906,Inputs!$A$40:$B$48,2,TRUE())</f>
        <v>0.0461541</v>
      </c>
      <c r="F906" s="38" t="n">
        <f aca="false">E906+Inputs!$B$10</f>
        <v>0.1136541</v>
      </c>
      <c r="G906" s="37" t="n">
        <f aca="false">D906*F906/C906</f>
        <v>228.865105479452</v>
      </c>
      <c r="H906" s="37" t="n">
        <f aca="false">IF(AND(A906&gt;=Inputs!$B$13,OR(A906&lt;Inputs!$B$19,Inputs!$B$20=1)),D906*Inputs!$B$11/C906,0)</f>
        <v>40.2739726027397</v>
      </c>
      <c r="I906" s="37" t="n">
        <f aca="false">Inputs!$C$9-SUMIFS(Cash_Events!$G$6:$G$20,Cash_Events!$C$6:$C$20,"FHL",Cash_Events!$B$6:$B$20,"&lt;="&amp;A906)</f>
        <v>735000</v>
      </c>
      <c r="J906" s="38" t="n">
        <f aca="false">VLOOKUP(A906,Inputs!$F$40:$G$48,2,TRUE())</f>
        <v>0.0457048</v>
      </c>
      <c r="K906" s="38" t="n">
        <f aca="false">J906+Inputs!$C$10</f>
        <v>0.1132048</v>
      </c>
      <c r="L906" s="37" t="n">
        <f aca="false">I906*K906/C906</f>
        <v>227.960350684931</v>
      </c>
      <c r="M906" s="37" t="n">
        <f aca="false">IF(AND(A906&gt;=Inputs!$C$13,OR(A906&lt;Inputs!$B$19,Inputs!$B$20=1)),I906*Inputs!$C$11/C906,0)</f>
        <v>40.2739726027397</v>
      </c>
    </row>
    <row r="907" customFormat="false" ht="15" hidden="false" customHeight="false" outlineLevel="0" collapsed="false">
      <c r="A907" s="35" t="n">
        <f aca="false">A906+1</f>
        <v>45714</v>
      </c>
      <c r="B907" s="35" t="n">
        <f aca="false">EOMONTH(A907+1,0)</f>
        <v>45716</v>
      </c>
      <c r="C907" s="36" t="n">
        <f aca="false">IF(MOD(YEAR(A907),4)=0,366,365)</f>
        <v>365</v>
      </c>
      <c r="D907" s="37" t="n">
        <f aca="false">Inputs!$B$9-SUMIFS(Cash_Events!$G$6:$G$20,Cash_Events!$C$6:$C$20,"rAGMF",Cash_Events!$B$6:$B$20,"&lt;="&amp;A907)</f>
        <v>735000</v>
      </c>
      <c r="E907" s="38" t="n">
        <f aca="false">VLOOKUP(A907,Inputs!$A$40:$B$48,2,TRUE())</f>
        <v>0.0461541</v>
      </c>
      <c r="F907" s="38" t="n">
        <f aca="false">E907+Inputs!$B$10</f>
        <v>0.1136541</v>
      </c>
      <c r="G907" s="37" t="n">
        <f aca="false">D907*F907/C907</f>
        <v>228.865105479452</v>
      </c>
      <c r="H907" s="37" t="n">
        <f aca="false">IF(AND(A907&gt;=Inputs!$B$13,OR(A907&lt;Inputs!$B$19,Inputs!$B$20=1)),D907*Inputs!$B$11/C907,0)</f>
        <v>40.2739726027397</v>
      </c>
      <c r="I907" s="37" t="n">
        <f aca="false">Inputs!$C$9-SUMIFS(Cash_Events!$G$6:$G$20,Cash_Events!$C$6:$C$20,"FHL",Cash_Events!$B$6:$B$20,"&lt;="&amp;A907)</f>
        <v>735000</v>
      </c>
      <c r="J907" s="38" t="n">
        <f aca="false">VLOOKUP(A907,Inputs!$F$40:$G$48,2,TRUE())</f>
        <v>0.0457048</v>
      </c>
      <c r="K907" s="38" t="n">
        <f aca="false">J907+Inputs!$C$10</f>
        <v>0.1132048</v>
      </c>
      <c r="L907" s="37" t="n">
        <f aca="false">I907*K907/C907</f>
        <v>227.960350684931</v>
      </c>
      <c r="M907" s="37" t="n">
        <f aca="false">IF(AND(A907&gt;=Inputs!$C$13,OR(A907&lt;Inputs!$B$19,Inputs!$B$20=1)),I907*Inputs!$C$11/C907,0)</f>
        <v>40.2739726027397</v>
      </c>
    </row>
    <row r="908" customFormat="false" ht="15" hidden="false" customHeight="false" outlineLevel="0" collapsed="false">
      <c r="A908" s="35" t="n">
        <f aca="false">A907+1</f>
        <v>45715</v>
      </c>
      <c r="B908" s="35" t="n">
        <f aca="false">EOMONTH(A908+1,0)</f>
        <v>45716</v>
      </c>
      <c r="C908" s="36" t="n">
        <f aca="false">IF(MOD(YEAR(A908),4)=0,366,365)</f>
        <v>365</v>
      </c>
      <c r="D908" s="37" t="n">
        <f aca="false">Inputs!$B$9-SUMIFS(Cash_Events!$G$6:$G$20,Cash_Events!$C$6:$C$20,"rAGMF",Cash_Events!$B$6:$B$20,"&lt;="&amp;A908)</f>
        <v>735000</v>
      </c>
      <c r="E908" s="38" t="n">
        <f aca="false">VLOOKUP(A908,Inputs!$A$40:$B$48,2,TRUE())</f>
        <v>0.0461541</v>
      </c>
      <c r="F908" s="38" t="n">
        <f aca="false">E908+Inputs!$B$10</f>
        <v>0.1136541</v>
      </c>
      <c r="G908" s="37" t="n">
        <f aca="false">D908*F908/C908</f>
        <v>228.865105479452</v>
      </c>
      <c r="H908" s="37" t="n">
        <f aca="false">IF(AND(A908&gt;=Inputs!$B$13,OR(A908&lt;Inputs!$B$19,Inputs!$B$20=1)),D908*Inputs!$B$11/C908,0)</f>
        <v>40.2739726027397</v>
      </c>
      <c r="I908" s="37" t="n">
        <f aca="false">Inputs!$C$9-SUMIFS(Cash_Events!$G$6:$G$20,Cash_Events!$C$6:$C$20,"FHL",Cash_Events!$B$6:$B$20,"&lt;="&amp;A908)</f>
        <v>735000</v>
      </c>
      <c r="J908" s="38" t="n">
        <f aca="false">VLOOKUP(A908,Inputs!$F$40:$G$48,2,TRUE())</f>
        <v>0.0457048</v>
      </c>
      <c r="K908" s="38" t="n">
        <f aca="false">J908+Inputs!$C$10</f>
        <v>0.1132048</v>
      </c>
      <c r="L908" s="37" t="n">
        <f aca="false">I908*K908/C908</f>
        <v>227.960350684931</v>
      </c>
      <c r="M908" s="37" t="n">
        <f aca="false">IF(AND(A908&gt;=Inputs!$C$13,OR(A908&lt;Inputs!$B$19,Inputs!$B$20=1)),I908*Inputs!$C$11/C908,0)</f>
        <v>40.2739726027397</v>
      </c>
    </row>
    <row r="909" customFormat="false" ht="15" hidden="false" customHeight="false" outlineLevel="0" collapsed="false">
      <c r="A909" s="35" t="n">
        <f aca="false">A908+1</f>
        <v>45716</v>
      </c>
      <c r="B909" s="35" t="n">
        <f aca="false">EOMONTH(A909+1,0)</f>
        <v>45747</v>
      </c>
      <c r="C909" s="36" t="n">
        <f aca="false">IF(MOD(YEAR(A909),4)=0,366,365)</f>
        <v>365</v>
      </c>
      <c r="D909" s="37" t="n">
        <f aca="false">Inputs!$B$9-SUMIFS(Cash_Events!$G$6:$G$20,Cash_Events!$C$6:$C$20,"rAGMF",Cash_Events!$B$6:$B$20,"&lt;="&amp;A909)</f>
        <v>735000</v>
      </c>
      <c r="E909" s="38" t="n">
        <f aca="false">VLOOKUP(A909,Inputs!$A$40:$B$48,2,TRUE())</f>
        <v>0.0461541</v>
      </c>
      <c r="F909" s="38" t="n">
        <f aca="false">E909+Inputs!$B$10</f>
        <v>0.1136541</v>
      </c>
      <c r="G909" s="37" t="n">
        <f aca="false">D909*F909/C909</f>
        <v>228.865105479452</v>
      </c>
      <c r="H909" s="37" t="n">
        <f aca="false">IF(AND(A909&gt;=Inputs!$B$13,OR(A909&lt;Inputs!$B$19,Inputs!$B$20=1)),D909*Inputs!$B$11/C909,0)</f>
        <v>40.2739726027397</v>
      </c>
      <c r="I909" s="37" t="n">
        <f aca="false">Inputs!$C$9-SUMIFS(Cash_Events!$G$6:$G$20,Cash_Events!$C$6:$C$20,"FHL",Cash_Events!$B$6:$B$20,"&lt;="&amp;A909)</f>
        <v>735000</v>
      </c>
      <c r="J909" s="38" t="n">
        <f aca="false">VLOOKUP(A909,Inputs!$F$40:$G$48,2,TRUE())</f>
        <v>0.0457048</v>
      </c>
      <c r="K909" s="38" t="n">
        <f aca="false">J909+Inputs!$C$10</f>
        <v>0.1132048</v>
      </c>
      <c r="L909" s="37" t="n">
        <f aca="false">I909*K909/C909</f>
        <v>227.960350684931</v>
      </c>
      <c r="M909" s="37" t="n">
        <f aca="false">IF(AND(A909&gt;=Inputs!$C$13,OR(A909&lt;Inputs!$B$19,Inputs!$B$20=1)),I909*Inputs!$C$11/C909,0)</f>
        <v>40.2739726027397</v>
      </c>
    </row>
    <row r="910" customFormat="false" ht="15" hidden="false" customHeight="false" outlineLevel="0" collapsed="false">
      <c r="A910" s="35" t="n">
        <f aca="false">A909+1</f>
        <v>45717</v>
      </c>
      <c r="B910" s="35" t="n">
        <f aca="false">EOMONTH(A910+1,0)</f>
        <v>45747</v>
      </c>
      <c r="C910" s="36" t="n">
        <f aca="false">IF(MOD(YEAR(A910),4)=0,366,365)</f>
        <v>365</v>
      </c>
      <c r="D910" s="37" t="n">
        <f aca="false">Inputs!$B$9-SUMIFS(Cash_Events!$G$6:$G$20,Cash_Events!$C$6:$C$20,"rAGMF",Cash_Events!$B$6:$B$20,"&lt;="&amp;A910)</f>
        <v>735000</v>
      </c>
      <c r="E910" s="38" t="n">
        <f aca="false">VLOOKUP(A910,Inputs!$A$40:$B$48,2,TRUE())</f>
        <v>0.0461541</v>
      </c>
      <c r="F910" s="38" t="n">
        <f aca="false">E910+Inputs!$B$10</f>
        <v>0.1136541</v>
      </c>
      <c r="G910" s="37" t="n">
        <f aca="false">D910*F910/C910</f>
        <v>228.865105479452</v>
      </c>
      <c r="H910" s="37" t="n">
        <f aca="false">IF(AND(A910&gt;=Inputs!$B$13,OR(A910&lt;Inputs!$B$19,Inputs!$B$20=1)),D910*Inputs!$B$11/C910,0)</f>
        <v>40.2739726027397</v>
      </c>
      <c r="I910" s="37" t="n">
        <f aca="false">Inputs!$C$9-SUMIFS(Cash_Events!$G$6:$G$20,Cash_Events!$C$6:$C$20,"FHL",Cash_Events!$B$6:$B$20,"&lt;="&amp;A910)</f>
        <v>735000</v>
      </c>
      <c r="J910" s="38" t="n">
        <f aca="false">VLOOKUP(A910,Inputs!$F$40:$G$48,2,TRUE())</f>
        <v>0.0457048</v>
      </c>
      <c r="K910" s="38" t="n">
        <f aca="false">J910+Inputs!$C$10</f>
        <v>0.1132048</v>
      </c>
      <c r="L910" s="37" t="n">
        <f aca="false">I910*K910/C910</f>
        <v>227.960350684931</v>
      </c>
      <c r="M910" s="37" t="n">
        <f aca="false">IF(AND(A910&gt;=Inputs!$C$13,OR(A910&lt;Inputs!$B$19,Inputs!$B$20=1)),I910*Inputs!$C$11/C910,0)</f>
        <v>40.2739726027397</v>
      </c>
    </row>
    <row r="911" customFormat="false" ht="15" hidden="false" customHeight="false" outlineLevel="0" collapsed="false">
      <c r="A911" s="35" t="n">
        <f aca="false">A910+1</f>
        <v>45718</v>
      </c>
      <c r="B911" s="35" t="n">
        <f aca="false">EOMONTH(A911+1,0)</f>
        <v>45747</v>
      </c>
      <c r="C911" s="36" t="n">
        <f aca="false">IF(MOD(YEAR(A911),4)=0,366,365)</f>
        <v>365</v>
      </c>
      <c r="D911" s="37" t="n">
        <f aca="false">Inputs!$B$9-SUMIFS(Cash_Events!$G$6:$G$20,Cash_Events!$C$6:$C$20,"rAGMF",Cash_Events!$B$6:$B$20,"&lt;="&amp;A911)</f>
        <v>735000</v>
      </c>
      <c r="E911" s="38" t="n">
        <f aca="false">VLOOKUP(A911,Inputs!$A$40:$B$48,2,TRUE())</f>
        <v>0.0461541</v>
      </c>
      <c r="F911" s="38" t="n">
        <f aca="false">E911+Inputs!$B$10</f>
        <v>0.1136541</v>
      </c>
      <c r="G911" s="37" t="n">
        <f aca="false">D911*F911/C911</f>
        <v>228.865105479452</v>
      </c>
      <c r="H911" s="37" t="n">
        <f aca="false">IF(AND(A911&gt;=Inputs!$B$13,OR(A911&lt;Inputs!$B$19,Inputs!$B$20=1)),D911*Inputs!$B$11/C911,0)</f>
        <v>40.2739726027397</v>
      </c>
      <c r="I911" s="37" t="n">
        <f aca="false">Inputs!$C$9-SUMIFS(Cash_Events!$G$6:$G$20,Cash_Events!$C$6:$C$20,"FHL",Cash_Events!$B$6:$B$20,"&lt;="&amp;A911)</f>
        <v>735000</v>
      </c>
      <c r="J911" s="38" t="n">
        <f aca="false">VLOOKUP(A911,Inputs!$F$40:$G$48,2,TRUE())</f>
        <v>0.0457048</v>
      </c>
      <c r="K911" s="38" t="n">
        <f aca="false">J911+Inputs!$C$10</f>
        <v>0.1132048</v>
      </c>
      <c r="L911" s="37" t="n">
        <f aca="false">I911*K911/C911</f>
        <v>227.960350684931</v>
      </c>
      <c r="M911" s="37" t="n">
        <f aca="false">IF(AND(A911&gt;=Inputs!$C$13,OR(A911&lt;Inputs!$B$19,Inputs!$B$20=1)),I911*Inputs!$C$11/C911,0)</f>
        <v>40.2739726027397</v>
      </c>
    </row>
    <row r="912" customFormat="false" ht="15" hidden="false" customHeight="false" outlineLevel="0" collapsed="false">
      <c r="A912" s="35" t="n">
        <f aca="false">A911+1</f>
        <v>45719</v>
      </c>
      <c r="B912" s="35" t="n">
        <f aca="false">EOMONTH(A912+1,0)</f>
        <v>45747</v>
      </c>
      <c r="C912" s="36" t="n">
        <f aca="false">IF(MOD(YEAR(A912),4)=0,366,365)</f>
        <v>365</v>
      </c>
      <c r="D912" s="37" t="n">
        <f aca="false">Inputs!$B$9-SUMIFS(Cash_Events!$G$6:$G$20,Cash_Events!$C$6:$C$20,"rAGMF",Cash_Events!$B$6:$B$20,"&lt;="&amp;A912)</f>
        <v>735000</v>
      </c>
      <c r="E912" s="38" t="n">
        <f aca="false">VLOOKUP(A912,Inputs!$A$40:$B$48,2,TRUE())</f>
        <v>0.0461541</v>
      </c>
      <c r="F912" s="38" t="n">
        <f aca="false">E912+Inputs!$B$10</f>
        <v>0.1136541</v>
      </c>
      <c r="G912" s="37" t="n">
        <f aca="false">D912*F912/C912</f>
        <v>228.865105479452</v>
      </c>
      <c r="H912" s="37" t="n">
        <f aca="false">IF(AND(A912&gt;=Inputs!$B$13,OR(A912&lt;Inputs!$B$19,Inputs!$B$20=1)),D912*Inputs!$B$11/C912,0)</f>
        <v>40.2739726027397</v>
      </c>
      <c r="I912" s="37" t="n">
        <f aca="false">Inputs!$C$9-SUMIFS(Cash_Events!$G$6:$G$20,Cash_Events!$C$6:$C$20,"FHL",Cash_Events!$B$6:$B$20,"&lt;="&amp;A912)</f>
        <v>735000</v>
      </c>
      <c r="J912" s="38" t="n">
        <f aca="false">VLOOKUP(A912,Inputs!$F$40:$G$48,2,TRUE())</f>
        <v>0.0457048</v>
      </c>
      <c r="K912" s="38" t="n">
        <f aca="false">J912+Inputs!$C$10</f>
        <v>0.1132048</v>
      </c>
      <c r="L912" s="37" t="n">
        <f aca="false">I912*K912/C912</f>
        <v>227.960350684931</v>
      </c>
      <c r="M912" s="37" t="n">
        <f aca="false">IF(AND(A912&gt;=Inputs!$C$13,OR(A912&lt;Inputs!$B$19,Inputs!$B$20=1)),I912*Inputs!$C$11/C912,0)</f>
        <v>40.2739726027397</v>
      </c>
    </row>
    <row r="913" customFormat="false" ht="15" hidden="false" customHeight="false" outlineLevel="0" collapsed="false">
      <c r="A913" s="35" t="n">
        <f aca="false">A912+1</f>
        <v>45720</v>
      </c>
      <c r="B913" s="35" t="n">
        <f aca="false">EOMONTH(A913+1,0)</f>
        <v>45747</v>
      </c>
      <c r="C913" s="36" t="n">
        <f aca="false">IF(MOD(YEAR(A913),4)=0,366,365)</f>
        <v>365</v>
      </c>
      <c r="D913" s="37" t="n">
        <f aca="false">Inputs!$B$9-SUMIFS(Cash_Events!$G$6:$G$20,Cash_Events!$C$6:$C$20,"rAGMF",Cash_Events!$B$6:$B$20,"&lt;="&amp;A913)</f>
        <v>735000</v>
      </c>
      <c r="E913" s="38" t="n">
        <f aca="false">VLOOKUP(A913,Inputs!$A$40:$B$48,2,TRUE())</f>
        <v>0.0461541</v>
      </c>
      <c r="F913" s="38" t="n">
        <f aca="false">E913+Inputs!$B$10</f>
        <v>0.1136541</v>
      </c>
      <c r="G913" s="37" t="n">
        <f aca="false">D913*F913/C913</f>
        <v>228.865105479452</v>
      </c>
      <c r="H913" s="37" t="n">
        <f aca="false">IF(AND(A913&gt;=Inputs!$B$13,OR(A913&lt;Inputs!$B$19,Inputs!$B$20=1)),D913*Inputs!$B$11/C913,0)</f>
        <v>40.2739726027397</v>
      </c>
      <c r="I913" s="37" t="n">
        <f aca="false">Inputs!$C$9-SUMIFS(Cash_Events!$G$6:$G$20,Cash_Events!$C$6:$C$20,"FHL",Cash_Events!$B$6:$B$20,"&lt;="&amp;A913)</f>
        <v>735000</v>
      </c>
      <c r="J913" s="38" t="n">
        <f aca="false">VLOOKUP(A913,Inputs!$F$40:$G$48,2,TRUE())</f>
        <v>0.0457048</v>
      </c>
      <c r="K913" s="38" t="n">
        <f aca="false">J913+Inputs!$C$10</f>
        <v>0.1132048</v>
      </c>
      <c r="L913" s="37" t="n">
        <f aca="false">I913*K913/C913</f>
        <v>227.960350684931</v>
      </c>
      <c r="M913" s="37" t="n">
        <f aca="false">IF(AND(A913&gt;=Inputs!$C$13,OR(A913&lt;Inputs!$B$19,Inputs!$B$20=1)),I913*Inputs!$C$11/C913,0)</f>
        <v>40.2739726027397</v>
      </c>
    </row>
    <row r="914" customFormat="false" ht="15" hidden="false" customHeight="false" outlineLevel="0" collapsed="false">
      <c r="A914" s="35" t="n">
        <f aca="false">A913+1</f>
        <v>45721</v>
      </c>
      <c r="B914" s="35" t="n">
        <f aca="false">EOMONTH(A914+1,0)</f>
        <v>45747</v>
      </c>
      <c r="C914" s="36" t="n">
        <f aca="false">IF(MOD(YEAR(A914),4)=0,366,365)</f>
        <v>365</v>
      </c>
      <c r="D914" s="37" t="n">
        <f aca="false">Inputs!$B$9-SUMIFS(Cash_Events!$G$6:$G$20,Cash_Events!$C$6:$C$20,"rAGMF",Cash_Events!$B$6:$B$20,"&lt;="&amp;A914)</f>
        <v>735000</v>
      </c>
      <c r="E914" s="38" t="n">
        <f aca="false">VLOOKUP(A914,Inputs!$A$40:$B$48,2,TRUE())</f>
        <v>0.0461541</v>
      </c>
      <c r="F914" s="38" t="n">
        <f aca="false">E914+Inputs!$B$10</f>
        <v>0.1136541</v>
      </c>
      <c r="G914" s="37" t="n">
        <f aca="false">D914*F914/C914</f>
        <v>228.865105479452</v>
      </c>
      <c r="H914" s="37" t="n">
        <f aca="false">IF(AND(A914&gt;=Inputs!$B$13,OR(A914&lt;Inputs!$B$19,Inputs!$B$20=1)),D914*Inputs!$B$11/C914,0)</f>
        <v>40.2739726027397</v>
      </c>
      <c r="I914" s="37" t="n">
        <f aca="false">Inputs!$C$9-SUMIFS(Cash_Events!$G$6:$G$20,Cash_Events!$C$6:$C$20,"FHL",Cash_Events!$B$6:$B$20,"&lt;="&amp;A914)</f>
        <v>735000</v>
      </c>
      <c r="J914" s="38" t="n">
        <f aca="false">VLOOKUP(A914,Inputs!$F$40:$G$48,2,TRUE())</f>
        <v>0.0457048</v>
      </c>
      <c r="K914" s="38" t="n">
        <f aca="false">J914+Inputs!$C$10</f>
        <v>0.1132048</v>
      </c>
      <c r="L914" s="37" t="n">
        <f aca="false">I914*K914/C914</f>
        <v>227.960350684931</v>
      </c>
      <c r="M914" s="37" t="n">
        <f aca="false">IF(AND(A914&gt;=Inputs!$C$13,OR(A914&lt;Inputs!$B$19,Inputs!$B$20=1)),I914*Inputs!$C$11/C914,0)</f>
        <v>40.2739726027397</v>
      </c>
    </row>
    <row r="915" customFormat="false" ht="15" hidden="false" customHeight="false" outlineLevel="0" collapsed="false">
      <c r="A915" s="35" t="n">
        <f aca="false">A914+1</f>
        <v>45722</v>
      </c>
      <c r="B915" s="35" t="n">
        <f aca="false">EOMONTH(A915+1,0)</f>
        <v>45747</v>
      </c>
      <c r="C915" s="36" t="n">
        <f aca="false">IF(MOD(YEAR(A915),4)=0,366,365)</f>
        <v>365</v>
      </c>
      <c r="D915" s="37" t="n">
        <f aca="false">Inputs!$B$9-SUMIFS(Cash_Events!$G$6:$G$20,Cash_Events!$C$6:$C$20,"rAGMF",Cash_Events!$B$6:$B$20,"&lt;="&amp;A915)</f>
        <v>735000</v>
      </c>
      <c r="E915" s="38" t="n">
        <f aca="false">VLOOKUP(A915,Inputs!$A$40:$B$48,2,TRUE())</f>
        <v>0.0461541</v>
      </c>
      <c r="F915" s="38" t="n">
        <f aca="false">E915+Inputs!$B$10</f>
        <v>0.1136541</v>
      </c>
      <c r="G915" s="37" t="n">
        <f aca="false">D915*F915/C915</f>
        <v>228.865105479452</v>
      </c>
      <c r="H915" s="37" t="n">
        <f aca="false">IF(AND(A915&gt;=Inputs!$B$13,OR(A915&lt;Inputs!$B$19,Inputs!$B$20=1)),D915*Inputs!$B$11/C915,0)</f>
        <v>40.2739726027397</v>
      </c>
      <c r="I915" s="37" t="n">
        <f aca="false">Inputs!$C$9-SUMIFS(Cash_Events!$G$6:$G$20,Cash_Events!$C$6:$C$20,"FHL",Cash_Events!$B$6:$B$20,"&lt;="&amp;A915)</f>
        <v>735000</v>
      </c>
      <c r="J915" s="38" t="n">
        <f aca="false">VLOOKUP(A915,Inputs!$F$40:$G$48,2,TRUE())</f>
        <v>0.0457048</v>
      </c>
      <c r="K915" s="38" t="n">
        <f aca="false">J915+Inputs!$C$10</f>
        <v>0.1132048</v>
      </c>
      <c r="L915" s="37" t="n">
        <f aca="false">I915*K915/C915</f>
        <v>227.960350684931</v>
      </c>
      <c r="M915" s="37" t="n">
        <f aca="false">IF(AND(A915&gt;=Inputs!$C$13,OR(A915&lt;Inputs!$B$19,Inputs!$B$20=1)),I915*Inputs!$C$11/C915,0)</f>
        <v>40.2739726027397</v>
      </c>
    </row>
    <row r="916" customFormat="false" ht="15" hidden="false" customHeight="false" outlineLevel="0" collapsed="false">
      <c r="A916" s="35" t="n">
        <f aca="false">A915+1</f>
        <v>45723</v>
      </c>
      <c r="B916" s="35" t="n">
        <f aca="false">EOMONTH(A916+1,0)</f>
        <v>45747</v>
      </c>
      <c r="C916" s="36" t="n">
        <f aca="false">IF(MOD(YEAR(A916),4)=0,366,365)</f>
        <v>365</v>
      </c>
      <c r="D916" s="37" t="n">
        <f aca="false">Inputs!$B$9-SUMIFS(Cash_Events!$G$6:$G$20,Cash_Events!$C$6:$C$20,"rAGMF",Cash_Events!$B$6:$B$20,"&lt;="&amp;A916)</f>
        <v>735000</v>
      </c>
      <c r="E916" s="38" t="n">
        <f aca="false">VLOOKUP(A916,Inputs!$A$40:$B$48,2,TRUE())</f>
        <v>0.0461541</v>
      </c>
      <c r="F916" s="38" t="n">
        <f aca="false">E916+Inputs!$B$10</f>
        <v>0.1136541</v>
      </c>
      <c r="G916" s="37" t="n">
        <f aca="false">D916*F916/C916</f>
        <v>228.865105479452</v>
      </c>
      <c r="H916" s="37" t="n">
        <f aca="false">IF(AND(A916&gt;=Inputs!$B$13,OR(A916&lt;Inputs!$B$19,Inputs!$B$20=1)),D916*Inputs!$B$11/C916,0)</f>
        <v>40.2739726027397</v>
      </c>
      <c r="I916" s="37" t="n">
        <f aca="false">Inputs!$C$9-SUMIFS(Cash_Events!$G$6:$G$20,Cash_Events!$C$6:$C$20,"FHL",Cash_Events!$B$6:$B$20,"&lt;="&amp;A916)</f>
        <v>735000</v>
      </c>
      <c r="J916" s="38" t="n">
        <f aca="false">VLOOKUP(A916,Inputs!$F$40:$G$48,2,TRUE())</f>
        <v>0.0457048</v>
      </c>
      <c r="K916" s="38" t="n">
        <f aca="false">J916+Inputs!$C$10</f>
        <v>0.1132048</v>
      </c>
      <c r="L916" s="37" t="n">
        <f aca="false">I916*K916/C916</f>
        <v>227.960350684931</v>
      </c>
      <c r="M916" s="37" t="n">
        <f aca="false">IF(AND(A916&gt;=Inputs!$C$13,OR(A916&lt;Inputs!$B$19,Inputs!$B$20=1)),I916*Inputs!$C$11/C916,0)</f>
        <v>40.2739726027397</v>
      </c>
    </row>
    <row r="917" customFormat="false" ht="15" hidden="false" customHeight="false" outlineLevel="0" collapsed="false">
      <c r="A917" s="35" t="n">
        <f aca="false">A916+1</f>
        <v>45724</v>
      </c>
      <c r="B917" s="35" t="n">
        <f aca="false">EOMONTH(A917+1,0)</f>
        <v>45747</v>
      </c>
      <c r="C917" s="36" t="n">
        <f aca="false">IF(MOD(YEAR(A917),4)=0,366,365)</f>
        <v>365</v>
      </c>
      <c r="D917" s="37" t="n">
        <f aca="false">Inputs!$B$9-SUMIFS(Cash_Events!$G$6:$G$20,Cash_Events!$C$6:$C$20,"rAGMF",Cash_Events!$B$6:$B$20,"&lt;="&amp;A917)</f>
        <v>735000</v>
      </c>
      <c r="E917" s="38" t="n">
        <f aca="false">VLOOKUP(A917,Inputs!$A$40:$B$48,2,TRUE())</f>
        <v>0.0461541</v>
      </c>
      <c r="F917" s="38" t="n">
        <f aca="false">E917+Inputs!$B$10</f>
        <v>0.1136541</v>
      </c>
      <c r="G917" s="37" t="n">
        <f aca="false">D917*F917/C917</f>
        <v>228.865105479452</v>
      </c>
      <c r="H917" s="37" t="n">
        <f aca="false">IF(AND(A917&gt;=Inputs!$B$13,OR(A917&lt;Inputs!$B$19,Inputs!$B$20=1)),D917*Inputs!$B$11/C917,0)</f>
        <v>40.2739726027397</v>
      </c>
      <c r="I917" s="37" t="n">
        <f aca="false">Inputs!$C$9-SUMIFS(Cash_Events!$G$6:$G$20,Cash_Events!$C$6:$C$20,"FHL",Cash_Events!$B$6:$B$20,"&lt;="&amp;A917)</f>
        <v>735000</v>
      </c>
      <c r="J917" s="38" t="n">
        <f aca="false">VLOOKUP(A917,Inputs!$F$40:$G$48,2,TRUE())</f>
        <v>0.0457048</v>
      </c>
      <c r="K917" s="38" t="n">
        <f aca="false">J917+Inputs!$C$10</f>
        <v>0.1132048</v>
      </c>
      <c r="L917" s="37" t="n">
        <f aca="false">I917*K917/C917</f>
        <v>227.960350684931</v>
      </c>
      <c r="M917" s="37" t="n">
        <f aca="false">IF(AND(A917&gt;=Inputs!$C$13,OR(A917&lt;Inputs!$B$19,Inputs!$B$20=1)),I917*Inputs!$C$11/C917,0)</f>
        <v>40.2739726027397</v>
      </c>
    </row>
    <row r="918" customFormat="false" ht="15" hidden="false" customHeight="false" outlineLevel="0" collapsed="false">
      <c r="A918" s="35" t="n">
        <f aca="false">A917+1</f>
        <v>45725</v>
      </c>
      <c r="B918" s="35" t="n">
        <f aca="false">EOMONTH(A918+1,0)</f>
        <v>45747</v>
      </c>
      <c r="C918" s="36" t="n">
        <f aca="false">IF(MOD(YEAR(A918),4)=0,366,365)</f>
        <v>365</v>
      </c>
      <c r="D918" s="37" t="n">
        <f aca="false">Inputs!$B$9-SUMIFS(Cash_Events!$G$6:$G$20,Cash_Events!$C$6:$C$20,"rAGMF",Cash_Events!$B$6:$B$20,"&lt;="&amp;A918)</f>
        <v>735000</v>
      </c>
      <c r="E918" s="38" t="n">
        <f aca="false">VLOOKUP(A918,Inputs!$A$40:$B$48,2,TRUE())</f>
        <v>0.0461541</v>
      </c>
      <c r="F918" s="38" t="n">
        <f aca="false">E918+Inputs!$B$10</f>
        <v>0.1136541</v>
      </c>
      <c r="G918" s="37" t="n">
        <f aca="false">D918*F918/C918</f>
        <v>228.865105479452</v>
      </c>
      <c r="H918" s="37" t="n">
        <f aca="false">IF(AND(A918&gt;=Inputs!$B$13,OR(A918&lt;Inputs!$B$19,Inputs!$B$20=1)),D918*Inputs!$B$11/C918,0)</f>
        <v>40.2739726027397</v>
      </c>
      <c r="I918" s="37" t="n">
        <f aca="false">Inputs!$C$9-SUMIFS(Cash_Events!$G$6:$G$20,Cash_Events!$C$6:$C$20,"FHL",Cash_Events!$B$6:$B$20,"&lt;="&amp;A918)</f>
        <v>735000</v>
      </c>
      <c r="J918" s="38" t="n">
        <f aca="false">VLOOKUP(A918,Inputs!$F$40:$G$48,2,TRUE())</f>
        <v>0.0457048</v>
      </c>
      <c r="K918" s="38" t="n">
        <f aca="false">J918+Inputs!$C$10</f>
        <v>0.1132048</v>
      </c>
      <c r="L918" s="37" t="n">
        <f aca="false">I918*K918/C918</f>
        <v>227.960350684931</v>
      </c>
      <c r="M918" s="37" t="n">
        <f aca="false">IF(AND(A918&gt;=Inputs!$C$13,OR(A918&lt;Inputs!$B$19,Inputs!$B$20=1)),I918*Inputs!$C$11/C918,0)</f>
        <v>40.2739726027397</v>
      </c>
    </row>
    <row r="919" customFormat="false" ht="15" hidden="false" customHeight="false" outlineLevel="0" collapsed="false">
      <c r="A919" s="35" t="n">
        <f aca="false">A918+1</f>
        <v>45726</v>
      </c>
      <c r="B919" s="35" t="n">
        <f aca="false">EOMONTH(A919+1,0)</f>
        <v>45747</v>
      </c>
      <c r="C919" s="36" t="n">
        <f aca="false">IF(MOD(YEAR(A919),4)=0,366,365)</f>
        <v>365</v>
      </c>
      <c r="D919" s="37" t="n">
        <f aca="false">Inputs!$B$9-SUMIFS(Cash_Events!$G$6:$G$20,Cash_Events!$C$6:$C$20,"rAGMF",Cash_Events!$B$6:$B$20,"&lt;="&amp;A919)</f>
        <v>735000</v>
      </c>
      <c r="E919" s="38" t="n">
        <f aca="false">VLOOKUP(A919,Inputs!$A$40:$B$48,2,TRUE())</f>
        <v>0.0419027</v>
      </c>
      <c r="F919" s="38" t="n">
        <f aca="false">E919+Inputs!$B$10</f>
        <v>0.1094027</v>
      </c>
      <c r="G919" s="37" t="n">
        <f aca="false">D919*F919/C919</f>
        <v>220.304067123288</v>
      </c>
      <c r="H919" s="37" t="n">
        <f aca="false">IF(AND(A919&gt;=Inputs!$B$13,OR(A919&lt;Inputs!$B$19,Inputs!$B$20=1)),D919*Inputs!$B$11/C919,0)</f>
        <v>40.2739726027397</v>
      </c>
      <c r="I919" s="37" t="n">
        <f aca="false">Inputs!$C$9-SUMIFS(Cash_Events!$G$6:$G$20,Cash_Events!$C$6:$C$20,"FHL",Cash_Events!$B$6:$B$20,"&lt;="&amp;A919)</f>
        <v>735000</v>
      </c>
      <c r="J919" s="38" t="n">
        <f aca="false">VLOOKUP(A919,Inputs!$F$40:$G$48,2,TRUE())</f>
        <v>0.0457048</v>
      </c>
      <c r="K919" s="38" t="n">
        <f aca="false">J919+Inputs!$C$10</f>
        <v>0.1132048</v>
      </c>
      <c r="L919" s="37" t="n">
        <f aca="false">I919*K919/C919</f>
        <v>227.960350684931</v>
      </c>
      <c r="M919" s="37" t="n">
        <f aca="false">IF(AND(A919&gt;=Inputs!$C$13,OR(A919&lt;Inputs!$B$19,Inputs!$B$20=1)),I919*Inputs!$C$11/C919,0)</f>
        <v>40.2739726027397</v>
      </c>
    </row>
    <row r="920" customFormat="false" ht="15" hidden="false" customHeight="false" outlineLevel="0" collapsed="false">
      <c r="A920" s="35" t="n">
        <f aca="false">A919+1</f>
        <v>45727</v>
      </c>
      <c r="B920" s="35" t="n">
        <f aca="false">EOMONTH(A920+1,0)</f>
        <v>45747</v>
      </c>
      <c r="C920" s="36" t="n">
        <f aca="false">IF(MOD(YEAR(A920),4)=0,366,365)</f>
        <v>365</v>
      </c>
      <c r="D920" s="37" t="n">
        <f aca="false">Inputs!$B$9-SUMIFS(Cash_Events!$G$6:$G$20,Cash_Events!$C$6:$C$20,"rAGMF",Cash_Events!$B$6:$B$20,"&lt;="&amp;A920)</f>
        <v>735000</v>
      </c>
      <c r="E920" s="38" t="n">
        <f aca="false">VLOOKUP(A920,Inputs!$A$40:$B$48,2,TRUE())</f>
        <v>0.0419027</v>
      </c>
      <c r="F920" s="38" t="n">
        <f aca="false">E920+Inputs!$B$10</f>
        <v>0.1094027</v>
      </c>
      <c r="G920" s="37" t="n">
        <f aca="false">D920*F920/C920</f>
        <v>220.304067123288</v>
      </c>
      <c r="H920" s="37" t="n">
        <f aca="false">IF(AND(A920&gt;=Inputs!$B$13,OR(A920&lt;Inputs!$B$19,Inputs!$B$20=1)),D920*Inputs!$B$11/C920,0)</f>
        <v>40.2739726027397</v>
      </c>
      <c r="I920" s="37" t="n">
        <f aca="false">Inputs!$C$9-SUMIFS(Cash_Events!$G$6:$G$20,Cash_Events!$C$6:$C$20,"FHL",Cash_Events!$B$6:$B$20,"&lt;="&amp;A920)</f>
        <v>735000</v>
      </c>
      <c r="J920" s="38" t="n">
        <f aca="false">VLOOKUP(A920,Inputs!$F$40:$G$48,2,TRUE())</f>
        <v>0.0457048</v>
      </c>
      <c r="K920" s="38" t="n">
        <f aca="false">J920+Inputs!$C$10</f>
        <v>0.1132048</v>
      </c>
      <c r="L920" s="37" t="n">
        <f aca="false">I920*K920/C920</f>
        <v>227.960350684931</v>
      </c>
      <c r="M920" s="37" t="n">
        <f aca="false">IF(AND(A920&gt;=Inputs!$C$13,OR(A920&lt;Inputs!$B$19,Inputs!$B$20=1)),I920*Inputs!$C$11/C920,0)</f>
        <v>40.2739726027397</v>
      </c>
    </row>
    <row r="921" customFormat="false" ht="15" hidden="false" customHeight="false" outlineLevel="0" collapsed="false">
      <c r="A921" s="35" t="n">
        <f aca="false">A920+1</f>
        <v>45728</v>
      </c>
      <c r="B921" s="35" t="n">
        <f aca="false">EOMONTH(A921+1,0)</f>
        <v>45747</v>
      </c>
      <c r="C921" s="36" t="n">
        <f aca="false">IF(MOD(YEAR(A921),4)=0,366,365)</f>
        <v>365</v>
      </c>
      <c r="D921" s="37" t="n">
        <f aca="false">Inputs!$B$9-SUMIFS(Cash_Events!$G$6:$G$20,Cash_Events!$C$6:$C$20,"rAGMF",Cash_Events!$B$6:$B$20,"&lt;="&amp;A921)</f>
        <v>735000</v>
      </c>
      <c r="E921" s="38" t="n">
        <f aca="false">VLOOKUP(A921,Inputs!$A$40:$B$48,2,TRUE())</f>
        <v>0.0419027</v>
      </c>
      <c r="F921" s="38" t="n">
        <f aca="false">E921+Inputs!$B$10</f>
        <v>0.1094027</v>
      </c>
      <c r="G921" s="37" t="n">
        <f aca="false">D921*F921/C921</f>
        <v>220.304067123288</v>
      </c>
      <c r="H921" s="37" t="n">
        <f aca="false">IF(AND(A921&gt;=Inputs!$B$13,OR(A921&lt;Inputs!$B$19,Inputs!$B$20=1)),D921*Inputs!$B$11/C921,0)</f>
        <v>40.2739726027397</v>
      </c>
      <c r="I921" s="37" t="n">
        <f aca="false">Inputs!$C$9-SUMIFS(Cash_Events!$G$6:$G$20,Cash_Events!$C$6:$C$20,"FHL",Cash_Events!$B$6:$B$20,"&lt;="&amp;A921)</f>
        <v>735000</v>
      </c>
      <c r="J921" s="38" t="n">
        <f aca="false">VLOOKUP(A921,Inputs!$F$40:$G$48,2,TRUE())</f>
        <v>0.0457048</v>
      </c>
      <c r="K921" s="38" t="n">
        <f aca="false">J921+Inputs!$C$10</f>
        <v>0.1132048</v>
      </c>
      <c r="L921" s="37" t="n">
        <f aca="false">I921*K921/C921</f>
        <v>227.960350684931</v>
      </c>
      <c r="M921" s="37" t="n">
        <f aca="false">IF(AND(A921&gt;=Inputs!$C$13,OR(A921&lt;Inputs!$B$19,Inputs!$B$20=1)),I921*Inputs!$C$11/C921,0)</f>
        <v>40.2739726027397</v>
      </c>
    </row>
    <row r="922" customFormat="false" ht="15" hidden="false" customHeight="false" outlineLevel="0" collapsed="false">
      <c r="A922" s="35" t="n">
        <f aca="false">A921+1</f>
        <v>45729</v>
      </c>
      <c r="B922" s="35" t="n">
        <f aca="false">EOMONTH(A922+1,0)</f>
        <v>45747</v>
      </c>
      <c r="C922" s="36" t="n">
        <f aca="false">IF(MOD(YEAR(A922),4)=0,366,365)</f>
        <v>365</v>
      </c>
      <c r="D922" s="37" t="n">
        <f aca="false">Inputs!$B$9-SUMIFS(Cash_Events!$G$6:$G$20,Cash_Events!$C$6:$C$20,"rAGMF",Cash_Events!$B$6:$B$20,"&lt;="&amp;A922)</f>
        <v>735000</v>
      </c>
      <c r="E922" s="38" t="n">
        <f aca="false">VLOOKUP(A922,Inputs!$A$40:$B$48,2,TRUE())</f>
        <v>0.0419027</v>
      </c>
      <c r="F922" s="38" t="n">
        <f aca="false">E922+Inputs!$B$10</f>
        <v>0.1094027</v>
      </c>
      <c r="G922" s="37" t="n">
        <f aca="false">D922*F922/C922</f>
        <v>220.304067123288</v>
      </c>
      <c r="H922" s="37" t="n">
        <f aca="false">IF(AND(A922&gt;=Inputs!$B$13,OR(A922&lt;Inputs!$B$19,Inputs!$B$20=1)),D922*Inputs!$B$11/C922,0)</f>
        <v>40.2739726027397</v>
      </c>
      <c r="I922" s="37" t="n">
        <f aca="false">Inputs!$C$9-SUMIFS(Cash_Events!$G$6:$G$20,Cash_Events!$C$6:$C$20,"FHL",Cash_Events!$B$6:$B$20,"&lt;="&amp;A922)</f>
        <v>735000</v>
      </c>
      <c r="J922" s="38" t="n">
        <f aca="false">VLOOKUP(A922,Inputs!$F$40:$G$48,2,TRUE())</f>
        <v>0.0457048</v>
      </c>
      <c r="K922" s="38" t="n">
        <f aca="false">J922+Inputs!$C$10</f>
        <v>0.1132048</v>
      </c>
      <c r="L922" s="37" t="n">
        <f aca="false">I922*K922/C922</f>
        <v>227.960350684931</v>
      </c>
      <c r="M922" s="37" t="n">
        <f aca="false">IF(AND(A922&gt;=Inputs!$C$13,OR(A922&lt;Inputs!$B$19,Inputs!$B$20=1)),I922*Inputs!$C$11/C922,0)</f>
        <v>40.2739726027397</v>
      </c>
    </row>
    <row r="923" customFormat="false" ht="15" hidden="false" customHeight="false" outlineLevel="0" collapsed="false">
      <c r="A923" s="35" t="n">
        <f aca="false">A922+1</f>
        <v>45730</v>
      </c>
      <c r="B923" s="35" t="n">
        <f aca="false">EOMONTH(A923+1,0)</f>
        <v>45747</v>
      </c>
      <c r="C923" s="36" t="n">
        <f aca="false">IF(MOD(YEAR(A923),4)=0,366,365)</f>
        <v>365</v>
      </c>
      <c r="D923" s="37" t="n">
        <f aca="false">Inputs!$B$9-SUMIFS(Cash_Events!$G$6:$G$20,Cash_Events!$C$6:$C$20,"rAGMF",Cash_Events!$B$6:$B$20,"&lt;="&amp;A923)</f>
        <v>735000</v>
      </c>
      <c r="E923" s="38" t="n">
        <f aca="false">VLOOKUP(A923,Inputs!$A$40:$B$48,2,TRUE())</f>
        <v>0.0419027</v>
      </c>
      <c r="F923" s="38" t="n">
        <f aca="false">E923+Inputs!$B$10</f>
        <v>0.1094027</v>
      </c>
      <c r="G923" s="37" t="n">
        <f aca="false">D923*F923/C923</f>
        <v>220.304067123288</v>
      </c>
      <c r="H923" s="37" t="n">
        <f aca="false">IF(AND(A923&gt;=Inputs!$B$13,OR(A923&lt;Inputs!$B$19,Inputs!$B$20=1)),D923*Inputs!$B$11/C923,0)</f>
        <v>40.2739726027397</v>
      </c>
      <c r="I923" s="37" t="n">
        <f aca="false">Inputs!$C$9-SUMIFS(Cash_Events!$G$6:$G$20,Cash_Events!$C$6:$C$20,"FHL",Cash_Events!$B$6:$B$20,"&lt;="&amp;A923)</f>
        <v>735000</v>
      </c>
      <c r="J923" s="38" t="n">
        <f aca="false">VLOOKUP(A923,Inputs!$F$40:$G$48,2,TRUE())</f>
        <v>0.0457048</v>
      </c>
      <c r="K923" s="38" t="n">
        <f aca="false">J923+Inputs!$C$10</f>
        <v>0.1132048</v>
      </c>
      <c r="L923" s="37" t="n">
        <f aca="false">I923*K923/C923</f>
        <v>227.960350684931</v>
      </c>
      <c r="M923" s="37" t="n">
        <f aca="false">IF(AND(A923&gt;=Inputs!$C$13,OR(A923&lt;Inputs!$B$19,Inputs!$B$20=1)),I923*Inputs!$C$11/C923,0)</f>
        <v>40.2739726027397</v>
      </c>
    </row>
    <row r="924" customFormat="false" ht="15" hidden="false" customHeight="false" outlineLevel="0" collapsed="false">
      <c r="A924" s="35" t="n">
        <f aca="false">A923+1</f>
        <v>45731</v>
      </c>
      <c r="B924" s="35" t="n">
        <f aca="false">EOMONTH(A924+1,0)</f>
        <v>45747</v>
      </c>
      <c r="C924" s="36" t="n">
        <f aca="false">IF(MOD(YEAR(A924),4)=0,366,365)</f>
        <v>365</v>
      </c>
      <c r="D924" s="37" t="n">
        <f aca="false">Inputs!$B$9-SUMIFS(Cash_Events!$G$6:$G$20,Cash_Events!$C$6:$C$20,"rAGMF",Cash_Events!$B$6:$B$20,"&lt;="&amp;A924)</f>
        <v>735000</v>
      </c>
      <c r="E924" s="38" t="n">
        <f aca="false">VLOOKUP(A924,Inputs!$A$40:$B$48,2,TRUE())</f>
        <v>0.0419027</v>
      </c>
      <c r="F924" s="38" t="n">
        <f aca="false">E924+Inputs!$B$10</f>
        <v>0.1094027</v>
      </c>
      <c r="G924" s="37" t="n">
        <f aca="false">D924*F924/C924</f>
        <v>220.304067123288</v>
      </c>
      <c r="H924" s="37" t="n">
        <f aca="false">IF(AND(A924&gt;=Inputs!$B$13,OR(A924&lt;Inputs!$B$19,Inputs!$B$20=1)),D924*Inputs!$B$11/C924,0)</f>
        <v>40.2739726027397</v>
      </c>
      <c r="I924" s="37" t="n">
        <f aca="false">Inputs!$C$9-SUMIFS(Cash_Events!$G$6:$G$20,Cash_Events!$C$6:$C$20,"FHL",Cash_Events!$B$6:$B$20,"&lt;="&amp;A924)</f>
        <v>735000</v>
      </c>
      <c r="J924" s="38" t="n">
        <f aca="false">VLOOKUP(A924,Inputs!$F$40:$G$48,2,TRUE())</f>
        <v>0.0457048</v>
      </c>
      <c r="K924" s="38" t="n">
        <f aca="false">J924+Inputs!$C$10</f>
        <v>0.1132048</v>
      </c>
      <c r="L924" s="37" t="n">
        <f aca="false">I924*K924/C924</f>
        <v>227.960350684931</v>
      </c>
      <c r="M924" s="37" t="n">
        <f aca="false">IF(AND(A924&gt;=Inputs!$C$13,OR(A924&lt;Inputs!$B$19,Inputs!$B$20=1)),I924*Inputs!$C$11/C924,0)</f>
        <v>40.2739726027397</v>
      </c>
    </row>
    <row r="925" customFormat="false" ht="15" hidden="false" customHeight="false" outlineLevel="0" collapsed="false">
      <c r="A925" s="35" t="n">
        <f aca="false">A924+1</f>
        <v>45732</v>
      </c>
      <c r="B925" s="35" t="n">
        <f aca="false">EOMONTH(A925+1,0)</f>
        <v>45747</v>
      </c>
      <c r="C925" s="36" t="n">
        <f aca="false">IF(MOD(YEAR(A925),4)=0,366,365)</f>
        <v>365</v>
      </c>
      <c r="D925" s="37" t="n">
        <f aca="false">Inputs!$B$9-SUMIFS(Cash_Events!$G$6:$G$20,Cash_Events!$C$6:$C$20,"rAGMF",Cash_Events!$B$6:$B$20,"&lt;="&amp;A925)</f>
        <v>735000</v>
      </c>
      <c r="E925" s="38" t="n">
        <f aca="false">VLOOKUP(A925,Inputs!$A$40:$B$48,2,TRUE())</f>
        <v>0.0419027</v>
      </c>
      <c r="F925" s="38" t="n">
        <f aca="false">E925+Inputs!$B$10</f>
        <v>0.1094027</v>
      </c>
      <c r="G925" s="37" t="n">
        <f aca="false">D925*F925/C925</f>
        <v>220.304067123288</v>
      </c>
      <c r="H925" s="37" t="n">
        <f aca="false">IF(AND(A925&gt;=Inputs!$B$13,OR(A925&lt;Inputs!$B$19,Inputs!$B$20=1)),D925*Inputs!$B$11/C925,0)</f>
        <v>40.2739726027397</v>
      </c>
      <c r="I925" s="37" t="n">
        <f aca="false">Inputs!$C$9-SUMIFS(Cash_Events!$G$6:$G$20,Cash_Events!$C$6:$C$20,"FHL",Cash_Events!$B$6:$B$20,"&lt;="&amp;A925)</f>
        <v>735000</v>
      </c>
      <c r="J925" s="38" t="n">
        <f aca="false">VLOOKUP(A925,Inputs!$F$40:$G$48,2,TRUE())</f>
        <v>0.0457048</v>
      </c>
      <c r="K925" s="38" t="n">
        <f aca="false">J925+Inputs!$C$10</f>
        <v>0.1132048</v>
      </c>
      <c r="L925" s="37" t="n">
        <f aca="false">I925*K925/C925</f>
        <v>227.960350684931</v>
      </c>
      <c r="M925" s="37" t="n">
        <f aca="false">IF(AND(A925&gt;=Inputs!$C$13,OR(A925&lt;Inputs!$B$19,Inputs!$B$20=1)),I925*Inputs!$C$11/C925,0)</f>
        <v>40.2739726027397</v>
      </c>
    </row>
    <row r="926" customFormat="false" ht="15" hidden="false" customHeight="false" outlineLevel="0" collapsed="false">
      <c r="A926" s="35" t="n">
        <f aca="false">A925+1</f>
        <v>45733</v>
      </c>
      <c r="B926" s="35" t="n">
        <f aca="false">EOMONTH(A926+1,0)</f>
        <v>45747</v>
      </c>
      <c r="C926" s="36" t="n">
        <f aca="false">IF(MOD(YEAR(A926),4)=0,366,365)</f>
        <v>365</v>
      </c>
      <c r="D926" s="37" t="n">
        <f aca="false">Inputs!$B$9-SUMIFS(Cash_Events!$G$6:$G$20,Cash_Events!$C$6:$C$20,"rAGMF",Cash_Events!$B$6:$B$20,"&lt;="&amp;A926)</f>
        <v>735000</v>
      </c>
      <c r="E926" s="38" t="n">
        <f aca="false">VLOOKUP(A926,Inputs!$A$40:$B$48,2,TRUE())</f>
        <v>0.0419027</v>
      </c>
      <c r="F926" s="38" t="n">
        <f aca="false">E926+Inputs!$B$10</f>
        <v>0.1094027</v>
      </c>
      <c r="G926" s="37" t="n">
        <f aca="false">D926*F926/C926</f>
        <v>220.304067123288</v>
      </c>
      <c r="H926" s="37" t="n">
        <f aca="false">IF(AND(A926&gt;=Inputs!$B$13,OR(A926&lt;Inputs!$B$19,Inputs!$B$20=1)),D926*Inputs!$B$11/C926,0)</f>
        <v>40.2739726027397</v>
      </c>
      <c r="I926" s="37" t="n">
        <f aca="false">Inputs!$C$9-SUMIFS(Cash_Events!$G$6:$G$20,Cash_Events!$C$6:$C$20,"FHL",Cash_Events!$B$6:$B$20,"&lt;="&amp;A926)</f>
        <v>735000</v>
      </c>
      <c r="J926" s="38" t="n">
        <f aca="false">VLOOKUP(A926,Inputs!$F$40:$G$48,2,TRUE())</f>
        <v>0.0420238</v>
      </c>
      <c r="K926" s="38" t="n">
        <f aca="false">J926+Inputs!$C$10</f>
        <v>0.1095238</v>
      </c>
      <c r="L926" s="37" t="n">
        <f aca="false">I926*K926/C926</f>
        <v>220.547926027397</v>
      </c>
      <c r="M926" s="37" t="n">
        <f aca="false">IF(AND(A926&gt;=Inputs!$C$13,OR(A926&lt;Inputs!$B$19,Inputs!$B$20=1)),I926*Inputs!$C$11/C926,0)</f>
        <v>40.2739726027397</v>
      </c>
    </row>
    <row r="927" customFormat="false" ht="15" hidden="false" customHeight="false" outlineLevel="0" collapsed="false">
      <c r="A927" s="35" t="n">
        <f aca="false">A926+1</f>
        <v>45734</v>
      </c>
      <c r="B927" s="35" t="n">
        <f aca="false">EOMONTH(A927+1,0)</f>
        <v>45747</v>
      </c>
      <c r="C927" s="36" t="n">
        <f aca="false">IF(MOD(YEAR(A927),4)=0,366,365)</f>
        <v>365</v>
      </c>
      <c r="D927" s="37" t="n">
        <f aca="false">Inputs!$B$9-SUMIFS(Cash_Events!$G$6:$G$20,Cash_Events!$C$6:$C$20,"rAGMF",Cash_Events!$B$6:$B$20,"&lt;="&amp;A927)</f>
        <v>735000</v>
      </c>
      <c r="E927" s="38" t="n">
        <f aca="false">VLOOKUP(A927,Inputs!$A$40:$B$48,2,TRUE())</f>
        <v>0.0419027</v>
      </c>
      <c r="F927" s="38" t="n">
        <f aca="false">E927+Inputs!$B$10</f>
        <v>0.1094027</v>
      </c>
      <c r="G927" s="37" t="n">
        <f aca="false">D927*F927/C927</f>
        <v>220.304067123288</v>
      </c>
      <c r="H927" s="37" t="n">
        <f aca="false">IF(AND(A927&gt;=Inputs!$B$13,OR(A927&lt;Inputs!$B$19,Inputs!$B$20=1)),D927*Inputs!$B$11/C927,0)</f>
        <v>40.2739726027397</v>
      </c>
      <c r="I927" s="37" t="n">
        <f aca="false">Inputs!$C$9-SUMIFS(Cash_Events!$G$6:$G$20,Cash_Events!$C$6:$C$20,"FHL",Cash_Events!$B$6:$B$20,"&lt;="&amp;A927)</f>
        <v>735000</v>
      </c>
      <c r="J927" s="38" t="n">
        <f aca="false">VLOOKUP(A927,Inputs!$F$40:$G$48,2,TRUE())</f>
        <v>0.0420238</v>
      </c>
      <c r="K927" s="38" t="n">
        <f aca="false">J927+Inputs!$C$10</f>
        <v>0.1095238</v>
      </c>
      <c r="L927" s="37" t="n">
        <f aca="false">I927*K927/C927</f>
        <v>220.547926027397</v>
      </c>
      <c r="M927" s="37" t="n">
        <f aca="false">IF(AND(A927&gt;=Inputs!$C$13,OR(A927&lt;Inputs!$B$19,Inputs!$B$20=1)),I927*Inputs!$C$11/C927,0)</f>
        <v>40.2739726027397</v>
      </c>
    </row>
    <row r="928" customFormat="false" ht="15" hidden="false" customHeight="false" outlineLevel="0" collapsed="false">
      <c r="A928" s="35" t="n">
        <f aca="false">A927+1</f>
        <v>45735</v>
      </c>
      <c r="B928" s="35" t="n">
        <f aca="false">EOMONTH(A928+1,0)</f>
        <v>45747</v>
      </c>
      <c r="C928" s="36" t="n">
        <f aca="false">IF(MOD(YEAR(A928),4)=0,366,365)</f>
        <v>365</v>
      </c>
      <c r="D928" s="37" t="n">
        <f aca="false">Inputs!$B$9-SUMIFS(Cash_Events!$G$6:$G$20,Cash_Events!$C$6:$C$20,"rAGMF",Cash_Events!$B$6:$B$20,"&lt;="&amp;A928)</f>
        <v>735000</v>
      </c>
      <c r="E928" s="38" t="n">
        <f aca="false">VLOOKUP(A928,Inputs!$A$40:$B$48,2,TRUE())</f>
        <v>0.0419027</v>
      </c>
      <c r="F928" s="38" t="n">
        <f aca="false">E928+Inputs!$B$10</f>
        <v>0.1094027</v>
      </c>
      <c r="G928" s="37" t="n">
        <f aca="false">D928*F928/C928</f>
        <v>220.304067123288</v>
      </c>
      <c r="H928" s="37" t="n">
        <f aca="false">IF(AND(A928&gt;=Inputs!$B$13,OR(A928&lt;Inputs!$B$19,Inputs!$B$20=1)),D928*Inputs!$B$11/C928,0)</f>
        <v>40.2739726027397</v>
      </c>
      <c r="I928" s="37" t="n">
        <f aca="false">Inputs!$C$9-SUMIFS(Cash_Events!$G$6:$G$20,Cash_Events!$C$6:$C$20,"FHL",Cash_Events!$B$6:$B$20,"&lt;="&amp;A928)</f>
        <v>735000</v>
      </c>
      <c r="J928" s="38" t="n">
        <f aca="false">VLOOKUP(A928,Inputs!$F$40:$G$48,2,TRUE())</f>
        <v>0.0420238</v>
      </c>
      <c r="K928" s="38" t="n">
        <f aca="false">J928+Inputs!$C$10</f>
        <v>0.1095238</v>
      </c>
      <c r="L928" s="37" t="n">
        <f aca="false">I928*K928/C928</f>
        <v>220.547926027397</v>
      </c>
      <c r="M928" s="37" t="n">
        <f aca="false">IF(AND(A928&gt;=Inputs!$C$13,OR(A928&lt;Inputs!$B$19,Inputs!$B$20=1)),I928*Inputs!$C$11/C928,0)</f>
        <v>40.2739726027397</v>
      </c>
    </row>
    <row r="929" customFormat="false" ht="15" hidden="false" customHeight="false" outlineLevel="0" collapsed="false">
      <c r="A929" s="35" t="n">
        <f aca="false">A928+1</f>
        <v>45736</v>
      </c>
      <c r="B929" s="35" t="n">
        <f aca="false">EOMONTH(A929+1,0)</f>
        <v>45747</v>
      </c>
      <c r="C929" s="36" t="n">
        <f aca="false">IF(MOD(YEAR(A929),4)=0,366,365)</f>
        <v>365</v>
      </c>
      <c r="D929" s="37" t="n">
        <f aca="false">Inputs!$B$9-SUMIFS(Cash_Events!$G$6:$G$20,Cash_Events!$C$6:$C$20,"rAGMF",Cash_Events!$B$6:$B$20,"&lt;="&amp;A929)</f>
        <v>735000</v>
      </c>
      <c r="E929" s="38" t="n">
        <f aca="false">VLOOKUP(A929,Inputs!$A$40:$B$48,2,TRUE())</f>
        <v>0.0419027</v>
      </c>
      <c r="F929" s="38" t="n">
        <f aca="false">E929+Inputs!$B$10</f>
        <v>0.1094027</v>
      </c>
      <c r="G929" s="37" t="n">
        <f aca="false">D929*F929/C929</f>
        <v>220.304067123288</v>
      </c>
      <c r="H929" s="37" t="n">
        <f aca="false">IF(AND(A929&gt;=Inputs!$B$13,OR(A929&lt;Inputs!$B$19,Inputs!$B$20=1)),D929*Inputs!$B$11/C929,0)</f>
        <v>40.2739726027397</v>
      </c>
      <c r="I929" s="37" t="n">
        <f aca="false">Inputs!$C$9-SUMIFS(Cash_Events!$G$6:$G$20,Cash_Events!$C$6:$C$20,"FHL",Cash_Events!$B$6:$B$20,"&lt;="&amp;A929)</f>
        <v>735000</v>
      </c>
      <c r="J929" s="38" t="n">
        <f aca="false">VLOOKUP(A929,Inputs!$F$40:$G$48,2,TRUE())</f>
        <v>0.0420238</v>
      </c>
      <c r="K929" s="38" t="n">
        <f aca="false">J929+Inputs!$C$10</f>
        <v>0.1095238</v>
      </c>
      <c r="L929" s="37" t="n">
        <f aca="false">I929*K929/C929</f>
        <v>220.547926027397</v>
      </c>
      <c r="M929" s="37" t="n">
        <f aca="false">IF(AND(A929&gt;=Inputs!$C$13,OR(A929&lt;Inputs!$B$19,Inputs!$B$20=1)),I929*Inputs!$C$11/C929,0)</f>
        <v>40.2739726027397</v>
      </c>
    </row>
    <row r="930" customFormat="false" ht="15" hidden="false" customHeight="false" outlineLevel="0" collapsed="false">
      <c r="A930" s="35" t="n">
        <f aca="false">A929+1</f>
        <v>45737</v>
      </c>
      <c r="B930" s="35" t="n">
        <f aca="false">EOMONTH(A930+1,0)</f>
        <v>45747</v>
      </c>
      <c r="C930" s="36" t="n">
        <f aca="false">IF(MOD(YEAR(A930),4)=0,366,365)</f>
        <v>365</v>
      </c>
      <c r="D930" s="37" t="n">
        <f aca="false">Inputs!$B$9-SUMIFS(Cash_Events!$G$6:$G$20,Cash_Events!$C$6:$C$20,"rAGMF",Cash_Events!$B$6:$B$20,"&lt;="&amp;A930)</f>
        <v>735000</v>
      </c>
      <c r="E930" s="38" t="n">
        <f aca="false">VLOOKUP(A930,Inputs!$A$40:$B$48,2,TRUE())</f>
        <v>0.0419027</v>
      </c>
      <c r="F930" s="38" t="n">
        <f aca="false">E930+Inputs!$B$10</f>
        <v>0.1094027</v>
      </c>
      <c r="G930" s="37" t="n">
        <f aca="false">D930*F930/C930</f>
        <v>220.304067123288</v>
      </c>
      <c r="H930" s="37" t="n">
        <f aca="false">IF(AND(A930&gt;=Inputs!$B$13,OR(A930&lt;Inputs!$B$19,Inputs!$B$20=1)),D930*Inputs!$B$11/C930,0)</f>
        <v>40.2739726027397</v>
      </c>
      <c r="I930" s="37" t="n">
        <f aca="false">Inputs!$C$9-SUMIFS(Cash_Events!$G$6:$G$20,Cash_Events!$C$6:$C$20,"FHL",Cash_Events!$B$6:$B$20,"&lt;="&amp;A930)</f>
        <v>735000</v>
      </c>
      <c r="J930" s="38" t="n">
        <f aca="false">VLOOKUP(A930,Inputs!$F$40:$G$48,2,TRUE())</f>
        <v>0.0420238</v>
      </c>
      <c r="K930" s="38" t="n">
        <f aca="false">J930+Inputs!$C$10</f>
        <v>0.1095238</v>
      </c>
      <c r="L930" s="37" t="n">
        <f aca="false">I930*K930/C930</f>
        <v>220.547926027397</v>
      </c>
      <c r="M930" s="37" t="n">
        <f aca="false">IF(AND(A930&gt;=Inputs!$C$13,OR(A930&lt;Inputs!$B$19,Inputs!$B$20=1)),I930*Inputs!$C$11/C930,0)</f>
        <v>40.2739726027397</v>
      </c>
    </row>
    <row r="931" customFormat="false" ht="15" hidden="false" customHeight="false" outlineLevel="0" collapsed="false">
      <c r="A931" s="35" t="n">
        <f aca="false">A930+1</f>
        <v>45738</v>
      </c>
      <c r="B931" s="35" t="n">
        <f aca="false">EOMONTH(A931+1,0)</f>
        <v>45747</v>
      </c>
      <c r="C931" s="36" t="n">
        <f aca="false">IF(MOD(YEAR(A931),4)=0,366,365)</f>
        <v>365</v>
      </c>
      <c r="D931" s="37" t="n">
        <f aca="false">Inputs!$B$9-SUMIFS(Cash_Events!$G$6:$G$20,Cash_Events!$C$6:$C$20,"rAGMF",Cash_Events!$B$6:$B$20,"&lt;="&amp;A931)</f>
        <v>735000</v>
      </c>
      <c r="E931" s="38" t="n">
        <f aca="false">VLOOKUP(A931,Inputs!$A$40:$B$48,2,TRUE())</f>
        <v>0.0419027</v>
      </c>
      <c r="F931" s="38" t="n">
        <f aca="false">E931+Inputs!$B$10</f>
        <v>0.1094027</v>
      </c>
      <c r="G931" s="37" t="n">
        <f aca="false">D931*F931/C931</f>
        <v>220.304067123288</v>
      </c>
      <c r="H931" s="37" t="n">
        <f aca="false">IF(AND(A931&gt;=Inputs!$B$13,OR(A931&lt;Inputs!$B$19,Inputs!$B$20=1)),D931*Inputs!$B$11/C931,0)</f>
        <v>40.2739726027397</v>
      </c>
      <c r="I931" s="37" t="n">
        <f aca="false">Inputs!$C$9-SUMIFS(Cash_Events!$G$6:$G$20,Cash_Events!$C$6:$C$20,"FHL",Cash_Events!$B$6:$B$20,"&lt;="&amp;A931)</f>
        <v>735000</v>
      </c>
      <c r="J931" s="38" t="n">
        <f aca="false">VLOOKUP(A931,Inputs!$F$40:$G$48,2,TRUE())</f>
        <v>0.0420238</v>
      </c>
      <c r="K931" s="38" t="n">
        <f aca="false">J931+Inputs!$C$10</f>
        <v>0.1095238</v>
      </c>
      <c r="L931" s="37" t="n">
        <f aca="false">I931*K931/C931</f>
        <v>220.547926027397</v>
      </c>
      <c r="M931" s="37" t="n">
        <f aca="false">IF(AND(A931&gt;=Inputs!$C$13,OR(A931&lt;Inputs!$B$19,Inputs!$B$20=1)),I931*Inputs!$C$11/C931,0)</f>
        <v>40.2739726027397</v>
      </c>
    </row>
    <row r="932" customFormat="false" ht="15" hidden="false" customHeight="false" outlineLevel="0" collapsed="false">
      <c r="A932" s="35" t="n">
        <f aca="false">A931+1</f>
        <v>45739</v>
      </c>
      <c r="B932" s="35" t="n">
        <f aca="false">EOMONTH(A932+1,0)</f>
        <v>45747</v>
      </c>
      <c r="C932" s="36" t="n">
        <f aca="false">IF(MOD(YEAR(A932),4)=0,366,365)</f>
        <v>365</v>
      </c>
      <c r="D932" s="37" t="n">
        <f aca="false">Inputs!$B$9-SUMIFS(Cash_Events!$G$6:$G$20,Cash_Events!$C$6:$C$20,"rAGMF",Cash_Events!$B$6:$B$20,"&lt;="&amp;A932)</f>
        <v>735000</v>
      </c>
      <c r="E932" s="38" t="n">
        <f aca="false">VLOOKUP(A932,Inputs!$A$40:$B$48,2,TRUE())</f>
        <v>0.0419027</v>
      </c>
      <c r="F932" s="38" t="n">
        <f aca="false">E932+Inputs!$B$10</f>
        <v>0.1094027</v>
      </c>
      <c r="G932" s="37" t="n">
        <f aca="false">D932*F932/C932</f>
        <v>220.304067123288</v>
      </c>
      <c r="H932" s="37" t="n">
        <f aca="false">IF(AND(A932&gt;=Inputs!$B$13,OR(A932&lt;Inputs!$B$19,Inputs!$B$20=1)),D932*Inputs!$B$11/C932,0)</f>
        <v>40.2739726027397</v>
      </c>
      <c r="I932" s="37" t="n">
        <f aca="false">Inputs!$C$9-SUMIFS(Cash_Events!$G$6:$G$20,Cash_Events!$C$6:$C$20,"FHL",Cash_Events!$B$6:$B$20,"&lt;="&amp;A932)</f>
        <v>735000</v>
      </c>
      <c r="J932" s="38" t="n">
        <f aca="false">VLOOKUP(A932,Inputs!$F$40:$G$48,2,TRUE())</f>
        <v>0.0420238</v>
      </c>
      <c r="K932" s="38" t="n">
        <f aca="false">J932+Inputs!$C$10</f>
        <v>0.1095238</v>
      </c>
      <c r="L932" s="37" t="n">
        <f aca="false">I932*K932/C932</f>
        <v>220.547926027397</v>
      </c>
      <c r="M932" s="37" t="n">
        <f aca="false">IF(AND(A932&gt;=Inputs!$C$13,OR(A932&lt;Inputs!$B$19,Inputs!$B$20=1)),I932*Inputs!$C$11/C932,0)</f>
        <v>40.2739726027397</v>
      </c>
    </row>
    <row r="933" customFormat="false" ht="15" hidden="false" customHeight="false" outlineLevel="0" collapsed="false">
      <c r="A933" s="35" t="n">
        <f aca="false">A932+1</f>
        <v>45740</v>
      </c>
      <c r="B933" s="35" t="n">
        <f aca="false">EOMONTH(A933+1,0)</f>
        <v>45747</v>
      </c>
      <c r="C933" s="36" t="n">
        <f aca="false">IF(MOD(YEAR(A933),4)=0,366,365)</f>
        <v>365</v>
      </c>
      <c r="D933" s="37" t="n">
        <f aca="false">Inputs!$B$9-SUMIFS(Cash_Events!$G$6:$G$20,Cash_Events!$C$6:$C$20,"rAGMF",Cash_Events!$B$6:$B$20,"&lt;="&amp;A933)</f>
        <v>735000</v>
      </c>
      <c r="E933" s="38" t="n">
        <f aca="false">VLOOKUP(A933,Inputs!$A$40:$B$48,2,TRUE())</f>
        <v>0.0419027</v>
      </c>
      <c r="F933" s="38" t="n">
        <f aca="false">E933+Inputs!$B$10</f>
        <v>0.1094027</v>
      </c>
      <c r="G933" s="37" t="n">
        <f aca="false">D933*F933/C933</f>
        <v>220.304067123288</v>
      </c>
      <c r="H933" s="37" t="n">
        <f aca="false">IF(AND(A933&gt;=Inputs!$B$13,OR(A933&lt;Inputs!$B$19,Inputs!$B$20=1)),D933*Inputs!$B$11/C933,0)</f>
        <v>40.2739726027397</v>
      </c>
      <c r="I933" s="37" t="n">
        <f aca="false">Inputs!$C$9-SUMIFS(Cash_Events!$G$6:$G$20,Cash_Events!$C$6:$C$20,"FHL",Cash_Events!$B$6:$B$20,"&lt;="&amp;A933)</f>
        <v>735000</v>
      </c>
      <c r="J933" s="38" t="n">
        <f aca="false">VLOOKUP(A933,Inputs!$F$40:$G$48,2,TRUE())</f>
        <v>0.0420238</v>
      </c>
      <c r="K933" s="38" t="n">
        <f aca="false">J933+Inputs!$C$10</f>
        <v>0.1095238</v>
      </c>
      <c r="L933" s="37" t="n">
        <f aca="false">I933*K933/C933</f>
        <v>220.547926027397</v>
      </c>
      <c r="M933" s="37" t="n">
        <f aca="false">IF(AND(A933&gt;=Inputs!$C$13,OR(A933&lt;Inputs!$B$19,Inputs!$B$20=1)),I933*Inputs!$C$11/C933,0)</f>
        <v>40.2739726027397</v>
      </c>
    </row>
    <row r="934" customFormat="false" ht="15" hidden="false" customHeight="false" outlineLevel="0" collapsed="false">
      <c r="A934" s="35" t="n">
        <f aca="false">A933+1</f>
        <v>45741</v>
      </c>
      <c r="B934" s="35" t="n">
        <f aca="false">EOMONTH(A934+1,0)</f>
        <v>45747</v>
      </c>
      <c r="C934" s="36" t="n">
        <f aca="false">IF(MOD(YEAR(A934),4)=0,366,365)</f>
        <v>365</v>
      </c>
      <c r="D934" s="37" t="n">
        <f aca="false">Inputs!$B$9-SUMIFS(Cash_Events!$G$6:$G$20,Cash_Events!$C$6:$C$20,"rAGMF",Cash_Events!$B$6:$B$20,"&lt;="&amp;A934)</f>
        <v>735000</v>
      </c>
      <c r="E934" s="38" t="n">
        <f aca="false">VLOOKUP(A934,Inputs!$A$40:$B$48,2,TRUE())</f>
        <v>0.0419027</v>
      </c>
      <c r="F934" s="38" t="n">
        <f aca="false">E934+Inputs!$B$10</f>
        <v>0.1094027</v>
      </c>
      <c r="G934" s="37" t="n">
        <f aca="false">D934*F934/C934</f>
        <v>220.304067123288</v>
      </c>
      <c r="H934" s="37" t="n">
        <f aca="false">IF(AND(A934&gt;=Inputs!$B$13,OR(A934&lt;Inputs!$B$19,Inputs!$B$20=1)),D934*Inputs!$B$11/C934,0)</f>
        <v>40.2739726027397</v>
      </c>
      <c r="I934" s="37" t="n">
        <f aca="false">Inputs!$C$9-SUMIFS(Cash_Events!$G$6:$G$20,Cash_Events!$C$6:$C$20,"FHL",Cash_Events!$B$6:$B$20,"&lt;="&amp;A934)</f>
        <v>735000</v>
      </c>
      <c r="J934" s="38" t="n">
        <f aca="false">VLOOKUP(A934,Inputs!$F$40:$G$48,2,TRUE())</f>
        <v>0.0420238</v>
      </c>
      <c r="K934" s="38" t="n">
        <f aca="false">J934+Inputs!$C$10</f>
        <v>0.1095238</v>
      </c>
      <c r="L934" s="37" t="n">
        <f aca="false">I934*K934/C934</f>
        <v>220.547926027397</v>
      </c>
      <c r="M934" s="37" t="n">
        <f aca="false">IF(AND(A934&gt;=Inputs!$C$13,OR(A934&lt;Inputs!$B$19,Inputs!$B$20=1)),I934*Inputs!$C$11/C934,0)</f>
        <v>40.2739726027397</v>
      </c>
    </row>
    <row r="935" customFormat="false" ht="15" hidden="false" customHeight="false" outlineLevel="0" collapsed="false">
      <c r="A935" s="35" t="n">
        <f aca="false">A934+1</f>
        <v>45742</v>
      </c>
      <c r="B935" s="35" t="n">
        <f aca="false">EOMONTH(A935+1,0)</f>
        <v>45747</v>
      </c>
      <c r="C935" s="36" t="n">
        <f aca="false">IF(MOD(YEAR(A935),4)=0,366,365)</f>
        <v>365</v>
      </c>
      <c r="D935" s="37" t="n">
        <f aca="false">Inputs!$B$9-SUMIFS(Cash_Events!$G$6:$G$20,Cash_Events!$C$6:$C$20,"rAGMF",Cash_Events!$B$6:$B$20,"&lt;="&amp;A935)</f>
        <v>735000</v>
      </c>
      <c r="E935" s="38" t="n">
        <f aca="false">VLOOKUP(A935,Inputs!$A$40:$B$48,2,TRUE())</f>
        <v>0.0419027</v>
      </c>
      <c r="F935" s="38" t="n">
        <f aca="false">E935+Inputs!$B$10</f>
        <v>0.1094027</v>
      </c>
      <c r="G935" s="37" t="n">
        <f aca="false">D935*F935/C935</f>
        <v>220.304067123288</v>
      </c>
      <c r="H935" s="37" t="n">
        <f aca="false">IF(AND(A935&gt;=Inputs!$B$13,OR(A935&lt;Inputs!$B$19,Inputs!$B$20=1)),D935*Inputs!$B$11/C935,0)</f>
        <v>40.2739726027397</v>
      </c>
      <c r="I935" s="37" t="n">
        <f aca="false">Inputs!$C$9-SUMIFS(Cash_Events!$G$6:$G$20,Cash_Events!$C$6:$C$20,"FHL",Cash_Events!$B$6:$B$20,"&lt;="&amp;A935)</f>
        <v>735000</v>
      </c>
      <c r="J935" s="38" t="n">
        <f aca="false">VLOOKUP(A935,Inputs!$F$40:$G$48,2,TRUE())</f>
        <v>0.0420238</v>
      </c>
      <c r="K935" s="38" t="n">
        <f aca="false">J935+Inputs!$C$10</f>
        <v>0.1095238</v>
      </c>
      <c r="L935" s="37" t="n">
        <f aca="false">I935*K935/C935</f>
        <v>220.547926027397</v>
      </c>
      <c r="M935" s="37" t="n">
        <f aca="false">IF(AND(A935&gt;=Inputs!$C$13,OR(A935&lt;Inputs!$B$19,Inputs!$B$20=1)),I935*Inputs!$C$11/C935,0)</f>
        <v>40.2739726027397</v>
      </c>
    </row>
    <row r="936" customFormat="false" ht="15" hidden="false" customHeight="false" outlineLevel="0" collapsed="false">
      <c r="A936" s="35" t="n">
        <f aca="false">A935+1</f>
        <v>45743</v>
      </c>
      <c r="B936" s="35" t="n">
        <f aca="false">EOMONTH(A936+1,0)</f>
        <v>45747</v>
      </c>
      <c r="C936" s="36" t="n">
        <f aca="false">IF(MOD(YEAR(A936),4)=0,366,365)</f>
        <v>365</v>
      </c>
      <c r="D936" s="37" t="n">
        <f aca="false">Inputs!$B$9-SUMIFS(Cash_Events!$G$6:$G$20,Cash_Events!$C$6:$C$20,"rAGMF",Cash_Events!$B$6:$B$20,"&lt;="&amp;A936)</f>
        <v>735000</v>
      </c>
      <c r="E936" s="38" t="n">
        <f aca="false">VLOOKUP(A936,Inputs!$A$40:$B$48,2,TRUE())</f>
        <v>0.0419027</v>
      </c>
      <c r="F936" s="38" t="n">
        <f aca="false">E936+Inputs!$B$10</f>
        <v>0.1094027</v>
      </c>
      <c r="G936" s="37" t="n">
        <f aca="false">D936*F936/C936</f>
        <v>220.304067123288</v>
      </c>
      <c r="H936" s="37" t="n">
        <f aca="false">IF(AND(A936&gt;=Inputs!$B$13,OR(A936&lt;Inputs!$B$19,Inputs!$B$20=1)),D936*Inputs!$B$11/C936,0)</f>
        <v>40.2739726027397</v>
      </c>
      <c r="I936" s="37" t="n">
        <f aca="false">Inputs!$C$9-SUMIFS(Cash_Events!$G$6:$G$20,Cash_Events!$C$6:$C$20,"FHL",Cash_Events!$B$6:$B$20,"&lt;="&amp;A936)</f>
        <v>735000</v>
      </c>
      <c r="J936" s="38" t="n">
        <f aca="false">VLOOKUP(A936,Inputs!$F$40:$G$48,2,TRUE())</f>
        <v>0.0420238</v>
      </c>
      <c r="K936" s="38" t="n">
        <f aca="false">J936+Inputs!$C$10</f>
        <v>0.1095238</v>
      </c>
      <c r="L936" s="37" t="n">
        <f aca="false">I936*K936/C936</f>
        <v>220.547926027397</v>
      </c>
      <c r="M936" s="37" t="n">
        <f aca="false">IF(AND(A936&gt;=Inputs!$C$13,OR(A936&lt;Inputs!$B$19,Inputs!$B$20=1)),I936*Inputs!$C$11/C936,0)</f>
        <v>40.2739726027397</v>
      </c>
    </row>
    <row r="937" customFormat="false" ht="15" hidden="false" customHeight="false" outlineLevel="0" collapsed="false">
      <c r="A937" s="35" t="n">
        <f aca="false">A936+1</f>
        <v>45744</v>
      </c>
      <c r="B937" s="35" t="n">
        <f aca="false">EOMONTH(A937+1,0)</f>
        <v>45747</v>
      </c>
      <c r="C937" s="36" t="n">
        <f aca="false">IF(MOD(YEAR(A937),4)=0,366,365)</f>
        <v>365</v>
      </c>
      <c r="D937" s="37" t="n">
        <f aca="false">Inputs!$B$9-SUMIFS(Cash_Events!$G$6:$G$20,Cash_Events!$C$6:$C$20,"rAGMF",Cash_Events!$B$6:$B$20,"&lt;="&amp;A937)</f>
        <v>735000</v>
      </c>
      <c r="E937" s="38" t="n">
        <f aca="false">VLOOKUP(A937,Inputs!$A$40:$B$48,2,TRUE())</f>
        <v>0.0419027</v>
      </c>
      <c r="F937" s="38" t="n">
        <f aca="false">E937+Inputs!$B$10</f>
        <v>0.1094027</v>
      </c>
      <c r="G937" s="37" t="n">
        <f aca="false">D937*F937/C937</f>
        <v>220.304067123288</v>
      </c>
      <c r="H937" s="37" t="n">
        <f aca="false">IF(AND(A937&gt;=Inputs!$B$13,OR(A937&lt;Inputs!$B$19,Inputs!$B$20=1)),D937*Inputs!$B$11/C937,0)</f>
        <v>40.2739726027397</v>
      </c>
      <c r="I937" s="37" t="n">
        <f aca="false">Inputs!$C$9-SUMIFS(Cash_Events!$G$6:$G$20,Cash_Events!$C$6:$C$20,"FHL",Cash_Events!$B$6:$B$20,"&lt;="&amp;A937)</f>
        <v>735000</v>
      </c>
      <c r="J937" s="38" t="n">
        <f aca="false">VLOOKUP(A937,Inputs!$F$40:$G$48,2,TRUE())</f>
        <v>0.0420238</v>
      </c>
      <c r="K937" s="38" t="n">
        <f aca="false">J937+Inputs!$C$10</f>
        <v>0.1095238</v>
      </c>
      <c r="L937" s="37" t="n">
        <f aca="false">I937*K937/C937</f>
        <v>220.547926027397</v>
      </c>
      <c r="M937" s="37" t="n">
        <f aca="false">IF(AND(A937&gt;=Inputs!$C$13,OR(A937&lt;Inputs!$B$19,Inputs!$B$20=1)),I937*Inputs!$C$11/C937,0)</f>
        <v>40.2739726027397</v>
      </c>
    </row>
    <row r="938" customFormat="false" ht="15" hidden="false" customHeight="false" outlineLevel="0" collapsed="false">
      <c r="A938" s="35" t="n">
        <f aca="false">A937+1</f>
        <v>45745</v>
      </c>
      <c r="B938" s="35" t="n">
        <f aca="false">EOMONTH(A938+1,0)</f>
        <v>45747</v>
      </c>
      <c r="C938" s="36" t="n">
        <f aca="false">IF(MOD(YEAR(A938),4)=0,366,365)</f>
        <v>365</v>
      </c>
      <c r="D938" s="37" t="n">
        <f aca="false">Inputs!$B$9-SUMIFS(Cash_Events!$G$6:$G$20,Cash_Events!$C$6:$C$20,"rAGMF",Cash_Events!$B$6:$B$20,"&lt;="&amp;A938)</f>
        <v>735000</v>
      </c>
      <c r="E938" s="38" t="n">
        <f aca="false">VLOOKUP(A938,Inputs!$A$40:$B$48,2,TRUE())</f>
        <v>0.0419027</v>
      </c>
      <c r="F938" s="38" t="n">
        <f aca="false">E938+Inputs!$B$10</f>
        <v>0.1094027</v>
      </c>
      <c r="G938" s="37" t="n">
        <f aca="false">D938*F938/C938</f>
        <v>220.304067123288</v>
      </c>
      <c r="H938" s="37" t="n">
        <f aca="false">IF(AND(A938&gt;=Inputs!$B$13,OR(A938&lt;Inputs!$B$19,Inputs!$B$20=1)),D938*Inputs!$B$11/C938,0)</f>
        <v>40.2739726027397</v>
      </c>
      <c r="I938" s="37" t="n">
        <f aca="false">Inputs!$C$9-SUMIFS(Cash_Events!$G$6:$G$20,Cash_Events!$C$6:$C$20,"FHL",Cash_Events!$B$6:$B$20,"&lt;="&amp;A938)</f>
        <v>735000</v>
      </c>
      <c r="J938" s="38" t="n">
        <f aca="false">VLOOKUP(A938,Inputs!$F$40:$G$48,2,TRUE())</f>
        <v>0.0420238</v>
      </c>
      <c r="K938" s="38" t="n">
        <f aca="false">J938+Inputs!$C$10</f>
        <v>0.1095238</v>
      </c>
      <c r="L938" s="37" t="n">
        <f aca="false">I938*K938/C938</f>
        <v>220.547926027397</v>
      </c>
      <c r="M938" s="37" t="n">
        <f aca="false">IF(AND(A938&gt;=Inputs!$C$13,OR(A938&lt;Inputs!$B$19,Inputs!$B$20=1)),I938*Inputs!$C$11/C938,0)</f>
        <v>40.2739726027397</v>
      </c>
    </row>
    <row r="939" customFormat="false" ht="15" hidden="false" customHeight="false" outlineLevel="0" collapsed="false">
      <c r="A939" s="35" t="n">
        <f aca="false">A938+1</f>
        <v>45746</v>
      </c>
      <c r="B939" s="35" t="n">
        <f aca="false">EOMONTH(A939+1,0)</f>
        <v>45747</v>
      </c>
      <c r="C939" s="36" t="n">
        <f aca="false">IF(MOD(YEAR(A939),4)=0,366,365)</f>
        <v>365</v>
      </c>
      <c r="D939" s="37" t="n">
        <f aca="false">Inputs!$B$9-SUMIFS(Cash_Events!$G$6:$G$20,Cash_Events!$C$6:$C$20,"rAGMF",Cash_Events!$B$6:$B$20,"&lt;="&amp;A939)</f>
        <v>735000</v>
      </c>
      <c r="E939" s="38" t="n">
        <f aca="false">VLOOKUP(A939,Inputs!$A$40:$B$48,2,TRUE())</f>
        <v>0.0419027</v>
      </c>
      <c r="F939" s="38" t="n">
        <f aca="false">E939+Inputs!$B$10</f>
        <v>0.1094027</v>
      </c>
      <c r="G939" s="37" t="n">
        <f aca="false">D939*F939/C939</f>
        <v>220.304067123288</v>
      </c>
      <c r="H939" s="37" t="n">
        <f aca="false">IF(AND(A939&gt;=Inputs!$B$13,OR(A939&lt;Inputs!$B$19,Inputs!$B$20=1)),D939*Inputs!$B$11/C939,0)</f>
        <v>40.2739726027397</v>
      </c>
      <c r="I939" s="37" t="n">
        <f aca="false">Inputs!$C$9-SUMIFS(Cash_Events!$G$6:$G$20,Cash_Events!$C$6:$C$20,"FHL",Cash_Events!$B$6:$B$20,"&lt;="&amp;A939)</f>
        <v>735000</v>
      </c>
      <c r="J939" s="38" t="n">
        <f aca="false">VLOOKUP(A939,Inputs!$F$40:$G$48,2,TRUE())</f>
        <v>0.0420238</v>
      </c>
      <c r="K939" s="38" t="n">
        <f aca="false">J939+Inputs!$C$10</f>
        <v>0.1095238</v>
      </c>
      <c r="L939" s="37" t="n">
        <f aca="false">I939*K939/C939</f>
        <v>220.547926027397</v>
      </c>
      <c r="M939" s="37" t="n">
        <f aca="false">IF(AND(A939&gt;=Inputs!$C$13,OR(A939&lt;Inputs!$B$19,Inputs!$B$20=1)),I939*Inputs!$C$11/C939,0)</f>
        <v>40.2739726027397</v>
      </c>
    </row>
    <row r="940" customFormat="false" ht="15" hidden="false" customHeight="false" outlineLevel="0" collapsed="false">
      <c r="A940" s="35" t="n">
        <f aca="false">A939+1</f>
        <v>45747</v>
      </c>
      <c r="B940" s="35" t="n">
        <f aca="false">EOMONTH(A940+1,0)</f>
        <v>45777</v>
      </c>
      <c r="C940" s="36" t="n">
        <f aca="false">IF(MOD(YEAR(A940),4)=0,366,365)</f>
        <v>365</v>
      </c>
      <c r="D940" s="37" t="n">
        <f aca="false">Inputs!$B$9-SUMIFS(Cash_Events!$G$6:$G$20,Cash_Events!$C$6:$C$20,"rAGMF",Cash_Events!$B$6:$B$20,"&lt;="&amp;A940)</f>
        <v>735000</v>
      </c>
      <c r="E940" s="38" t="n">
        <f aca="false">VLOOKUP(A940,Inputs!$A$40:$B$48,2,TRUE())</f>
        <v>0.0419027</v>
      </c>
      <c r="F940" s="38" t="n">
        <f aca="false">E940+Inputs!$B$10</f>
        <v>0.1094027</v>
      </c>
      <c r="G940" s="37" t="n">
        <f aca="false">D940*F940/C940</f>
        <v>220.304067123288</v>
      </c>
      <c r="H940" s="37" t="n">
        <f aca="false">IF(AND(A940&gt;=Inputs!$B$13,OR(A940&lt;Inputs!$B$19,Inputs!$B$20=1)),D940*Inputs!$B$11/C940,0)</f>
        <v>40.2739726027397</v>
      </c>
      <c r="I940" s="37" t="n">
        <f aca="false">Inputs!$C$9-SUMIFS(Cash_Events!$G$6:$G$20,Cash_Events!$C$6:$C$20,"FHL",Cash_Events!$B$6:$B$20,"&lt;="&amp;A940)</f>
        <v>735000</v>
      </c>
      <c r="J940" s="38" t="n">
        <f aca="false">VLOOKUP(A940,Inputs!$F$40:$G$48,2,TRUE())</f>
        <v>0.0420238</v>
      </c>
      <c r="K940" s="38" t="n">
        <f aca="false">J940+Inputs!$C$10</f>
        <v>0.1095238</v>
      </c>
      <c r="L940" s="37" t="n">
        <f aca="false">I940*K940/C940</f>
        <v>220.547926027397</v>
      </c>
      <c r="M940" s="37" t="n">
        <f aca="false">IF(AND(A940&gt;=Inputs!$C$13,OR(A940&lt;Inputs!$B$19,Inputs!$B$20=1)),I940*Inputs!$C$11/C940,0)</f>
        <v>40.2739726027397</v>
      </c>
    </row>
    <row r="941" customFormat="false" ht="15" hidden="false" customHeight="false" outlineLevel="0" collapsed="false">
      <c r="A941" s="35" t="n">
        <f aca="false">A940+1</f>
        <v>45748</v>
      </c>
      <c r="B941" s="35" t="n">
        <f aca="false">EOMONTH(A941+1,0)</f>
        <v>45777</v>
      </c>
      <c r="C941" s="36" t="n">
        <f aca="false">IF(MOD(YEAR(A941),4)=0,366,365)</f>
        <v>365</v>
      </c>
      <c r="D941" s="37" t="n">
        <f aca="false">Inputs!$B$9-SUMIFS(Cash_Events!$G$6:$G$20,Cash_Events!$C$6:$C$20,"rAGMF",Cash_Events!$B$6:$B$20,"&lt;="&amp;A941)</f>
        <v>735000</v>
      </c>
      <c r="E941" s="38" t="n">
        <f aca="false">VLOOKUP(A941,Inputs!$A$40:$B$48,2,TRUE())</f>
        <v>0.0419027</v>
      </c>
      <c r="F941" s="38" t="n">
        <f aca="false">E941+Inputs!$B$10</f>
        <v>0.1094027</v>
      </c>
      <c r="G941" s="37" t="n">
        <f aca="false">D941*F941/C941</f>
        <v>220.304067123288</v>
      </c>
      <c r="H941" s="37" t="n">
        <f aca="false">IF(AND(A941&gt;=Inputs!$B$13,OR(A941&lt;Inputs!$B$19,Inputs!$B$20=1)),D941*Inputs!$B$11/C941,0)</f>
        <v>40.2739726027397</v>
      </c>
      <c r="I941" s="37" t="n">
        <f aca="false">Inputs!$C$9-SUMIFS(Cash_Events!$G$6:$G$20,Cash_Events!$C$6:$C$20,"FHL",Cash_Events!$B$6:$B$20,"&lt;="&amp;A941)</f>
        <v>735000</v>
      </c>
      <c r="J941" s="38" t="n">
        <f aca="false">VLOOKUP(A941,Inputs!$F$40:$G$48,2,TRUE())</f>
        <v>0.0420238</v>
      </c>
      <c r="K941" s="38" t="n">
        <f aca="false">J941+Inputs!$C$10</f>
        <v>0.1095238</v>
      </c>
      <c r="L941" s="37" t="n">
        <f aca="false">I941*K941/C941</f>
        <v>220.547926027397</v>
      </c>
      <c r="M941" s="37" t="n">
        <f aca="false">IF(AND(A941&gt;=Inputs!$C$13,OR(A941&lt;Inputs!$B$19,Inputs!$B$20=1)),I941*Inputs!$C$11/C941,0)</f>
        <v>40.2739726027397</v>
      </c>
    </row>
    <row r="942" customFormat="false" ht="15" hidden="false" customHeight="false" outlineLevel="0" collapsed="false">
      <c r="A942" s="35" t="n">
        <f aca="false">A941+1</f>
        <v>45749</v>
      </c>
      <c r="B942" s="35" t="n">
        <f aca="false">EOMONTH(A942+1,0)</f>
        <v>45777</v>
      </c>
      <c r="C942" s="36" t="n">
        <f aca="false">IF(MOD(YEAR(A942),4)=0,366,365)</f>
        <v>365</v>
      </c>
      <c r="D942" s="37" t="n">
        <f aca="false">Inputs!$B$9-SUMIFS(Cash_Events!$G$6:$G$20,Cash_Events!$C$6:$C$20,"rAGMF",Cash_Events!$B$6:$B$20,"&lt;="&amp;A942)</f>
        <v>735000</v>
      </c>
      <c r="E942" s="38" t="n">
        <f aca="false">VLOOKUP(A942,Inputs!$A$40:$B$48,2,TRUE())</f>
        <v>0.0419027</v>
      </c>
      <c r="F942" s="38" t="n">
        <f aca="false">E942+Inputs!$B$10</f>
        <v>0.1094027</v>
      </c>
      <c r="G942" s="37" t="n">
        <f aca="false">D942*F942/C942</f>
        <v>220.304067123288</v>
      </c>
      <c r="H942" s="37" t="n">
        <f aca="false">IF(AND(A942&gt;=Inputs!$B$13,OR(A942&lt;Inputs!$B$19,Inputs!$B$20=1)),D942*Inputs!$B$11/C942,0)</f>
        <v>40.2739726027397</v>
      </c>
      <c r="I942" s="37" t="n">
        <f aca="false">Inputs!$C$9-SUMIFS(Cash_Events!$G$6:$G$20,Cash_Events!$C$6:$C$20,"FHL",Cash_Events!$B$6:$B$20,"&lt;="&amp;A942)</f>
        <v>735000</v>
      </c>
      <c r="J942" s="38" t="n">
        <f aca="false">VLOOKUP(A942,Inputs!$F$40:$G$48,2,TRUE())</f>
        <v>0.0420238</v>
      </c>
      <c r="K942" s="38" t="n">
        <f aca="false">J942+Inputs!$C$10</f>
        <v>0.1095238</v>
      </c>
      <c r="L942" s="37" t="n">
        <f aca="false">I942*K942/C942</f>
        <v>220.547926027397</v>
      </c>
      <c r="M942" s="37" t="n">
        <f aca="false">IF(AND(A942&gt;=Inputs!$C$13,OR(A942&lt;Inputs!$B$19,Inputs!$B$20=1)),I942*Inputs!$C$11/C942,0)</f>
        <v>40.2739726027397</v>
      </c>
    </row>
    <row r="943" customFormat="false" ht="15" hidden="false" customHeight="false" outlineLevel="0" collapsed="false">
      <c r="A943" s="35" t="n">
        <f aca="false">A942+1</f>
        <v>45750</v>
      </c>
      <c r="B943" s="35" t="n">
        <f aca="false">EOMONTH(A943+1,0)</f>
        <v>45777</v>
      </c>
      <c r="C943" s="36" t="n">
        <f aca="false">IF(MOD(YEAR(A943),4)=0,366,365)</f>
        <v>365</v>
      </c>
      <c r="D943" s="37" t="n">
        <f aca="false">Inputs!$B$9-SUMIFS(Cash_Events!$G$6:$G$20,Cash_Events!$C$6:$C$20,"rAGMF",Cash_Events!$B$6:$B$20,"&lt;="&amp;A943)</f>
        <v>735000</v>
      </c>
      <c r="E943" s="38" t="n">
        <f aca="false">VLOOKUP(A943,Inputs!$A$40:$B$48,2,TRUE())</f>
        <v>0.0419027</v>
      </c>
      <c r="F943" s="38" t="n">
        <f aca="false">E943+Inputs!$B$10</f>
        <v>0.1094027</v>
      </c>
      <c r="G943" s="37" t="n">
        <f aca="false">D943*F943/C943</f>
        <v>220.304067123288</v>
      </c>
      <c r="H943" s="37" t="n">
        <f aca="false">IF(AND(A943&gt;=Inputs!$B$13,OR(A943&lt;Inputs!$B$19,Inputs!$B$20=1)),D943*Inputs!$B$11/C943,0)</f>
        <v>40.2739726027397</v>
      </c>
      <c r="I943" s="37" t="n">
        <f aca="false">Inputs!$C$9-SUMIFS(Cash_Events!$G$6:$G$20,Cash_Events!$C$6:$C$20,"FHL",Cash_Events!$B$6:$B$20,"&lt;="&amp;A943)</f>
        <v>735000</v>
      </c>
      <c r="J943" s="38" t="n">
        <f aca="false">VLOOKUP(A943,Inputs!$F$40:$G$48,2,TRUE())</f>
        <v>0.0420238</v>
      </c>
      <c r="K943" s="38" t="n">
        <f aca="false">J943+Inputs!$C$10</f>
        <v>0.1095238</v>
      </c>
      <c r="L943" s="37" t="n">
        <f aca="false">I943*K943/C943</f>
        <v>220.547926027397</v>
      </c>
      <c r="M943" s="37" t="n">
        <f aca="false">IF(AND(A943&gt;=Inputs!$C$13,OR(A943&lt;Inputs!$B$19,Inputs!$B$20=1)),I943*Inputs!$C$11/C943,0)</f>
        <v>40.2739726027397</v>
      </c>
    </row>
    <row r="944" customFormat="false" ht="15" hidden="false" customHeight="false" outlineLevel="0" collapsed="false">
      <c r="A944" s="35" t="n">
        <f aca="false">A943+1</f>
        <v>45751</v>
      </c>
      <c r="B944" s="35" t="n">
        <f aca="false">EOMONTH(A944+1,0)</f>
        <v>45777</v>
      </c>
      <c r="C944" s="36" t="n">
        <f aca="false">IF(MOD(YEAR(A944),4)=0,366,365)</f>
        <v>365</v>
      </c>
      <c r="D944" s="37" t="n">
        <f aca="false">Inputs!$B$9-SUMIFS(Cash_Events!$G$6:$G$20,Cash_Events!$C$6:$C$20,"rAGMF",Cash_Events!$B$6:$B$20,"&lt;="&amp;A944)</f>
        <v>735000</v>
      </c>
      <c r="E944" s="38" t="n">
        <f aca="false">VLOOKUP(A944,Inputs!$A$40:$B$48,2,TRUE())</f>
        <v>0.0419027</v>
      </c>
      <c r="F944" s="38" t="n">
        <f aca="false">E944+Inputs!$B$10</f>
        <v>0.1094027</v>
      </c>
      <c r="G944" s="37" t="n">
        <f aca="false">D944*F944/C944</f>
        <v>220.304067123288</v>
      </c>
      <c r="H944" s="37" t="n">
        <f aca="false">IF(AND(A944&gt;=Inputs!$B$13,OR(A944&lt;Inputs!$B$19,Inputs!$B$20=1)),D944*Inputs!$B$11/C944,0)</f>
        <v>40.2739726027397</v>
      </c>
      <c r="I944" s="37" t="n">
        <f aca="false">Inputs!$C$9-SUMIFS(Cash_Events!$G$6:$G$20,Cash_Events!$C$6:$C$20,"FHL",Cash_Events!$B$6:$B$20,"&lt;="&amp;A944)</f>
        <v>735000</v>
      </c>
      <c r="J944" s="38" t="n">
        <f aca="false">VLOOKUP(A944,Inputs!$F$40:$G$48,2,TRUE())</f>
        <v>0.0420238</v>
      </c>
      <c r="K944" s="38" t="n">
        <f aca="false">J944+Inputs!$C$10</f>
        <v>0.1095238</v>
      </c>
      <c r="L944" s="37" t="n">
        <f aca="false">I944*K944/C944</f>
        <v>220.547926027397</v>
      </c>
      <c r="M944" s="37" t="n">
        <f aca="false">IF(AND(A944&gt;=Inputs!$C$13,OR(A944&lt;Inputs!$B$19,Inputs!$B$20=1)),I944*Inputs!$C$11/C944,0)</f>
        <v>40.2739726027397</v>
      </c>
    </row>
    <row r="945" customFormat="false" ht="15" hidden="false" customHeight="false" outlineLevel="0" collapsed="false">
      <c r="A945" s="35" t="n">
        <f aca="false">A944+1</f>
        <v>45752</v>
      </c>
      <c r="B945" s="35" t="n">
        <f aca="false">EOMONTH(A945+1,0)</f>
        <v>45777</v>
      </c>
      <c r="C945" s="36" t="n">
        <f aca="false">IF(MOD(YEAR(A945),4)=0,366,365)</f>
        <v>365</v>
      </c>
      <c r="D945" s="37" t="n">
        <f aca="false">Inputs!$B$9-SUMIFS(Cash_Events!$G$6:$G$20,Cash_Events!$C$6:$C$20,"rAGMF",Cash_Events!$B$6:$B$20,"&lt;="&amp;A945)</f>
        <v>735000</v>
      </c>
      <c r="E945" s="38" t="n">
        <f aca="false">VLOOKUP(A945,Inputs!$A$40:$B$48,2,TRUE())</f>
        <v>0.0419027</v>
      </c>
      <c r="F945" s="38" t="n">
        <f aca="false">E945+Inputs!$B$10</f>
        <v>0.1094027</v>
      </c>
      <c r="G945" s="37" t="n">
        <f aca="false">D945*F945/C945</f>
        <v>220.304067123288</v>
      </c>
      <c r="H945" s="37" t="n">
        <f aca="false">IF(AND(A945&gt;=Inputs!$B$13,OR(A945&lt;Inputs!$B$19,Inputs!$B$20=1)),D945*Inputs!$B$11/C945,0)</f>
        <v>40.2739726027397</v>
      </c>
      <c r="I945" s="37" t="n">
        <f aca="false">Inputs!$C$9-SUMIFS(Cash_Events!$G$6:$G$20,Cash_Events!$C$6:$C$20,"FHL",Cash_Events!$B$6:$B$20,"&lt;="&amp;A945)</f>
        <v>735000</v>
      </c>
      <c r="J945" s="38" t="n">
        <f aca="false">VLOOKUP(A945,Inputs!$F$40:$G$48,2,TRUE())</f>
        <v>0.0420238</v>
      </c>
      <c r="K945" s="38" t="n">
        <f aca="false">J945+Inputs!$C$10</f>
        <v>0.1095238</v>
      </c>
      <c r="L945" s="37" t="n">
        <f aca="false">I945*K945/C945</f>
        <v>220.547926027397</v>
      </c>
      <c r="M945" s="37" t="n">
        <f aca="false">IF(AND(A945&gt;=Inputs!$C$13,OR(A945&lt;Inputs!$B$19,Inputs!$B$20=1)),I945*Inputs!$C$11/C945,0)</f>
        <v>40.2739726027397</v>
      </c>
    </row>
    <row r="946" customFormat="false" ht="15" hidden="false" customHeight="false" outlineLevel="0" collapsed="false">
      <c r="A946" s="35" t="n">
        <f aca="false">A945+1</f>
        <v>45753</v>
      </c>
      <c r="B946" s="35" t="n">
        <f aca="false">EOMONTH(A946+1,0)</f>
        <v>45777</v>
      </c>
      <c r="C946" s="36" t="n">
        <f aca="false">IF(MOD(YEAR(A946),4)=0,366,365)</f>
        <v>365</v>
      </c>
      <c r="D946" s="37" t="n">
        <f aca="false">Inputs!$B$9-SUMIFS(Cash_Events!$G$6:$G$20,Cash_Events!$C$6:$C$20,"rAGMF",Cash_Events!$B$6:$B$20,"&lt;="&amp;A946)</f>
        <v>735000</v>
      </c>
      <c r="E946" s="38" t="n">
        <f aca="false">VLOOKUP(A946,Inputs!$A$40:$B$48,2,TRUE())</f>
        <v>0.0419027</v>
      </c>
      <c r="F946" s="38" t="n">
        <f aca="false">E946+Inputs!$B$10</f>
        <v>0.1094027</v>
      </c>
      <c r="G946" s="37" t="n">
        <f aca="false">D946*F946/C946</f>
        <v>220.304067123288</v>
      </c>
      <c r="H946" s="37" t="n">
        <f aca="false">IF(AND(A946&gt;=Inputs!$B$13,OR(A946&lt;Inputs!$B$19,Inputs!$B$20=1)),D946*Inputs!$B$11/C946,0)</f>
        <v>40.2739726027397</v>
      </c>
      <c r="I946" s="37" t="n">
        <f aca="false">Inputs!$C$9-SUMIFS(Cash_Events!$G$6:$G$20,Cash_Events!$C$6:$C$20,"FHL",Cash_Events!$B$6:$B$20,"&lt;="&amp;A946)</f>
        <v>735000</v>
      </c>
      <c r="J946" s="38" t="n">
        <f aca="false">VLOOKUP(A946,Inputs!$F$40:$G$48,2,TRUE())</f>
        <v>0.0420238</v>
      </c>
      <c r="K946" s="38" t="n">
        <f aca="false">J946+Inputs!$C$10</f>
        <v>0.1095238</v>
      </c>
      <c r="L946" s="37" t="n">
        <f aca="false">I946*K946/C946</f>
        <v>220.547926027397</v>
      </c>
      <c r="M946" s="37" t="n">
        <f aca="false">IF(AND(A946&gt;=Inputs!$C$13,OR(A946&lt;Inputs!$B$19,Inputs!$B$20=1)),I946*Inputs!$C$11/C946,0)</f>
        <v>40.2739726027397</v>
      </c>
    </row>
    <row r="947" customFormat="false" ht="15" hidden="false" customHeight="false" outlineLevel="0" collapsed="false">
      <c r="A947" s="35" t="n">
        <f aca="false">A946+1</f>
        <v>45754</v>
      </c>
      <c r="B947" s="35" t="n">
        <f aca="false">EOMONTH(A947+1,0)</f>
        <v>45777</v>
      </c>
      <c r="C947" s="36" t="n">
        <f aca="false">IF(MOD(YEAR(A947),4)=0,366,365)</f>
        <v>365</v>
      </c>
      <c r="D947" s="37" t="n">
        <f aca="false">Inputs!$B$9-SUMIFS(Cash_Events!$G$6:$G$20,Cash_Events!$C$6:$C$20,"rAGMF",Cash_Events!$B$6:$B$20,"&lt;="&amp;A947)</f>
        <v>735000</v>
      </c>
      <c r="E947" s="38" t="n">
        <f aca="false">VLOOKUP(A947,Inputs!$A$40:$B$48,2,TRUE())</f>
        <v>0.0419027</v>
      </c>
      <c r="F947" s="38" t="n">
        <f aca="false">E947+Inputs!$B$10</f>
        <v>0.1094027</v>
      </c>
      <c r="G947" s="37" t="n">
        <f aca="false">D947*F947/C947</f>
        <v>220.304067123288</v>
      </c>
      <c r="H947" s="37" t="n">
        <f aca="false">IF(AND(A947&gt;=Inputs!$B$13,OR(A947&lt;Inputs!$B$19,Inputs!$B$20=1)),D947*Inputs!$B$11/C947,0)</f>
        <v>40.2739726027397</v>
      </c>
      <c r="I947" s="37" t="n">
        <f aca="false">Inputs!$C$9-SUMIFS(Cash_Events!$G$6:$G$20,Cash_Events!$C$6:$C$20,"FHL",Cash_Events!$B$6:$B$20,"&lt;="&amp;A947)</f>
        <v>735000</v>
      </c>
      <c r="J947" s="38" t="n">
        <f aca="false">VLOOKUP(A947,Inputs!$F$40:$G$48,2,TRUE())</f>
        <v>0.0420238</v>
      </c>
      <c r="K947" s="38" t="n">
        <f aca="false">J947+Inputs!$C$10</f>
        <v>0.1095238</v>
      </c>
      <c r="L947" s="37" t="n">
        <f aca="false">I947*K947/C947</f>
        <v>220.547926027397</v>
      </c>
      <c r="M947" s="37" t="n">
        <f aca="false">IF(AND(A947&gt;=Inputs!$C$13,OR(A947&lt;Inputs!$B$19,Inputs!$B$20=1)),I947*Inputs!$C$11/C947,0)</f>
        <v>40.2739726027397</v>
      </c>
    </row>
    <row r="948" customFormat="false" ht="15" hidden="false" customHeight="false" outlineLevel="0" collapsed="false">
      <c r="A948" s="35" t="n">
        <f aca="false">A947+1</f>
        <v>45755</v>
      </c>
      <c r="B948" s="35" t="n">
        <f aca="false">EOMONTH(A948+1,0)</f>
        <v>45777</v>
      </c>
      <c r="C948" s="36" t="n">
        <f aca="false">IF(MOD(YEAR(A948),4)=0,366,365)</f>
        <v>365</v>
      </c>
      <c r="D948" s="37" t="n">
        <f aca="false">Inputs!$B$9-SUMIFS(Cash_Events!$G$6:$G$20,Cash_Events!$C$6:$C$20,"rAGMF",Cash_Events!$B$6:$B$20,"&lt;="&amp;A948)</f>
        <v>735000</v>
      </c>
      <c r="E948" s="38" t="n">
        <f aca="false">VLOOKUP(A948,Inputs!$A$40:$B$48,2,TRUE())</f>
        <v>0.0419027</v>
      </c>
      <c r="F948" s="38" t="n">
        <f aca="false">E948+Inputs!$B$10</f>
        <v>0.1094027</v>
      </c>
      <c r="G948" s="37" t="n">
        <f aca="false">D948*F948/C948</f>
        <v>220.304067123288</v>
      </c>
      <c r="H948" s="37" t="n">
        <f aca="false">IF(AND(A948&gt;=Inputs!$B$13,OR(A948&lt;Inputs!$B$19,Inputs!$B$20=1)),D948*Inputs!$B$11/C948,0)</f>
        <v>40.2739726027397</v>
      </c>
      <c r="I948" s="37" t="n">
        <f aca="false">Inputs!$C$9-SUMIFS(Cash_Events!$G$6:$G$20,Cash_Events!$C$6:$C$20,"FHL",Cash_Events!$B$6:$B$20,"&lt;="&amp;A948)</f>
        <v>735000</v>
      </c>
      <c r="J948" s="38" t="n">
        <f aca="false">VLOOKUP(A948,Inputs!$F$40:$G$48,2,TRUE())</f>
        <v>0.0420238</v>
      </c>
      <c r="K948" s="38" t="n">
        <f aca="false">J948+Inputs!$C$10</f>
        <v>0.1095238</v>
      </c>
      <c r="L948" s="37" t="n">
        <f aca="false">I948*K948/C948</f>
        <v>220.547926027397</v>
      </c>
      <c r="M948" s="37" t="n">
        <f aca="false">IF(AND(A948&gt;=Inputs!$C$13,OR(A948&lt;Inputs!$B$19,Inputs!$B$20=1)),I948*Inputs!$C$11/C948,0)</f>
        <v>40.2739726027397</v>
      </c>
    </row>
    <row r="949" customFormat="false" ht="15" hidden="false" customHeight="false" outlineLevel="0" collapsed="false">
      <c r="A949" s="35" t="n">
        <f aca="false">A948+1</f>
        <v>45756</v>
      </c>
      <c r="B949" s="35" t="n">
        <f aca="false">EOMONTH(A949+1,0)</f>
        <v>45777</v>
      </c>
      <c r="C949" s="36" t="n">
        <f aca="false">IF(MOD(YEAR(A949),4)=0,366,365)</f>
        <v>365</v>
      </c>
      <c r="D949" s="37" t="n">
        <f aca="false">Inputs!$B$9-SUMIFS(Cash_Events!$G$6:$G$20,Cash_Events!$C$6:$C$20,"rAGMF",Cash_Events!$B$6:$B$20,"&lt;="&amp;A949)</f>
        <v>735000</v>
      </c>
      <c r="E949" s="38" t="n">
        <f aca="false">VLOOKUP(A949,Inputs!$A$40:$B$48,2,TRUE())</f>
        <v>0.0419027</v>
      </c>
      <c r="F949" s="38" t="n">
        <f aca="false">E949+Inputs!$B$10</f>
        <v>0.1094027</v>
      </c>
      <c r="G949" s="37" t="n">
        <f aca="false">D949*F949/C949</f>
        <v>220.304067123288</v>
      </c>
      <c r="H949" s="37" t="n">
        <f aca="false">IF(AND(A949&gt;=Inputs!$B$13,OR(A949&lt;Inputs!$B$19,Inputs!$B$20=1)),D949*Inputs!$B$11/C949,0)</f>
        <v>40.2739726027397</v>
      </c>
      <c r="I949" s="37" t="n">
        <f aca="false">Inputs!$C$9-SUMIFS(Cash_Events!$G$6:$G$20,Cash_Events!$C$6:$C$20,"FHL",Cash_Events!$B$6:$B$20,"&lt;="&amp;A949)</f>
        <v>735000</v>
      </c>
      <c r="J949" s="38" t="n">
        <f aca="false">VLOOKUP(A949,Inputs!$F$40:$G$48,2,TRUE())</f>
        <v>0.0420238</v>
      </c>
      <c r="K949" s="38" t="n">
        <f aca="false">J949+Inputs!$C$10</f>
        <v>0.1095238</v>
      </c>
      <c r="L949" s="37" t="n">
        <f aca="false">I949*K949/C949</f>
        <v>220.547926027397</v>
      </c>
      <c r="M949" s="37" t="n">
        <f aca="false">IF(AND(A949&gt;=Inputs!$C$13,OR(A949&lt;Inputs!$B$19,Inputs!$B$20=1)),I949*Inputs!$C$11/C949,0)</f>
        <v>40.2739726027397</v>
      </c>
    </row>
    <row r="950" customFormat="false" ht="15" hidden="false" customHeight="false" outlineLevel="0" collapsed="false">
      <c r="A950" s="35" t="n">
        <f aca="false">A949+1</f>
        <v>45757</v>
      </c>
      <c r="B950" s="35" t="n">
        <f aca="false">EOMONTH(A950+1,0)</f>
        <v>45777</v>
      </c>
      <c r="C950" s="36" t="n">
        <f aca="false">IF(MOD(YEAR(A950),4)=0,366,365)</f>
        <v>365</v>
      </c>
      <c r="D950" s="37" t="n">
        <f aca="false">Inputs!$B$9-SUMIFS(Cash_Events!$G$6:$G$20,Cash_Events!$C$6:$C$20,"rAGMF",Cash_Events!$B$6:$B$20,"&lt;="&amp;A950)</f>
        <v>735000</v>
      </c>
      <c r="E950" s="38" t="n">
        <f aca="false">VLOOKUP(A950,Inputs!$A$40:$B$48,2,TRUE())</f>
        <v>0.0419027</v>
      </c>
      <c r="F950" s="38" t="n">
        <f aca="false">E950+Inputs!$B$10</f>
        <v>0.1094027</v>
      </c>
      <c r="G950" s="37" t="n">
        <f aca="false">D950*F950/C950</f>
        <v>220.304067123288</v>
      </c>
      <c r="H950" s="37" t="n">
        <f aca="false">IF(AND(A950&gt;=Inputs!$B$13,OR(A950&lt;Inputs!$B$19,Inputs!$B$20=1)),D950*Inputs!$B$11/C950,0)</f>
        <v>40.2739726027397</v>
      </c>
      <c r="I950" s="37" t="n">
        <f aca="false">Inputs!$C$9-SUMIFS(Cash_Events!$G$6:$G$20,Cash_Events!$C$6:$C$20,"FHL",Cash_Events!$B$6:$B$20,"&lt;="&amp;A950)</f>
        <v>735000</v>
      </c>
      <c r="J950" s="38" t="n">
        <f aca="false">VLOOKUP(A950,Inputs!$F$40:$G$48,2,TRUE())</f>
        <v>0.0420238</v>
      </c>
      <c r="K950" s="38" t="n">
        <f aca="false">J950+Inputs!$C$10</f>
        <v>0.1095238</v>
      </c>
      <c r="L950" s="37" t="n">
        <f aca="false">I950*K950/C950</f>
        <v>220.547926027397</v>
      </c>
      <c r="M950" s="37" t="n">
        <f aca="false">IF(AND(A950&gt;=Inputs!$C$13,OR(A950&lt;Inputs!$B$19,Inputs!$B$20=1)),I950*Inputs!$C$11/C950,0)</f>
        <v>40.2739726027397</v>
      </c>
    </row>
    <row r="951" customFormat="false" ht="15" hidden="false" customHeight="false" outlineLevel="0" collapsed="false">
      <c r="A951" s="35" t="n">
        <f aca="false">A950+1</f>
        <v>45758</v>
      </c>
      <c r="B951" s="35" t="n">
        <f aca="false">EOMONTH(A951+1,0)</f>
        <v>45777</v>
      </c>
      <c r="C951" s="36" t="n">
        <f aca="false">IF(MOD(YEAR(A951),4)=0,366,365)</f>
        <v>365</v>
      </c>
      <c r="D951" s="37" t="n">
        <f aca="false">Inputs!$B$9-SUMIFS(Cash_Events!$G$6:$G$20,Cash_Events!$C$6:$C$20,"rAGMF",Cash_Events!$B$6:$B$20,"&lt;="&amp;A951)</f>
        <v>735000</v>
      </c>
      <c r="E951" s="38" t="n">
        <f aca="false">VLOOKUP(A951,Inputs!$A$40:$B$48,2,TRUE())</f>
        <v>0.0419027</v>
      </c>
      <c r="F951" s="38" t="n">
        <f aca="false">E951+Inputs!$B$10</f>
        <v>0.1094027</v>
      </c>
      <c r="G951" s="37" t="n">
        <f aca="false">D951*F951/C951</f>
        <v>220.304067123288</v>
      </c>
      <c r="H951" s="37" t="n">
        <f aca="false">IF(AND(A951&gt;=Inputs!$B$13,OR(A951&lt;Inputs!$B$19,Inputs!$B$20=1)),D951*Inputs!$B$11/C951,0)</f>
        <v>40.2739726027397</v>
      </c>
      <c r="I951" s="37" t="n">
        <f aca="false">Inputs!$C$9-SUMIFS(Cash_Events!$G$6:$G$20,Cash_Events!$C$6:$C$20,"FHL",Cash_Events!$B$6:$B$20,"&lt;="&amp;A951)</f>
        <v>735000</v>
      </c>
      <c r="J951" s="38" t="n">
        <f aca="false">VLOOKUP(A951,Inputs!$F$40:$G$48,2,TRUE())</f>
        <v>0.0420238</v>
      </c>
      <c r="K951" s="38" t="n">
        <f aca="false">J951+Inputs!$C$10</f>
        <v>0.1095238</v>
      </c>
      <c r="L951" s="37" t="n">
        <f aca="false">I951*K951/C951</f>
        <v>220.547926027397</v>
      </c>
      <c r="M951" s="37" t="n">
        <f aca="false">IF(AND(A951&gt;=Inputs!$C$13,OR(A951&lt;Inputs!$B$19,Inputs!$B$20=1)),I951*Inputs!$C$11/C951,0)</f>
        <v>40.2739726027397</v>
      </c>
    </row>
    <row r="952" customFormat="false" ht="15" hidden="false" customHeight="false" outlineLevel="0" collapsed="false">
      <c r="A952" s="35" t="n">
        <f aca="false">A951+1</f>
        <v>45759</v>
      </c>
      <c r="B952" s="35" t="n">
        <f aca="false">EOMONTH(A952+1,0)</f>
        <v>45777</v>
      </c>
      <c r="C952" s="36" t="n">
        <f aca="false">IF(MOD(YEAR(A952),4)=0,366,365)</f>
        <v>365</v>
      </c>
      <c r="D952" s="37" t="n">
        <f aca="false">Inputs!$B$9-SUMIFS(Cash_Events!$G$6:$G$20,Cash_Events!$C$6:$C$20,"rAGMF",Cash_Events!$B$6:$B$20,"&lt;="&amp;A952)</f>
        <v>735000</v>
      </c>
      <c r="E952" s="38" t="n">
        <f aca="false">VLOOKUP(A952,Inputs!$A$40:$B$48,2,TRUE())</f>
        <v>0.0419027</v>
      </c>
      <c r="F952" s="38" t="n">
        <f aca="false">E952+Inputs!$B$10</f>
        <v>0.1094027</v>
      </c>
      <c r="G952" s="37" t="n">
        <f aca="false">D952*F952/C952</f>
        <v>220.304067123288</v>
      </c>
      <c r="H952" s="37" t="n">
        <f aca="false">IF(AND(A952&gt;=Inputs!$B$13,OR(A952&lt;Inputs!$B$19,Inputs!$B$20=1)),D952*Inputs!$B$11/C952,0)</f>
        <v>40.2739726027397</v>
      </c>
      <c r="I952" s="37" t="n">
        <f aca="false">Inputs!$C$9-SUMIFS(Cash_Events!$G$6:$G$20,Cash_Events!$C$6:$C$20,"FHL",Cash_Events!$B$6:$B$20,"&lt;="&amp;A952)</f>
        <v>735000</v>
      </c>
      <c r="J952" s="38" t="n">
        <f aca="false">VLOOKUP(A952,Inputs!$F$40:$G$48,2,TRUE())</f>
        <v>0.0420238</v>
      </c>
      <c r="K952" s="38" t="n">
        <f aca="false">J952+Inputs!$C$10</f>
        <v>0.1095238</v>
      </c>
      <c r="L952" s="37" t="n">
        <f aca="false">I952*K952/C952</f>
        <v>220.547926027397</v>
      </c>
      <c r="M952" s="37" t="n">
        <f aca="false">IF(AND(A952&gt;=Inputs!$C$13,OR(A952&lt;Inputs!$B$19,Inputs!$B$20=1)),I952*Inputs!$C$11/C952,0)</f>
        <v>40.2739726027397</v>
      </c>
    </row>
    <row r="953" customFormat="false" ht="15" hidden="false" customHeight="false" outlineLevel="0" collapsed="false">
      <c r="A953" s="35" t="n">
        <f aca="false">A952+1</f>
        <v>45760</v>
      </c>
      <c r="B953" s="35" t="n">
        <f aca="false">EOMONTH(A953+1,0)</f>
        <v>45777</v>
      </c>
      <c r="C953" s="36" t="n">
        <f aca="false">IF(MOD(YEAR(A953),4)=0,366,365)</f>
        <v>365</v>
      </c>
      <c r="D953" s="37" t="n">
        <f aca="false">Inputs!$B$9-SUMIFS(Cash_Events!$G$6:$G$20,Cash_Events!$C$6:$C$20,"rAGMF",Cash_Events!$B$6:$B$20,"&lt;="&amp;A953)</f>
        <v>735000</v>
      </c>
      <c r="E953" s="38" t="n">
        <f aca="false">VLOOKUP(A953,Inputs!$A$40:$B$48,2,TRUE())</f>
        <v>0.0419027</v>
      </c>
      <c r="F953" s="38" t="n">
        <f aca="false">E953+Inputs!$B$10</f>
        <v>0.1094027</v>
      </c>
      <c r="G953" s="37" t="n">
        <f aca="false">D953*F953/C953</f>
        <v>220.304067123288</v>
      </c>
      <c r="H953" s="37" t="n">
        <f aca="false">IF(AND(A953&gt;=Inputs!$B$13,OR(A953&lt;Inputs!$B$19,Inputs!$B$20=1)),D953*Inputs!$B$11/C953,0)</f>
        <v>40.2739726027397</v>
      </c>
      <c r="I953" s="37" t="n">
        <f aca="false">Inputs!$C$9-SUMIFS(Cash_Events!$G$6:$G$20,Cash_Events!$C$6:$C$20,"FHL",Cash_Events!$B$6:$B$20,"&lt;="&amp;A953)</f>
        <v>735000</v>
      </c>
      <c r="J953" s="38" t="n">
        <f aca="false">VLOOKUP(A953,Inputs!$F$40:$G$48,2,TRUE())</f>
        <v>0.0420238</v>
      </c>
      <c r="K953" s="38" t="n">
        <f aca="false">J953+Inputs!$C$10</f>
        <v>0.1095238</v>
      </c>
      <c r="L953" s="37" t="n">
        <f aca="false">I953*K953/C953</f>
        <v>220.547926027397</v>
      </c>
      <c r="M953" s="37" t="n">
        <f aca="false">IF(AND(A953&gt;=Inputs!$C$13,OR(A953&lt;Inputs!$B$19,Inputs!$B$20=1)),I953*Inputs!$C$11/C953,0)</f>
        <v>40.2739726027397</v>
      </c>
    </row>
    <row r="954" customFormat="false" ht="15" hidden="false" customHeight="false" outlineLevel="0" collapsed="false">
      <c r="A954" s="35" t="n">
        <f aca="false">A953+1</f>
        <v>45761</v>
      </c>
      <c r="B954" s="35" t="n">
        <f aca="false">EOMONTH(A954+1,0)</f>
        <v>45777</v>
      </c>
      <c r="C954" s="36" t="n">
        <f aca="false">IF(MOD(YEAR(A954),4)=0,366,365)</f>
        <v>365</v>
      </c>
      <c r="D954" s="37" t="n">
        <f aca="false">Inputs!$B$9-SUMIFS(Cash_Events!$G$6:$G$20,Cash_Events!$C$6:$C$20,"rAGMF",Cash_Events!$B$6:$B$20,"&lt;="&amp;A954)</f>
        <v>735000</v>
      </c>
      <c r="E954" s="38" t="n">
        <f aca="false">VLOOKUP(A954,Inputs!$A$40:$B$48,2,TRUE())</f>
        <v>0.0419027</v>
      </c>
      <c r="F954" s="38" t="n">
        <f aca="false">E954+Inputs!$B$10</f>
        <v>0.1094027</v>
      </c>
      <c r="G954" s="37" t="n">
        <f aca="false">D954*F954/C954</f>
        <v>220.304067123288</v>
      </c>
      <c r="H954" s="37" t="n">
        <f aca="false">IF(AND(A954&gt;=Inputs!$B$13,OR(A954&lt;Inputs!$B$19,Inputs!$B$20=1)),D954*Inputs!$B$11/C954,0)</f>
        <v>40.2739726027397</v>
      </c>
      <c r="I954" s="37" t="n">
        <f aca="false">Inputs!$C$9-SUMIFS(Cash_Events!$G$6:$G$20,Cash_Events!$C$6:$C$20,"FHL",Cash_Events!$B$6:$B$20,"&lt;="&amp;A954)</f>
        <v>735000</v>
      </c>
      <c r="J954" s="38" t="n">
        <f aca="false">VLOOKUP(A954,Inputs!$F$40:$G$48,2,TRUE())</f>
        <v>0.0420238</v>
      </c>
      <c r="K954" s="38" t="n">
        <f aca="false">J954+Inputs!$C$10</f>
        <v>0.1095238</v>
      </c>
      <c r="L954" s="37" t="n">
        <f aca="false">I954*K954/C954</f>
        <v>220.547926027397</v>
      </c>
      <c r="M954" s="37" t="n">
        <f aca="false">IF(AND(A954&gt;=Inputs!$C$13,OR(A954&lt;Inputs!$B$19,Inputs!$B$20=1)),I954*Inputs!$C$11/C954,0)</f>
        <v>40.2739726027397</v>
      </c>
    </row>
    <row r="955" customFormat="false" ht="15" hidden="false" customHeight="false" outlineLevel="0" collapsed="false">
      <c r="A955" s="35" t="n">
        <f aca="false">A954+1</f>
        <v>45762</v>
      </c>
      <c r="B955" s="35" t="n">
        <f aca="false">EOMONTH(A955+1,0)</f>
        <v>45777</v>
      </c>
      <c r="C955" s="36" t="n">
        <f aca="false">IF(MOD(YEAR(A955),4)=0,366,365)</f>
        <v>365</v>
      </c>
      <c r="D955" s="37" t="n">
        <f aca="false">Inputs!$B$9-SUMIFS(Cash_Events!$G$6:$G$20,Cash_Events!$C$6:$C$20,"rAGMF",Cash_Events!$B$6:$B$20,"&lt;="&amp;A955)</f>
        <v>735000</v>
      </c>
      <c r="E955" s="38" t="n">
        <f aca="false">VLOOKUP(A955,Inputs!$A$40:$B$48,2,TRUE())</f>
        <v>0.0419027</v>
      </c>
      <c r="F955" s="38" t="n">
        <f aca="false">E955+Inputs!$B$10</f>
        <v>0.1094027</v>
      </c>
      <c r="G955" s="37" t="n">
        <f aca="false">D955*F955/C955</f>
        <v>220.304067123288</v>
      </c>
      <c r="H955" s="37" t="n">
        <f aca="false">IF(AND(A955&gt;=Inputs!$B$13,OR(A955&lt;Inputs!$B$19,Inputs!$B$20=1)),D955*Inputs!$B$11/C955,0)</f>
        <v>40.2739726027397</v>
      </c>
      <c r="I955" s="37" t="n">
        <f aca="false">Inputs!$C$9-SUMIFS(Cash_Events!$G$6:$G$20,Cash_Events!$C$6:$C$20,"FHL",Cash_Events!$B$6:$B$20,"&lt;="&amp;A955)</f>
        <v>735000</v>
      </c>
      <c r="J955" s="38" t="n">
        <f aca="false">VLOOKUP(A955,Inputs!$F$40:$G$48,2,TRUE())</f>
        <v>0.0420238</v>
      </c>
      <c r="K955" s="38" t="n">
        <f aca="false">J955+Inputs!$C$10</f>
        <v>0.1095238</v>
      </c>
      <c r="L955" s="37" t="n">
        <f aca="false">I955*K955/C955</f>
        <v>220.547926027397</v>
      </c>
      <c r="M955" s="37" t="n">
        <f aca="false">IF(AND(A955&gt;=Inputs!$C$13,OR(A955&lt;Inputs!$B$19,Inputs!$B$20=1)),I955*Inputs!$C$11/C955,0)</f>
        <v>40.2739726027397</v>
      </c>
    </row>
    <row r="956" customFormat="false" ht="15" hidden="false" customHeight="false" outlineLevel="0" collapsed="false">
      <c r="A956" s="35" t="n">
        <f aca="false">A955+1</f>
        <v>45763</v>
      </c>
      <c r="B956" s="35" t="n">
        <f aca="false">EOMONTH(A956+1,0)</f>
        <v>45777</v>
      </c>
      <c r="C956" s="36" t="n">
        <f aca="false">IF(MOD(YEAR(A956),4)=0,366,365)</f>
        <v>365</v>
      </c>
      <c r="D956" s="37" t="n">
        <f aca="false">Inputs!$B$9-SUMIFS(Cash_Events!$G$6:$G$20,Cash_Events!$C$6:$C$20,"rAGMF",Cash_Events!$B$6:$B$20,"&lt;="&amp;A956)</f>
        <v>735000</v>
      </c>
      <c r="E956" s="38" t="n">
        <f aca="false">VLOOKUP(A956,Inputs!$A$40:$B$48,2,TRUE())</f>
        <v>0.0419027</v>
      </c>
      <c r="F956" s="38" t="n">
        <f aca="false">E956+Inputs!$B$10</f>
        <v>0.1094027</v>
      </c>
      <c r="G956" s="37" t="n">
        <f aca="false">D956*F956/C956</f>
        <v>220.304067123288</v>
      </c>
      <c r="H956" s="37" t="n">
        <f aca="false">IF(AND(A956&gt;=Inputs!$B$13,OR(A956&lt;Inputs!$B$19,Inputs!$B$20=1)),D956*Inputs!$B$11/C956,0)</f>
        <v>40.2739726027397</v>
      </c>
      <c r="I956" s="37" t="n">
        <f aca="false">Inputs!$C$9-SUMIFS(Cash_Events!$G$6:$G$20,Cash_Events!$C$6:$C$20,"FHL",Cash_Events!$B$6:$B$20,"&lt;="&amp;A956)</f>
        <v>735000</v>
      </c>
      <c r="J956" s="38" t="n">
        <f aca="false">VLOOKUP(A956,Inputs!$F$40:$G$48,2,TRUE())</f>
        <v>0.0420238</v>
      </c>
      <c r="K956" s="38" t="n">
        <f aca="false">J956+Inputs!$C$10</f>
        <v>0.1095238</v>
      </c>
      <c r="L956" s="37" t="n">
        <f aca="false">I956*K956/C956</f>
        <v>220.547926027397</v>
      </c>
      <c r="M956" s="37" t="n">
        <f aca="false">IF(AND(A956&gt;=Inputs!$C$13,OR(A956&lt;Inputs!$B$19,Inputs!$B$20=1)),I956*Inputs!$C$11/C956,0)</f>
        <v>40.2739726027397</v>
      </c>
    </row>
    <row r="957" customFormat="false" ht="15" hidden="false" customHeight="false" outlineLevel="0" collapsed="false">
      <c r="A957" s="35" t="n">
        <f aca="false">A956+1</f>
        <v>45764</v>
      </c>
      <c r="B957" s="35" t="n">
        <f aca="false">EOMONTH(A957+1,0)</f>
        <v>45777</v>
      </c>
      <c r="C957" s="36" t="n">
        <f aca="false">IF(MOD(YEAR(A957),4)=0,366,365)</f>
        <v>365</v>
      </c>
      <c r="D957" s="37" t="n">
        <f aca="false">Inputs!$B$9-SUMIFS(Cash_Events!$G$6:$G$20,Cash_Events!$C$6:$C$20,"rAGMF",Cash_Events!$B$6:$B$20,"&lt;="&amp;A957)</f>
        <v>735000</v>
      </c>
      <c r="E957" s="38" t="n">
        <f aca="false">VLOOKUP(A957,Inputs!$A$40:$B$48,2,TRUE())</f>
        <v>0.0419027</v>
      </c>
      <c r="F957" s="38" t="n">
        <f aca="false">E957+Inputs!$B$10</f>
        <v>0.1094027</v>
      </c>
      <c r="G957" s="37" t="n">
        <f aca="false">D957*F957/C957</f>
        <v>220.304067123288</v>
      </c>
      <c r="H957" s="37" t="n">
        <f aca="false">IF(AND(A957&gt;=Inputs!$B$13,OR(A957&lt;Inputs!$B$19,Inputs!$B$20=1)),D957*Inputs!$B$11/C957,0)</f>
        <v>40.2739726027397</v>
      </c>
      <c r="I957" s="37" t="n">
        <f aca="false">Inputs!$C$9-SUMIFS(Cash_Events!$G$6:$G$20,Cash_Events!$C$6:$C$20,"FHL",Cash_Events!$B$6:$B$20,"&lt;="&amp;A957)</f>
        <v>735000</v>
      </c>
      <c r="J957" s="38" t="n">
        <f aca="false">VLOOKUP(A957,Inputs!$F$40:$G$48,2,TRUE())</f>
        <v>0.0420238</v>
      </c>
      <c r="K957" s="38" t="n">
        <f aca="false">J957+Inputs!$C$10</f>
        <v>0.1095238</v>
      </c>
      <c r="L957" s="37" t="n">
        <f aca="false">I957*K957/C957</f>
        <v>220.547926027397</v>
      </c>
      <c r="M957" s="37" t="n">
        <f aca="false">IF(AND(A957&gt;=Inputs!$C$13,OR(A957&lt;Inputs!$B$19,Inputs!$B$20=1)),I957*Inputs!$C$11/C957,0)</f>
        <v>40.2739726027397</v>
      </c>
    </row>
    <row r="958" customFormat="false" ht="15" hidden="false" customHeight="false" outlineLevel="0" collapsed="false">
      <c r="A958" s="35" t="n">
        <f aca="false">A957+1</f>
        <v>45765</v>
      </c>
      <c r="B958" s="35" t="n">
        <f aca="false">EOMONTH(A958+1,0)</f>
        <v>45777</v>
      </c>
      <c r="C958" s="36" t="n">
        <f aca="false">IF(MOD(YEAR(A958),4)=0,366,365)</f>
        <v>365</v>
      </c>
      <c r="D958" s="37" t="n">
        <f aca="false">Inputs!$B$9-SUMIFS(Cash_Events!$G$6:$G$20,Cash_Events!$C$6:$C$20,"rAGMF",Cash_Events!$B$6:$B$20,"&lt;="&amp;A958)</f>
        <v>735000</v>
      </c>
      <c r="E958" s="38" t="n">
        <f aca="false">VLOOKUP(A958,Inputs!$A$40:$B$48,2,TRUE())</f>
        <v>0.0419027</v>
      </c>
      <c r="F958" s="38" t="n">
        <f aca="false">E958+Inputs!$B$10</f>
        <v>0.1094027</v>
      </c>
      <c r="G958" s="37" t="n">
        <f aca="false">D958*F958/C958</f>
        <v>220.304067123288</v>
      </c>
      <c r="H958" s="37" t="n">
        <f aca="false">IF(AND(A958&gt;=Inputs!$B$13,OR(A958&lt;Inputs!$B$19,Inputs!$B$20=1)),D958*Inputs!$B$11/C958,0)</f>
        <v>40.2739726027397</v>
      </c>
      <c r="I958" s="37" t="n">
        <f aca="false">Inputs!$C$9-SUMIFS(Cash_Events!$G$6:$G$20,Cash_Events!$C$6:$C$20,"FHL",Cash_Events!$B$6:$B$20,"&lt;="&amp;A958)</f>
        <v>735000</v>
      </c>
      <c r="J958" s="38" t="n">
        <f aca="false">VLOOKUP(A958,Inputs!$F$40:$G$48,2,TRUE())</f>
        <v>0.0420238</v>
      </c>
      <c r="K958" s="38" t="n">
        <f aca="false">J958+Inputs!$C$10</f>
        <v>0.1095238</v>
      </c>
      <c r="L958" s="37" t="n">
        <f aca="false">I958*K958/C958</f>
        <v>220.547926027397</v>
      </c>
      <c r="M958" s="37" t="n">
        <f aca="false">IF(AND(A958&gt;=Inputs!$C$13,OR(A958&lt;Inputs!$B$19,Inputs!$B$20=1)),I958*Inputs!$C$11/C958,0)</f>
        <v>40.2739726027397</v>
      </c>
    </row>
    <row r="959" customFormat="false" ht="15" hidden="false" customHeight="false" outlineLevel="0" collapsed="false">
      <c r="A959" s="35" t="n">
        <f aca="false">A958+1</f>
        <v>45766</v>
      </c>
      <c r="B959" s="35" t="n">
        <f aca="false">EOMONTH(A959+1,0)</f>
        <v>45777</v>
      </c>
      <c r="C959" s="36" t="n">
        <f aca="false">IF(MOD(YEAR(A959),4)=0,366,365)</f>
        <v>365</v>
      </c>
      <c r="D959" s="37" t="n">
        <f aca="false">Inputs!$B$9-SUMIFS(Cash_Events!$G$6:$G$20,Cash_Events!$C$6:$C$20,"rAGMF",Cash_Events!$B$6:$B$20,"&lt;="&amp;A959)</f>
        <v>735000</v>
      </c>
      <c r="E959" s="38" t="n">
        <f aca="false">VLOOKUP(A959,Inputs!$A$40:$B$48,2,TRUE())</f>
        <v>0.0419027</v>
      </c>
      <c r="F959" s="38" t="n">
        <f aca="false">E959+Inputs!$B$10</f>
        <v>0.1094027</v>
      </c>
      <c r="G959" s="37" t="n">
        <f aca="false">D959*F959/C959</f>
        <v>220.304067123288</v>
      </c>
      <c r="H959" s="37" t="n">
        <f aca="false">IF(AND(A959&gt;=Inputs!$B$13,OR(A959&lt;Inputs!$B$19,Inputs!$B$20=1)),D959*Inputs!$B$11/C959,0)</f>
        <v>40.2739726027397</v>
      </c>
      <c r="I959" s="37" t="n">
        <f aca="false">Inputs!$C$9-SUMIFS(Cash_Events!$G$6:$G$20,Cash_Events!$C$6:$C$20,"FHL",Cash_Events!$B$6:$B$20,"&lt;="&amp;A959)</f>
        <v>735000</v>
      </c>
      <c r="J959" s="38" t="n">
        <f aca="false">VLOOKUP(A959,Inputs!$F$40:$G$48,2,TRUE())</f>
        <v>0.0420238</v>
      </c>
      <c r="K959" s="38" t="n">
        <f aca="false">J959+Inputs!$C$10</f>
        <v>0.1095238</v>
      </c>
      <c r="L959" s="37" t="n">
        <f aca="false">I959*K959/C959</f>
        <v>220.547926027397</v>
      </c>
      <c r="M959" s="37" t="n">
        <f aca="false">IF(AND(A959&gt;=Inputs!$C$13,OR(A959&lt;Inputs!$B$19,Inputs!$B$20=1)),I959*Inputs!$C$11/C959,0)</f>
        <v>40.2739726027397</v>
      </c>
    </row>
    <row r="960" customFormat="false" ht="15" hidden="false" customHeight="false" outlineLevel="0" collapsed="false">
      <c r="A960" s="35" t="n">
        <f aca="false">A959+1</f>
        <v>45767</v>
      </c>
      <c r="B960" s="35" t="n">
        <f aca="false">EOMONTH(A960+1,0)</f>
        <v>45777</v>
      </c>
      <c r="C960" s="36" t="n">
        <f aca="false">IF(MOD(YEAR(A960),4)=0,366,365)</f>
        <v>365</v>
      </c>
      <c r="D960" s="37" t="n">
        <f aca="false">Inputs!$B$9-SUMIFS(Cash_Events!$G$6:$G$20,Cash_Events!$C$6:$C$20,"rAGMF",Cash_Events!$B$6:$B$20,"&lt;="&amp;A960)</f>
        <v>735000</v>
      </c>
      <c r="E960" s="38" t="n">
        <f aca="false">VLOOKUP(A960,Inputs!$A$40:$B$48,2,TRUE())</f>
        <v>0.0419027</v>
      </c>
      <c r="F960" s="38" t="n">
        <f aca="false">E960+Inputs!$B$10</f>
        <v>0.1094027</v>
      </c>
      <c r="G960" s="37" t="n">
        <f aca="false">D960*F960/C960</f>
        <v>220.304067123288</v>
      </c>
      <c r="H960" s="37" t="n">
        <f aca="false">IF(AND(A960&gt;=Inputs!$B$13,OR(A960&lt;Inputs!$B$19,Inputs!$B$20=1)),D960*Inputs!$B$11/C960,0)</f>
        <v>40.2739726027397</v>
      </c>
      <c r="I960" s="37" t="n">
        <f aca="false">Inputs!$C$9-SUMIFS(Cash_Events!$G$6:$G$20,Cash_Events!$C$6:$C$20,"FHL",Cash_Events!$B$6:$B$20,"&lt;="&amp;A960)</f>
        <v>735000</v>
      </c>
      <c r="J960" s="38" t="n">
        <f aca="false">VLOOKUP(A960,Inputs!$F$40:$G$48,2,TRUE())</f>
        <v>0.0420238</v>
      </c>
      <c r="K960" s="38" t="n">
        <f aca="false">J960+Inputs!$C$10</f>
        <v>0.1095238</v>
      </c>
      <c r="L960" s="37" t="n">
        <f aca="false">I960*K960/C960</f>
        <v>220.547926027397</v>
      </c>
      <c r="M960" s="37" t="n">
        <f aca="false">IF(AND(A960&gt;=Inputs!$C$13,OR(A960&lt;Inputs!$B$19,Inputs!$B$20=1)),I960*Inputs!$C$11/C960,0)</f>
        <v>40.2739726027397</v>
      </c>
    </row>
    <row r="961" customFormat="false" ht="15" hidden="false" customHeight="false" outlineLevel="0" collapsed="false">
      <c r="A961" s="35" t="n">
        <f aca="false">A960+1</f>
        <v>45768</v>
      </c>
      <c r="B961" s="35" t="n">
        <f aca="false">EOMONTH(A961+1,0)</f>
        <v>45777</v>
      </c>
      <c r="C961" s="36" t="n">
        <f aca="false">IF(MOD(YEAR(A961),4)=0,366,365)</f>
        <v>365</v>
      </c>
      <c r="D961" s="37" t="n">
        <f aca="false">Inputs!$B$9-SUMIFS(Cash_Events!$G$6:$G$20,Cash_Events!$C$6:$C$20,"rAGMF",Cash_Events!$B$6:$B$20,"&lt;="&amp;A961)</f>
        <v>735000</v>
      </c>
      <c r="E961" s="38" t="n">
        <f aca="false">VLOOKUP(A961,Inputs!$A$40:$B$48,2,TRUE())</f>
        <v>0.0419027</v>
      </c>
      <c r="F961" s="38" t="n">
        <f aca="false">E961+Inputs!$B$10</f>
        <v>0.1094027</v>
      </c>
      <c r="G961" s="37" t="n">
        <f aca="false">D961*F961/C961</f>
        <v>220.304067123288</v>
      </c>
      <c r="H961" s="37" t="n">
        <f aca="false">IF(AND(A961&gt;=Inputs!$B$13,OR(A961&lt;Inputs!$B$19,Inputs!$B$20=1)),D961*Inputs!$B$11/C961,0)</f>
        <v>40.2739726027397</v>
      </c>
      <c r="I961" s="37" t="n">
        <f aca="false">Inputs!$C$9-SUMIFS(Cash_Events!$G$6:$G$20,Cash_Events!$C$6:$C$20,"FHL",Cash_Events!$B$6:$B$20,"&lt;="&amp;A961)</f>
        <v>735000</v>
      </c>
      <c r="J961" s="38" t="n">
        <f aca="false">VLOOKUP(A961,Inputs!$F$40:$G$48,2,TRUE())</f>
        <v>0.0420238</v>
      </c>
      <c r="K961" s="38" t="n">
        <f aca="false">J961+Inputs!$C$10</f>
        <v>0.1095238</v>
      </c>
      <c r="L961" s="37" t="n">
        <f aca="false">I961*K961/C961</f>
        <v>220.547926027397</v>
      </c>
      <c r="M961" s="37" t="n">
        <f aca="false">IF(AND(A961&gt;=Inputs!$C$13,OR(A961&lt;Inputs!$B$19,Inputs!$B$20=1)),I961*Inputs!$C$11/C961,0)</f>
        <v>40.2739726027397</v>
      </c>
    </row>
    <row r="962" customFormat="false" ht="15" hidden="false" customHeight="false" outlineLevel="0" collapsed="false">
      <c r="A962" s="35" t="n">
        <f aca="false">A961+1</f>
        <v>45769</v>
      </c>
      <c r="B962" s="35" t="n">
        <f aca="false">EOMONTH(A962+1,0)</f>
        <v>45777</v>
      </c>
      <c r="C962" s="36" t="n">
        <f aca="false">IF(MOD(YEAR(A962),4)=0,366,365)</f>
        <v>365</v>
      </c>
      <c r="D962" s="37" t="n">
        <f aca="false">Inputs!$B$9-SUMIFS(Cash_Events!$G$6:$G$20,Cash_Events!$C$6:$C$20,"rAGMF",Cash_Events!$B$6:$B$20,"&lt;="&amp;A962)</f>
        <v>735000</v>
      </c>
      <c r="E962" s="38" t="n">
        <f aca="false">VLOOKUP(A962,Inputs!$A$40:$B$48,2,TRUE())</f>
        <v>0.0419027</v>
      </c>
      <c r="F962" s="38" t="n">
        <f aca="false">E962+Inputs!$B$10</f>
        <v>0.1094027</v>
      </c>
      <c r="G962" s="37" t="n">
        <f aca="false">D962*F962/C962</f>
        <v>220.304067123288</v>
      </c>
      <c r="H962" s="37" t="n">
        <f aca="false">IF(AND(A962&gt;=Inputs!$B$13,OR(A962&lt;Inputs!$B$19,Inputs!$B$20=1)),D962*Inputs!$B$11/C962,0)</f>
        <v>40.2739726027397</v>
      </c>
      <c r="I962" s="37" t="n">
        <f aca="false">Inputs!$C$9-SUMIFS(Cash_Events!$G$6:$G$20,Cash_Events!$C$6:$C$20,"FHL",Cash_Events!$B$6:$B$20,"&lt;="&amp;A962)</f>
        <v>735000</v>
      </c>
      <c r="J962" s="38" t="n">
        <f aca="false">VLOOKUP(A962,Inputs!$F$40:$G$48,2,TRUE())</f>
        <v>0.0420238</v>
      </c>
      <c r="K962" s="38" t="n">
        <f aca="false">J962+Inputs!$C$10</f>
        <v>0.1095238</v>
      </c>
      <c r="L962" s="37" t="n">
        <f aca="false">I962*K962/C962</f>
        <v>220.547926027397</v>
      </c>
      <c r="M962" s="37" t="n">
        <f aca="false">IF(AND(A962&gt;=Inputs!$C$13,OR(A962&lt;Inputs!$B$19,Inputs!$B$20=1)),I962*Inputs!$C$11/C962,0)</f>
        <v>40.2739726027397</v>
      </c>
    </row>
    <row r="963" customFormat="false" ht="15" hidden="false" customHeight="false" outlineLevel="0" collapsed="false">
      <c r="A963" s="35" t="n">
        <f aca="false">A962+1</f>
        <v>45770</v>
      </c>
      <c r="B963" s="35" t="n">
        <f aca="false">EOMONTH(A963+1,0)</f>
        <v>45777</v>
      </c>
      <c r="C963" s="36" t="n">
        <f aca="false">IF(MOD(YEAR(A963),4)=0,366,365)</f>
        <v>365</v>
      </c>
      <c r="D963" s="37" t="n">
        <f aca="false">Inputs!$B$9-SUMIFS(Cash_Events!$G$6:$G$20,Cash_Events!$C$6:$C$20,"rAGMF",Cash_Events!$B$6:$B$20,"&lt;="&amp;A963)</f>
        <v>735000</v>
      </c>
      <c r="E963" s="38" t="n">
        <f aca="false">VLOOKUP(A963,Inputs!$A$40:$B$48,2,TRUE())</f>
        <v>0.0419027</v>
      </c>
      <c r="F963" s="38" t="n">
        <f aca="false">E963+Inputs!$B$10</f>
        <v>0.1094027</v>
      </c>
      <c r="G963" s="37" t="n">
        <f aca="false">D963*F963/C963</f>
        <v>220.304067123288</v>
      </c>
      <c r="H963" s="37" t="n">
        <f aca="false">IF(AND(A963&gt;=Inputs!$B$13,OR(A963&lt;Inputs!$B$19,Inputs!$B$20=1)),D963*Inputs!$B$11/C963,0)</f>
        <v>40.2739726027397</v>
      </c>
      <c r="I963" s="37" t="n">
        <f aca="false">Inputs!$C$9-SUMIFS(Cash_Events!$G$6:$G$20,Cash_Events!$C$6:$C$20,"FHL",Cash_Events!$B$6:$B$20,"&lt;="&amp;A963)</f>
        <v>735000</v>
      </c>
      <c r="J963" s="38" t="n">
        <f aca="false">VLOOKUP(A963,Inputs!$F$40:$G$48,2,TRUE())</f>
        <v>0.0420238</v>
      </c>
      <c r="K963" s="38" t="n">
        <f aca="false">J963+Inputs!$C$10</f>
        <v>0.1095238</v>
      </c>
      <c r="L963" s="37" t="n">
        <f aca="false">I963*K963/C963</f>
        <v>220.547926027397</v>
      </c>
      <c r="M963" s="37" t="n">
        <f aca="false">IF(AND(A963&gt;=Inputs!$C$13,OR(A963&lt;Inputs!$B$19,Inputs!$B$20=1)),I963*Inputs!$C$11/C963,0)</f>
        <v>40.2739726027397</v>
      </c>
    </row>
    <row r="964" customFormat="false" ht="15" hidden="false" customHeight="false" outlineLevel="0" collapsed="false">
      <c r="A964" s="35" t="n">
        <f aca="false">A963+1</f>
        <v>45771</v>
      </c>
      <c r="B964" s="35" t="n">
        <f aca="false">EOMONTH(A964+1,0)</f>
        <v>45777</v>
      </c>
      <c r="C964" s="36" t="n">
        <f aca="false">IF(MOD(YEAR(A964),4)=0,366,365)</f>
        <v>365</v>
      </c>
      <c r="D964" s="37" t="n">
        <f aca="false">Inputs!$B$9-SUMIFS(Cash_Events!$G$6:$G$20,Cash_Events!$C$6:$C$20,"rAGMF",Cash_Events!$B$6:$B$20,"&lt;="&amp;A964)</f>
        <v>735000</v>
      </c>
      <c r="E964" s="38" t="n">
        <f aca="false">VLOOKUP(A964,Inputs!$A$40:$B$48,2,TRUE())</f>
        <v>0.0419027</v>
      </c>
      <c r="F964" s="38" t="n">
        <f aca="false">E964+Inputs!$B$10</f>
        <v>0.1094027</v>
      </c>
      <c r="G964" s="37" t="n">
        <f aca="false">D964*F964/C964</f>
        <v>220.304067123288</v>
      </c>
      <c r="H964" s="37" t="n">
        <f aca="false">IF(AND(A964&gt;=Inputs!$B$13,OR(A964&lt;Inputs!$B$19,Inputs!$B$20=1)),D964*Inputs!$B$11/C964,0)</f>
        <v>40.2739726027397</v>
      </c>
      <c r="I964" s="37" t="n">
        <f aca="false">Inputs!$C$9-SUMIFS(Cash_Events!$G$6:$G$20,Cash_Events!$C$6:$C$20,"FHL",Cash_Events!$B$6:$B$20,"&lt;="&amp;A964)</f>
        <v>735000</v>
      </c>
      <c r="J964" s="38" t="n">
        <f aca="false">VLOOKUP(A964,Inputs!$F$40:$G$48,2,TRUE())</f>
        <v>0.0420238</v>
      </c>
      <c r="K964" s="38" t="n">
        <f aca="false">J964+Inputs!$C$10</f>
        <v>0.1095238</v>
      </c>
      <c r="L964" s="37" t="n">
        <f aca="false">I964*K964/C964</f>
        <v>220.547926027397</v>
      </c>
      <c r="M964" s="37" t="n">
        <f aca="false">IF(AND(A964&gt;=Inputs!$C$13,OR(A964&lt;Inputs!$B$19,Inputs!$B$20=1)),I964*Inputs!$C$11/C964,0)</f>
        <v>40.2739726027397</v>
      </c>
    </row>
    <row r="965" customFormat="false" ht="15" hidden="false" customHeight="false" outlineLevel="0" collapsed="false">
      <c r="A965" s="35" t="n">
        <f aca="false">A964+1</f>
        <v>45772</v>
      </c>
      <c r="B965" s="35" t="n">
        <f aca="false">EOMONTH(A965+1,0)</f>
        <v>45777</v>
      </c>
      <c r="C965" s="36" t="n">
        <f aca="false">IF(MOD(YEAR(A965),4)=0,366,365)</f>
        <v>365</v>
      </c>
      <c r="D965" s="37" t="n">
        <f aca="false">Inputs!$B$9-SUMIFS(Cash_Events!$G$6:$G$20,Cash_Events!$C$6:$C$20,"rAGMF",Cash_Events!$B$6:$B$20,"&lt;="&amp;A965)</f>
        <v>735000</v>
      </c>
      <c r="E965" s="38" t="n">
        <f aca="false">VLOOKUP(A965,Inputs!$A$40:$B$48,2,TRUE())</f>
        <v>0.0419027</v>
      </c>
      <c r="F965" s="38" t="n">
        <f aca="false">E965+Inputs!$B$10</f>
        <v>0.1094027</v>
      </c>
      <c r="G965" s="37" t="n">
        <f aca="false">D965*F965/C965</f>
        <v>220.304067123288</v>
      </c>
      <c r="H965" s="37" t="n">
        <f aca="false">IF(AND(A965&gt;=Inputs!$B$13,OR(A965&lt;Inputs!$B$19,Inputs!$B$20=1)),D965*Inputs!$B$11/C965,0)</f>
        <v>40.2739726027397</v>
      </c>
      <c r="I965" s="37" t="n">
        <f aca="false">Inputs!$C$9-SUMIFS(Cash_Events!$G$6:$G$20,Cash_Events!$C$6:$C$20,"FHL",Cash_Events!$B$6:$B$20,"&lt;="&amp;A965)</f>
        <v>735000</v>
      </c>
      <c r="J965" s="38" t="n">
        <f aca="false">VLOOKUP(A965,Inputs!$F$40:$G$48,2,TRUE())</f>
        <v>0.0420238</v>
      </c>
      <c r="K965" s="38" t="n">
        <f aca="false">J965+Inputs!$C$10</f>
        <v>0.1095238</v>
      </c>
      <c r="L965" s="37" t="n">
        <f aca="false">I965*K965/C965</f>
        <v>220.547926027397</v>
      </c>
      <c r="M965" s="37" t="n">
        <f aca="false">IF(AND(A965&gt;=Inputs!$C$13,OR(A965&lt;Inputs!$B$19,Inputs!$B$20=1)),I965*Inputs!$C$11/C965,0)</f>
        <v>40.2739726027397</v>
      </c>
    </row>
    <row r="966" customFormat="false" ht="15" hidden="false" customHeight="false" outlineLevel="0" collapsed="false">
      <c r="A966" s="35" t="n">
        <f aca="false">A965+1</f>
        <v>45773</v>
      </c>
      <c r="B966" s="35" t="n">
        <f aca="false">EOMONTH(A966+1,0)</f>
        <v>45777</v>
      </c>
      <c r="C966" s="36" t="n">
        <f aca="false">IF(MOD(YEAR(A966),4)=0,366,365)</f>
        <v>365</v>
      </c>
      <c r="D966" s="37" t="n">
        <f aca="false">Inputs!$B$9-SUMIFS(Cash_Events!$G$6:$G$20,Cash_Events!$C$6:$C$20,"rAGMF",Cash_Events!$B$6:$B$20,"&lt;="&amp;A966)</f>
        <v>735000</v>
      </c>
      <c r="E966" s="38" t="n">
        <f aca="false">VLOOKUP(A966,Inputs!$A$40:$B$48,2,TRUE())</f>
        <v>0.0419027</v>
      </c>
      <c r="F966" s="38" t="n">
        <f aca="false">E966+Inputs!$B$10</f>
        <v>0.1094027</v>
      </c>
      <c r="G966" s="37" t="n">
        <f aca="false">D966*F966/C966</f>
        <v>220.304067123288</v>
      </c>
      <c r="H966" s="37" t="n">
        <f aca="false">IF(AND(A966&gt;=Inputs!$B$13,OR(A966&lt;Inputs!$B$19,Inputs!$B$20=1)),D966*Inputs!$B$11/C966,0)</f>
        <v>40.2739726027397</v>
      </c>
      <c r="I966" s="37" t="n">
        <f aca="false">Inputs!$C$9-SUMIFS(Cash_Events!$G$6:$G$20,Cash_Events!$C$6:$C$20,"FHL",Cash_Events!$B$6:$B$20,"&lt;="&amp;A966)</f>
        <v>735000</v>
      </c>
      <c r="J966" s="38" t="n">
        <f aca="false">VLOOKUP(A966,Inputs!$F$40:$G$48,2,TRUE())</f>
        <v>0.0420238</v>
      </c>
      <c r="K966" s="38" t="n">
        <f aca="false">J966+Inputs!$C$10</f>
        <v>0.1095238</v>
      </c>
      <c r="L966" s="37" t="n">
        <f aca="false">I966*K966/C966</f>
        <v>220.547926027397</v>
      </c>
      <c r="M966" s="37" t="n">
        <f aca="false">IF(AND(A966&gt;=Inputs!$C$13,OR(A966&lt;Inputs!$B$19,Inputs!$B$20=1)),I966*Inputs!$C$11/C966,0)</f>
        <v>40.2739726027397</v>
      </c>
    </row>
    <row r="967" customFormat="false" ht="15" hidden="false" customHeight="false" outlineLevel="0" collapsed="false">
      <c r="A967" s="35" t="n">
        <f aca="false">A966+1</f>
        <v>45774</v>
      </c>
      <c r="B967" s="35" t="n">
        <f aca="false">EOMONTH(A967+1,0)</f>
        <v>45777</v>
      </c>
      <c r="C967" s="36" t="n">
        <f aca="false">IF(MOD(YEAR(A967),4)=0,366,365)</f>
        <v>365</v>
      </c>
      <c r="D967" s="37" t="n">
        <f aca="false">Inputs!$B$9-SUMIFS(Cash_Events!$G$6:$G$20,Cash_Events!$C$6:$C$20,"rAGMF",Cash_Events!$B$6:$B$20,"&lt;="&amp;A967)</f>
        <v>735000</v>
      </c>
      <c r="E967" s="38" t="n">
        <f aca="false">VLOOKUP(A967,Inputs!$A$40:$B$48,2,TRUE())</f>
        <v>0.0419027</v>
      </c>
      <c r="F967" s="38" t="n">
        <f aca="false">E967+Inputs!$B$10</f>
        <v>0.1094027</v>
      </c>
      <c r="G967" s="37" t="n">
        <f aca="false">D967*F967/C967</f>
        <v>220.304067123288</v>
      </c>
      <c r="H967" s="37" t="n">
        <f aca="false">IF(AND(A967&gt;=Inputs!$B$13,OR(A967&lt;Inputs!$B$19,Inputs!$B$20=1)),D967*Inputs!$B$11/C967,0)</f>
        <v>40.2739726027397</v>
      </c>
      <c r="I967" s="37" t="n">
        <f aca="false">Inputs!$C$9-SUMIFS(Cash_Events!$G$6:$G$20,Cash_Events!$C$6:$C$20,"FHL",Cash_Events!$B$6:$B$20,"&lt;="&amp;A967)</f>
        <v>735000</v>
      </c>
      <c r="J967" s="38" t="n">
        <f aca="false">VLOOKUP(A967,Inputs!$F$40:$G$48,2,TRUE())</f>
        <v>0.0420238</v>
      </c>
      <c r="K967" s="38" t="n">
        <f aca="false">J967+Inputs!$C$10</f>
        <v>0.1095238</v>
      </c>
      <c r="L967" s="37" t="n">
        <f aca="false">I967*K967/C967</f>
        <v>220.547926027397</v>
      </c>
      <c r="M967" s="37" t="n">
        <f aca="false">IF(AND(A967&gt;=Inputs!$C$13,OR(A967&lt;Inputs!$B$19,Inputs!$B$20=1)),I967*Inputs!$C$11/C967,0)</f>
        <v>40.2739726027397</v>
      </c>
    </row>
    <row r="968" customFormat="false" ht="15" hidden="false" customHeight="false" outlineLevel="0" collapsed="false">
      <c r="A968" s="35" t="n">
        <f aca="false">A967+1</f>
        <v>45775</v>
      </c>
      <c r="B968" s="35" t="n">
        <f aca="false">EOMONTH(A968+1,0)</f>
        <v>45777</v>
      </c>
      <c r="C968" s="36" t="n">
        <f aca="false">IF(MOD(YEAR(A968),4)=0,366,365)</f>
        <v>365</v>
      </c>
      <c r="D968" s="37" t="n">
        <f aca="false">Inputs!$B$9-SUMIFS(Cash_Events!$G$6:$G$20,Cash_Events!$C$6:$C$20,"rAGMF",Cash_Events!$B$6:$B$20,"&lt;="&amp;A968)</f>
        <v>735000</v>
      </c>
      <c r="E968" s="38" t="n">
        <f aca="false">VLOOKUP(A968,Inputs!$A$40:$B$48,2,TRUE())</f>
        <v>0.0419027</v>
      </c>
      <c r="F968" s="38" t="n">
        <f aca="false">E968+Inputs!$B$10</f>
        <v>0.1094027</v>
      </c>
      <c r="G968" s="37" t="n">
        <f aca="false">D968*F968/C968</f>
        <v>220.304067123288</v>
      </c>
      <c r="H968" s="37" t="n">
        <f aca="false">IF(AND(A968&gt;=Inputs!$B$13,OR(A968&lt;Inputs!$B$19,Inputs!$B$20=1)),D968*Inputs!$B$11/C968,0)</f>
        <v>40.2739726027397</v>
      </c>
      <c r="I968" s="37" t="n">
        <f aca="false">Inputs!$C$9-SUMIFS(Cash_Events!$G$6:$G$20,Cash_Events!$C$6:$C$20,"FHL",Cash_Events!$B$6:$B$20,"&lt;="&amp;A968)</f>
        <v>735000</v>
      </c>
      <c r="J968" s="38" t="n">
        <f aca="false">VLOOKUP(A968,Inputs!$F$40:$G$48,2,TRUE())</f>
        <v>0.0420238</v>
      </c>
      <c r="K968" s="38" t="n">
        <f aca="false">J968+Inputs!$C$10</f>
        <v>0.1095238</v>
      </c>
      <c r="L968" s="37" t="n">
        <f aca="false">I968*K968/C968</f>
        <v>220.547926027397</v>
      </c>
      <c r="M968" s="37" t="n">
        <f aca="false">IF(AND(A968&gt;=Inputs!$C$13,OR(A968&lt;Inputs!$B$19,Inputs!$B$20=1)),I968*Inputs!$C$11/C968,0)</f>
        <v>40.2739726027397</v>
      </c>
    </row>
    <row r="969" customFormat="false" ht="15" hidden="false" customHeight="false" outlineLevel="0" collapsed="false">
      <c r="A969" s="35" t="n">
        <f aca="false">A968+1</f>
        <v>45776</v>
      </c>
      <c r="B969" s="35" t="n">
        <f aca="false">EOMONTH(A969+1,0)</f>
        <v>45777</v>
      </c>
      <c r="C969" s="36" t="n">
        <f aca="false">IF(MOD(YEAR(A969),4)=0,366,365)</f>
        <v>365</v>
      </c>
      <c r="D969" s="37" t="n">
        <f aca="false">Inputs!$B$9-SUMIFS(Cash_Events!$G$6:$G$20,Cash_Events!$C$6:$C$20,"rAGMF",Cash_Events!$B$6:$B$20,"&lt;="&amp;A969)</f>
        <v>735000</v>
      </c>
      <c r="E969" s="38" t="n">
        <f aca="false">VLOOKUP(A969,Inputs!$A$40:$B$48,2,TRUE())</f>
        <v>0.0419027</v>
      </c>
      <c r="F969" s="38" t="n">
        <f aca="false">E969+Inputs!$B$10</f>
        <v>0.1094027</v>
      </c>
      <c r="G969" s="37" t="n">
        <f aca="false">D969*F969/C969</f>
        <v>220.304067123288</v>
      </c>
      <c r="H969" s="37" t="n">
        <f aca="false">IF(AND(A969&gt;=Inputs!$B$13,OR(A969&lt;Inputs!$B$19,Inputs!$B$20=1)),D969*Inputs!$B$11/C969,0)</f>
        <v>40.2739726027397</v>
      </c>
      <c r="I969" s="37" t="n">
        <f aca="false">Inputs!$C$9-SUMIFS(Cash_Events!$G$6:$G$20,Cash_Events!$C$6:$C$20,"FHL",Cash_Events!$B$6:$B$20,"&lt;="&amp;A969)</f>
        <v>735000</v>
      </c>
      <c r="J969" s="38" t="n">
        <f aca="false">VLOOKUP(A969,Inputs!$F$40:$G$48,2,TRUE())</f>
        <v>0.0420238</v>
      </c>
      <c r="K969" s="38" t="n">
        <f aca="false">J969+Inputs!$C$10</f>
        <v>0.1095238</v>
      </c>
      <c r="L969" s="37" t="n">
        <f aca="false">I969*K969/C969</f>
        <v>220.547926027397</v>
      </c>
      <c r="M969" s="37" t="n">
        <f aca="false">IF(AND(A969&gt;=Inputs!$C$13,OR(A969&lt;Inputs!$B$19,Inputs!$B$20=1)),I969*Inputs!$C$11/C969,0)</f>
        <v>40.2739726027397</v>
      </c>
    </row>
    <row r="970" customFormat="false" ht="15" hidden="false" customHeight="false" outlineLevel="0" collapsed="false">
      <c r="A970" s="35" t="n">
        <f aca="false">A969+1</f>
        <v>45777</v>
      </c>
      <c r="B970" s="35" t="n">
        <f aca="false">EOMONTH(A970+1,0)</f>
        <v>45808</v>
      </c>
      <c r="C970" s="36" t="n">
        <f aca="false">IF(MOD(YEAR(A970),4)=0,366,365)</f>
        <v>365</v>
      </c>
      <c r="D970" s="37" t="n">
        <f aca="false">Inputs!$B$9-SUMIFS(Cash_Events!$G$6:$G$20,Cash_Events!$C$6:$C$20,"rAGMF",Cash_Events!$B$6:$B$20,"&lt;="&amp;A970)</f>
        <v>735000</v>
      </c>
      <c r="E970" s="38" t="n">
        <f aca="false">VLOOKUP(A970,Inputs!$A$40:$B$48,2,TRUE())</f>
        <v>0.0419027</v>
      </c>
      <c r="F970" s="38" t="n">
        <f aca="false">E970+Inputs!$B$10</f>
        <v>0.1094027</v>
      </c>
      <c r="G970" s="37" t="n">
        <f aca="false">D970*F970/C970</f>
        <v>220.304067123288</v>
      </c>
      <c r="H970" s="37" t="n">
        <f aca="false">IF(AND(A970&gt;=Inputs!$B$13,OR(A970&lt;Inputs!$B$19,Inputs!$B$20=1)),D970*Inputs!$B$11/C970,0)</f>
        <v>40.2739726027397</v>
      </c>
      <c r="I970" s="37" t="n">
        <f aca="false">Inputs!$C$9-SUMIFS(Cash_Events!$G$6:$G$20,Cash_Events!$C$6:$C$20,"FHL",Cash_Events!$B$6:$B$20,"&lt;="&amp;A970)</f>
        <v>735000</v>
      </c>
      <c r="J970" s="38" t="n">
        <f aca="false">VLOOKUP(A970,Inputs!$F$40:$G$48,2,TRUE())</f>
        <v>0.0420238</v>
      </c>
      <c r="K970" s="38" t="n">
        <f aca="false">J970+Inputs!$C$10</f>
        <v>0.1095238</v>
      </c>
      <c r="L970" s="37" t="n">
        <f aca="false">I970*K970/C970</f>
        <v>220.547926027397</v>
      </c>
      <c r="M970" s="37" t="n">
        <f aca="false">IF(AND(A970&gt;=Inputs!$C$13,OR(A970&lt;Inputs!$B$19,Inputs!$B$20=1)),I970*Inputs!$C$11/C970,0)</f>
        <v>40.2739726027397</v>
      </c>
    </row>
    <row r="971" customFormat="false" ht="15" hidden="false" customHeight="false" outlineLevel="0" collapsed="false">
      <c r="A971" s="35" t="n">
        <f aca="false">A970+1</f>
        <v>45778</v>
      </c>
      <c r="B971" s="35" t="n">
        <f aca="false">EOMONTH(A971+1,0)</f>
        <v>45808</v>
      </c>
      <c r="C971" s="36" t="n">
        <f aca="false">IF(MOD(YEAR(A971),4)=0,366,365)</f>
        <v>365</v>
      </c>
      <c r="D971" s="37" t="n">
        <f aca="false">Inputs!$B$9-SUMIFS(Cash_Events!$G$6:$G$20,Cash_Events!$C$6:$C$20,"rAGMF",Cash_Events!$B$6:$B$20,"&lt;="&amp;A971)</f>
        <v>735000</v>
      </c>
      <c r="E971" s="38" t="n">
        <f aca="false">VLOOKUP(A971,Inputs!$A$40:$B$48,2,TRUE())</f>
        <v>0.0419027</v>
      </c>
      <c r="F971" s="38" t="n">
        <f aca="false">E971+Inputs!$B$10</f>
        <v>0.1094027</v>
      </c>
      <c r="G971" s="37" t="n">
        <f aca="false">D971*F971/C971</f>
        <v>220.304067123288</v>
      </c>
      <c r="H971" s="37" t="n">
        <f aca="false">IF(AND(A971&gt;=Inputs!$B$13,OR(A971&lt;Inputs!$B$19,Inputs!$B$20=1)),D971*Inputs!$B$11/C971,0)</f>
        <v>40.2739726027397</v>
      </c>
      <c r="I971" s="37" t="n">
        <f aca="false">Inputs!$C$9-SUMIFS(Cash_Events!$G$6:$G$20,Cash_Events!$C$6:$C$20,"FHL",Cash_Events!$B$6:$B$20,"&lt;="&amp;A971)</f>
        <v>735000</v>
      </c>
      <c r="J971" s="38" t="n">
        <f aca="false">VLOOKUP(A971,Inputs!$F$40:$G$48,2,TRUE())</f>
        <v>0.0420238</v>
      </c>
      <c r="K971" s="38" t="n">
        <f aca="false">J971+Inputs!$C$10</f>
        <v>0.1095238</v>
      </c>
      <c r="L971" s="37" t="n">
        <f aca="false">I971*K971/C971</f>
        <v>220.547926027397</v>
      </c>
      <c r="M971" s="37" t="n">
        <f aca="false">IF(AND(A971&gt;=Inputs!$C$13,OR(A971&lt;Inputs!$B$19,Inputs!$B$20=1)),I971*Inputs!$C$11/C971,0)</f>
        <v>40.2739726027397</v>
      </c>
    </row>
    <row r="972" customFormat="false" ht="15" hidden="false" customHeight="false" outlineLevel="0" collapsed="false">
      <c r="A972" s="35" t="n">
        <f aca="false">A971+1</f>
        <v>45779</v>
      </c>
      <c r="B972" s="35" t="n">
        <f aca="false">EOMONTH(A972+1,0)</f>
        <v>45808</v>
      </c>
      <c r="C972" s="36" t="n">
        <f aca="false">IF(MOD(YEAR(A972),4)=0,366,365)</f>
        <v>365</v>
      </c>
      <c r="D972" s="37" t="n">
        <f aca="false">Inputs!$B$9-SUMIFS(Cash_Events!$G$6:$G$20,Cash_Events!$C$6:$C$20,"rAGMF",Cash_Events!$B$6:$B$20,"&lt;="&amp;A972)</f>
        <v>735000</v>
      </c>
      <c r="E972" s="38" t="n">
        <f aca="false">VLOOKUP(A972,Inputs!$A$40:$B$48,2,TRUE())</f>
        <v>0.0419027</v>
      </c>
      <c r="F972" s="38" t="n">
        <f aca="false">E972+Inputs!$B$10</f>
        <v>0.1094027</v>
      </c>
      <c r="G972" s="37" t="n">
        <f aca="false">D972*F972/C972</f>
        <v>220.304067123288</v>
      </c>
      <c r="H972" s="37" t="n">
        <f aca="false">IF(AND(A972&gt;=Inputs!$B$13,OR(A972&lt;Inputs!$B$19,Inputs!$B$20=1)),D972*Inputs!$B$11/C972,0)</f>
        <v>40.2739726027397</v>
      </c>
      <c r="I972" s="37" t="n">
        <f aca="false">Inputs!$C$9-SUMIFS(Cash_Events!$G$6:$G$20,Cash_Events!$C$6:$C$20,"FHL",Cash_Events!$B$6:$B$20,"&lt;="&amp;A972)</f>
        <v>735000</v>
      </c>
      <c r="J972" s="38" t="n">
        <f aca="false">VLOOKUP(A972,Inputs!$F$40:$G$48,2,TRUE())</f>
        <v>0.0420238</v>
      </c>
      <c r="K972" s="38" t="n">
        <f aca="false">J972+Inputs!$C$10</f>
        <v>0.1095238</v>
      </c>
      <c r="L972" s="37" t="n">
        <f aca="false">I972*K972/C972</f>
        <v>220.547926027397</v>
      </c>
      <c r="M972" s="37" t="n">
        <f aca="false">IF(AND(A972&gt;=Inputs!$C$13,OR(A972&lt;Inputs!$B$19,Inputs!$B$20=1)),I972*Inputs!$C$11/C972,0)</f>
        <v>40.2739726027397</v>
      </c>
    </row>
    <row r="973" customFormat="false" ht="15" hidden="false" customHeight="false" outlineLevel="0" collapsed="false">
      <c r="A973" s="35" t="n">
        <f aca="false">A972+1</f>
        <v>45780</v>
      </c>
      <c r="B973" s="35" t="n">
        <f aca="false">EOMONTH(A973+1,0)</f>
        <v>45808</v>
      </c>
      <c r="C973" s="36" t="n">
        <f aca="false">IF(MOD(YEAR(A973),4)=0,366,365)</f>
        <v>365</v>
      </c>
      <c r="D973" s="37" t="n">
        <f aca="false">Inputs!$B$9-SUMIFS(Cash_Events!$G$6:$G$20,Cash_Events!$C$6:$C$20,"rAGMF",Cash_Events!$B$6:$B$20,"&lt;="&amp;A973)</f>
        <v>735000</v>
      </c>
      <c r="E973" s="38" t="n">
        <f aca="false">VLOOKUP(A973,Inputs!$A$40:$B$48,2,TRUE())</f>
        <v>0.0419027</v>
      </c>
      <c r="F973" s="38" t="n">
        <f aca="false">E973+Inputs!$B$10</f>
        <v>0.1094027</v>
      </c>
      <c r="G973" s="37" t="n">
        <f aca="false">D973*F973/C973</f>
        <v>220.304067123288</v>
      </c>
      <c r="H973" s="37" t="n">
        <f aca="false">IF(AND(A973&gt;=Inputs!$B$13,OR(A973&lt;Inputs!$B$19,Inputs!$B$20=1)),D973*Inputs!$B$11/C973,0)</f>
        <v>40.2739726027397</v>
      </c>
      <c r="I973" s="37" t="n">
        <f aca="false">Inputs!$C$9-SUMIFS(Cash_Events!$G$6:$G$20,Cash_Events!$C$6:$C$20,"FHL",Cash_Events!$B$6:$B$20,"&lt;="&amp;A973)</f>
        <v>735000</v>
      </c>
      <c r="J973" s="38" t="n">
        <f aca="false">VLOOKUP(A973,Inputs!$F$40:$G$48,2,TRUE())</f>
        <v>0.0420238</v>
      </c>
      <c r="K973" s="38" t="n">
        <f aca="false">J973+Inputs!$C$10</f>
        <v>0.1095238</v>
      </c>
      <c r="L973" s="37" t="n">
        <f aca="false">I973*K973/C973</f>
        <v>220.547926027397</v>
      </c>
      <c r="M973" s="37" t="n">
        <f aca="false">IF(AND(A973&gt;=Inputs!$C$13,OR(A973&lt;Inputs!$B$19,Inputs!$B$20=1)),I973*Inputs!$C$11/C973,0)</f>
        <v>40.2739726027397</v>
      </c>
    </row>
    <row r="974" customFormat="false" ht="15" hidden="false" customHeight="false" outlineLevel="0" collapsed="false">
      <c r="A974" s="35" t="n">
        <f aca="false">A973+1</f>
        <v>45781</v>
      </c>
      <c r="B974" s="35" t="n">
        <f aca="false">EOMONTH(A974+1,0)</f>
        <v>45808</v>
      </c>
      <c r="C974" s="36" t="n">
        <f aca="false">IF(MOD(YEAR(A974),4)=0,366,365)</f>
        <v>365</v>
      </c>
      <c r="D974" s="37" t="n">
        <f aca="false">Inputs!$B$9-SUMIFS(Cash_Events!$G$6:$G$20,Cash_Events!$C$6:$C$20,"rAGMF",Cash_Events!$B$6:$B$20,"&lt;="&amp;A974)</f>
        <v>735000</v>
      </c>
      <c r="E974" s="38" t="n">
        <f aca="false">VLOOKUP(A974,Inputs!$A$40:$B$48,2,TRUE())</f>
        <v>0.0419027</v>
      </c>
      <c r="F974" s="38" t="n">
        <f aca="false">E974+Inputs!$B$10</f>
        <v>0.1094027</v>
      </c>
      <c r="G974" s="37" t="n">
        <f aca="false">D974*F974/C974</f>
        <v>220.304067123288</v>
      </c>
      <c r="H974" s="37" t="n">
        <f aca="false">IF(AND(A974&gt;=Inputs!$B$13,OR(A974&lt;Inputs!$B$19,Inputs!$B$20=1)),D974*Inputs!$B$11/C974,0)</f>
        <v>40.2739726027397</v>
      </c>
      <c r="I974" s="37" t="n">
        <f aca="false">Inputs!$C$9-SUMIFS(Cash_Events!$G$6:$G$20,Cash_Events!$C$6:$C$20,"FHL",Cash_Events!$B$6:$B$20,"&lt;="&amp;A974)</f>
        <v>735000</v>
      </c>
      <c r="J974" s="38" t="n">
        <f aca="false">VLOOKUP(A974,Inputs!$F$40:$G$48,2,TRUE())</f>
        <v>0.0420238</v>
      </c>
      <c r="K974" s="38" t="n">
        <f aca="false">J974+Inputs!$C$10</f>
        <v>0.1095238</v>
      </c>
      <c r="L974" s="37" t="n">
        <f aca="false">I974*K974/C974</f>
        <v>220.547926027397</v>
      </c>
      <c r="M974" s="37" t="n">
        <f aca="false">IF(AND(A974&gt;=Inputs!$C$13,OR(A974&lt;Inputs!$B$19,Inputs!$B$20=1)),I974*Inputs!$C$11/C974,0)</f>
        <v>40.2739726027397</v>
      </c>
    </row>
    <row r="975" customFormat="false" ht="15" hidden="false" customHeight="false" outlineLevel="0" collapsed="false">
      <c r="A975" s="35" t="n">
        <f aca="false">A974+1</f>
        <v>45782</v>
      </c>
      <c r="B975" s="35" t="n">
        <f aca="false">EOMONTH(A975+1,0)</f>
        <v>45808</v>
      </c>
      <c r="C975" s="36" t="n">
        <f aca="false">IF(MOD(YEAR(A975),4)=0,366,365)</f>
        <v>365</v>
      </c>
      <c r="D975" s="37" t="n">
        <f aca="false">Inputs!$B$9-SUMIFS(Cash_Events!$G$6:$G$20,Cash_Events!$C$6:$C$20,"rAGMF",Cash_Events!$B$6:$B$20,"&lt;="&amp;A975)</f>
        <v>735000</v>
      </c>
      <c r="E975" s="38" t="n">
        <f aca="false">VLOOKUP(A975,Inputs!$A$40:$B$48,2,TRUE())</f>
        <v>0.0419027</v>
      </c>
      <c r="F975" s="38" t="n">
        <f aca="false">E975+Inputs!$B$10</f>
        <v>0.1094027</v>
      </c>
      <c r="G975" s="37" t="n">
        <f aca="false">D975*F975/C975</f>
        <v>220.304067123288</v>
      </c>
      <c r="H975" s="37" t="n">
        <f aca="false">IF(AND(A975&gt;=Inputs!$B$13,OR(A975&lt;Inputs!$B$19,Inputs!$B$20=1)),D975*Inputs!$B$11/C975,0)</f>
        <v>40.2739726027397</v>
      </c>
      <c r="I975" s="37" t="n">
        <f aca="false">Inputs!$C$9-SUMIFS(Cash_Events!$G$6:$G$20,Cash_Events!$C$6:$C$20,"FHL",Cash_Events!$B$6:$B$20,"&lt;="&amp;A975)</f>
        <v>735000</v>
      </c>
      <c r="J975" s="38" t="n">
        <f aca="false">VLOOKUP(A975,Inputs!$F$40:$G$48,2,TRUE())</f>
        <v>0.0420238</v>
      </c>
      <c r="K975" s="38" t="n">
        <f aca="false">J975+Inputs!$C$10</f>
        <v>0.1095238</v>
      </c>
      <c r="L975" s="37" t="n">
        <f aca="false">I975*K975/C975</f>
        <v>220.547926027397</v>
      </c>
      <c r="M975" s="37" t="n">
        <f aca="false">IF(AND(A975&gt;=Inputs!$C$13,OR(A975&lt;Inputs!$B$19,Inputs!$B$20=1)),I975*Inputs!$C$11/C975,0)</f>
        <v>40.2739726027397</v>
      </c>
    </row>
    <row r="976" customFormat="false" ht="15" hidden="false" customHeight="false" outlineLevel="0" collapsed="false">
      <c r="A976" s="35" t="n">
        <f aca="false">A975+1</f>
        <v>45783</v>
      </c>
      <c r="B976" s="35" t="n">
        <f aca="false">EOMONTH(A976+1,0)</f>
        <v>45808</v>
      </c>
      <c r="C976" s="36" t="n">
        <f aca="false">IF(MOD(YEAR(A976),4)=0,366,365)</f>
        <v>365</v>
      </c>
      <c r="D976" s="37" t="n">
        <f aca="false">Inputs!$B$9-SUMIFS(Cash_Events!$G$6:$G$20,Cash_Events!$C$6:$C$20,"rAGMF",Cash_Events!$B$6:$B$20,"&lt;="&amp;A976)</f>
        <v>735000</v>
      </c>
      <c r="E976" s="38" t="n">
        <f aca="false">VLOOKUP(A976,Inputs!$A$40:$B$48,2,TRUE())</f>
        <v>0.0419027</v>
      </c>
      <c r="F976" s="38" t="n">
        <f aca="false">E976+Inputs!$B$10</f>
        <v>0.1094027</v>
      </c>
      <c r="G976" s="37" t="n">
        <f aca="false">D976*F976/C976</f>
        <v>220.304067123288</v>
      </c>
      <c r="H976" s="37" t="n">
        <f aca="false">IF(AND(A976&gt;=Inputs!$B$13,OR(A976&lt;Inputs!$B$19,Inputs!$B$20=1)),D976*Inputs!$B$11/C976,0)</f>
        <v>40.2739726027397</v>
      </c>
      <c r="I976" s="37" t="n">
        <f aca="false">Inputs!$C$9-SUMIFS(Cash_Events!$G$6:$G$20,Cash_Events!$C$6:$C$20,"FHL",Cash_Events!$B$6:$B$20,"&lt;="&amp;A976)</f>
        <v>735000</v>
      </c>
      <c r="J976" s="38" t="n">
        <f aca="false">VLOOKUP(A976,Inputs!$F$40:$G$48,2,TRUE())</f>
        <v>0.0420238</v>
      </c>
      <c r="K976" s="38" t="n">
        <f aca="false">J976+Inputs!$C$10</f>
        <v>0.1095238</v>
      </c>
      <c r="L976" s="37" t="n">
        <f aca="false">I976*K976/C976</f>
        <v>220.547926027397</v>
      </c>
      <c r="M976" s="37" t="n">
        <f aca="false">IF(AND(A976&gt;=Inputs!$C$13,OR(A976&lt;Inputs!$B$19,Inputs!$B$20=1)),I976*Inputs!$C$11/C976,0)</f>
        <v>40.2739726027397</v>
      </c>
    </row>
    <row r="977" customFormat="false" ht="15" hidden="false" customHeight="false" outlineLevel="0" collapsed="false">
      <c r="A977" s="35" t="n">
        <f aca="false">A976+1</f>
        <v>45784</v>
      </c>
      <c r="B977" s="35" t="n">
        <f aca="false">EOMONTH(A977+1,0)</f>
        <v>45808</v>
      </c>
      <c r="C977" s="36" t="n">
        <f aca="false">IF(MOD(YEAR(A977),4)=0,366,365)</f>
        <v>365</v>
      </c>
      <c r="D977" s="37" t="n">
        <f aca="false">Inputs!$B$9-SUMIFS(Cash_Events!$G$6:$G$20,Cash_Events!$C$6:$C$20,"rAGMF",Cash_Events!$B$6:$B$20,"&lt;="&amp;A977)</f>
        <v>735000</v>
      </c>
      <c r="E977" s="38" t="n">
        <f aca="false">VLOOKUP(A977,Inputs!$A$40:$B$48,2,TRUE())</f>
        <v>0.0419027</v>
      </c>
      <c r="F977" s="38" t="n">
        <f aca="false">E977+Inputs!$B$10</f>
        <v>0.1094027</v>
      </c>
      <c r="G977" s="37" t="n">
        <f aca="false">D977*F977/C977</f>
        <v>220.304067123288</v>
      </c>
      <c r="H977" s="37" t="n">
        <f aca="false">IF(AND(A977&gt;=Inputs!$B$13,OR(A977&lt;Inputs!$B$19,Inputs!$B$20=1)),D977*Inputs!$B$11/C977,0)</f>
        <v>40.2739726027397</v>
      </c>
      <c r="I977" s="37" t="n">
        <f aca="false">Inputs!$C$9-SUMIFS(Cash_Events!$G$6:$G$20,Cash_Events!$C$6:$C$20,"FHL",Cash_Events!$B$6:$B$20,"&lt;="&amp;A977)</f>
        <v>735000</v>
      </c>
      <c r="J977" s="38" t="n">
        <f aca="false">VLOOKUP(A977,Inputs!$F$40:$G$48,2,TRUE())</f>
        <v>0.0420238</v>
      </c>
      <c r="K977" s="38" t="n">
        <f aca="false">J977+Inputs!$C$10</f>
        <v>0.1095238</v>
      </c>
      <c r="L977" s="37" t="n">
        <f aca="false">I977*K977/C977</f>
        <v>220.547926027397</v>
      </c>
      <c r="M977" s="37" t="n">
        <f aca="false">IF(AND(A977&gt;=Inputs!$C$13,OR(A977&lt;Inputs!$B$19,Inputs!$B$20=1)),I977*Inputs!$C$11/C977,0)</f>
        <v>40.2739726027397</v>
      </c>
    </row>
    <row r="978" customFormat="false" ht="15" hidden="false" customHeight="false" outlineLevel="0" collapsed="false">
      <c r="A978" s="35" t="n">
        <f aca="false">A977+1</f>
        <v>45785</v>
      </c>
      <c r="B978" s="35" t="n">
        <f aca="false">EOMONTH(A978+1,0)</f>
        <v>45808</v>
      </c>
      <c r="C978" s="36" t="n">
        <f aca="false">IF(MOD(YEAR(A978),4)=0,366,365)</f>
        <v>365</v>
      </c>
      <c r="D978" s="37" t="n">
        <f aca="false">Inputs!$B$9-SUMIFS(Cash_Events!$G$6:$G$20,Cash_Events!$C$6:$C$20,"rAGMF",Cash_Events!$B$6:$B$20,"&lt;="&amp;A978)</f>
        <v>735000</v>
      </c>
      <c r="E978" s="38" t="n">
        <f aca="false">VLOOKUP(A978,Inputs!$A$40:$B$48,2,TRUE())</f>
        <v>0.0419027</v>
      </c>
      <c r="F978" s="38" t="n">
        <f aca="false">E978+Inputs!$B$10</f>
        <v>0.1094027</v>
      </c>
      <c r="G978" s="37" t="n">
        <f aca="false">D978*F978/C978</f>
        <v>220.304067123288</v>
      </c>
      <c r="H978" s="37" t="n">
        <f aca="false">IF(AND(A978&gt;=Inputs!$B$13,OR(A978&lt;Inputs!$B$19,Inputs!$B$20=1)),D978*Inputs!$B$11/C978,0)</f>
        <v>40.2739726027397</v>
      </c>
      <c r="I978" s="37" t="n">
        <f aca="false">Inputs!$C$9-SUMIFS(Cash_Events!$G$6:$G$20,Cash_Events!$C$6:$C$20,"FHL",Cash_Events!$B$6:$B$20,"&lt;="&amp;A978)</f>
        <v>735000</v>
      </c>
      <c r="J978" s="38" t="n">
        <f aca="false">VLOOKUP(A978,Inputs!$F$40:$G$48,2,TRUE())</f>
        <v>0.0420238</v>
      </c>
      <c r="K978" s="38" t="n">
        <f aca="false">J978+Inputs!$C$10</f>
        <v>0.1095238</v>
      </c>
      <c r="L978" s="37" t="n">
        <f aca="false">I978*K978/C978</f>
        <v>220.547926027397</v>
      </c>
      <c r="M978" s="37" t="n">
        <f aca="false">IF(AND(A978&gt;=Inputs!$C$13,OR(A978&lt;Inputs!$B$19,Inputs!$B$20=1)),I978*Inputs!$C$11/C978,0)</f>
        <v>40.2739726027397</v>
      </c>
    </row>
    <row r="979" customFormat="false" ht="15" hidden="false" customHeight="false" outlineLevel="0" collapsed="false">
      <c r="A979" s="35" t="n">
        <f aca="false">A978+1</f>
        <v>45786</v>
      </c>
      <c r="B979" s="35" t="n">
        <f aca="false">EOMONTH(A979+1,0)</f>
        <v>45808</v>
      </c>
      <c r="C979" s="36" t="n">
        <f aca="false">IF(MOD(YEAR(A979),4)=0,366,365)</f>
        <v>365</v>
      </c>
      <c r="D979" s="37" t="n">
        <f aca="false">Inputs!$B$9-SUMIFS(Cash_Events!$G$6:$G$20,Cash_Events!$C$6:$C$20,"rAGMF",Cash_Events!$B$6:$B$20,"&lt;="&amp;A979)</f>
        <v>735000</v>
      </c>
      <c r="E979" s="38" t="n">
        <f aca="false">VLOOKUP(A979,Inputs!$A$40:$B$48,2,TRUE())</f>
        <v>0.0419027</v>
      </c>
      <c r="F979" s="38" t="n">
        <f aca="false">E979+Inputs!$B$10</f>
        <v>0.1094027</v>
      </c>
      <c r="G979" s="37" t="n">
        <f aca="false">D979*F979/C979</f>
        <v>220.304067123288</v>
      </c>
      <c r="H979" s="37" t="n">
        <f aca="false">IF(AND(A979&gt;=Inputs!$B$13,OR(A979&lt;Inputs!$B$19,Inputs!$B$20=1)),D979*Inputs!$B$11/C979,0)</f>
        <v>40.2739726027397</v>
      </c>
      <c r="I979" s="37" t="n">
        <f aca="false">Inputs!$C$9-SUMIFS(Cash_Events!$G$6:$G$20,Cash_Events!$C$6:$C$20,"FHL",Cash_Events!$B$6:$B$20,"&lt;="&amp;A979)</f>
        <v>735000</v>
      </c>
      <c r="J979" s="38" t="n">
        <f aca="false">VLOOKUP(A979,Inputs!$F$40:$G$48,2,TRUE())</f>
        <v>0.0420238</v>
      </c>
      <c r="K979" s="38" t="n">
        <f aca="false">J979+Inputs!$C$10</f>
        <v>0.1095238</v>
      </c>
      <c r="L979" s="37" t="n">
        <f aca="false">I979*K979/C979</f>
        <v>220.547926027397</v>
      </c>
      <c r="M979" s="37" t="n">
        <f aca="false">IF(AND(A979&gt;=Inputs!$C$13,OR(A979&lt;Inputs!$B$19,Inputs!$B$20=1)),I979*Inputs!$C$11/C979,0)</f>
        <v>40.2739726027397</v>
      </c>
    </row>
    <row r="980" customFormat="false" ht="15" hidden="false" customHeight="false" outlineLevel="0" collapsed="false">
      <c r="A980" s="35" t="n">
        <f aca="false">A979+1</f>
        <v>45787</v>
      </c>
      <c r="B980" s="35" t="n">
        <f aca="false">EOMONTH(A980+1,0)</f>
        <v>45808</v>
      </c>
      <c r="C980" s="36" t="n">
        <f aca="false">IF(MOD(YEAR(A980),4)=0,366,365)</f>
        <v>365</v>
      </c>
      <c r="D980" s="37" t="n">
        <f aca="false">Inputs!$B$9-SUMIFS(Cash_Events!$G$6:$G$20,Cash_Events!$C$6:$C$20,"rAGMF",Cash_Events!$B$6:$B$20,"&lt;="&amp;A980)</f>
        <v>735000</v>
      </c>
      <c r="E980" s="38" t="n">
        <f aca="false">VLOOKUP(A980,Inputs!$A$40:$B$48,2,TRUE())</f>
        <v>0.0419027</v>
      </c>
      <c r="F980" s="38" t="n">
        <f aca="false">E980+Inputs!$B$10</f>
        <v>0.1094027</v>
      </c>
      <c r="G980" s="37" t="n">
        <f aca="false">D980*F980/C980</f>
        <v>220.304067123288</v>
      </c>
      <c r="H980" s="37" t="n">
        <f aca="false">IF(AND(A980&gt;=Inputs!$B$13,OR(A980&lt;Inputs!$B$19,Inputs!$B$20=1)),D980*Inputs!$B$11/C980,0)</f>
        <v>40.2739726027397</v>
      </c>
      <c r="I980" s="37" t="n">
        <f aca="false">Inputs!$C$9-SUMIFS(Cash_Events!$G$6:$G$20,Cash_Events!$C$6:$C$20,"FHL",Cash_Events!$B$6:$B$20,"&lt;="&amp;A980)</f>
        <v>735000</v>
      </c>
      <c r="J980" s="38" t="n">
        <f aca="false">VLOOKUP(A980,Inputs!$F$40:$G$48,2,TRUE())</f>
        <v>0.0420238</v>
      </c>
      <c r="K980" s="38" t="n">
        <f aca="false">J980+Inputs!$C$10</f>
        <v>0.1095238</v>
      </c>
      <c r="L980" s="37" t="n">
        <f aca="false">I980*K980/C980</f>
        <v>220.547926027397</v>
      </c>
      <c r="M980" s="37" t="n">
        <f aca="false">IF(AND(A980&gt;=Inputs!$C$13,OR(A980&lt;Inputs!$B$19,Inputs!$B$20=1)),I980*Inputs!$C$11/C980,0)</f>
        <v>40.2739726027397</v>
      </c>
    </row>
    <row r="981" customFormat="false" ht="15" hidden="false" customHeight="false" outlineLevel="0" collapsed="false">
      <c r="A981" s="35" t="n">
        <f aca="false">A980+1</f>
        <v>45788</v>
      </c>
      <c r="B981" s="35" t="n">
        <f aca="false">EOMONTH(A981+1,0)</f>
        <v>45808</v>
      </c>
      <c r="C981" s="36" t="n">
        <f aca="false">IF(MOD(YEAR(A981),4)=0,366,365)</f>
        <v>365</v>
      </c>
      <c r="D981" s="37" t="n">
        <f aca="false">Inputs!$B$9-SUMIFS(Cash_Events!$G$6:$G$20,Cash_Events!$C$6:$C$20,"rAGMF",Cash_Events!$B$6:$B$20,"&lt;="&amp;A981)</f>
        <v>735000</v>
      </c>
      <c r="E981" s="38" t="n">
        <f aca="false">VLOOKUP(A981,Inputs!$A$40:$B$48,2,TRUE())</f>
        <v>0.0419027</v>
      </c>
      <c r="F981" s="38" t="n">
        <f aca="false">E981+Inputs!$B$10</f>
        <v>0.1094027</v>
      </c>
      <c r="G981" s="37" t="n">
        <f aca="false">D981*F981/C981</f>
        <v>220.304067123288</v>
      </c>
      <c r="H981" s="37" t="n">
        <f aca="false">IF(AND(A981&gt;=Inputs!$B$13,OR(A981&lt;Inputs!$B$19,Inputs!$B$20=1)),D981*Inputs!$B$11/C981,0)</f>
        <v>40.2739726027397</v>
      </c>
      <c r="I981" s="37" t="n">
        <f aca="false">Inputs!$C$9-SUMIFS(Cash_Events!$G$6:$G$20,Cash_Events!$C$6:$C$20,"FHL",Cash_Events!$B$6:$B$20,"&lt;="&amp;A981)</f>
        <v>735000</v>
      </c>
      <c r="J981" s="38" t="n">
        <f aca="false">VLOOKUP(A981,Inputs!$F$40:$G$48,2,TRUE())</f>
        <v>0.0420238</v>
      </c>
      <c r="K981" s="38" t="n">
        <f aca="false">J981+Inputs!$C$10</f>
        <v>0.1095238</v>
      </c>
      <c r="L981" s="37" t="n">
        <f aca="false">I981*K981/C981</f>
        <v>220.547926027397</v>
      </c>
      <c r="M981" s="37" t="n">
        <f aca="false">IF(AND(A981&gt;=Inputs!$C$13,OR(A981&lt;Inputs!$B$19,Inputs!$B$20=1)),I981*Inputs!$C$11/C981,0)</f>
        <v>40.2739726027397</v>
      </c>
    </row>
    <row r="982" customFormat="false" ht="15" hidden="false" customHeight="false" outlineLevel="0" collapsed="false">
      <c r="A982" s="35" t="n">
        <f aca="false">A981+1</f>
        <v>45789</v>
      </c>
      <c r="B982" s="35" t="n">
        <f aca="false">EOMONTH(A982+1,0)</f>
        <v>45808</v>
      </c>
      <c r="C982" s="36" t="n">
        <f aca="false">IF(MOD(YEAR(A982),4)=0,366,365)</f>
        <v>365</v>
      </c>
      <c r="D982" s="37" t="n">
        <f aca="false">Inputs!$B$9-SUMIFS(Cash_Events!$G$6:$G$20,Cash_Events!$C$6:$C$20,"rAGMF",Cash_Events!$B$6:$B$20,"&lt;="&amp;A982)</f>
        <v>735000</v>
      </c>
      <c r="E982" s="38" t="n">
        <f aca="false">VLOOKUP(A982,Inputs!$A$40:$B$48,2,TRUE())</f>
        <v>0.0419027</v>
      </c>
      <c r="F982" s="38" t="n">
        <f aca="false">E982+Inputs!$B$10</f>
        <v>0.1094027</v>
      </c>
      <c r="G982" s="37" t="n">
        <f aca="false">D982*F982/C982</f>
        <v>220.304067123288</v>
      </c>
      <c r="H982" s="37" t="n">
        <f aca="false">IF(AND(A982&gt;=Inputs!$B$13,OR(A982&lt;Inputs!$B$19,Inputs!$B$20=1)),D982*Inputs!$B$11/C982,0)</f>
        <v>40.2739726027397</v>
      </c>
      <c r="I982" s="37" t="n">
        <f aca="false">Inputs!$C$9-SUMIFS(Cash_Events!$G$6:$G$20,Cash_Events!$C$6:$C$20,"FHL",Cash_Events!$B$6:$B$20,"&lt;="&amp;A982)</f>
        <v>735000</v>
      </c>
      <c r="J982" s="38" t="n">
        <f aca="false">VLOOKUP(A982,Inputs!$F$40:$G$48,2,TRUE())</f>
        <v>0.0420238</v>
      </c>
      <c r="K982" s="38" t="n">
        <f aca="false">J982+Inputs!$C$10</f>
        <v>0.1095238</v>
      </c>
      <c r="L982" s="37" t="n">
        <f aca="false">I982*K982/C982</f>
        <v>220.547926027397</v>
      </c>
      <c r="M982" s="37" t="n">
        <f aca="false">IF(AND(A982&gt;=Inputs!$C$13,OR(A982&lt;Inputs!$B$19,Inputs!$B$20=1)),I982*Inputs!$C$11/C982,0)</f>
        <v>40.2739726027397</v>
      </c>
    </row>
    <row r="983" customFormat="false" ht="15" hidden="false" customHeight="false" outlineLevel="0" collapsed="false">
      <c r="A983" s="35" t="n">
        <f aca="false">A982+1</f>
        <v>45790</v>
      </c>
      <c r="B983" s="35" t="n">
        <f aca="false">EOMONTH(A983+1,0)</f>
        <v>45808</v>
      </c>
      <c r="C983" s="36" t="n">
        <f aca="false">IF(MOD(YEAR(A983),4)=0,366,365)</f>
        <v>365</v>
      </c>
      <c r="D983" s="37" t="n">
        <f aca="false">Inputs!$B$9-SUMIFS(Cash_Events!$G$6:$G$20,Cash_Events!$C$6:$C$20,"rAGMF",Cash_Events!$B$6:$B$20,"&lt;="&amp;A983)</f>
        <v>735000</v>
      </c>
      <c r="E983" s="38" t="n">
        <f aca="false">VLOOKUP(A983,Inputs!$A$40:$B$48,2,TRUE())</f>
        <v>0.0419027</v>
      </c>
      <c r="F983" s="38" t="n">
        <f aca="false">E983+Inputs!$B$10</f>
        <v>0.1094027</v>
      </c>
      <c r="G983" s="37" t="n">
        <f aca="false">D983*F983/C983</f>
        <v>220.304067123288</v>
      </c>
      <c r="H983" s="37" t="n">
        <f aca="false">IF(AND(A983&gt;=Inputs!$B$13,OR(A983&lt;Inputs!$B$19,Inputs!$B$20=1)),D983*Inputs!$B$11/C983,0)</f>
        <v>40.2739726027397</v>
      </c>
      <c r="I983" s="37" t="n">
        <f aca="false">Inputs!$C$9-SUMIFS(Cash_Events!$G$6:$G$20,Cash_Events!$C$6:$C$20,"FHL",Cash_Events!$B$6:$B$20,"&lt;="&amp;A983)</f>
        <v>735000</v>
      </c>
      <c r="J983" s="38" t="n">
        <f aca="false">VLOOKUP(A983,Inputs!$F$40:$G$48,2,TRUE())</f>
        <v>0.0420238</v>
      </c>
      <c r="K983" s="38" t="n">
        <f aca="false">J983+Inputs!$C$10</f>
        <v>0.1095238</v>
      </c>
      <c r="L983" s="37" t="n">
        <f aca="false">I983*K983/C983</f>
        <v>220.547926027397</v>
      </c>
      <c r="M983" s="37" t="n">
        <f aca="false">IF(AND(A983&gt;=Inputs!$C$13,OR(A983&lt;Inputs!$B$19,Inputs!$B$20=1)),I983*Inputs!$C$11/C983,0)</f>
        <v>40.2739726027397</v>
      </c>
    </row>
    <row r="984" customFormat="false" ht="15" hidden="false" customHeight="false" outlineLevel="0" collapsed="false">
      <c r="A984" s="35" t="n">
        <f aca="false">A983+1</f>
        <v>45791</v>
      </c>
      <c r="B984" s="35" t="n">
        <f aca="false">EOMONTH(A984+1,0)</f>
        <v>45808</v>
      </c>
      <c r="C984" s="36" t="n">
        <f aca="false">IF(MOD(YEAR(A984),4)=0,366,365)</f>
        <v>365</v>
      </c>
      <c r="D984" s="37" t="n">
        <f aca="false">Inputs!$B$9-SUMIFS(Cash_Events!$G$6:$G$20,Cash_Events!$C$6:$C$20,"rAGMF",Cash_Events!$B$6:$B$20,"&lt;="&amp;A984)</f>
        <v>735000</v>
      </c>
      <c r="E984" s="38" t="n">
        <f aca="false">VLOOKUP(A984,Inputs!$A$40:$B$48,2,TRUE())</f>
        <v>0.0419027</v>
      </c>
      <c r="F984" s="38" t="n">
        <f aca="false">E984+Inputs!$B$10</f>
        <v>0.1094027</v>
      </c>
      <c r="G984" s="37" t="n">
        <f aca="false">D984*F984/C984</f>
        <v>220.304067123288</v>
      </c>
      <c r="H984" s="37" t="n">
        <f aca="false">IF(AND(A984&gt;=Inputs!$B$13,OR(A984&lt;Inputs!$B$19,Inputs!$B$20=1)),D984*Inputs!$B$11/C984,0)</f>
        <v>40.2739726027397</v>
      </c>
      <c r="I984" s="37" t="n">
        <f aca="false">Inputs!$C$9-SUMIFS(Cash_Events!$G$6:$G$20,Cash_Events!$C$6:$C$20,"FHL",Cash_Events!$B$6:$B$20,"&lt;="&amp;A984)</f>
        <v>735000</v>
      </c>
      <c r="J984" s="38" t="n">
        <f aca="false">VLOOKUP(A984,Inputs!$F$40:$G$48,2,TRUE())</f>
        <v>0.0420238</v>
      </c>
      <c r="K984" s="38" t="n">
        <f aca="false">J984+Inputs!$C$10</f>
        <v>0.1095238</v>
      </c>
      <c r="L984" s="37" t="n">
        <f aca="false">I984*K984/C984</f>
        <v>220.547926027397</v>
      </c>
      <c r="M984" s="37" t="n">
        <f aca="false">IF(AND(A984&gt;=Inputs!$C$13,OR(A984&lt;Inputs!$B$19,Inputs!$B$20=1)),I984*Inputs!$C$11/C984,0)</f>
        <v>40.2739726027397</v>
      </c>
    </row>
    <row r="985" customFormat="false" ht="15" hidden="false" customHeight="false" outlineLevel="0" collapsed="false">
      <c r="A985" s="35" t="n">
        <f aca="false">A984+1</f>
        <v>45792</v>
      </c>
      <c r="B985" s="35" t="n">
        <f aca="false">EOMONTH(A985+1,0)</f>
        <v>45808</v>
      </c>
      <c r="C985" s="36" t="n">
        <f aca="false">IF(MOD(YEAR(A985),4)=0,366,365)</f>
        <v>365</v>
      </c>
      <c r="D985" s="37" t="n">
        <f aca="false">Inputs!$B$9-SUMIFS(Cash_Events!$G$6:$G$20,Cash_Events!$C$6:$C$20,"rAGMF",Cash_Events!$B$6:$B$20,"&lt;="&amp;A985)</f>
        <v>735000</v>
      </c>
      <c r="E985" s="38" t="n">
        <f aca="false">VLOOKUP(A985,Inputs!$A$40:$B$48,2,TRUE())</f>
        <v>0.0419027</v>
      </c>
      <c r="F985" s="38" t="n">
        <f aca="false">E985+Inputs!$B$10</f>
        <v>0.1094027</v>
      </c>
      <c r="G985" s="37" t="n">
        <f aca="false">D985*F985/C985</f>
        <v>220.304067123288</v>
      </c>
      <c r="H985" s="37" t="n">
        <f aca="false">IF(AND(A985&gt;=Inputs!$B$13,OR(A985&lt;Inputs!$B$19,Inputs!$B$20=1)),D985*Inputs!$B$11/C985,0)</f>
        <v>40.2739726027397</v>
      </c>
      <c r="I985" s="37" t="n">
        <f aca="false">Inputs!$C$9-SUMIFS(Cash_Events!$G$6:$G$20,Cash_Events!$C$6:$C$20,"FHL",Cash_Events!$B$6:$B$20,"&lt;="&amp;A985)</f>
        <v>735000</v>
      </c>
      <c r="J985" s="38" t="n">
        <f aca="false">VLOOKUP(A985,Inputs!$F$40:$G$48,2,TRUE())</f>
        <v>0.0420238</v>
      </c>
      <c r="K985" s="38" t="n">
        <f aca="false">J985+Inputs!$C$10</f>
        <v>0.1095238</v>
      </c>
      <c r="L985" s="37" t="n">
        <f aca="false">I985*K985/C985</f>
        <v>220.547926027397</v>
      </c>
      <c r="M985" s="37" t="n">
        <f aca="false">IF(AND(A985&gt;=Inputs!$C$13,OR(A985&lt;Inputs!$B$19,Inputs!$B$20=1)),I985*Inputs!$C$11/C985,0)</f>
        <v>40.2739726027397</v>
      </c>
    </row>
    <row r="986" customFormat="false" ht="15" hidden="false" customHeight="false" outlineLevel="0" collapsed="false">
      <c r="A986" s="35" t="n">
        <f aca="false">A985+1</f>
        <v>45793</v>
      </c>
      <c r="B986" s="35" t="n">
        <f aca="false">EOMONTH(A986+1,0)</f>
        <v>45808</v>
      </c>
      <c r="C986" s="36" t="n">
        <f aca="false">IF(MOD(YEAR(A986),4)=0,366,365)</f>
        <v>365</v>
      </c>
      <c r="D986" s="37" t="n">
        <f aca="false">Inputs!$B$9-SUMIFS(Cash_Events!$G$6:$G$20,Cash_Events!$C$6:$C$20,"rAGMF",Cash_Events!$B$6:$B$20,"&lt;="&amp;A986)</f>
        <v>735000</v>
      </c>
      <c r="E986" s="38" t="n">
        <f aca="false">VLOOKUP(A986,Inputs!$A$40:$B$48,2,TRUE())</f>
        <v>0.0419027</v>
      </c>
      <c r="F986" s="38" t="n">
        <f aca="false">E986+Inputs!$B$10</f>
        <v>0.1094027</v>
      </c>
      <c r="G986" s="37" t="n">
        <f aca="false">D986*F986/C986</f>
        <v>220.304067123288</v>
      </c>
      <c r="H986" s="37" t="n">
        <f aca="false">IF(AND(A986&gt;=Inputs!$B$13,OR(A986&lt;Inputs!$B$19,Inputs!$B$20=1)),D986*Inputs!$B$11/C986,0)</f>
        <v>40.2739726027397</v>
      </c>
      <c r="I986" s="37" t="n">
        <f aca="false">Inputs!$C$9-SUMIFS(Cash_Events!$G$6:$G$20,Cash_Events!$C$6:$C$20,"FHL",Cash_Events!$B$6:$B$20,"&lt;="&amp;A986)</f>
        <v>735000</v>
      </c>
      <c r="J986" s="38" t="n">
        <f aca="false">VLOOKUP(A986,Inputs!$F$40:$G$48,2,TRUE())</f>
        <v>0.0420238</v>
      </c>
      <c r="K986" s="38" t="n">
        <f aca="false">J986+Inputs!$C$10</f>
        <v>0.1095238</v>
      </c>
      <c r="L986" s="37" t="n">
        <f aca="false">I986*K986/C986</f>
        <v>220.547926027397</v>
      </c>
      <c r="M986" s="37" t="n">
        <f aca="false">IF(AND(A986&gt;=Inputs!$C$13,OR(A986&lt;Inputs!$B$19,Inputs!$B$20=1)),I986*Inputs!$C$11/C986,0)</f>
        <v>40.2739726027397</v>
      </c>
    </row>
    <row r="987" customFormat="false" ht="15" hidden="false" customHeight="false" outlineLevel="0" collapsed="false">
      <c r="A987" s="35" t="n">
        <f aca="false">A986+1</f>
        <v>45794</v>
      </c>
      <c r="B987" s="35" t="n">
        <f aca="false">EOMONTH(A987+1,0)</f>
        <v>45808</v>
      </c>
      <c r="C987" s="36" t="n">
        <f aca="false">IF(MOD(YEAR(A987),4)=0,366,365)</f>
        <v>365</v>
      </c>
      <c r="D987" s="37" t="n">
        <f aca="false">Inputs!$B$9-SUMIFS(Cash_Events!$G$6:$G$20,Cash_Events!$C$6:$C$20,"rAGMF",Cash_Events!$B$6:$B$20,"&lt;="&amp;A987)</f>
        <v>735000</v>
      </c>
      <c r="E987" s="38" t="n">
        <f aca="false">VLOOKUP(A987,Inputs!$A$40:$B$48,2,TRUE())</f>
        <v>0.0419027</v>
      </c>
      <c r="F987" s="38" t="n">
        <f aca="false">E987+Inputs!$B$10</f>
        <v>0.1094027</v>
      </c>
      <c r="G987" s="37" t="n">
        <f aca="false">D987*F987/C987</f>
        <v>220.304067123288</v>
      </c>
      <c r="H987" s="37" t="n">
        <f aca="false">IF(AND(A987&gt;=Inputs!$B$13,OR(A987&lt;Inputs!$B$19,Inputs!$B$20=1)),D987*Inputs!$B$11/C987,0)</f>
        <v>40.2739726027397</v>
      </c>
      <c r="I987" s="37" t="n">
        <f aca="false">Inputs!$C$9-SUMIFS(Cash_Events!$G$6:$G$20,Cash_Events!$C$6:$C$20,"FHL",Cash_Events!$B$6:$B$20,"&lt;="&amp;A987)</f>
        <v>735000</v>
      </c>
      <c r="J987" s="38" t="n">
        <f aca="false">VLOOKUP(A987,Inputs!$F$40:$G$48,2,TRUE())</f>
        <v>0.0420238</v>
      </c>
      <c r="K987" s="38" t="n">
        <f aca="false">J987+Inputs!$C$10</f>
        <v>0.1095238</v>
      </c>
      <c r="L987" s="37" t="n">
        <f aca="false">I987*K987/C987</f>
        <v>220.547926027397</v>
      </c>
      <c r="M987" s="37" t="n">
        <f aca="false">IF(AND(A987&gt;=Inputs!$C$13,OR(A987&lt;Inputs!$B$19,Inputs!$B$20=1)),I987*Inputs!$C$11/C987,0)</f>
        <v>40.2739726027397</v>
      </c>
    </row>
    <row r="988" customFormat="false" ht="15" hidden="false" customHeight="false" outlineLevel="0" collapsed="false">
      <c r="A988" s="35" t="n">
        <f aca="false">A987+1</f>
        <v>45795</v>
      </c>
      <c r="B988" s="35" t="n">
        <f aca="false">EOMONTH(A988+1,0)</f>
        <v>45808</v>
      </c>
      <c r="C988" s="36" t="n">
        <f aca="false">IF(MOD(YEAR(A988),4)=0,366,365)</f>
        <v>365</v>
      </c>
      <c r="D988" s="37" t="n">
        <f aca="false">Inputs!$B$9-SUMIFS(Cash_Events!$G$6:$G$20,Cash_Events!$C$6:$C$20,"rAGMF",Cash_Events!$B$6:$B$20,"&lt;="&amp;A988)</f>
        <v>735000</v>
      </c>
      <c r="E988" s="38" t="n">
        <f aca="false">VLOOKUP(A988,Inputs!$A$40:$B$48,2,TRUE())</f>
        <v>0.0419027</v>
      </c>
      <c r="F988" s="38" t="n">
        <f aca="false">E988+Inputs!$B$10</f>
        <v>0.1094027</v>
      </c>
      <c r="G988" s="37" t="n">
        <f aca="false">D988*F988/C988</f>
        <v>220.304067123288</v>
      </c>
      <c r="H988" s="37" t="n">
        <f aca="false">IF(AND(A988&gt;=Inputs!$B$13,OR(A988&lt;Inputs!$B$19,Inputs!$B$20=1)),D988*Inputs!$B$11/C988,0)</f>
        <v>40.2739726027397</v>
      </c>
      <c r="I988" s="37" t="n">
        <f aca="false">Inputs!$C$9-SUMIFS(Cash_Events!$G$6:$G$20,Cash_Events!$C$6:$C$20,"FHL",Cash_Events!$B$6:$B$20,"&lt;="&amp;A988)</f>
        <v>735000</v>
      </c>
      <c r="J988" s="38" t="n">
        <f aca="false">VLOOKUP(A988,Inputs!$F$40:$G$48,2,TRUE())</f>
        <v>0.0420238</v>
      </c>
      <c r="K988" s="38" t="n">
        <f aca="false">J988+Inputs!$C$10</f>
        <v>0.1095238</v>
      </c>
      <c r="L988" s="37" t="n">
        <f aca="false">I988*K988/C988</f>
        <v>220.547926027397</v>
      </c>
      <c r="M988" s="37" t="n">
        <f aca="false">IF(AND(A988&gt;=Inputs!$C$13,OR(A988&lt;Inputs!$B$19,Inputs!$B$20=1)),I988*Inputs!$C$11/C988,0)</f>
        <v>40.2739726027397</v>
      </c>
    </row>
    <row r="989" customFormat="false" ht="15" hidden="false" customHeight="false" outlineLevel="0" collapsed="false">
      <c r="A989" s="35" t="n">
        <f aca="false">A988+1</f>
        <v>45796</v>
      </c>
      <c r="B989" s="35" t="n">
        <f aca="false">EOMONTH(A989+1,0)</f>
        <v>45808</v>
      </c>
      <c r="C989" s="36" t="n">
        <f aca="false">IF(MOD(YEAR(A989),4)=0,366,365)</f>
        <v>365</v>
      </c>
      <c r="D989" s="37" t="n">
        <f aca="false">Inputs!$B$9-SUMIFS(Cash_Events!$G$6:$G$20,Cash_Events!$C$6:$C$20,"rAGMF",Cash_Events!$B$6:$B$20,"&lt;="&amp;A989)</f>
        <v>735000</v>
      </c>
      <c r="E989" s="38" t="n">
        <f aca="false">VLOOKUP(A989,Inputs!$A$40:$B$48,2,TRUE())</f>
        <v>0.0419027</v>
      </c>
      <c r="F989" s="38" t="n">
        <f aca="false">E989+Inputs!$B$10</f>
        <v>0.1094027</v>
      </c>
      <c r="G989" s="37" t="n">
        <f aca="false">D989*F989/C989</f>
        <v>220.304067123288</v>
      </c>
      <c r="H989" s="37" t="n">
        <f aca="false">IF(AND(A989&gt;=Inputs!$B$13,OR(A989&lt;Inputs!$B$19,Inputs!$B$20=1)),D989*Inputs!$B$11/C989,0)</f>
        <v>40.2739726027397</v>
      </c>
      <c r="I989" s="37" t="n">
        <f aca="false">Inputs!$C$9-SUMIFS(Cash_Events!$G$6:$G$20,Cash_Events!$C$6:$C$20,"FHL",Cash_Events!$B$6:$B$20,"&lt;="&amp;A989)</f>
        <v>735000</v>
      </c>
      <c r="J989" s="38" t="n">
        <f aca="false">VLOOKUP(A989,Inputs!$F$40:$G$48,2,TRUE())</f>
        <v>0.0420238</v>
      </c>
      <c r="K989" s="38" t="n">
        <f aca="false">J989+Inputs!$C$10</f>
        <v>0.1095238</v>
      </c>
      <c r="L989" s="37" t="n">
        <f aca="false">I989*K989/C989</f>
        <v>220.547926027397</v>
      </c>
      <c r="M989" s="37" t="n">
        <f aca="false">IF(AND(A989&gt;=Inputs!$C$13,OR(A989&lt;Inputs!$B$19,Inputs!$B$20=1)),I989*Inputs!$C$11/C989,0)</f>
        <v>40.2739726027397</v>
      </c>
    </row>
    <row r="990" customFormat="false" ht="15" hidden="false" customHeight="false" outlineLevel="0" collapsed="false">
      <c r="A990" s="35" t="n">
        <f aca="false">A989+1</f>
        <v>45797</v>
      </c>
      <c r="B990" s="35" t="n">
        <f aca="false">EOMONTH(A990+1,0)</f>
        <v>45808</v>
      </c>
      <c r="C990" s="36" t="n">
        <f aca="false">IF(MOD(YEAR(A990),4)=0,366,365)</f>
        <v>365</v>
      </c>
      <c r="D990" s="37" t="n">
        <f aca="false">Inputs!$B$9-SUMIFS(Cash_Events!$G$6:$G$20,Cash_Events!$C$6:$C$20,"rAGMF",Cash_Events!$B$6:$B$20,"&lt;="&amp;A990)</f>
        <v>735000</v>
      </c>
      <c r="E990" s="38" t="n">
        <f aca="false">VLOOKUP(A990,Inputs!$A$40:$B$48,2,TRUE())</f>
        <v>0.0419027</v>
      </c>
      <c r="F990" s="38" t="n">
        <f aca="false">E990+Inputs!$B$10</f>
        <v>0.1094027</v>
      </c>
      <c r="G990" s="37" t="n">
        <f aca="false">D990*F990/C990</f>
        <v>220.304067123288</v>
      </c>
      <c r="H990" s="37" t="n">
        <f aca="false">IF(AND(A990&gt;=Inputs!$B$13,OR(A990&lt;Inputs!$B$19,Inputs!$B$20=1)),D990*Inputs!$B$11/C990,0)</f>
        <v>40.2739726027397</v>
      </c>
      <c r="I990" s="37" t="n">
        <f aca="false">Inputs!$C$9-SUMIFS(Cash_Events!$G$6:$G$20,Cash_Events!$C$6:$C$20,"FHL",Cash_Events!$B$6:$B$20,"&lt;="&amp;A990)</f>
        <v>735000</v>
      </c>
      <c r="J990" s="38" t="n">
        <f aca="false">VLOOKUP(A990,Inputs!$F$40:$G$48,2,TRUE())</f>
        <v>0.0420238</v>
      </c>
      <c r="K990" s="38" t="n">
        <f aca="false">J990+Inputs!$C$10</f>
        <v>0.1095238</v>
      </c>
      <c r="L990" s="37" t="n">
        <f aca="false">I990*K990/C990</f>
        <v>220.547926027397</v>
      </c>
      <c r="M990" s="37" t="n">
        <f aca="false">IF(AND(A990&gt;=Inputs!$C$13,OR(A990&lt;Inputs!$B$19,Inputs!$B$20=1)),I990*Inputs!$C$11/C990,0)</f>
        <v>40.2739726027397</v>
      </c>
    </row>
    <row r="991" customFormat="false" ht="15" hidden="false" customHeight="false" outlineLevel="0" collapsed="false">
      <c r="A991" s="35" t="n">
        <f aca="false">A990+1</f>
        <v>45798</v>
      </c>
      <c r="B991" s="35" t="n">
        <f aca="false">EOMONTH(A991+1,0)</f>
        <v>45808</v>
      </c>
      <c r="C991" s="36" t="n">
        <f aca="false">IF(MOD(YEAR(A991),4)=0,366,365)</f>
        <v>365</v>
      </c>
      <c r="D991" s="37" t="n">
        <f aca="false">Inputs!$B$9-SUMIFS(Cash_Events!$G$6:$G$20,Cash_Events!$C$6:$C$20,"rAGMF",Cash_Events!$B$6:$B$20,"&lt;="&amp;A991)</f>
        <v>735000</v>
      </c>
      <c r="E991" s="38" t="n">
        <f aca="false">VLOOKUP(A991,Inputs!$A$40:$B$48,2,TRUE())</f>
        <v>0.0419027</v>
      </c>
      <c r="F991" s="38" t="n">
        <f aca="false">E991+Inputs!$B$10</f>
        <v>0.1094027</v>
      </c>
      <c r="G991" s="37" t="n">
        <f aca="false">D991*F991/C991</f>
        <v>220.304067123288</v>
      </c>
      <c r="H991" s="37" t="n">
        <f aca="false">IF(AND(A991&gt;=Inputs!$B$13,OR(A991&lt;Inputs!$B$19,Inputs!$B$20=1)),D991*Inputs!$B$11/C991,0)</f>
        <v>40.2739726027397</v>
      </c>
      <c r="I991" s="37" t="n">
        <f aca="false">Inputs!$C$9-SUMIFS(Cash_Events!$G$6:$G$20,Cash_Events!$C$6:$C$20,"FHL",Cash_Events!$B$6:$B$20,"&lt;="&amp;A991)</f>
        <v>735000</v>
      </c>
      <c r="J991" s="38" t="n">
        <f aca="false">VLOOKUP(A991,Inputs!$F$40:$G$48,2,TRUE())</f>
        <v>0.0420238</v>
      </c>
      <c r="K991" s="38" t="n">
        <f aca="false">J991+Inputs!$C$10</f>
        <v>0.1095238</v>
      </c>
      <c r="L991" s="37" t="n">
        <f aca="false">I991*K991/C991</f>
        <v>220.547926027397</v>
      </c>
      <c r="M991" s="37" t="n">
        <f aca="false">IF(AND(A991&gt;=Inputs!$C$13,OR(A991&lt;Inputs!$B$19,Inputs!$B$20=1)),I991*Inputs!$C$11/C991,0)</f>
        <v>40.2739726027397</v>
      </c>
    </row>
    <row r="992" customFormat="false" ht="15" hidden="false" customHeight="false" outlineLevel="0" collapsed="false">
      <c r="A992" s="35" t="n">
        <f aca="false">A991+1</f>
        <v>45799</v>
      </c>
      <c r="B992" s="35" t="n">
        <f aca="false">EOMONTH(A992+1,0)</f>
        <v>45808</v>
      </c>
      <c r="C992" s="36" t="n">
        <f aca="false">IF(MOD(YEAR(A992),4)=0,366,365)</f>
        <v>365</v>
      </c>
      <c r="D992" s="37" t="n">
        <f aca="false">Inputs!$B$9-SUMIFS(Cash_Events!$G$6:$G$20,Cash_Events!$C$6:$C$20,"rAGMF",Cash_Events!$B$6:$B$20,"&lt;="&amp;A992)</f>
        <v>735000</v>
      </c>
      <c r="E992" s="38" t="n">
        <f aca="false">VLOOKUP(A992,Inputs!$A$40:$B$48,2,TRUE())</f>
        <v>0.0419027</v>
      </c>
      <c r="F992" s="38" t="n">
        <f aca="false">E992+Inputs!$B$10</f>
        <v>0.1094027</v>
      </c>
      <c r="G992" s="37" t="n">
        <f aca="false">D992*F992/C992</f>
        <v>220.304067123288</v>
      </c>
      <c r="H992" s="37" t="n">
        <f aca="false">IF(AND(A992&gt;=Inputs!$B$13,OR(A992&lt;Inputs!$B$19,Inputs!$B$20=1)),D992*Inputs!$B$11/C992,0)</f>
        <v>40.2739726027397</v>
      </c>
      <c r="I992" s="37" t="n">
        <f aca="false">Inputs!$C$9-SUMIFS(Cash_Events!$G$6:$G$20,Cash_Events!$C$6:$C$20,"FHL",Cash_Events!$B$6:$B$20,"&lt;="&amp;A992)</f>
        <v>735000</v>
      </c>
      <c r="J992" s="38" t="n">
        <f aca="false">VLOOKUP(A992,Inputs!$F$40:$G$48,2,TRUE())</f>
        <v>0.0420238</v>
      </c>
      <c r="K992" s="38" t="n">
        <f aca="false">J992+Inputs!$C$10</f>
        <v>0.1095238</v>
      </c>
      <c r="L992" s="37" t="n">
        <f aca="false">I992*K992/C992</f>
        <v>220.547926027397</v>
      </c>
      <c r="M992" s="37" t="n">
        <f aca="false">IF(AND(A992&gt;=Inputs!$C$13,OR(A992&lt;Inputs!$B$19,Inputs!$B$20=1)),I992*Inputs!$C$11/C992,0)</f>
        <v>40.2739726027397</v>
      </c>
    </row>
    <row r="993" customFormat="false" ht="15" hidden="false" customHeight="false" outlineLevel="0" collapsed="false">
      <c r="A993" s="35" t="n">
        <f aca="false">A992+1</f>
        <v>45800</v>
      </c>
      <c r="B993" s="35" t="n">
        <f aca="false">EOMONTH(A993+1,0)</f>
        <v>45808</v>
      </c>
      <c r="C993" s="36" t="n">
        <f aca="false">IF(MOD(YEAR(A993),4)=0,366,365)</f>
        <v>365</v>
      </c>
      <c r="D993" s="37" t="n">
        <f aca="false">Inputs!$B$9-SUMIFS(Cash_Events!$G$6:$G$20,Cash_Events!$C$6:$C$20,"rAGMF",Cash_Events!$B$6:$B$20,"&lt;="&amp;A993)</f>
        <v>735000</v>
      </c>
      <c r="E993" s="38" t="n">
        <f aca="false">VLOOKUP(A993,Inputs!$A$40:$B$48,2,TRUE())</f>
        <v>0.0419027</v>
      </c>
      <c r="F993" s="38" t="n">
        <f aca="false">E993+Inputs!$B$10</f>
        <v>0.1094027</v>
      </c>
      <c r="G993" s="37" t="n">
        <f aca="false">D993*F993/C993</f>
        <v>220.304067123288</v>
      </c>
      <c r="H993" s="37" t="n">
        <f aca="false">IF(AND(A993&gt;=Inputs!$B$13,OR(A993&lt;Inputs!$B$19,Inputs!$B$20=1)),D993*Inputs!$B$11/C993,0)</f>
        <v>40.2739726027397</v>
      </c>
      <c r="I993" s="37" t="n">
        <f aca="false">Inputs!$C$9-SUMIFS(Cash_Events!$G$6:$G$20,Cash_Events!$C$6:$C$20,"FHL",Cash_Events!$B$6:$B$20,"&lt;="&amp;A993)</f>
        <v>735000</v>
      </c>
      <c r="J993" s="38" t="n">
        <f aca="false">VLOOKUP(A993,Inputs!$F$40:$G$48,2,TRUE())</f>
        <v>0.0420238</v>
      </c>
      <c r="K993" s="38" t="n">
        <f aca="false">J993+Inputs!$C$10</f>
        <v>0.1095238</v>
      </c>
      <c r="L993" s="37" t="n">
        <f aca="false">I993*K993/C993</f>
        <v>220.547926027397</v>
      </c>
      <c r="M993" s="37" t="n">
        <f aca="false">IF(AND(A993&gt;=Inputs!$C$13,OR(A993&lt;Inputs!$B$19,Inputs!$B$20=1)),I993*Inputs!$C$11/C993,0)</f>
        <v>40.2739726027397</v>
      </c>
    </row>
    <row r="994" customFormat="false" ht="15" hidden="false" customHeight="false" outlineLevel="0" collapsed="false">
      <c r="A994" s="35" t="n">
        <f aca="false">A993+1</f>
        <v>45801</v>
      </c>
      <c r="B994" s="35" t="n">
        <f aca="false">EOMONTH(A994+1,0)</f>
        <v>45808</v>
      </c>
      <c r="C994" s="36" t="n">
        <f aca="false">IF(MOD(YEAR(A994),4)=0,366,365)</f>
        <v>365</v>
      </c>
      <c r="D994" s="37" t="n">
        <f aca="false">Inputs!$B$9-SUMIFS(Cash_Events!$G$6:$G$20,Cash_Events!$C$6:$C$20,"rAGMF",Cash_Events!$B$6:$B$20,"&lt;="&amp;A994)</f>
        <v>735000</v>
      </c>
      <c r="E994" s="38" t="n">
        <f aca="false">VLOOKUP(A994,Inputs!$A$40:$B$48,2,TRUE())</f>
        <v>0.0419027</v>
      </c>
      <c r="F994" s="38" t="n">
        <f aca="false">E994+Inputs!$B$10</f>
        <v>0.1094027</v>
      </c>
      <c r="G994" s="37" t="n">
        <f aca="false">D994*F994/C994</f>
        <v>220.304067123288</v>
      </c>
      <c r="H994" s="37" t="n">
        <f aca="false">IF(AND(A994&gt;=Inputs!$B$13,OR(A994&lt;Inputs!$B$19,Inputs!$B$20=1)),D994*Inputs!$B$11/C994,0)</f>
        <v>40.2739726027397</v>
      </c>
      <c r="I994" s="37" t="n">
        <f aca="false">Inputs!$C$9-SUMIFS(Cash_Events!$G$6:$G$20,Cash_Events!$C$6:$C$20,"FHL",Cash_Events!$B$6:$B$20,"&lt;="&amp;A994)</f>
        <v>735000</v>
      </c>
      <c r="J994" s="38" t="n">
        <f aca="false">VLOOKUP(A994,Inputs!$F$40:$G$48,2,TRUE())</f>
        <v>0.0420238</v>
      </c>
      <c r="K994" s="38" t="n">
        <f aca="false">J994+Inputs!$C$10</f>
        <v>0.1095238</v>
      </c>
      <c r="L994" s="37" t="n">
        <f aca="false">I994*K994/C994</f>
        <v>220.547926027397</v>
      </c>
      <c r="M994" s="37" t="n">
        <f aca="false">IF(AND(A994&gt;=Inputs!$C$13,OR(A994&lt;Inputs!$B$19,Inputs!$B$20=1)),I994*Inputs!$C$11/C994,0)</f>
        <v>40.2739726027397</v>
      </c>
    </row>
    <row r="995" customFormat="false" ht="15" hidden="false" customHeight="false" outlineLevel="0" collapsed="false">
      <c r="A995" s="35" t="n">
        <f aca="false">A994+1</f>
        <v>45802</v>
      </c>
      <c r="B995" s="35" t="n">
        <f aca="false">EOMONTH(A995+1,0)</f>
        <v>45808</v>
      </c>
      <c r="C995" s="36" t="n">
        <f aca="false">IF(MOD(YEAR(A995),4)=0,366,365)</f>
        <v>365</v>
      </c>
      <c r="D995" s="37" t="n">
        <f aca="false">Inputs!$B$9-SUMIFS(Cash_Events!$G$6:$G$20,Cash_Events!$C$6:$C$20,"rAGMF",Cash_Events!$B$6:$B$20,"&lt;="&amp;A995)</f>
        <v>735000</v>
      </c>
      <c r="E995" s="38" t="n">
        <f aca="false">VLOOKUP(A995,Inputs!$A$40:$B$48,2,TRUE())</f>
        <v>0.0419027</v>
      </c>
      <c r="F995" s="38" t="n">
        <f aca="false">E995+Inputs!$B$10</f>
        <v>0.1094027</v>
      </c>
      <c r="G995" s="37" t="n">
        <f aca="false">D995*F995/C995</f>
        <v>220.304067123288</v>
      </c>
      <c r="H995" s="37" t="n">
        <f aca="false">IF(AND(A995&gt;=Inputs!$B$13,OR(A995&lt;Inputs!$B$19,Inputs!$B$20=1)),D995*Inputs!$B$11/C995,0)</f>
        <v>40.2739726027397</v>
      </c>
      <c r="I995" s="37" t="n">
        <f aca="false">Inputs!$C$9-SUMIFS(Cash_Events!$G$6:$G$20,Cash_Events!$C$6:$C$20,"FHL",Cash_Events!$B$6:$B$20,"&lt;="&amp;A995)</f>
        <v>735000</v>
      </c>
      <c r="J995" s="38" t="n">
        <f aca="false">VLOOKUP(A995,Inputs!$F$40:$G$48,2,TRUE())</f>
        <v>0.0420238</v>
      </c>
      <c r="K995" s="38" t="n">
        <f aca="false">J995+Inputs!$C$10</f>
        <v>0.1095238</v>
      </c>
      <c r="L995" s="37" t="n">
        <f aca="false">I995*K995/C995</f>
        <v>220.547926027397</v>
      </c>
      <c r="M995" s="37" t="n">
        <f aca="false">IF(AND(A995&gt;=Inputs!$C$13,OR(A995&lt;Inputs!$B$19,Inputs!$B$20=1)),I995*Inputs!$C$11/C995,0)</f>
        <v>40.2739726027397</v>
      </c>
    </row>
    <row r="996" customFormat="false" ht="15" hidden="false" customHeight="false" outlineLevel="0" collapsed="false">
      <c r="A996" s="35" t="n">
        <f aca="false">A995+1</f>
        <v>45803</v>
      </c>
      <c r="B996" s="35" t="n">
        <f aca="false">EOMONTH(A996+1,0)</f>
        <v>45808</v>
      </c>
      <c r="C996" s="36" t="n">
        <f aca="false">IF(MOD(YEAR(A996),4)=0,366,365)</f>
        <v>365</v>
      </c>
      <c r="D996" s="37" t="n">
        <f aca="false">Inputs!$B$9-SUMIFS(Cash_Events!$G$6:$G$20,Cash_Events!$C$6:$C$20,"rAGMF",Cash_Events!$B$6:$B$20,"&lt;="&amp;A996)</f>
        <v>735000</v>
      </c>
      <c r="E996" s="38" t="n">
        <f aca="false">VLOOKUP(A996,Inputs!$A$40:$B$48,2,TRUE())</f>
        <v>0.0419027</v>
      </c>
      <c r="F996" s="38" t="n">
        <f aca="false">E996+Inputs!$B$10</f>
        <v>0.1094027</v>
      </c>
      <c r="G996" s="37" t="n">
        <f aca="false">D996*F996/C996</f>
        <v>220.304067123288</v>
      </c>
      <c r="H996" s="37" t="n">
        <f aca="false">IF(AND(A996&gt;=Inputs!$B$13,OR(A996&lt;Inputs!$B$19,Inputs!$B$20=1)),D996*Inputs!$B$11/C996,0)</f>
        <v>40.2739726027397</v>
      </c>
      <c r="I996" s="37" t="n">
        <f aca="false">Inputs!$C$9-SUMIFS(Cash_Events!$G$6:$G$20,Cash_Events!$C$6:$C$20,"FHL",Cash_Events!$B$6:$B$20,"&lt;="&amp;A996)</f>
        <v>735000</v>
      </c>
      <c r="J996" s="38" t="n">
        <f aca="false">VLOOKUP(A996,Inputs!$F$40:$G$48,2,TRUE())</f>
        <v>0.0420238</v>
      </c>
      <c r="K996" s="38" t="n">
        <f aca="false">J996+Inputs!$C$10</f>
        <v>0.1095238</v>
      </c>
      <c r="L996" s="37" t="n">
        <f aca="false">I996*K996/C996</f>
        <v>220.547926027397</v>
      </c>
      <c r="M996" s="37" t="n">
        <f aca="false">IF(AND(A996&gt;=Inputs!$C$13,OR(A996&lt;Inputs!$B$19,Inputs!$B$20=1)),I996*Inputs!$C$11/C996,0)</f>
        <v>40.2739726027397</v>
      </c>
    </row>
    <row r="997" customFormat="false" ht="15" hidden="false" customHeight="false" outlineLevel="0" collapsed="false">
      <c r="A997" s="35" t="n">
        <f aca="false">A996+1</f>
        <v>45804</v>
      </c>
      <c r="B997" s="35" t="n">
        <f aca="false">EOMONTH(A997+1,0)</f>
        <v>45808</v>
      </c>
      <c r="C997" s="36" t="n">
        <f aca="false">IF(MOD(YEAR(A997),4)=0,366,365)</f>
        <v>365</v>
      </c>
      <c r="D997" s="37" t="n">
        <f aca="false">Inputs!$B$9-SUMIFS(Cash_Events!$G$6:$G$20,Cash_Events!$C$6:$C$20,"rAGMF",Cash_Events!$B$6:$B$20,"&lt;="&amp;A997)</f>
        <v>735000</v>
      </c>
      <c r="E997" s="38" t="n">
        <f aca="false">VLOOKUP(A997,Inputs!$A$40:$B$48,2,TRUE())</f>
        <v>0.0419027</v>
      </c>
      <c r="F997" s="38" t="n">
        <f aca="false">E997+Inputs!$B$10</f>
        <v>0.1094027</v>
      </c>
      <c r="G997" s="37" t="n">
        <f aca="false">D997*F997/C997</f>
        <v>220.304067123288</v>
      </c>
      <c r="H997" s="37" t="n">
        <f aca="false">IF(AND(A997&gt;=Inputs!$B$13,OR(A997&lt;Inputs!$B$19,Inputs!$B$20=1)),D997*Inputs!$B$11/C997,0)</f>
        <v>40.2739726027397</v>
      </c>
      <c r="I997" s="37" t="n">
        <f aca="false">Inputs!$C$9-SUMIFS(Cash_Events!$G$6:$G$20,Cash_Events!$C$6:$C$20,"FHL",Cash_Events!$B$6:$B$20,"&lt;="&amp;A997)</f>
        <v>735000</v>
      </c>
      <c r="J997" s="38" t="n">
        <f aca="false">VLOOKUP(A997,Inputs!$F$40:$G$48,2,TRUE())</f>
        <v>0.0420238</v>
      </c>
      <c r="K997" s="38" t="n">
        <f aca="false">J997+Inputs!$C$10</f>
        <v>0.1095238</v>
      </c>
      <c r="L997" s="37" t="n">
        <f aca="false">I997*K997/C997</f>
        <v>220.547926027397</v>
      </c>
      <c r="M997" s="37" t="n">
        <f aca="false">IF(AND(A997&gt;=Inputs!$C$13,OR(A997&lt;Inputs!$B$19,Inputs!$B$20=1)),I997*Inputs!$C$11/C997,0)</f>
        <v>40.2739726027397</v>
      </c>
    </row>
    <row r="998" customFormat="false" ht="15" hidden="false" customHeight="false" outlineLevel="0" collapsed="false">
      <c r="A998" s="35" t="n">
        <f aca="false">A997+1</f>
        <v>45805</v>
      </c>
      <c r="B998" s="35" t="n">
        <f aca="false">EOMONTH(A998+1,0)</f>
        <v>45808</v>
      </c>
      <c r="C998" s="36" t="n">
        <f aca="false">IF(MOD(YEAR(A998),4)=0,366,365)</f>
        <v>365</v>
      </c>
      <c r="D998" s="37" t="n">
        <f aca="false">Inputs!$B$9-SUMIFS(Cash_Events!$G$6:$G$20,Cash_Events!$C$6:$C$20,"rAGMF",Cash_Events!$B$6:$B$20,"&lt;="&amp;A998)</f>
        <v>735000</v>
      </c>
      <c r="E998" s="38" t="n">
        <f aca="false">VLOOKUP(A998,Inputs!$A$40:$B$48,2,TRUE())</f>
        <v>0.0419027</v>
      </c>
      <c r="F998" s="38" t="n">
        <f aca="false">E998+Inputs!$B$10</f>
        <v>0.1094027</v>
      </c>
      <c r="G998" s="37" t="n">
        <f aca="false">D998*F998/C998</f>
        <v>220.304067123288</v>
      </c>
      <c r="H998" s="37" t="n">
        <f aca="false">IF(AND(A998&gt;=Inputs!$B$13,OR(A998&lt;Inputs!$B$19,Inputs!$B$20=1)),D998*Inputs!$B$11/C998,0)</f>
        <v>40.2739726027397</v>
      </c>
      <c r="I998" s="37" t="n">
        <f aca="false">Inputs!$C$9-SUMIFS(Cash_Events!$G$6:$G$20,Cash_Events!$C$6:$C$20,"FHL",Cash_Events!$B$6:$B$20,"&lt;="&amp;A998)</f>
        <v>735000</v>
      </c>
      <c r="J998" s="38" t="n">
        <f aca="false">VLOOKUP(A998,Inputs!$F$40:$G$48,2,TRUE())</f>
        <v>0.0420238</v>
      </c>
      <c r="K998" s="38" t="n">
        <f aca="false">J998+Inputs!$C$10</f>
        <v>0.1095238</v>
      </c>
      <c r="L998" s="37" t="n">
        <f aca="false">I998*K998/C998</f>
        <v>220.547926027397</v>
      </c>
      <c r="M998" s="37" t="n">
        <f aca="false">IF(AND(A998&gt;=Inputs!$C$13,OR(A998&lt;Inputs!$B$19,Inputs!$B$20=1)),I998*Inputs!$C$11/C998,0)</f>
        <v>40.2739726027397</v>
      </c>
    </row>
    <row r="999" customFormat="false" ht="15" hidden="false" customHeight="false" outlineLevel="0" collapsed="false">
      <c r="A999" s="35" t="n">
        <f aca="false">A998+1</f>
        <v>45806</v>
      </c>
      <c r="B999" s="35" t="n">
        <f aca="false">EOMONTH(A999+1,0)</f>
        <v>45808</v>
      </c>
      <c r="C999" s="36" t="n">
        <f aca="false">IF(MOD(YEAR(A999),4)=0,366,365)</f>
        <v>365</v>
      </c>
      <c r="D999" s="37" t="n">
        <f aca="false">Inputs!$B$9-SUMIFS(Cash_Events!$G$6:$G$20,Cash_Events!$C$6:$C$20,"rAGMF",Cash_Events!$B$6:$B$20,"&lt;="&amp;A999)</f>
        <v>735000</v>
      </c>
      <c r="E999" s="38" t="n">
        <f aca="false">VLOOKUP(A999,Inputs!$A$40:$B$48,2,TRUE())</f>
        <v>0.0419027</v>
      </c>
      <c r="F999" s="38" t="n">
        <f aca="false">E999+Inputs!$B$10</f>
        <v>0.1094027</v>
      </c>
      <c r="G999" s="37" t="n">
        <f aca="false">D999*F999/C999</f>
        <v>220.304067123288</v>
      </c>
      <c r="H999" s="37" t="n">
        <f aca="false">IF(AND(A999&gt;=Inputs!$B$13,OR(A999&lt;Inputs!$B$19,Inputs!$B$20=1)),D999*Inputs!$B$11/C999,0)</f>
        <v>40.2739726027397</v>
      </c>
      <c r="I999" s="37" t="n">
        <f aca="false">Inputs!$C$9-SUMIFS(Cash_Events!$G$6:$G$20,Cash_Events!$C$6:$C$20,"FHL",Cash_Events!$B$6:$B$20,"&lt;="&amp;A999)</f>
        <v>735000</v>
      </c>
      <c r="J999" s="38" t="n">
        <f aca="false">VLOOKUP(A999,Inputs!$F$40:$G$48,2,TRUE())</f>
        <v>0.0420238</v>
      </c>
      <c r="K999" s="38" t="n">
        <f aca="false">J999+Inputs!$C$10</f>
        <v>0.1095238</v>
      </c>
      <c r="L999" s="37" t="n">
        <f aca="false">I999*K999/C999</f>
        <v>220.547926027397</v>
      </c>
      <c r="M999" s="37" t="n">
        <f aca="false">IF(AND(A999&gt;=Inputs!$C$13,OR(A999&lt;Inputs!$B$19,Inputs!$B$20=1)),I999*Inputs!$C$11/C999,0)</f>
        <v>40.2739726027397</v>
      </c>
    </row>
    <row r="1000" customFormat="false" ht="15" hidden="false" customHeight="false" outlineLevel="0" collapsed="false">
      <c r="A1000" s="35" t="n">
        <f aca="false">A999+1</f>
        <v>45807</v>
      </c>
      <c r="B1000" s="35" t="n">
        <f aca="false">EOMONTH(A1000+1,0)</f>
        <v>45808</v>
      </c>
      <c r="C1000" s="36" t="n">
        <f aca="false">IF(MOD(YEAR(A1000),4)=0,366,365)</f>
        <v>365</v>
      </c>
      <c r="D1000" s="37" t="n">
        <f aca="false">Inputs!$B$9-SUMIFS(Cash_Events!$G$6:$G$20,Cash_Events!$C$6:$C$20,"rAGMF",Cash_Events!$B$6:$B$20,"&lt;="&amp;A1000)</f>
        <v>735000</v>
      </c>
      <c r="E1000" s="38" t="n">
        <f aca="false">VLOOKUP(A1000,Inputs!$A$40:$B$48,2,TRUE())</f>
        <v>0.0419027</v>
      </c>
      <c r="F1000" s="38" t="n">
        <f aca="false">E1000+Inputs!$B$10</f>
        <v>0.1094027</v>
      </c>
      <c r="G1000" s="37" t="n">
        <f aca="false">D1000*F1000/C1000</f>
        <v>220.304067123288</v>
      </c>
      <c r="H1000" s="37" t="n">
        <f aca="false">IF(AND(A1000&gt;=Inputs!$B$13,OR(A1000&lt;Inputs!$B$19,Inputs!$B$20=1)),D1000*Inputs!$B$11/C1000,0)</f>
        <v>40.2739726027397</v>
      </c>
      <c r="I1000" s="37" t="n">
        <f aca="false">Inputs!$C$9-SUMIFS(Cash_Events!$G$6:$G$20,Cash_Events!$C$6:$C$20,"FHL",Cash_Events!$B$6:$B$20,"&lt;="&amp;A1000)</f>
        <v>735000</v>
      </c>
      <c r="J1000" s="38" t="n">
        <f aca="false">VLOOKUP(A1000,Inputs!$F$40:$G$48,2,TRUE())</f>
        <v>0.0420238</v>
      </c>
      <c r="K1000" s="38" t="n">
        <f aca="false">J1000+Inputs!$C$10</f>
        <v>0.1095238</v>
      </c>
      <c r="L1000" s="37" t="n">
        <f aca="false">I1000*K1000/C1000</f>
        <v>220.547926027397</v>
      </c>
      <c r="M1000" s="37" t="n">
        <f aca="false">IF(AND(A1000&gt;=Inputs!$C$13,OR(A1000&lt;Inputs!$B$19,Inputs!$B$20=1)),I1000*Inputs!$C$11/C1000,0)</f>
        <v>40.2739726027397</v>
      </c>
    </row>
    <row r="1001" customFormat="false" ht="15" hidden="false" customHeight="false" outlineLevel="0" collapsed="false">
      <c r="A1001" s="35" t="n">
        <f aca="false">A1000+1</f>
        <v>45808</v>
      </c>
      <c r="B1001" s="35" t="n">
        <f aca="false">EOMONTH(A1001+1,0)</f>
        <v>45838</v>
      </c>
      <c r="C1001" s="36" t="n">
        <f aca="false">IF(MOD(YEAR(A1001),4)=0,366,365)</f>
        <v>365</v>
      </c>
      <c r="D1001" s="37" t="n">
        <f aca="false">Inputs!$B$9-SUMIFS(Cash_Events!$G$6:$G$20,Cash_Events!$C$6:$C$20,"rAGMF",Cash_Events!$B$6:$B$20,"&lt;="&amp;A1001)</f>
        <v>735000</v>
      </c>
      <c r="E1001" s="38" t="n">
        <f aca="false">VLOOKUP(A1001,Inputs!$A$40:$B$48,2,TRUE())</f>
        <v>0.0419027</v>
      </c>
      <c r="F1001" s="38" t="n">
        <f aca="false">E1001+Inputs!$B$10</f>
        <v>0.1094027</v>
      </c>
      <c r="G1001" s="37" t="n">
        <f aca="false">D1001*F1001/C1001</f>
        <v>220.304067123288</v>
      </c>
      <c r="H1001" s="37" t="n">
        <f aca="false">IF(AND(A1001&gt;=Inputs!$B$13,OR(A1001&lt;Inputs!$B$19,Inputs!$B$20=1)),D1001*Inputs!$B$11/C1001,0)</f>
        <v>40.2739726027397</v>
      </c>
      <c r="I1001" s="37" t="n">
        <f aca="false">Inputs!$C$9-SUMIFS(Cash_Events!$G$6:$G$20,Cash_Events!$C$6:$C$20,"FHL",Cash_Events!$B$6:$B$20,"&lt;="&amp;A1001)</f>
        <v>735000</v>
      </c>
      <c r="J1001" s="38" t="n">
        <f aca="false">VLOOKUP(A1001,Inputs!$F$40:$G$48,2,TRUE())</f>
        <v>0.0420238</v>
      </c>
      <c r="K1001" s="38" t="n">
        <f aca="false">J1001+Inputs!$C$10</f>
        <v>0.1095238</v>
      </c>
      <c r="L1001" s="37" t="n">
        <f aca="false">I1001*K1001/C1001</f>
        <v>220.547926027397</v>
      </c>
      <c r="M1001" s="37" t="n">
        <f aca="false">IF(AND(A1001&gt;=Inputs!$C$13,OR(A1001&lt;Inputs!$B$19,Inputs!$B$20=1)),I1001*Inputs!$C$11/C1001,0)</f>
        <v>40.2739726027397</v>
      </c>
    </row>
    <row r="1002" customFormat="false" ht="15" hidden="false" customHeight="false" outlineLevel="0" collapsed="false">
      <c r="A1002" s="35" t="n">
        <f aca="false">A1001+1</f>
        <v>45809</v>
      </c>
      <c r="B1002" s="35" t="n">
        <f aca="false">EOMONTH(A1002+1,0)</f>
        <v>45838</v>
      </c>
      <c r="C1002" s="36" t="n">
        <f aca="false">IF(MOD(YEAR(A1002),4)=0,366,365)</f>
        <v>365</v>
      </c>
      <c r="D1002" s="37" t="n">
        <f aca="false">Inputs!$B$9-SUMIFS(Cash_Events!$G$6:$G$20,Cash_Events!$C$6:$C$20,"rAGMF",Cash_Events!$B$6:$B$20,"&lt;="&amp;A1002)</f>
        <v>735000</v>
      </c>
      <c r="E1002" s="38" t="n">
        <f aca="false">VLOOKUP(A1002,Inputs!$A$40:$B$48,2,TRUE())</f>
        <v>0.0419027</v>
      </c>
      <c r="F1002" s="38" t="n">
        <f aca="false">E1002+Inputs!$B$10</f>
        <v>0.1094027</v>
      </c>
      <c r="G1002" s="37" t="n">
        <f aca="false">D1002*F1002/C1002</f>
        <v>220.304067123288</v>
      </c>
      <c r="H1002" s="37" t="n">
        <f aca="false">IF(AND(A1002&gt;=Inputs!$B$13,OR(A1002&lt;Inputs!$B$19,Inputs!$B$20=1)),D1002*Inputs!$B$11/C1002,0)</f>
        <v>40.2739726027397</v>
      </c>
      <c r="I1002" s="37" t="n">
        <f aca="false">Inputs!$C$9-SUMIFS(Cash_Events!$G$6:$G$20,Cash_Events!$C$6:$C$20,"FHL",Cash_Events!$B$6:$B$20,"&lt;="&amp;A1002)</f>
        <v>735000</v>
      </c>
      <c r="J1002" s="38" t="n">
        <f aca="false">VLOOKUP(A1002,Inputs!$F$40:$G$48,2,TRUE())</f>
        <v>0.0420238</v>
      </c>
      <c r="K1002" s="38" t="n">
        <f aca="false">J1002+Inputs!$C$10</f>
        <v>0.1095238</v>
      </c>
      <c r="L1002" s="37" t="n">
        <f aca="false">I1002*K1002/C1002</f>
        <v>220.547926027397</v>
      </c>
      <c r="M1002" s="37" t="n">
        <f aca="false">IF(AND(A1002&gt;=Inputs!$C$13,OR(A1002&lt;Inputs!$B$19,Inputs!$B$20=1)),I1002*Inputs!$C$11/C1002,0)</f>
        <v>40.2739726027397</v>
      </c>
    </row>
    <row r="1003" customFormat="false" ht="15" hidden="false" customHeight="false" outlineLevel="0" collapsed="false">
      <c r="A1003" s="35" t="n">
        <f aca="false">A1002+1</f>
        <v>45810</v>
      </c>
      <c r="B1003" s="35" t="n">
        <f aca="false">EOMONTH(A1003+1,0)</f>
        <v>45838</v>
      </c>
      <c r="C1003" s="36" t="n">
        <f aca="false">IF(MOD(YEAR(A1003),4)=0,366,365)</f>
        <v>365</v>
      </c>
      <c r="D1003" s="37" t="n">
        <f aca="false">Inputs!$B$9-SUMIFS(Cash_Events!$G$6:$G$20,Cash_Events!$C$6:$C$20,"rAGMF",Cash_Events!$B$6:$B$20,"&lt;="&amp;A1003)</f>
        <v>735000</v>
      </c>
      <c r="E1003" s="38" t="n">
        <f aca="false">VLOOKUP(A1003,Inputs!$A$40:$B$48,2,TRUE())</f>
        <v>0.0419027</v>
      </c>
      <c r="F1003" s="38" t="n">
        <f aca="false">E1003+Inputs!$B$10</f>
        <v>0.1094027</v>
      </c>
      <c r="G1003" s="37" t="n">
        <f aca="false">D1003*F1003/C1003</f>
        <v>220.304067123288</v>
      </c>
      <c r="H1003" s="37" t="n">
        <f aca="false">IF(AND(A1003&gt;=Inputs!$B$13,OR(A1003&lt;Inputs!$B$19,Inputs!$B$20=1)),D1003*Inputs!$B$11/C1003,0)</f>
        <v>40.2739726027397</v>
      </c>
      <c r="I1003" s="37" t="n">
        <f aca="false">Inputs!$C$9-SUMIFS(Cash_Events!$G$6:$G$20,Cash_Events!$C$6:$C$20,"FHL",Cash_Events!$B$6:$B$20,"&lt;="&amp;A1003)</f>
        <v>735000</v>
      </c>
      <c r="J1003" s="38" t="n">
        <f aca="false">VLOOKUP(A1003,Inputs!$F$40:$G$48,2,TRUE())</f>
        <v>0.0420238</v>
      </c>
      <c r="K1003" s="38" t="n">
        <f aca="false">J1003+Inputs!$C$10</f>
        <v>0.1095238</v>
      </c>
      <c r="L1003" s="37" t="n">
        <f aca="false">I1003*K1003/C1003</f>
        <v>220.547926027397</v>
      </c>
      <c r="M1003" s="37" t="n">
        <f aca="false">IF(AND(A1003&gt;=Inputs!$C$13,OR(A1003&lt;Inputs!$B$19,Inputs!$B$20=1)),I1003*Inputs!$C$11/C1003,0)</f>
        <v>40.2739726027397</v>
      </c>
    </row>
    <row r="1004" customFormat="false" ht="15" hidden="false" customHeight="false" outlineLevel="0" collapsed="false">
      <c r="A1004" s="35" t="n">
        <f aca="false">A1003+1</f>
        <v>45811</v>
      </c>
      <c r="B1004" s="35" t="n">
        <f aca="false">EOMONTH(A1004+1,0)</f>
        <v>45838</v>
      </c>
      <c r="C1004" s="36" t="n">
        <f aca="false">IF(MOD(YEAR(A1004),4)=0,366,365)</f>
        <v>365</v>
      </c>
      <c r="D1004" s="37" t="n">
        <f aca="false">Inputs!$B$9-SUMIFS(Cash_Events!$G$6:$G$20,Cash_Events!$C$6:$C$20,"rAGMF",Cash_Events!$B$6:$B$20,"&lt;="&amp;A1004)</f>
        <v>735000</v>
      </c>
      <c r="E1004" s="38" t="n">
        <f aca="false">VLOOKUP(A1004,Inputs!$A$40:$B$48,2,TRUE())</f>
        <v>0.0419027</v>
      </c>
      <c r="F1004" s="38" t="n">
        <f aca="false">E1004+Inputs!$B$10</f>
        <v>0.1094027</v>
      </c>
      <c r="G1004" s="37" t="n">
        <f aca="false">D1004*F1004/C1004</f>
        <v>220.304067123288</v>
      </c>
      <c r="H1004" s="37" t="n">
        <f aca="false">IF(AND(A1004&gt;=Inputs!$B$13,OR(A1004&lt;Inputs!$B$19,Inputs!$B$20=1)),D1004*Inputs!$B$11/C1004,0)</f>
        <v>40.2739726027397</v>
      </c>
      <c r="I1004" s="37" t="n">
        <f aca="false">Inputs!$C$9-SUMIFS(Cash_Events!$G$6:$G$20,Cash_Events!$C$6:$C$20,"FHL",Cash_Events!$B$6:$B$20,"&lt;="&amp;A1004)</f>
        <v>735000</v>
      </c>
      <c r="J1004" s="38" t="n">
        <f aca="false">VLOOKUP(A1004,Inputs!$F$40:$G$48,2,TRUE())</f>
        <v>0.0420238</v>
      </c>
      <c r="K1004" s="38" t="n">
        <f aca="false">J1004+Inputs!$C$10</f>
        <v>0.1095238</v>
      </c>
      <c r="L1004" s="37" t="n">
        <f aca="false">I1004*K1004/C1004</f>
        <v>220.547926027397</v>
      </c>
      <c r="M1004" s="37" t="n">
        <f aca="false">IF(AND(A1004&gt;=Inputs!$C$13,OR(A1004&lt;Inputs!$B$19,Inputs!$B$20=1)),I1004*Inputs!$C$11/C1004,0)</f>
        <v>40.2739726027397</v>
      </c>
    </row>
    <row r="1005" customFormat="false" ht="15" hidden="false" customHeight="false" outlineLevel="0" collapsed="false">
      <c r="A1005" s="35" t="n">
        <f aca="false">A1004+1</f>
        <v>45812</v>
      </c>
      <c r="B1005" s="35" t="n">
        <f aca="false">EOMONTH(A1005+1,0)</f>
        <v>45838</v>
      </c>
      <c r="C1005" s="36" t="n">
        <f aca="false">IF(MOD(YEAR(A1005),4)=0,366,365)</f>
        <v>365</v>
      </c>
      <c r="D1005" s="37" t="n">
        <f aca="false">Inputs!$B$9-SUMIFS(Cash_Events!$G$6:$G$20,Cash_Events!$C$6:$C$20,"rAGMF",Cash_Events!$B$6:$B$20,"&lt;="&amp;A1005)</f>
        <v>735000</v>
      </c>
      <c r="E1005" s="38" t="n">
        <f aca="false">VLOOKUP(A1005,Inputs!$A$40:$B$48,2,TRUE())</f>
        <v>0.0419027</v>
      </c>
      <c r="F1005" s="38" t="n">
        <f aca="false">E1005+Inputs!$B$10</f>
        <v>0.1094027</v>
      </c>
      <c r="G1005" s="37" t="n">
        <f aca="false">D1005*F1005/C1005</f>
        <v>220.304067123288</v>
      </c>
      <c r="H1005" s="37" t="n">
        <f aca="false">IF(AND(A1005&gt;=Inputs!$B$13,OR(A1005&lt;Inputs!$B$19,Inputs!$B$20=1)),D1005*Inputs!$B$11/C1005,0)</f>
        <v>40.2739726027397</v>
      </c>
      <c r="I1005" s="37" t="n">
        <f aca="false">Inputs!$C$9-SUMIFS(Cash_Events!$G$6:$G$20,Cash_Events!$C$6:$C$20,"FHL",Cash_Events!$B$6:$B$20,"&lt;="&amp;A1005)</f>
        <v>735000</v>
      </c>
      <c r="J1005" s="38" t="n">
        <f aca="false">VLOOKUP(A1005,Inputs!$F$40:$G$48,2,TRUE())</f>
        <v>0.0420238</v>
      </c>
      <c r="K1005" s="38" t="n">
        <f aca="false">J1005+Inputs!$C$10</f>
        <v>0.1095238</v>
      </c>
      <c r="L1005" s="37" t="n">
        <f aca="false">I1005*K1005/C1005</f>
        <v>220.547926027397</v>
      </c>
      <c r="M1005" s="37" t="n">
        <f aca="false">IF(AND(A1005&gt;=Inputs!$C$13,OR(A1005&lt;Inputs!$B$19,Inputs!$B$20=1)),I1005*Inputs!$C$11/C1005,0)</f>
        <v>40.2739726027397</v>
      </c>
    </row>
    <row r="1006" customFormat="false" ht="15" hidden="false" customHeight="false" outlineLevel="0" collapsed="false">
      <c r="A1006" s="35" t="n">
        <f aca="false">A1005+1</f>
        <v>45813</v>
      </c>
      <c r="B1006" s="35" t="n">
        <f aca="false">EOMONTH(A1006+1,0)</f>
        <v>45838</v>
      </c>
      <c r="C1006" s="36" t="n">
        <f aca="false">IF(MOD(YEAR(A1006),4)=0,366,365)</f>
        <v>365</v>
      </c>
      <c r="D1006" s="37" t="n">
        <f aca="false">Inputs!$B$9-SUMIFS(Cash_Events!$G$6:$G$20,Cash_Events!$C$6:$C$20,"rAGMF",Cash_Events!$B$6:$B$20,"&lt;="&amp;A1006)</f>
        <v>735000</v>
      </c>
      <c r="E1006" s="38" t="n">
        <f aca="false">VLOOKUP(A1006,Inputs!$A$40:$B$48,2,TRUE())</f>
        <v>0.0419027</v>
      </c>
      <c r="F1006" s="38" t="n">
        <f aca="false">E1006+Inputs!$B$10</f>
        <v>0.1094027</v>
      </c>
      <c r="G1006" s="37" t="n">
        <f aca="false">D1006*F1006/C1006</f>
        <v>220.304067123288</v>
      </c>
      <c r="H1006" s="37" t="n">
        <f aca="false">IF(AND(A1006&gt;=Inputs!$B$13,OR(A1006&lt;Inputs!$B$19,Inputs!$B$20=1)),D1006*Inputs!$B$11/C1006,0)</f>
        <v>40.2739726027397</v>
      </c>
      <c r="I1006" s="37" t="n">
        <f aca="false">Inputs!$C$9-SUMIFS(Cash_Events!$G$6:$G$20,Cash_Events!$C$6:$C$20,"FHL",Cash_Events!$B$6:$B$20,"&lt;="&amp;A1006)</f>
        <v>735000</v>
      </c>
      <c r="J1006" s="38" t="n">
        <f aca="false">VLOOKUP(A1006,Inputs!$F$40:$G$48,2,TRUE())</f>
        <v>0.0420238</v>
      </c>
      <c r="K1006" s="38" t="n">
        <f aca="false">J1006+Inputs!$C$10</f>
        <v>0.1095238</v>
      </c>
      <c r="L1006" s="37" t="n">
        <f aca="false">I1006*K1006/C1006</f>
        <v>220.547926027397</v>
      </c>
      <c r="M1006" s="37" t="n">
        <f aca="false">IF(AND(A1006&gt;=Inputs!$C$13,OR(A1006&lt;Inputs!$B$19,Inputs!$B$20=1)),I1006*Inputs!$C$11/C1006,0)</f>
        <v>40.2739726027397</v>
      </c>
    </row>
    <row r="1007" customFormat="false" ht="15" hidden="false" customHeight="false" outlineLevel="0" collapsed="false">
      <c r="A1007" s="35" t="n">
        <f aca="false">A1006+1</f>
        <v>45814</v>
      </c>
      <c r="B1007" s="35" t="n">
        <f aca="false">EOMONTH(A1007+1,0)</f>
        <v>45838</v>
      </c>
      <c r="C1007" s="36" t="n">
        <f aca="false">IF(MOD(YEAR(A1007),4)=0,366,365)</f>
        <v>365</v>
      </c>
      <c r="D1007" s="37" t="n">
        <f aca="false">Inputs!$B$9-SUMIFS(Cash_Events!$G$6:$G$20,Cash_Events!$C$6:$C$20,"rAGMF",Cash_Events!$B$6:$B$20,"&lt;="&amp;A1007)</f>
        <v>735000</v>
      </c>
      <c r="E1007" s="38" t="n">
        <f aca="false">VLOOKUP(A1007,Inputs!$A$40:$B$48,2,TRUE())</f>
        <v>0.0419027</v>
      </c>
      <c r="F1007" s="38" t="n">
        <f aca="false">E1007+Inputs!$B$10</f>
        <v>0.1094027</v>
      </c>
      <c r="G1007" s="37" t="n">
        <f aca="false">D1007*F1007/C1007</f>
        <v>220.304067123288</v>
      </c>
      <c r="H1007" s="37" t="n">
        <f aca="false">IF(AND(A1007&gt;=Inputs!$B$13,OR(A1007&lt;Inputs!$B$19,Inputs!$B$20=1)),D1007*Inputs!$B$11/C1007,0)</f>
        <v>40.2739726027397</v>
      </c>
      <c r="I1007" s="37" t="n">
        <f aca="false">Inputs!$C$9-SUMIFS(Cash_Events!$G$6:$G$20,Cash_Events!$C$6:$C$20,"FHL",Cash_Events!$B$6:$B$20,"&lt;="&amp;A1007)</f>
        <v>735000</v>
      </c>
      <c r="J1007" s="38" t="n">
        <f aca="false">VLOOKUP(A1007,Inputs!$F$40:$G$48,2,TRUE())</f>
        <v>0.0420238</v>
      </c>
      <c r="K1007" s="38" t="n">
        <f aca="false">J1007+Inputs!$C$10</f>
        <v>0.1095238</v>
      </c>
      <c r="L1007" s="37" t="n">
        <f aca="false">I1007*K1007/C1007</f>
        <v>220.547926027397</v>
      </c>
      <c r="M1007" s="37" t="n">
        <f aca="false">IF(AND(A1007&gt;=Inputs!$C$13,OR(A1007&lt;Inputs!$B$19,Inputs!$B$20=1)),I1007*Inputs!$C$11/C1007,0)</f>
        <v>40.2739726027397</v>
      </c>
    </row>
    <row r="1008" customFormat="false" ht="15" hidden="false" customHeight="false" outlineLevel="0" collapsed="false">
      <c r="A1008" s="35" t="n">
        <f aca="false">A1007+1</f>
        <v>45815</v>
      </c>
      <c r="B1008" s="35" t="n">
        <f aca="false">EOMONTH(A1008+1,0)</f>
        <v>45838</v>
      </c>
      <c r="C1008" s="36" t="n">
        <f aca="false">IF(MOD(YEAR(A1008),4)=0,366,365)</f>
        <v>365</v>
      </c>
      <c r="D1008" s="37" t="n">
        <f aca="false">Inputs!$B$9-SUMIFS(Cash_Events!$G$6:$G$20,Cash_Events!$C$6:$C$20,"rAGMF",Cash_Events!$B$6:$B$20,"&lt;="&amp;A1008)</f>
        <v>735000</v>
      </c>
      <c r="E1008" s="38" t="n">
        <f aca="false">VLOOKUP(A1008,Inputs!$A$40:$B$48,2,TRUE())</f>
        <v>0.0419027</v>
      </c>
      <c r="F1008" s="38" t="n">
        <f aca="false">E1008+Inputs!$B$10</f>
        <v>0.1094027</v>
      </c>
      <c r="G1008" s="37" t="n">
        <f aca="false">D1008*F1008/C1008</f>
        <v>220.304067123288</v>
      </c>
      <c r="H1008" s="37" t="n">
        <f aca="false">IF(AND(A1008&gt;=Inputs!$B$13,OR(A1008&lt;Inputs!$B$19,Inputs!$B$20=1)),D1008*Inputs!$B$11/C1008,0)</f>
        <v>40.2739726027397</v>
      </c>
      <c r="I1008" s="37" t="n">
        <f aca="false">Inputs!$C$9-SUMIFS(Cash_Events!$G$6:$G$20,Cash_Events!$C$6:$C$20,"FHL",Cash_Events!$B$6:$B$20,"&lt;="&amp;A1008)</f>
        <v>735000</v>
      </c>
      <c r="J1008" s="38" t="n">
        <f aca="false">VLOOKUP(A1008,Inputs!$F$40:$G$48,2,TRUE())</f>
        <v>0.0420238</v>
      </c>
      <c r="K1008" s="38" t="n">
        <f aca="false">J1008+Inputs!$C$10</f>
        <v>0.1095238</v>
      </c>
      <c r="L1008" s="37" t="n">
        <f aca="false">I1008*K1008/C1008</f>
        <v>220.547926027397</v>
      </c>
      <c r="M1008" s="37" t="n">
        <f aca="false">IF(AND(A1008&gt;=Inputs!$C$13,OR(A1008&lt;Inputs!$B$19,Inputs!$B$20=1)),I1008*Inputs!$C$11/C1008,0)</f>
        <v>40.2739726027397</v>
      </c>
    </row>
    <row r="1009" customFormat="false" ht="15" hidden="false" customHeight="false" outlineLevel="0" collapsed="false">
      <c r="A1009" s="35" t="n">
        <f aca="false">A1008+1</f>
        <v>45816</v>
      </c>
      <c r="B1009" s="35" t="n">
        <f aca="false">EOMONTH(A1009+1,0)</f>
        <v>45838</v>
      </c>
      <c r="C1009" s="36" t="n">
        <f aca="false">IF(MOD(YEAR(A1009),4)=0,366,365)</f>
        <v>365</v>
      </c>
      <c r="D1009" s="37" t="n">
        <f aca="false">Inputs!$B$9-SUMIFS(Cash_Events!$G$6:$G$20,Cash_Events!$C$6:$C$20,"rAGMF",Cash_Events!$B$6:$B$20,"&lt;="&amp;A1009)</f>
        <v>735000</v>
      </c>
      <c r="E1009" s="38" t="n">
        <f aca="false">VLOOKUP(A1009,Inputs!$A$40:$B$48,2,TRUE())</f>
        <v>0.0419027</v>
      </c>
      <c r="F1009" s="38" t="n">
        <f aca="false">E1009+Inputs!$B$10</f>
        <v>0.1094027</v>
      </c>
      <c r="G1009" s="37" t="n">
        <f aca="false">D1009*F1009/C1009</f>
        <v>220.304067123288</v>
      </c>
      <c r="H1009" s="37" t="n">
        <f aca="false">IF(AND(A1009&gt;=Inputs!$B$13,OR(A1009&lt;Inputs!$B$19,Inputs!$B$20=1)),D1009*Inputs!$B$11/C1009,0)</f>
        <v>40.2739726027397</v>
      </c>
      <c r="I1009" s="37" t="n">
        <f aca="false">Inputs!$C$9-SUMIFS(Cash_Events!$G$6:$G$20,Cash_Events!$C$6:$C$20,"FHL",Cash_Events!$B$6:$B$20,"&lt;="&amp;A1009)</f>
        <v>735000</v>
      </c>
      <c r="J1009" s="38" t="n">
        <f aca="false">VLOOKUP(A1009,Inputs!$F$40:$G$48,2,TRUE())</f>
        <v>0.0420238</v>
      </c>
      <c r="K1009" s="38" t="n">
        <f aca="false">J1009+Inputs!$C$10</f>
        <v>0.1095238</v>
      </c>
      <c r="L1009" s="37" t="n">
        <f aca="false">I1009*K1009/C1009</f>
        <v>220.547926027397</v>
      </c>
      <c r="M1009" s="37" t="n">
        <f aca="false">IF(AND(A1009&gt;=Inputs!$C$13,OR(A1009&lt;Inputs!$B$19,Inputs!$B$20=1)),I1009*Inputs!$C$11/C1009,0)</f>
        <v>40.2739726027397</v>
      </c>
    </row>
    <row r="1010" customFormat="false" ht="15" hidden="false" customHeight="false" outlineLevel="0" collapsed="false">
      <c r="A1010" s="35" t="n">
        <f aca="false">A1009+1</f>
        <v>45817</v>
      </c>
      <c r="B1010" s="35" t="n">
        <f aca="false">EOMONTH(A1010+1,0)</f>
        <v>45838</v>
      </c>
      <c r="C1010" s="36" t="n">
        <f aca="false">IF(MOD(YEAR(A1010),4)=0,366,365)</f>
        <v>365</v>
      </c>
      <c r="D1010" s="37" t="n">
        <f aca="false">Inputs!$B$9-SUMIFS(Cash_Events!$G$6:$G$20,Cash_Events!$C$6:$C$20,"rAGMF",Cash_Events!$B$6:$B$20,"&lt;="&amp;A1010)</f>
        <v>735000</v>
      </c>
      <c r="E1010" s="38" t="n">
        <f aca="false">VLOOKUP(A1010,Inputs!$A$40:$B$48,2,TRUE())</f>
        <v>0.0419027</v>
      </c>
      <c r="F1010" s="38" t="n">
        <f aca="false">E1010+Inputs!$B$10</f>
        <v>0.1094027</v>
      </c>
      <c r="G1010" s="37" t="n">
        <f aca="false">D1010*F1010/C1010</f>
        <v>220.304067123288</v>
      </c>
      <c r="H1010" s="37" t="n">
        <f aca="false">IF(AND(A1010&gt;=Inputs!$B$13,OR(A1010&lt;Inputs!$B$19,Inputs!$B$20=1)),D1010*Inputs!$B$11/C1010,0)</f>
        <v>40.2739726027397</v>
      </c>
      <c r="I1010" s="37" t="n">
        <f aca="false">Inputs!$C$9-SUMIFS(Cash_Events!$G$6:$G$20,Cash_Events!$C$6:$C$20,"FHL",Cash_Events!$B$6:$B$20,"&lt;="&amp;A1010)</f>
        <v>735000</v>
      </c>
      <c r="J1010" s="38" t="n">
        <f aca="false">VLOOKUP(A1010,Inputs!$F$40:$G$48,2,TRUE())</f>
        <v>0.0420238</v>
      </c>
      <c r="K1010" s="38" t="n">
        <f aca="false">J1010+Inputs!$C$10</f>
        <v>0.1095238</v>
      </c>
      <c r="L1010" s="37" t="n">
        <f aca="false">I1010*K1010/C1010</f>
        <v>220.547926027397</v>
      </c>
      <c r="M1010" s="37" t="n">
        <f aca="false">IF(AND(A1010&gt;=Inputs!$C$13,OR(A1010&lt;Inputs!$B$19,Inputs!$B$20=1)),I1010*Inputs!$C$11/C1010,0)</f>
        <v>40.2739726027397</v>
      </c>
    </row>
    <row r="1011" customFormat="false" ht="15" hidden="false" customHeight="false" outlineLevel="0" collapsed="false">
      <c r="A1011" s="35" t="n">
        <f aca="false">A1010+1</f>
        <v>45818</v>
      </c>
      <c r="B1011" s="35" t="n">
        <f aca="false">EOMONTH(A1011+1,0)</f>
        <v>45838</v>
      </c>
      <c r="C1011" s="36" t="n">
        <f aca="false">IF(MOD(YEAR(A1011),4)=0,366,365)</f>
        <v>365</v>
      </c>
      <c r="D1011" s="37" t="n">
        <f aca="false">Inputs!$B$9-SUMIFS(Cash_Events!$G$6:$G$20,Cash_Events!$C$6:$C$20,"rAGMF",Cash_Events!$B$6:$B$20,"&lt;="&amp;A1011)</f>
        <v>735000</v>
      </c>
      <c r="E1011" s="38" t="n">
        <f aca="false">VLOOKUP(A1011,Inputs!$A$40:$B$48,2,TRUE())</f>
        <v>0.0419027</v>
      </c>
      <c r="F1011" s="38" t="n">
        <f aca="false">E1011+Inputs!$B$10</f>
        <v>0.1094027</v>
      </c>
      <c r="G1011" s="37" t="n">
        <f aca="false">D1011*F1011/C1011</f>
        <v>220.304067123288</v>
      </c>
      <c r="H1011" s="37" t="n">
        <f aca="false">IF(AND(A1011&gt;=Inputs!$B$13,OR(A1011&lt;Inputs!$B$19,Inputs!$B$20=1)),D1011*Inputs!$B$11/C1011,0)</f>
        <v>40.2739726027397</v>
      </c>
      <c r="I1011" s="37" t="n">
        <f aca="false">Inputs!$C$9-SUMIFS(Cash_Events!$G$6:$G$20,Cash_Events!$C$6:$C$20,"FHL",Cash_Events!$B$6:$B$20,"&lt;="&amp;A1011)</f>
        <v>735000</v>
      </c>
      <c r="J1011" s="38" t="n">
        <f aca="false">VLOOKUP(A1011,Inputs!$F$40:$G$48,2,TRUE())</f>
        <v>0.0420238</v>
      </c>
      <c r="K1011" s="38" t="n">
        <f aca="false">J1011+Inputs!$C$10</f>
        <v>0.1095238</v>
      </c>
      <c r="L1011" s="37" t="n">
        <f aca="false">I1011*K1011/C1011</f>
        <v>220.547926027397</v>
      </c>
      <c r="M1011" s="37" t="n">
        <f aca="false">IF(AND(A1011&gt;=Inputs!$C$13,OR(A1011&lt;Inputs!$B$19,Inputs!$B$20=1)),I1011*Inputs!$C$11/C1011,0)</f>
        <v>40.2739726027397</v>
      </c>
    </row>
    <row r="1012" customFormat="false" ht="15" hidden="false" customHeight="false" outlineLevel="0" collapsed="false">
      <c r="A1012" s="35" t="n">
        <f aca="false">A1011+1</f>
        <v>45819</v>
      </c>
      <c r="B1012" s="35" t="n">
        <f aca="false">EOMONTH(A1012+1,0)</f>
        <v>45838</v>
      </c>
      <c r="C1012" s="36" t="n">
        <f aca="false">IF(MOD(YEAR(A1012),4)=0,366,365)</f>
        <v>365</v>
      </c>
      <c r="D1012" s="37" t="n">
        <f aca="false">Inputs!$B$9-SUMIFS(Cash_Events!$G$6:$G$20,Cash_Events!$C$6:$C$20,"rAGMF",Cash_Events!$B$6:$B$20,"&lt;="&amp;A1012)</f>
        <v>735000</v>
      </c>
      <c r="E1012" s="38" t="n">
        <f aca="false">VLOOKUP(A1012,Inputs!$A$40:$B$48,2,TRUE())</f>
        <v>0.0419027</v>
      </c>
      <c r="F1012" s="38" t="n">
        <f aca="false">E1012+Inputs!$B$10</f>
        <v>0.1094027</v>
      </c>
      <c r="G1012" s="37" t="n">
        <f aca="false">D1012*F1012/C1012</f>
        <v>220.304067123288</v>
      </c>
      <c r="H1012" s="37" t="n">
        <f aca="false">IF(AND(A1012&gt;=Inputs!$B$13,OR(A1012&lt;Inputs!$B$19,Inputs!$B$20=1)),D1012*Inputs!$B$11/C1012,0)</f>
        <v>40.2739726027397</v>
      </c>
      <c r="I1012" s="37" t="n">
        <f aca="false">Inputs!$C$9-SUMIFS(Cash_Events!$G$6:$G$20,Cash_Events!$C$6:$C$20,"FHL",Cash_Events!$B$6:$B$20,"&lt;="&amp;A1012)</f>
        <v>735000</v>
      </c>
      <c r="J1012" s="38" t="n">
        <f aca="false">VLOOKUP(A1012,Inputs!$F$40:$G$48,2,TRUE())</f>
        <v>0.0420238</v>
      </c>
      <c r="K1012" s="38" t="n">
        <f aca="false">J1012+Inputs!$C$10</f>
        <v>0.1095238</v>
      </c>
      <c r="L1012" s="37" t="n">
        <f aca="false">I1012*K1012/C1012</f>
        <v>220.547926027397</v>
      </c>
      <c r="M1012" s="37" t="n">
        <f aca="false">IF(AND(A1012&gt;=Inputs!$C$13,OR(A1012&lt;Inputs!$B$19,Inputs!$B$20=1)),I1012*Inputs!$C$11/C1012,0)</f>
        <v>40.2739726027397</v>
      </c>
    </row>
    <row r="1013" customFormat="false" ht="15" hidden="false" customHeight="false" outlineLevel="0" collapsed="false">
      <c r="A1013" s="35" t="n">
        <f aca="false">A1012+1</f>
        <v>45820</v>
      </c>
      <c r="B1013" s="35" t="n">
        <f aca="false">EOMONTH(A1013+1,0)</f>
        <v>45838</v>
      </c>
      <c r="C1013" s="36" t="n">
        <f aca="false">IF(MOD(YEAR(A1013),4)=0,366,365)</f>
        <v>365</v>
      </c>
      <c r="D1013" s="37" t="n">
        <f aca="false">Inputs!$B$9-SUMIFS(Cash_Events!$G$6:$G$20,Cash_Events!$C$6:$C$20,"rAGMF",Cash_Events!$B$6:$B$20,"&lt;="&amp;A1013)</f>
        <v>735000</v>
      </c>
      <c r="E1013" s="38" t="n">
        <f aca="false">VLOOKUP(A1013,Inputs!$A$40:$B$48,2,TRUE())</f>
        <v>0.0419027</v>
      </c>
      <c r="F1013" s="38" t="n">
        <f aca="false">E1013+Inputs!$B$10</f>
        <v>0.1094027</v>
      </c>
      <c r="G1013" s="37" t="n">
        <f aca="false">D1013*F1013/C1013</f>
        <v>220.304067123288</v>
      </c>
      <c r="H1013" s="37" t="n">
        <f aca="false">IF(AND(A1013&gt;=Inputs!$B$13,OR(A1013&lt;Inputs!$B$19,Inputs!$B$20=1)),D1013*Inputs!$B$11/C1013,0)</f>
        <v>40.2739726027397</v>
      </c>
      <c r="I1013" s="37" t="n">
        <f aca="false">Inputs!$C$9-SUMIFS(Cash_Events!$G$6:$G$20,Cash_Events!$C$6:$C$20,"FHL",Cash_Events!$B$6:$B$20,"&lt;="&amp;A1013)</f>
        <v>735000</v>
      </c>
      <c r="J1013" s="38" t="n">
        <f aca="false">VLOOKUP(A1013,Inputs!$F$40:$G$48,2,TRUE())</f>
        <v>0.0420238</v>
      </c>
      <c r="K1013" s="38" t="n">
        <f aca="false">J1013+Inputs!$C$10</f>
        <v>0.1095238</v>
      </c>
      <c r="L1013" s="37" t="n">
        <f aca="false">I1013*K1013/C1013</f>
        <v>220.547926027397</v>
      </c>
      <c r="M1013" s="37" t="n">
        <f aca="false">IF(AND(A1013&gt;=Inputs!$C$13,OR(A1013&lt;Inputs!$B$19,Inputs!$B$20=1)),I1013*Inputs!$C$11/C1013,0)</f>
        <v>40.2739726027397</v>
      </c>
    </row>
    <row r="1014" customFormat="false" ht="15" hidden="false" customHeight="false" outlineLevel="0" collapsed="false">
      <c r="A1014" s="35" t="n">
        <f aca="false">A1013+1</f>
        <v>45821</v>
      </c>
      <c r="B1014" s="35" t="n">
        <f aca="false">EOMONTH(A1014+1,0)</f>
        <v>45838</v>
      </c>
      <c r="C1014" s="36" t="n">
        <f aca="false">IF(MOD(YEAR(A1014),4)=0,366,365)</f>
        <v>365</v>
      </c>
      <c r="D1014" s="37" t="n">
        <f aca="false">Inputs!$B$9-SUMIFS(Cash_Events!$G$6:$G$20,Cash_Events!$C$6:$C$20,"rAGMF",Cash_Events!$B$6:$B$20,"&lt;="&amp;A1014)</f>
        <v>735000</v>
      </c>
      <c r="E1014" s="38" t="n">
        <f aca="false">VLOOKUP(A1014,Inputs!$A$40:$B$48,2,TRUE())</f>
        <v>0.0419027</v>
      </c>
      <c r="F1014" s="38" t="n">
        <f aca="false">E1014+Inputs!$B$10</f>
        <v>0.1094027</v>
      </c>
      <c r="G1014" s="37" t="n">
        <f aca="false">D1014*F1014/C1014</f>
        <v>220.304067123288</v>
      </c>
      <c r="H1014" s="37" t="n">
        <f aca="false">IF(AND(A1014&gt;=Inputs!$B$13,OR(A1014&lt;Inputs!$B$19,Inputs!$B$20=1)),D1014*Inputs!$B$11/C1014,0)</f>
        <v>40.2739726027397</v>
      </c>
      <c r="I1014" s="37" t="n">
        <f aca="false">Inputs!$C$9-SUMIFS(Cash_Events!$G$6:$G$20,Cash_Events!$C$6:$C$20,"FHL",Cash_Events!$B$6:$B$20,"&lt;="&amp;A1014)</f>
        <v>735000</v>
      </c>
      <c r="J1014" s="38" t="n">
        <f aca="false">VLOOKUP(A1014,Inputs!$F$40:$G$48,2,TRUE())</f>
        <v>0.0420238</v>
      </c>
      <c r="K1014" s="38" t="n">
        <f aca="false">J1014+Inputs!$C$10</f>
        <v>0.1095238</v>
      </c>
      <c r="L1014" s="37" t="n">
        <f aca="false">I1014*K1014/C1014</f>
        <v>220.547926027397</v>
      </c>
      <c r="M1014" s="37" t="n">
        <f aca="false">IF(AND(A1014&gt;=Inputs!$C$13,OR(A1014&lt;Inputs!$B$19,Inputs!$B$20=1)),I1014*Inputs!$C$11/C1014,0)</f>
        <v>40.2739726027397</v>
      </c>
    </row>
    <row r="1015" customFormat="false" ht="15" hidden="false" customHeight="false" outlineLevel="0" collapsed="false">
      <c r="A1015" s="35" t="n">
        <f aca="false">A1014+1</f>
        <v>45822</v>
      </c>
      <c r="B1015" s="35" t="n">
        <f aca="false">EOMONTH(A1015+1,0)</f>
        <v>45838</v>
      </c>
      <c r="C1015" s="36" t="n">
        <f aca="false">IF(MOD(YEAR(A1015),4)=0,366,365)</f>
        <v>365</v>
      </c>
      <c r="D1015" s="37" t="n">
        <f aca="false">Inputs!$B$9-SUMIFS(Cash_Events!$G$6:$G$20,Cash_Events!$C$6:$C$20,"rAGMF",Cash_Events!$B$6:$B$20,"&lt;="&amp;A1015)</f>
        <v>735000</v>
      </c>
      <c r="E1015" s="38" t="n">
        <f aca="false">VLOOKUP(A1015,Inputs!$A$40:$B$48,2,TRUE())</f>
        <v>0.0419027</v>
      </c>
      <c r="F1015" s="38" t="n">
        <f aca="false">E1015+Inputs!$B$10</f>
        <v>0.1094027</v>
      </c>
      <c r="G1015" s="37" t="n">
        <f aca="false">D1015*F1015/C1015</f>
        <v>220.304067123288</v>
      </c>
      <c r="H1015" s="37" t="n">
        <f aca="false">IF(AND(A1015&gt;=Inputs!$B$13,OR(A1015&lt;Inputs!$B$19,Inputs!$B$20=1)),D1015*Inputs!$B$11/C1015,0)</f>
        <v>40.2739726027397</v>
      </c>
      <c r="I1015" s="37" t="n">
        <f aca="false">Inputs!$C$9-SUMIFS(Cash_Events!$G$6:$G$20,Cash_Events!$C$6:$C$20,"FHL",Cash_Events!$B$6:$B$20,"&lt;="&amp;A1015)</f>
        <v>735000</v>
      </c>
      <c r="J1015" s="38" t="n">
        <f aca="false">VLOOKUP(A1015,Inputs!$F$40:$G$48,2,TRUE())</f>
        <v>0.0420238</v>
      </c>
      <c r="K1015" s="38" t="n">
        <f aca="false">J1015+Inputs!$C$10</f>
        <v>0.1095238</v>
      </c>
      <c r="L1015" s="37" t="n">
        <f aca="false">I1015*K1015/C1015</f>
        <v>220.547926027397</v>
      </c>
      <c r="M1015" s="37" t="n">
        <f aca="false">IF(AND(A1015&gt;=Inputs!$C$13,OR(A1015&lt;Inputs!$B$19,Inputs!$B$20=1)),I1015*Inputs!$C$11/C1015,0)</f>
        <v>40.2739726027397</v>
      </c>
    </row>
    <row r="1016" customFormat="false" ht="15" hidden="false" customHeight="false" outlineLevel="0" collapsed="false">
      <c r="A1016" s="35" t="n">
        <f aca="false">A1015+1</f>
        <v>45823</v>
      </c>
      <c r="B1016" s="35" t="n">
        <f aca="false">EOMONTH(A1016+1,0)</f>
        <v>45838</v>
      </c>
      <c r="C1016" s="36" t="n">
        <f aca="false">IF(MOD(YEAR(A1016),4)=0,366,365)</f>
        <v>365</v>
      </c>
      <c r="D1016" s="37" t="n">
        <f aca="false">Inputs!$B$9-SUMIFS(Cash_Events!$G$6:$G$20,Cash_Events!$C$6:$C$20,"rAGMF",Cash_Events!$B$6:$B$20,"&lt;="&amp;A1016)</f>
        <v>735000</v>
      </c>
      <c r="E1016" s="38" t="n">
        <f aca="false">VLOOKUP(A1016,Inputs!$A$40:$B$48,2,TRUE())</f>
        <v>0.0419027</v>
      </c>
      <c r="F1016" s="38" t="n">
        <f aca="false">E1016+Inputs!$B$10</f>
        <v>0.1094027</v>
      </c>
      <c r="G1016" s="37" t="n">
        <f aca="false">D1016*F1016/C1016</f>
        <v>220.304067123288</v>
      </c>
      <c r="H1016" s="37" t="n">
        <f aca="false">IF(AND(A1016&gt;=Inputs!$B$13,OR(A1016&lt;Inputs!$B$19,Inputs!$B$20=1)),D1016*Inputs!$B$11/C1016,0)</f>
        <v>40.2739726027397</v>
      </c>
      <c r="I1016" s="37" t="n">
        <f aca="false">Inputs!$C$9-SUMIFS(Cash_Events!$G$6:$G$20,Cash_Events!$C$6:$C$20,"FHL",Cash_Events!$B$6:$B$20,"&lt;="&amp;A1016)</f>
        <v>735000</v>
      </c>
      <c r="J1016" s="38" t="n">
        <f aca="false">VLOOKUP(A1016,Inputs!$F$40:$G$48,2,TRUE())</f>
        <v>0.0420238</v>
      </c>
      <c r="K1016" s="38" t="n">
        <f aca="false">J1016+Inputs!$C$10</f>
        <v>0.1095238</v>
      </c>
      <c r="L1016" s="37" t="n">
        <f aca="false">I1016*K1016/C1016</f>
        <v>220.547926027397</v>
      </c>
      <c r="M1016" s="37" t="n">
        <f aca="false">IF(AND(A1016&gt;=Inputs!$C$13,OR(A1016&lt;Inputs!$B$19,Inputs!$B$20=1)),I1016*Inputs!$C$11/C1016,0)</f>
        <v>40.2739726027397</v>
      </c>
    </row>
    <row r="1017" customFormat="false" ht="15" hidden="false" customHeight="false" outlineLevel="0" collapsed="false">
      <c r="A1017" s="35" t="n">
        <f aca="false">A1016+1</f>
        <v>45824</v>
      </c>
      <c r="B1017" s="35" t="n">
        <f aca="false">EOMONTH(A1017+1,0)</f>
        <v>45838</v>
      </c>
      <c r="C1017" s="36" t="n">
        <f aca="false">IF(MOD(YEAR(A1017),4)=0,366,365)</f>
        <v>365</v>
      </c>
      <c r="D1017" s="37" t="n">
        <f aca="false">Inputs!$B$9-SUMIFS(Cash_Events!$G$6:$G$20,Cash_Events!$C$6:$C$20,"rAGMF",Cash_Events!$B$6:$B$20,"&lt;="&amp;A1017)</f>
        <v>735000</v>
      </c>
      <c r="E1017" s="38" t="n">
        <f aca="false">VLOOKUP(A1017,Inputs!$A$40:$B$48,2,TRUE())</f>
        <v>0.0419027</v>
      </c>
      <c r="F1017" s="38" t="n">
        <f aca="false">E1017+Inputs!$B$10</f>
        <v>0.1094027</v>
      </c>
      <c r="G1017" s="37" t="n">
        <f aca="false">D1017*F1017/C1017</f>
        <v>220.304067123288</v>
      </c>
      <c r="H1017" s="37" t="n">
        <f aca="false">IF(AND(A1017&gt;=Inputs!$B$13,OR(A1017&lt;Inputs!$B$19,Inputs!$B$20=1)),D1017*Inputs!$B$11/C1017,0)</f>
        <v>40.2739726027397</v>
      </c>
      <c r="I1017" s="37" t="n">
        <f aca="false">Inputs!$C$9-SUMIFS(Cash_Events!$G$6:$G$20,Cash_Events!$C$6:$C$20,"FHL",Cash_Events!$B$6:$B$20,"&lt;="&amp;A1017)</f>
        <v>735000</v>
      </c>
      <c r="J1017" s="38" t="n">
        <f aca="false">VLOOKUP(A1017,Inputs!$F$40:$G$48,2,TRUE())</f>
        <v>0.0420238</v>
      </c>
      <c r="K1017" s="38" t="n">
        <f aca="false">J1017+Inputs!$C$10</f>
        <v>0.1095238</v>
      </c>
      <c r="L1017" s="37" t="n">
        <f aca="false">I1017*K1017/C1017</f>
        <v>220.547926027397</v>
      </c>
      <c r="M1017" s="37" t="n">
        <f aca="false">IF(AND(A1017&gt;=Inputs!$C$13,OR(A1017&lt;Inputs!$B$19,Inputs!$B$20=1)),I1017*Inputs!$C$11/C1017,0)</f>
        <v>40.2739726027397</v>
      </c>
    </row>
    <row r="1018" customFormat="false" ht="15" hidden="false" customHeight="false" outlineLevel="0" collapsed="false">
      <c r="A1018" s="35" t="n">
        <f aca="false">A1017+1</f>
        <v>45825</v>
      </c>
      <c r="B1018" s="35" t="n">
        <f aca="false">EOMONTH(A1018+1,0)</f>
        <v>45838</v>
      </c>
      <c r="C1018" s="36" t="n">
        <f aca="false">IF(MOD(YEAR(A1018),4)=0,366,365)</f>
        <v>365</v>
      </c>
      <c r="D1018" s="37" t="n">
        <f aca="false">Inputs!$B$9-SUMIFS(Cash_Events!$G$6:$G$20,Cash_Events!$C$6:$C$20,"rAGMF",Cash_Events!$B$6:$B$20,"&lt;="&amp;A1018)</f>
        <v>735000</v>
      </c>
      <c r="E1018" s="38" t="n">
        <f aca="false">VLOOKUP(A1018,Inputs!$A$40:$B$48,2,TRUE())</f>
        <v>0.0419027</v>
      </c>
      <c r="F1018" s="38" t="n">
        <f aca="false">E1018+Inputs!$B$10</f>
        <v>0.1094027</v>
      </c>
      <c r="G1018" s="37" t="n">
        <f aca="false">D1018*F1018/C1018</f>
        <v>220.304067123288</v>
      </c>
      <c r="H1018" s="37" t="n">
        <f aca="false">IF(AND(A1018&gt;=Inputs!$B$13,OR(A1018&lt;Inputs!$B$19,Inputs!$B$20=1)),D1018*Inputs!$B$11/C1018,0)</f>
        <v>40.2739726027397</v>
      </c>
      <c r="I1018" s="37" t="n">
        <f aca="false">Inputs!$C$9-SUMIFS(Cash_Events!$G$6:$G$20,Cash_Events!$C$6:$C$20,"FHL",Cash_Events!$B$6:$B$20,"&lt;="&amp;A1018)</f>
        <v>735000</v>
      </c>
      <c r="J1018" s="38" t="n">
        <f aca="false">VLOOKUP(A1018,Inputs!$F$40:$G$48,2,TRUE())</f>
        <v>0.0420238</v>
      </c>
      <c r="K1018" s="38" t="n">
        <f aca="false">J1018+Inputs!$C$10</f>
        <v>0.1095238</v>
      </c>
      <c r="L1018" s="37" t="n">
        <f aca="false">I1018*K1018/C1018</f>
        <v>220.547926027397</v>
      </c>
      <c r="M1018" s="37" t="n">
        <f aca="false">IF(AND(A1018&gt;=Inputs!$C$13,OR(A1018&lt;Inputs!$B$19,Inputs!$B$20=1)),I1018*Inputs!$C$11/C1018,0)</f>
        <v>40.2739726027397</v>
      </c>
    </row>
    <row r="1019" customFormat="false" ht="15" hidden="false" customHeight="false" outlineLevel="0" collapsed="false">
      <c r="A1019" s="35" t="n">
        <f aca="false">A1018+1</f>
        <v>45826</v>
      </c>
      <c r="B1019" s="35" t="n">
        <f aca="false">EOMONTH(A1019+1,0)</f>
        <v>45838</v>
      </c>
      <c r="C1019" s="36" t="n">
        <f aca="false">IF(MOD(YEAR(A1019),4)=0,366,365)</f>
        <v>365</v>
      </c>
      <c r="D1019" s="37" t="n">
        <f aca="false">Inputs!$B$9-SUMIFS(Cash_Events!$G$6:$G$20,Cash_Events!$C$6:$C$20,"rAGMF",Cash_Events!$B$6:$B$20,"&lt;="&amp;A1019)</f>
        <v>735000</v>
      </c>
      <c r="E1019" s="38" t="n">
        <f aca="false">VLOOKUP(A1019,Inputs!$A$40:$B$48,2,TRUE())</f>
        <v>0.0419027</v>
      </c>
      <c r="F1019" s="38" t="n">
        <f aca="false">E1019+Inputs!$B$10</f>
        <v>0.1094027</v>
      </c>
      <c r="G1019" s="37" t="n">
        <f aca="false">D1019*F1019/C1019</f>
        <v>220.304067123288</v>
      </c>
      <c r="H1019" s="37" t="n">
        <f aca="false">IF(AND(A1019&gt;=Inputs!$B$13,OR(A1019&lt;Inputs!$B$19,Inputs!$B$20=1)),D1019*Inputs!$B$11/C1019,0)</f>
        <v>40.2739726027397</v>
      </c>
      <c r="I1019" s="37" t="n">
        <f aca="false">Inputs!$C$9-SUMIFS(Cash_Events!$G$6:$G$20,Cash_Events!$C$6:$C$20,"FHL",Cash_Events!$B$6:$B$20,"&lt;="&amp;A1019)</f>
        <v>735000</v>
      </c>
      <c r="J1019" s="38" t="n">
        <f aca="false">VLOOKUP(A1019,Inputs!$F$40:$G$48,2,TRUE())</f>
        <v>0.0420238</v>
      </c>
      <c r="K1019" s="38" t="n">
        <f aca="false">J1019+Inputs!$C$10</f>
        <v>0.1095238</v>
      </c>
      <c r="L1019" s="37" t="n">
        <f aca="false">I1019*K1019/C1019</f>
        <v>220.547926027397</v>
      </c>
      <c r="M1019" s="37" t="n">
        <f aca="false">IF(AND(A1019&gt;=Inputs!$C$13,OR(A1019&lt;Inputs!$B$19,Inputs!$B$20=1)),I1019*Inputs!$C$11/C1019,0)</f>
        <v>40.2739726027397</v>
      </c>
    </row>
    <row r="1020" customFormat="false" ht="15" hidden="false" customHeight="false" outlineLevel="0" collapsed="false">
      <c r="A1020" s="35" t="n">
        <f aca="false">A1019+1</f>
        <v>45827</v>
      </c>
      <c r="B1020" s="35" t="n">
        <f aca="false">EOMONTH(A1020+1,0)</f>
        <v>45838</v>
      </c>
      <c r="C1020" s="36" t="n">
        <f aca="false">IF(MOD(YEAR(A1020),4)=0,366,365)</f>
        <v>365</v>
      </c>
      <c r="D1020" s="37" t="n">
        <f aca="false">Inputs!$B$9-SUMIFS(Cash_Events!$G$6:$G$20,Cash_Events!$C$6:$C$20,"rAGMF",Cash_Events!$B$6:$B$20,"&lt;="&amp;A1020)</f>
        <v>735000</v>
      </c>
      <c r="E1020" s="38" t="n">
        <f aca="false">VLOOKUP(A1020,Inputs!$A$40:$B$48,2,TRUE())</f>
        <v>0.0419027</v>
      </c>
      <c r="F1020" s="38" t="n">
        <f aca="false">E1020+Inputs!$B$10</f>
        <v>0.1094027</v>
      </c>
      <c r="G1020" s="37" t="n">
        <f aca="false">D1020*F1020/C1020</f>
        <v>220.304067123288</v>
      </c>
      <c r="H1020" s="37" t="n">
        <f aca="false">IF(AND(A1020&gt;=Inputs!$B$13,OR(A1020&lt;Inputs!$B$19,Inputs!$B$20=1)),D1020*Inputs!$B$11/C1020,0)</f>
        <v>40.2739726027397</v>
      </c>
      <c r="I1020" s="37" t="n">
        <f aca="false">Inputs!$C$9-SUMIFS(Cash_Events!$G$6:$G$20,Cash_Events!$C$6:$C$20,"FHL",Cash_Events!$B$6:$B$20,"&lt;="&amp;A1020)</f>
        <v>735000</v>
      </c>
      <c r="J1020" s="38" t="n">
        <f aca="false">VLOOKUP(A1020,Inputs!$F$40:$G$48,2,TRUE())</f>
        <v>0.0420238</v>
      </c>
      <c r="K1020" s="38" t="n">
        <f aca="false">J1020+Inputs!$C$10</f>
        <v>0.1095238</v>
      </c>
      <c r="L1020" s="37" t="n">
        <f aca="false">I1020*K1020/C1020</f>
        <v>220.547926027397</v>
      </c>
      <c r="M1020" s="37" t="n">
        <f aca="false">IF(AND(A1020&gt;=Inputs!$C$13,OR(A1020&lt;Inputs!$B$19,Inputs!$B$20=1)),I1020*Inputs!$C$11/C1020,0)</f>
        <v>40.2739726027397</v>
      </c>
    </row>
    <row r="1021" customFormat="false" ht="15" hidden="false" customHeight="false" outlineLevel="0" collapsed="false">
      <c r="A1021" s="35" t="n">
        <f aca="false">A1020+1</f>
        <v>45828</v>
      </c>
      <c r="B1021" s="35" t="n">
        <f aca="false">EOMONTH(A1021+1,0)</f>
        <v>45838</v>
      </c>
      <c r="C1021" s="36" t="n">
        <f aca="false">IF(MOD(YEAR(A1021),4)=0,366,365)</f>
        <v>365</v>
      </c>
      <c r="D1021" s="37" t="n">
        <f aca="false">Inputs!$B$9-SUMIFS(Cash_Events!$G$6:$G$20,Cash_Events!$C$6:$C$20,"rAGMF",Cash_Events!$B$6:$B$20,"&lt;="&amp;A1021)</f>
        <v>735000</v>
      </c>
      <c r="E1021" s="38" t="n">
        <f aca="false">VLOOKUP(A1021,Inputs!$A$40:$B$48,2,TRUE())</f>
        <v>0.0419027</v>
      </c>
      <c r="F1021" s="38" t="n">
        <f aca="false">E1021+Inputs!$B$10</f>
        <v>0.1094027</v>
      </c>
      <c r="G1021" s="37" t="n">
        <f aca="false">D1021*F1021/C1021</f>
        <v>220.304067123288</v>
      </c>
      <c r="H1021" s="37" t="n">
        <f aca="false">IF(AND(A1021&gt;=Inputs!$B$13,OR(A1021&lt;Inputs!$B$19,Inputs!$B$20=1)),D1021*Inputs!$B$11/C1021,0)</f>
        <v>40.2739726027397</v>
      </c>
      <c r="I1021" s="37" t="n">
        <f aca="false">Inputs!$C$9-SUMIFS(Cash_Events!$G$6:$G$20,Cash_Events!$C$6:$C$20,"FHL",Cash_Events!$B$6:$B$20,"&lt;="&amp;A1021)</f>
        <v>735000</v>
      </c>
      <c r="J1021" s="38" t="n">
        <f aca="false">VLOOKUP(A1021,Inputs!$F$40:$G$48,2,TRUE())</f>
        <v>0.0420238</v>
      </c>
      <c r="K1021" s="38" t="n">
        <f aca="false">J1021+Inputs!$C$10</f>
        <v>0.1095238</v>
      </c>
      <c r="L1021" s="37" t="n">
        <f aca="false">I1021*K1021/C1021</f>
        <v>220.547926027397</v>
      </c>
      <c r="M1021" s="37" t="n">
        <f aca="false">IF(AND(A1021&gt;=Inputs!$C$13,OR(A1021&lt;Inputs!$B$19,Inputs!$B$20=1)),I1021*Inputs!$C$11/C1021,0)</f>
        <v>40.2739726027397</v>
      </c>
    </row>
    <row r="1022" customFormat="false" ht="15" hidden="false" customHeight="false" outlineLevel="0" collapsed="false">
      <c r="A1022" s="35" t="n">
        <f aca="false">A1021+1</f>
        <v>45829</v>
      </c>
      <c r="B1022" s="35" t="n">
        <f aca="false">EOMONTH(A1022+1,0)</f>
        <v>45838</v>
      </c>
      <c r="C1022" s="36" t="n">
        <f aca="false">IF(MOD(YEAR(A1022),4)=0,366,365)</f>
        <v>365</v>
      </c>
      <c r="D1022" s="37" t="n">
        <f aca="false">Inputs!$B$9-SUMIFS(Cash_Events!$G$6:$G$20,Cash_Events!$C$6:$C$20,"rAGMF",Cash_Events!$B$6:$B$20,"&lt;="&amp;A1022)</f>
        <v>735000</v>
      </c>
      <c r="E1022" s="38" t="n">
        <f aca="false">VLOOKUP(A1022,Inputs!$A$40:$B$48,2,TRUE())</f>
        <v>0.0419027</v>
      </c>
      <c r="F1022" s="38" t="n">
        <f aca="false">E1022+Inputs!$B$10</f>
        <v>0.1094027</v>
      </c>
      <c r="G1022" s="37" t="n">
        <f aca="false">D1022*F1022/C1022</f>
        <v>220.304067123288</v>
      </c>
      <c r="H1022" s="37" t="n">
        <f aca="false">IF(AND(A1022&gt;=Inputs!$B$13,OR(A1022&lt;Inputs!$B$19,Inputs!$B$20=1)),D1022*Inputs!$B$11/C1022,0)</f>
        <v>40.2739726027397</v>
      </c>
      <c r="I1022" s="37" t="n">
        <f aca="false">Inputs!$C$9-SUMIFS(Cash_Events!$G$6:$G$20,Cash_Events!$C$6:$C$20,"FHL",Cash_Events!$B$6:$B$20,"&lt;="&amp;A1022)</f>
        <v>735000</v>
      </c>
      <c r="J1022" s="38" t="n">
        <f aca="false">VLOOKUP(A1022,Inputs!$F$40:$G$48,2,TRUE())</f>
        <v>0.0420238</v>
      </c>
      <c r="K1022" s="38" t="n">
        <f aca="false">J1022+Inputs!$C$10</f>
        <v>0.1095238</v>
      </c>
      <c r="L1022" s="37" t="n">
        <f aca="false">I1022*K1022/C1022</f>
        <v>220.547926027397</v>
      </c>
      <c r="M1022" s="37" t="n">
        <f aca="false">IF(AND(A1022&gt;=Inputs!$C$13,OR(A1022&lt;Inputs!$B$19,Inputs!$B$20=1)),I1022*Inputs!$C$11/C1022,0)</f>
        <v>40.2739726027397</v>
      </c>
    </row>
    <row r="1023" customFormat="false" ht="15" hidden="false" customHeight="false" outlineLevel="0" collapsed="false">
      <c r="A1023" s="35" t="n">
        <f aca="false">A1022+1</f>
        <v>45830</v>
      </c>
      <c r="B1023" s="35" t="n">
        <f aca="false">EOMONTH(A1023+1,0)</f>
        <v>45838</v>
      </c>
      <c r="C1023" s="36" t="n">
        <f aca="false">IF(MOD(YEAR(A1023),4)=0,366,365)</f>
        <v>365</v>
      </c>
      <c r="D1023" s="37" t="n">
        <f aca="false">Inputs!$B$9-SUMIFS(Cash_Events!$G$6:$G$20,Cash_Events!$C$6:$C$20,"rAGMF",Cash_Events!$B$6:$B$20,"&lt;="&amp;A1023)</f>
        <v>735000</v>
      </c>
      <c r="E1023" s="38" t="n">
        <f aca="false">VLOOKUP(A1023,Inputs!$A$40:$B$48,2,TRUE())</f>
        <v>0.0419027</v>
      </c>
      <c r="F1023" s="38" t="n">
        <f aca="false">E1023+Inputs!$B$10</f>
        <v>0.1094027</v>
      </c>
      <c r="G1023" s="37" t="n">
        <f aca="false">D1023*F1023/C1023</f>
        <v>220.304067123288</v>
      </c>
      <c r="H1023" s="37" t="n">
        <f aca="false">IF(AND(A1023&gt;=Inputs!$B$13,OR(A1023&lt;Inputs!$B$19,Inputs!$B$20=1)),D1023*Inputs!$B$11/C1023,0)</f>
        <v>40.2739726027397</v>
      </c>
      <c r="I1023" s="37" t="n">
        <f aca="false">Inputs!$C$9-SUMIFS(Cash_Events!$G$6:$G$20,Cash_Events!$C$6:$C$20,"FHL",Cash_Events!$B$6:$B$20,"&lt;="&amp;A1023)</f>
        <v>735000</v>
      </c>
      <c r="J1023" s="38" t="n">
        <f aca="false">VLOOKUP(A1023,Inputs!$F$40:$G$48,2,TRUE())</f>
        <v>0.0420238</v>
      </c>
      <c r="K1023" s="38" t="n">
        <f aca="false">J1023+Inputs!$C$10</f>
        <v>0.1095238</v>
      </c>
      <c r="L1023" s="37" t="n">
        <f aca="false">I1023*K1023/C1023</f>
        <v>220.547926027397</v>
      </c>
      <c r="M1023" s="37" t="n">
        <f aca="false">IF(AND(A1023&gt;=Inputs!$C$13,OR(A1023&lt;Inputs!$B$19,Inputs!$B$20=1)),I1023*Inputs!$C$11/C1023,0)</f>
        <v>40.2739726027397</v>
      </c>
    </row>
    <row r="1024" customFormat="false" ht="15" hidden="false" customHeight="false" outlineLevel="0" collapsed="false">
      <c r="A1024" s="35" t="n">
        <f aca="false">A1023+1</f>
        <v>45831</v>
      </c>
      <c r="B1024" s="35" t="n">
        <f aca="false">EOMONTH(A1024+1,0)</f>
        <v>45838</v>
      </c>
      <c r="C1024" s="36" t="n">
        <f aca="false">IF(MOD(YEAR(A1024),4)=0,366,365)</f>
        <v>365</v>
      </c>
      <c r="D1024" s="37" t="n">
        <f aca="false">Inputs!$B$9-SUMIFS(Cash_Events!$G$6:$G$20,Cash_Events!$C$6:$C$20,"rAGMF",Cash_Events!$B$6:$B$20,"&lt;="&amp;A1024)</f>
        <v>735000</v>
      </c>
      <c r="E1024" s="38" t="n">
        <f aca="false">VLOOKUP(A1024,Inputs!$A$40:$B$48,2,TRUE())</f>
        <v>0.0419027</v>
      </c>
      <c r="F1024" s="38" t="n">
        <f aca="false">E1024+Inputs!$B$10</f>
        <v>0.1094027</v>
      </c>
      <c r="G1024" s="37" t="n">
        <f aca="false">D1024*F1024/C1024</f>
        <v>220.304067123288</v>
      </c>
      <c r="H1024" s="37" t="n">
        <f aca="false">IF(AND(A1024&gt;=Inputs!$B$13,OR(A1024&lt;Inputs!$B$19,Inputs!$B$20=1)),D1024*Inputs!$B$11/C1024,0)</f>
        <v>40.2739726027397</v>
      </c>
      <c r="I1024" s="37" t="n">
        <f aca="false">Inputs!$C$9-SUMIFS(Cash_Events!$G$6:$G$20,Cash_Events!$C$6:$C$20,"FHL",Cash_Events!$B$6:$B$20,"&lt;="&amp;A1024)</f>
        <v>735000</v>
      </c>
      <c r="J1024" s="38" t="n">
        <f aca="false">VLOOKUP(A1024,Inputs!$F$40:$G$48,2,TRUE())</f>
        <v>0.0420238</v>
      </c>
      <c r="K1024" s="38" t="n">
        <f aca="false">J1024+Inputs!$C$10</f>
        <v>0.1095238</v>
      </c>
      <c r="L1024" s="37" t="n">
        <f aca="false">I1024*K1024/C1024</f>
        <v>220.547926027397</v>
      </c>
      <c r="M1024" s="37" t="n">
        <f aca="false">IF(AND(A1024&gt;=Inputs!$C$13,OR(A1024&lt;Inputs!$B$19,Inputs!$B$20=1)),I1024*Inputs!$C$11/C1024,0)</f>
        <v>40.2739726027397</v>
      </c>
    </row>
    <row r="1025" customFormat="false" ht="15" hidden="false" customHeight="false" outlineLevel="0" collapsed="false">
      <c r="A1025" s="35" t="n">
        <f aca="false">A1024+1</f>
        <v>45832</v>
      </c>
      <c r="B1025" s="35" t="n">
        <f aca="false">EOMONTH(A1025+1,0)</f>
        <v>45838</v>
      </c>
      <c r="C1025" s="36" t="n">
        <f aca="false">IF(MOD(YEAR(A1025),4)=0,366,365)</f>
        <v>365</v>
      </c>
      <c r="D1025" s="37" t="n">
        <f aca="false">Inputs!$B$9-SUMIFS(Cash_Events!$G$6:$G$20,Cash_Events!$C$6:$C$20,"rAGMF",Cash_Events!$B$6:$B$20,"&lt;="&amp;A1025)</f>
        <v>735000</v>
      </c>
      <c r="E1025" s="38" t="n">
        <f aca="false">VLOOKUP(A1025,Inputs!$A$40:$B$48,2,TRUE())</f>
        <v>0.0419027</v>
      </c>
      <c r="F1025" s="38" t="n">
        <f aca="false">E1025+Inputs!$B$10</f>
        <v>0.1094027</v>
      </c>
      <c r="G1025" s="37" t="n">
        <f aca="false">D1025*F1025/C1025</f>
        <v>220.304067123288</v>
      </c>
      <c r="H1025" s="37" t="n">
        <f aca="false">IF(AND(A1025&gt;=Inputs!$B$13,OR(A1025&lt;Inputs!$B$19,Inputs!$B$20=1)),D1025*Inputs!$B$11/C1025,0)</f>
        <v>40.2739726027397</v>
      </c>
      <c r="I1025" s="37" t="n">
        <f aca="false">Inputs!$C$9-SUMIFS(Cash_Events!$G$6:$G$20,Cash_Events!$C$6:$C$20,"FHL",Cash_Events!$B$6:$B$20,"&lt;="&amp;A1025)</f>
        <v>735000</v>
      </c>
      <c r="J1025" s="38" t="n">
        <f aca="false">VLOOKUP(A1025,Inputs!$F$40:$G$48,2,TRUE())</f>
        <v>0.0420238</v>
      </c>
      <c r="K1025" s="38" t="n">
        <f aca="false">J1025+Inputs!$C$10</f>
        <v>0.1095238</v>
      </c>
      <c r="L1025" s="37" t="n">
        <f aca="false">I1025*K1025/C1025</f>
        <v>220.547926027397</v>
      </c>
      <c r="M1025" s="37" t="n">
        <f aca="false">IF(AND(A1025&gt;=Inputs!$C$13,OR(A1025&lt;Inputs!$B$19,Inputs!$B$20=1)),I1025*Inputs!$C$11/C1025,0)</f>
        <v>40.2739726027397</v>
      </c>
    </row>
    <row r="1026" customFormat="false" ht="15" hidden="false" customHeight="false" outlineLevel="0" collapsed="false">
      <c r="A1026" s="35" t="n">
        <f aca="false">A1025+1</f>
        <v>45833</v>
      </c>
      <c r="B1026" s="35" t="n">
        <f aca="false">EOMONTH(A1026+1,0)</f>
        <v>45838</v>
      </c>
      <c r="C1026" s="36" t="n">
        <f aca="false">IF(MOD(YEAR(A1026),4)=0,366,365)</f>
        <v>365</v>
      </c>
      <c r="D1026" s="37" t="n">
        <f aca="false">Inputs!$B$9-SUMIFS(Cash_Events!$G$6:$G$20,Cash_Events!$C$6:$C$20,"rAGMF",Cash_Events!$B$6:$B$20,"&lt;="&amp;A1026)</f>
        <v>735000</v>
      </c>
      <c r="E1026" s="38" t="n">
        <f aca="false">VLOOKUP(A1026,Inputs!$A$40:$B$48,2,TRUE())</f>
        <v>0.0419027</v>
      </c>
      <c r="F1026" s="38" t="n">
        <f aca="false">E1026+Inputs!$B$10</f>
        <v>0.1094027</v>
      </c>
      <c r="G1026" s="37" t="n">
        <f aca="false">D1026*F1026/C1026</f>
        <v>220.304067123288</v>
      </c>
      <c r="H1026" s="37" t="n">
        <f aca="false">IF(AND(A1026&gt;=Inputs!$B$13,OR(A1026&lt;Inputs!$B$19,Inputs!$B$20=1)),D1026*Inputs!$B$11/C1026,0)</f>
        <v>40.2739726027397</v>
      </c>
      <c r="I1026" s="37" t="n">
        <f aca="false">Inputs!$C$9-SUMIFS(Cash_Events!$G$6:$G$20,Cash_Events!$C$6:$C$20,"FHL",Cash_Events!$B$6:$B$20,"&lt;="&amp;A1026)</f>
        <v>735000</v>
      </c>
      <c r="J1026" s="38" t="n">
        <f aca="false">VLOOKUP(A1026,Inputs!$F$40:$G$48,2,TRUE())</f>
        <v>0.0420238</v>
      </c>
      <c r="K1026" s="38" t="n">
        <f aca="false">J1026+Inputs!$C$10</f>
        <v>0.1095238</v>
      </c>
      <c r="L1026" s="37" t="n">
        <f aca="false">I1026*K1026/C1026</f>
        <v>220.547926027397</v>
      </c>
      <c r="M1026" s="37" t="n">
        <f aca="false">IF(AND(A1026&gt;=Inputs!$C$13,OR(A1026&lt;Inputs!$B$19,Inputs!$B$20=1)),I1026*Inputs!$C$11/C1026,0)</f>
        <v>40.2739726027397</v>
      </c>
    </row>
    <row r="1027" customFormat="false" ht="15" hidden="false" customHeight="false" outlineLevel="0" collapsed="false">
      <c r="A1027" s="35" t="n">
        <f aca="false">A1026+1</f>
        <v>45834</v>
      </c>
      <c r="B1027" s="35" t="n">
        <f aca="false">EOMONTH(A1027+1,0)</f>
        <v>45838</v>
      </c>
      <c r="C1027" s="36" t="n">
        <f aca="false">IF(MOD(YEAR(A1027),4)=0,366,365)</f>
        <v>365</v>
      </c>
      <c r="D1027" s="37" t="n">
        <f aca="false">Inputs!$B$9-SUMIFS(Cash_Events!$G$6:$G$20,Cash_Events!$C$6:$C$20,"rAGMF",Cash_Events!$B$6:$B$20,"&lt;="&amp;A1027)</f>
        <v>735000</v>
      </c>
      <c r="E1027" s="38" t="n">
        <f aca="false">VLOOKUP(A1027,Inputs!$A$40:$B$48,2,TRUE())</f>
        <v>0.0419027</v>
      </c>
      <c r="F1027" s="38" t="n">
        <f aca="false">E1027+Inputs!$B$10</f>
        <v>0.1094027</v>
      </c>
      <c r="G1027" s="37" t="n">
        <f aca="false">D1027*F1027/C1027</f>
        <v>220.304067123288</v>
      </c>
      <c r="H1027" s="37" t="n">
        <f aca="false">IF(AND(A1027&gt;=Inputs!$B$13,OR(A1027&lt;Inputs!$B$19,Inputs!$B$20=1)),D1027*Inputs!$B$11/C1027,0)</f>
        <v>40.2739726027397</v>
      </c>
      <c r="I1027" s="37" t="n">
        <f aca="false">Inputs!$C$9-SUMIFS(Cash_Events!$G$6:$G$20,Cash_Events!$C$6:$C$20,"FHL",Cash_Events!$B$6:$B$20,"&lt;="&amp;A1027)</f>
        <v>735000</v>
      </c>
      <c r="J1027" s="38" t="n">
        <f aca="false">VLOOKUP(A1027,Inputs!$F$40:$G$48,2,TRUE())</f>
        <v>0.0420238</v>
      </c>
      <c r="K1027" s="38" t="n">
        <f aca="false">J1027+Inputs!$C$10</f>
        <v>0.1095238</v>
      </c>
      <c r="L1027" s="37" t="n">
        <f aca="false">I1027*K1027/C1027</f>
        <v>220.547926027397</v>
      </c>
      <c r="M1027" s="37" t="n">
        <f aca="false">IF(AND(A1027&gt;=Inputs!$C$13,OR(A1027&lt;Inputs!$B$19,Inputs!$B$20=1)),I1027*Inputs!$C$11/C1027,0)</f>
        <v>40.2739726027397</v>
      </c>
    </row>
    <row r="1028" customFormat="false" ht="15" hidden="false" customHeight="false" outlineLevel="0" collapsed="false">
      <c r="A1028" s="35" t="n">
        <f aca="false">A1027+1</f>
        <v>45835</v>
      </c>
      <c r="B1028" s="35" t="n">
        <f aca="false">EOMONTH(A1028+1,0)</f>
        <v>45838</v>
      </c>
      <c r="C1028" s="36" t="n">
        <f aca="false">IF(MOD(YEAR(A1028),4)=0,366,365)</f>
        <v>365</v>
      </c>
      <c r="D1028" s="37" t="n">
        <f aca="false">Inputs!$B$9-SUMIFS(Cash_Events!$G$6:$G$20,Cash_Events!$C$6:$C$20,"rAGMF",Cash_Events!$B$6:$B$20,"&lt;="&amp;A1028)</f>
        <v>735000</v>
      </c>
      <c r="E1028" s="38" t="n">
        <f aca="false">VLOOKUP(A1028,Inputs!$A$40:$B$48,2,TRUE())</f>
        <v>0.0419027</v>
      </c>
      <c r="F1028" s="38" t="n">
        <f aca="false">E1028+Inputs!$B$10</f>
        <v>0.1094027</v>
      </c>
      <c r="G1028" s="37" t="n">
        <f aca="false">D1028*F1028/C1028</f>
        <v>220.304067123288</v>
      </c>
      <c r="H1028" s="37" t="n">
        <f aca="false">IF(AND(A1028&gt;=Inputs!$B$13,OR(A1028&lt;Inputs!$B$19,Inputs!$B$20=1)),D1028*Inputs!$B$11/C1028,0)</f>
        <v>40.2739726027397</v>
      </c>
      <c r="I1028" s="37" t="n">
        <f aca="false">Inputs!$C$9-SUMIFS(Cash_Events!$G$6:$G$20,Cash_Events!$C$6:$C$20,"FHL",Cash_Events!$B$6:$B$20,"&lt;="&amp;A1028)</f>
        <v>735000</v>
      </c>
      <c r="J1028" s="38" t="n">
        <f aca="false">VLOOKUP(A1028,Inputs!$F$40:$G$48,2,TRUE())</f>
        <v>0.0420238</v>
      </c>
      <c r="K1028" s="38" t="n">
        <f aca="false">J1028+Inputs!$C$10</f>
        <v>0.1095238</v>
      </c>
      <c r="L1028" s="37" t="n">
        <f aca="false">I1028*K1028/C1028</f>
        <v>220.547926027397</v>
      </c>
      <c r="M1028" s="37" t="n">
        <f aca="false">IF(AND(A1028&gt;=Inputs!$C$13,OR(A1028&lt;Inputs!$B$19,Inputs!$B$20=1)),I1028*Inputs!$C$11/C1028,0)</f>
        <v>40.2739726027397</v>
      </c>
    </row>
    <row r="1029" customFormat="false" ht="15" hidden="false" customHeight="false" outlineLevel="0" collapsed="false">
      <c r="A1029" s="35" t="n">
        <f aca="false">A1028+1</f>
        <v>45836</v>
      </c>
      <c r="B1029" s="35" t="n">
        <f aca="false">EOMONTH(A1029+1,0)</f>
        <v>45838</v>
      </c>
      <c r="C1029" s="36" t="n">
        <f aca="false">IF(MOD(YEAR(A1029),4)=0,366,365)</f>
        <v>365</v>
      </c>
      <c r="D1029" s="37" t="n">
        <f aca="false">Inputs!$B$9-SUMIFS(Cash_Events!$G$6:$G$20,Cash_Events!$C$6:$C$20,"rAGMF",Cash_Events!$B$6:$B$20,"&lt;="&amp;A1029)</f>
        <v>735000</v>
      </c>
      <c r="E1029" s="38" t="n">
        <f aca="false">VLOOKUP(A1029,Inputs!$A$40:$B$48,2,TRUE())</f>
        <v>0.0419027</v>
      </c>
      <c r="F1029" s="38" t="n">
        <f aca="false">E1029+Inputs!$B$10</f>
        <v>0.1094027</v>
      </c>
      <c r="G1029" s="37" t="n">
        <f aca="false">D1029*F1029/C1029</f>
        <v>220.304067123288</v>
      </c>
      <c r="H1029" s="37" t="n">
        <f aca="false">IF(AND(A1029&gt;=Inputs!$B$13,OR(A1029&lt;Inputs!$B$19,Inputs!$B$20=1)),D1029*Inputs!$B$11/C1029,0)</f>
        <v>40.2739726027397</v>
      </c>
      <c r="I1029" s="37" t="n">
        <f aca="false">Inputs!$C$9-SUMIFS(Cash_Events!$G$6:$G$20,Cash_Events!$C$6:$C$20,"FHL",Cash_Events!$B$6:$B$20,"&lt;="&amp;A1029)</f>
        <v>735000</v>
      </c>
      <c r="J1029" s="38" t="n">
        <f aca="false">VLOOKUP(A1029,Inputs!$F$40:$G$48,2,TRUE())</f>
        <v>0.0420238</v>
      </c>
      <c r="K1029" s="38" t="n">
        <f aca="false">J1029+Inputs!$C$10</f>
        <v>0.1095238</v>
      </c>
      <c r="L1029" s="37" t="n">
        <f aca="false">I1029*K1029/C1029</f>
        <v>220.547926027397</v>
      </c>
      <c r="M1029" s="37" t="n">
        <f aca="false">IF(AND(A1029&gt;=Inputs!$C$13,OR(A1029&lt;Inputs!$B$19,Inputs!$B$20=1)),I1029*Inputs!$C$11/C1029,0)</f>
        <v>40.2739726027397</v>
      </c>
    </row>
    <row r="1030" customFormat="false" ht="15" hidden="false" customHeight="false" outlineLevel="0" collapsed="false">
      <c r="A1030" s="35" t="n">
        <f aca="false">A1029+1</f>
        <v>45837</v>
      </c>
      <c r="B1030" s="35" t="n">
        <f aca="false">EOMONTH(A1030+1,0)</f>
        <v>45838</v>
      </c>
      <c r="C1030" s="36" t="n">
        <f aca="false">IF(MOD(YEAR(A1030),4)=0,366,365)</f>
        <v>365</v>
      </c>
      <c r="D1030" s="37" t="n">
        <f aca="false">Inputs!$B$9-SUMIFS(Cash_Events!$G$6:$G$20,Cash_Events!$C$6:$C$20,"rAGMF",Cash_Events!$B$6:$B$20,"&lt;="&amp;A1030)</f>
        <v>735000</v>
      </c>
      <c r="E1030" s="38" t="n">
        <f aca="false">VLOOKUP(A1030,Inputs!$A$40:$B$48,2,TRUE())</f>
        <v>0.0419027</v>
      </c>
      <c r="F1030" s="38" t="n">
        <f aca="false">E1030+Inputs!$B$10</f>
        <v>0.1094027</v>
      </c>
      <c r="G1030" s="37" t="n">
        <f aca="false">D1030*F1030/C1030</f>
        <v>220.304067123288</v>
      </c>
      <c r="H1030" s="37" t="n">
        <f aca="false">IF(AND(A1030&gt;=Inputs!$B$13,OR(A1030&lt;Inputs!$B$19,Inputs!$B$20=1)),D1030*Inputs!$B$11/C1030,0)</f>
        <v>40.2739726027397</v>
      </c>
      <c r="I1030" s="37" t="n">
        <f aca="false">Inputs!$C$9-SUMIFS(Cash_Events!$G$6:$G$20,Cash_Events!$C$6:$C$20,"FHL",Cash_Events!$B$6:$B$20,"&lt;="&amp;A1030)</f>
        <v>735000</v>
      </c>
      <c r="J1030" s="38" t="n">
        <f aca="false">VLOOKUP(A1030,Inputs!$F$40:$G$48,2,TRUE())</f>
        <v>0.0420238</v>
      </c>
      <c r="K1030" s="38" t="n">
        <f aca="false">J1030+Inputs!$C$10</f>
        <v>0.1095238</v>
      </c>
      <c r="L1030" s="37" t="n">
        <f aca="false">I1030*K1030/C1030</f>
        <v>220.547926027397</v>
      </c>
      <c r="M1030" s="37" t="n">
        <f aca="false">IF(AND(A1030&gt;=Inputs!$C$13,OR(A1030&lt;Inputs!$B$19,Inputs!$B$20=1)),I1030*Inputs!$C$11/C1030,0)</f>
        <v>40.2739726027397</v>
      </c>
    </row>
    <row r="1031" customFormat="false" ht="15" hidden="false" customHeight="false" outlineLevel="0" collapsed="false">
      <c r="A1031" s="35" t="n">
        <f aca="false">A1030+1</f>
        <v>45838</v>
      </c>
      <c r="B1031" s="35" t="n">
        <f aca="false">EOMONTH(A1031+1,0)</f>
        <v>45869</v>
      </c>
      <c r="C1031" s="36" t="n">
        <f aca="false">IF(MOD(YEAR(A1031),4)=0,366,365)</f>
        <v>365</v>
      </c>
      <c r="D1031" s="37" t="n">
        <f aca="false">Inputs!$B$9-SUMIFS(Cash_Events!$G$6:$G$20,Cash_Events!$C$6:$C$20,"rAGMF",Cash_Events!$B$6:$B$20,"&lt;="&amp;A1031)</f>
        <v>735000</v>
      </c>
      <c r="E1031" s="38" t="n">
        <f aca="false">VLOOKUP(A1031,Inputs!$A$40:$B$48,2,TRUE())</f>
        <v>0.0419027</v>
      </c>
      <c r="F1031" s="38" t="n">
        <f aca="false">E1031+Inputs!$B$10</f>
        <v>0.1094027</v>
      </c>
      <c r="G1031" s="37" t="n">
        <f aca="false">D1031*F1031/C1031</f>
        <v>220.304067123288</v>
      </c>
      <c r="H1031" s="37" t="n">
        <f aca="false">IF(AND(A1031&gt;=Inputs!$B$13,OR(A1031&lt;Inputs!$B$19,Inputs!$B$20=1)),D1031*Inputs!$B$11/C1031,0)</f>
        <v>40.2739726027397</v>
      </c>
      <c r="I1031" s="37" t="n">
        <f aca="false">Inputs!$C$9-SUMIFS(Cash_Events!$G$6:$G$20,Cash_Events!$C$6:$C$20,"FHL",Cash_Events!$B$6:$B$20,"&lt;="&amp;A1031)</f>
        <v>735000</v>
      </c>
      <c r="J1031" s="38" t="n">
        <f aca="false">VLOOKUP(A1031,Inputs!$F$40:$G$48,2,TRUE())</f>
        <v>0.0420238</v>
      </c>
      <c r="K1031" s="38" t="n">
        <f aca="false">J1031+Inputs!$C$10</f>
        <v>0.1095238</v>
      </c>
      <c r="L1031" s="37" t="n">
        <f aca="false">I1031*K1031/C1031</f>
        <v>220.547926027397</v>
      </c>
      <c r="M1031" s="37" t="n">
        <f aca="false">IF(AND(A1031&gt;=Inputs!$C$13,OR(A1031&lt;Inputs!$B$19,Inputs!$B$20=1)),I1031*Inputs!$C$11/C1031,0)</f>
        <v>40.2739726027397</v>
      </c>
    </row>
    <row r="1032" customFormat="false" ht="15" hidden="false" customHeight="false" outlineLevel="0" collapsed="false">
      <c r="A1032" s="35" t="n">
        <f aca="false">A1031+1</f>
        <v>45839</v>
      </c>
      <c r="B1032" s="35" t="n">
        <f aca="false">EOMONTH(A1032+1,0)</f>
        <v>45869</v>
      </c>
      <c r="C1032" s="36" t="n">
        <f aca="false">IF(MOD(YEAR(A1032),4)=0,366,365)</f>
        <v>365</v>
      </c>
      <c r="D1032" s="37" t="n">
        <f aca="false">Inputs!$B$9-SUMIFS(Cash_Events!$G$6:$G$20,Cash_Events!$C$6:$C$20,"rAGMF",Cash_Events!$B$6:$B$20,"&lt;="&amp;A1032)</f>
        <v>735000</v>
      </c>
      <c r="E1032" s="38" t="n">
        <f aca="false">VLOOKUP(A1032,Inputs!$A$40:$B$48,2,TRUE())</f>
        <v>0.0419027</v>
      </c>
      <c r="F1032" s="38" t="n">
        <f aca="false">E1032+Inputs!$B$10</f>
        <v>0.1094027</v>
      </c>
      <c r="G1032" s="37" t="n">
        <f aca="false">D1032*F1032/C1032</f>
        <v>220.304067123288</v>
      </c>
      <c r="H1032" s="37" t="n">
        <f aca="false">IF(AND(A1032&gt;=Inputs!$B$13,OR(A1032&lt;Inputs!$B$19,Inputs!$B$20=1)),D1032*Inputs!$B$11/C1032,0)</f>
        <v>40.2739726027397</v>
      </c>
      <c r="I1032" s="37" t="n">
        <f aca="false">Inputs!$C$9-SUMIFS(Cash_Events!$G$6:$G$20,Cash_Events!$C$6:$C$20,"FHL",Cash_Events!$B$6:$B$20,"&lt;="&amp;A1032)</f>
        <v>735000</v>
      </c>
      <c r="J1032" s="38" t="n">
        <f aca="false">VLOOKUP(A1032,Inputs!$F$40:$G$48,2,TRUE())</f>
        <v>0.0420238</v>
      </c>
      <c r="K1032" s="38" t="n">
        <f aca="false">J1032+Inputs!$C$10</f>
        <v>0.1095238</v>
      </c>
      <c r="L1032" s="37" t="n">
        <f aca="false">I1032*K1032/C1032</f>
        <v>220.547926027397</v>
      </c>
      <c r="M1032" s="37" t="n">
        <f aca="false">IF(AND(A1032&gt;=Inputs!$C$13,OR(A1032&lt;Inputs!$B$19,Inputs!$B$20=1)),I1032*Inputs!$C$11/C1032,0)</f>
        <v>40.2739726027397</v>
      </c>
    </row>
    <row r="1033" customFormat="false" ht="15" hidden="false" customHeight="false" outlineLevel="0" collapsed="false">
      <c r="A1033" s="35" t="n">
        <f aca="false">A1032+1</f>
        <v>45840</v>
      </c>
      <c r="B1033" s="35" t="n">
        <f aca="false">EOMONTH(A1033+1,0)</f>
        <v>45869</v>
      </c>
      <c r="C1033" s="36" t="n">
        <f aca="false">IF(MOD(YEAR(A1033),4)=0,366,365)</f>
        <v>365</v>
      </c>
      <c r="D1033" s="37" t="n">
        <f aca="false">Inputs!$B$9-SUMIFS(Cash_Events!$G$6:$G$20,Cash_Events!$C$6:$C$20,"rAGMF",Cash_Events!$B$6:$B$20,"&lt;="&amp;A1033)</f>
        <v>735000</v>
      </c>
      <c r="E1033" s="38" t="n">
        <f aca="false">VLOOKUP(A1033,Inputs!$A$40:$B$48,2,TRUE())</f>
        <v>0.0419027</v>
      </c>
      <c r="F1033" s="38" t="n">
        <f aca="false">E1033+Inputs!$B$10</f>
        <v>0.1094027</v>
      </c>
      <c r="G1033" s="37" t="n">
        <f aca="false">D1033*F1033/C1033</f>
        <v>220.304067123288</v>
      </c>
      <c r="H1033" s="37" t="n">
        <f aca="false">IF(AND(A1033&gt;=Inputs!$B$13,OR(A1033&lt;Inputs!$B$19,Inputs!$B$20=1)),D1033*Inputs!$B$11/C1033,0)</f>
        <v>40.2739726027397</v>
      </c>
      <c r="I1033" s="37" t="n">
        <f aca="false">Inputs!$C$9-SUMIFS(Cash_Events!$G$6:$G$20,Cash_Events!$C$6:$C$20,"FHL",Cash_Events!$B$6:$B$20,"&lt;="&amp;A1033)</f>
        <v>735000</v>
      </c>
      <c r="J1033" s="38" t="n">
        <f aca="false">VLOOKUP(A1033,Inputs!$F$40:$G$48,2,TRUE())</f>
        <v>0.0420238</v>
      </c>
      <c r="K1033" s="38" t="n">
        <f aca="false">J1033+Inputs!$C$10</f>
        <v>0.1095238</v>
      </c>
      <c r="L1033" s="37" t="n">
        <f aca="false">I1033*K1033/C1033</f>
        <v>220.547926027397</v>
      </c>
      <c r="M1033" s="37" t="n">
        <f aca="false">IF(AND(A1033&gt;=Inputs!$C$13,OR(A1033&lt;Inputs!$B$19,Inputs!$B$20=1)),I1033*Inputs!$C$11/C1033,0)</f>
        <v>40.2739726027397</v>
      </c>
    </row>
    <row r="1034" customFormat="false" ht="15" hidden="false" customHeight="false" outlineLevel="0" collapsed="false">
      <c r="A1034" s="35" t="n">
        <f aca="false">A1033+1</f>
        <v>45841</v>
      </c>
      <c r="B1034" s="35" t="n">
        <f aca="false">EOMONTH(A1034+1,0)</f>
        <v>45869</v>
      </c>
      <c r="C1034" s="36" t="n">
        <f aca="false">IF(MOD(YEAR(A1034),4)=0,366,365)</f>
        <v>365</v>
      </c>
      <c r="D1034" s="37" t="n">
        <f aca="false">Inputs!$B$9-SUMIFS(Cash_Events!$G$6:$G$20,Cash_Events!$C$6:$C$20,"rAGMF",Cash_Events!$B$6:$B$20,"&lt;="&amp;A1034)</f>
        <v>735000</v>
      </c>
      <c r="E1034" s="38" t="n">
        <f aca="false">VLOOKUP(A1034,Inputs!$A$40:$B$48,2,TRUE())</f>
        <v>0.0419027</v>
      </c>
      <c r="F1034" s="38" t="n">
        <f aca="false">E1034+Inputs!$B$10</f>
        <v>0.1094027</v>
      </c>
      <c r="G1034" s="37" t="n">
        <f aca="false">D1034*F1034/C1034</f>
        <v>220.304067123288</v>
      </c>
      <c r="H1034" s="37" t="n">
        <f aca="false">IF(AND(A1034&gt;=Inputs!$B$13,OR(A1034&lt;Inputs!$B$19,Inputs!$B$20=1)),D1034*Inputs!$B$11/C1034,0)</f>
        <v>40.2739726027397</v>
      </c>
      <c r="I1034" s="37" t="n">
        <f aca="false">Inputs!$C$9-SUMIFS(Cash_Events!$G$6:$G$20,Cash_Events!$C$6:$C$20,"FHL",Cash_Events!$B$6:$B$20,"&lt;="&amp;A1034)</f>
        <v>735000</v>
      </c>
      <c r="J1034" s="38" t="n">
        <f aca="false">VLOOKUP(A1034,Inputs!$F$40:$G$48,2,TRUE())</f>
        <v>0.0420238</v>
      </c>
      <c r="K1034" s="38" t="n">
        <f aca="false">J1034+Inputs!$C$10</f>
        <v>0.1095238</v>
      </c>
      <c r="L1034" s="37" t="n">
        <f aca="false">I1034*K1034/C1034</f>
        <v>220.547926027397</v>
      </c>
      <c r="M1034" s="37" t="n">
        <f aca="false">IF(AND(A1034&gt;=Inputs!$C$13,OR(A1034&lt;Inputs!$B$19,Inputs!$B$20=1)),I1034*Inputs!$C$11/C1034,0)</f>
        <v>40.2739726027397</v>
      </c>
    </row>
    <row r="1035" customFormat="false" ht="15" hidden="false" customHeight="false" outlineLevel="0" collapsed="false">
      <c r="A1035" s="35" t="n">
        <f aca="false">A1034+1</f>
        <v>45842</v>
      </c>
      <c r="B1035" s="35" t="n">
        <f aca="false">EOMONTH(A1035+1,0)</f>
        <v>45869</v>
      </c>
      <c r="C1035" s="36" t="n">
        <f aca="false">IF(MOD(YEAR(A1035),4)=0,366,365)</f>
        <v>365</v>
      </c>
      <c r="D1035" s="37" t="n">
        <f aca="false">Inputs!$B$9-SUMIFS(Cash_Events!$G$6:$G$20,Cash_Events!$C$6:$C$20,"rAGMF",Cash_Events!$B$6:$B$20,"&lt;="&amp;A1035)</f>
        <v>735000</v>
      </c>
      <c r="E1035" s="38" t="n">
        <f aca="false">VLOOKUP(A1035,Inputs!$A$40:$B$48,2,TRUE())</f>
        <v>0.0419027</v>
      </c>
      <c r="F1035" s="38" t="n">
        <f aca="false">E1035+Inputs!$B$10</f>
        <v>0.1094027</v>
      </c>
      <c r="G1035" s="37" t="n">
        <f aca="false">D1035*F1035/C1035</f>
        <v>220.304067123288</v>
      </c>
      <c r="H1035" s="37" t="n">
        <f aca="false">IF(AND(A1035&gt;=Inputs!$B$13,OR(A1035&lt;Inputs!$B$19,Inputs!$B$20=1)),D1035*Inputs!$B$11/C1035,0)</f>
        <v>40.2739726027397</v>
      </c>
      <c r="I1035" s="37" t="n">
        <f aca="false">Inputs!$C$9-SUMIFS(Cash_Events!$G$6:$G$20,Cash_Events!$C$6:$C$20,"FHL",Cash_Events!$B$6:$B$20,"&lt;="&amp;A1035)</f>
        <v>735000</v>
      </c>
      <c r="J1035" s="38" t="n">
        <f aca="false">VLOOKUP(A1035,Inputs!$F$40:$G$48,2,TRUE())</f>
        <v>0.0420238</v>
      </c>
      <c r="K1035" s="38" t="n">
        <f aca="false">J1035+Inputs!$C$10</f>
        <v>0.1095238</v>
      </c>
      <c r="L1035" s="37" t="n">
        <f aca="false">I1035*K1035/C1035</f>
        <v>220.547926027397</v>
      </c>
      <c r="M1035" s="37" t="n">
        <f aca="false">IF(AND(A1035&gt;=Inputs!$C$13,OR(A1035&lt;Inputs!$B$19,Inputs!$B$20=1)),I1035*Inputs!$C$11/C1035,0)</f>
        <v>40.2739726027397</v>
      </c>
    </row>
    <row r="1036" customFormat="false" ht="15" hidden="false" customHeight="false" outlineLevel="0" collapsed="false">
      <c r="A1036" s="35" t="n">
        <f aca="false">A1035+1</f>
        <v>45843</v>
      </c>
      <c r="B1036" s="35" t="n">
        <f aca="false">EOMONTH(A1036+1,0)</f>
        <v>45869</v>
      </c>
      <c r="C1036" s="36" t="n">
        <f aca="false">IF(MOD(YEAR(A1036),4)=0,366,365)</f>
        <v>365</v>
      </c>
      <c r="D1036" s="37" t="n">
        <f aca="false">Inputs!$B$9-SUMIFS(Cash_Events!$G$6:$G$20,Cash_Events!$C$6:$C$20,"rAGMF",Cash_Events!$B$6:$B$20,"&lt;="&amp;A1036)</f>
        <v>735000</v>
      </c>
      <c r="E1036" s="38" t="n">
        <f aca="false">VLOOKUP(A1036,Inputs!$A$40:$B$48,2,TRUE())</f>
        <v>0.0419027</v>
      </c>
      <c r="F1036" s="38" t="n">
        <f aca="false">E1036+Inputs!$B$10</f>
        <v>0.1094027</v>
      </c>
      <c r="G1036" s="37" t="n">
        <f aca="false">D1036*F1036/C1036</f>
        <v>220.304067123288</v>
      </c>
      <c r="H1036" s="37" t="n">
        <f aca="false">IF(AND(A1036&gt;=Inputs!$B$13,OR(A1036&lt;Inputs!$B$19,Inputs!$B$20=1)),D1036*Inputs!$B$11/C1036,0)</f>
        <v>40.2739726027397</v>
      </c>
      <c r="I1036" s="37" t="n">
        <f aca="false">Inputs!$C$9-SUMIFS(Cash_Events!$G$6:$G$20,Cash_Events!$C$6:$C$20,"FHL",Cash_Events!$B$6:$B$20,"&lt;="&amp;A1036)</f>
        <v>735000</v>
      </c>
      <c r="J1036" s="38" t="n">
        <f aca="false">VLOOKUP(A1036,Inputs!$F$40:$G$48,2,TRUE())</f>
        <v>0.0420238</v>
      </c>
      <c r="K1036" s="38" t="n">
        <f aca="false">J1036+Inputs!$C$10</f>
        <v>0.1095238</v>
      </c>
      <c r="L1036" s="37" t="n">
        <f aca="false">I1036*K1036/C1036</f>
        <v>220.547926027397</v>
      </c>
      <c r="M1036" s="37" t="n">
        <f aca="false">IF(AND(A1036&gt;=Inputs!$C$13,OR(A1036&lt;Inputs!$B$19,Inputs!$B$20=1)),I1036*Inputs!$C$11/C1036,0)</f>
        <v>40.2739726027397</v>
      </c>
    </row>
    <row r="1037" customFormat="false" ht="15" hidden="false" customHeight="false" outlineLevel="0" collapsed="false">
      <c r="A1037" s="35" t="n">
        <f aca="false">A1036+1</f>
        <v>45844</v>
      </c>
      <c r="B1037" s="35" t="n">
        <f aca="false">EOMONTH(A1037+1,0)</f>
        <v>45869</v>
      </c>
      <c r="C1037" s="36" t="n">
        <f aca="false">IF(MOD(YEAR(A1037),4)=0,366,365)</f>
        <v>365</v>
      </c>
      <c r="D1037" s="37" t="n">
        <f aca="false">Inputs!$B$9-SUMIFS(Cash_Events!$G$6:$G$20,Cash_Events!$C$6:$C$20,"rAGMF",Cash_Events!$B$6:$B$20,"&lt;="&amp;A1037)</f>
        <v>735000</v>
      </c>
      <c r="E1037" s="38" t="n">
        <f aca="false">VLOOKUP(A1037,Inputs!$A$40:$B$48,2,TRUE())</f>
        <v>0.0419027</v>
      </c>
      <c r="F1037" s="38" t="n">
        <f aca="false">E1037+Inputs!$B$10</f>
        <v>0.1094027</v>
      </c>
      <c r="G1037" s="37" t="n">
        <f aca="false">D1037*F1037/C1037</f>
        <v>220.304067123288</v>
      </c>
      <c r="H1037" s="37" t="n">
        <f aca="false">IF(AND(A1037&gt;=Inputs!$B$13,OR(A1037&lt;Inputs!$B$19,Inputs!$B$20=1)),D1037*Inputs!$B$11/C1037,0)</f>
        <v>40.2739726027397</v>
      </c>
      <c r="I1037" s="37" t="n">
        <f aca="false">Inputs!$C$9-SUMIFS(Cash_Events!$G$6:$G$20,Cash_Events!$C$6:$C$20,"FHL",Cash_Events!$B$6:$B$20,"&lt;="&amp;A1037)</f>
        <v>735000</v>
      </c>
      <c r="J1037" s="38" t="n">
        <f aca="false">VLOOKUP(A1037,Inputs!$F$40:$G$48,2,TRUE())</f>
        <v>0.0420238</v>
      </c>
      <c r="K1037" s="38" t="n">
        <f aca="false">J1037+Inputs!$C$10</f>
        <v>0.1095238</v>
      </c>
      <c r="L1037" s="37" t="n">
        <f aca="false">I1037*K1037/C1037</f>
        <v>220.547926027397</v>
      </c>
      <c r="M1037" s="37" t="n">
        <f aca="false">IF(AND(A1037&gt;=Inputs!$C$13,OR(A1037&lt;Inputs!$B$19,Inputs!$B$20=1)),I1037*Inputs!$C$11/C1037,0)</f>
        <v>40.2739726027397</v>
      </c>
    </row>
    <row r="1038" customFormat="false" ht="15" hidden="false" customHeight="false" outlineLevel="0" collapsed="false">
      <c r="A1038" s="35" t="n">
        <f aca="false">A1037+1</f>
        <v>45845</v>
      </c>
      <c r="B1038" s="35" t="n">
        <f aca="false">EOMONTH(A1038+1,0)</f>
        <v>45869</v>
      </c>
      <c r="C1038" s="36" t="n">
        <f aca="false">IF(MOD(YEAR(A1038),4)=0,366,365)</f>
        <v>365</v>
      </c>
      <c r="D1038" s="37" t="n">
        <f aca="false">Inputs!$B$9-SUMIFS(Cash_Events!$G$6:$G$20,Cash_Events!$C$6:$C$20,"rAGMF",Cash_Events!$B$6:$B$20,"&lt;="&amp;A1038)</f>
        <v>735000</v>
      </c>
      <c r="E1038" s="38" t="n">
        <f aca="false">VLOOKUP(A1038,Inputs!$A$40:$B$48,2,TRUE())</f>
        <v>0.0419027</v>
      </c>
      <c r="F1038" s="38" t="n">
        <f aca="false">E1038+Inputs!$B$10</f>
        <v>0.1094027</v>
      </c>
      <c r="G1038" s="37" t="n">
        <f aca="false">D1038*F1038/C1038</f>
        <v>220.304067123288</v>
      </c>
      <c r="H1038" s="37" t="n">
        <f aca="false">IF(AND(A1038&gt;=Inputs!$B$13,OR(A1038&lt;Inputs!$B$19,Inputs!$B$20=1)),D1038*Inputs!$B$11/C1038,0)</f>
        <v>40.2739726027397</v>
      </c>
      <c r="I1038" s="37" t="n">
        <f aca="false">Inputs!$C$9-SUMIFS(Cash_Events!$G$6:$G$20,Cash_Events!$C$6:$C$20,"FHL",Cash_Events!$B$6:$B$20,"&lt;="&amp;A1038)</f>
        <v>735000</v>
      </c>
      <c r="J1038" s="38" t="n">
        <f aca="false">VLOOKUP(A1038,Inputs!$F$40:$G$48,2,TRUE())</f>
        <v>0.0420238</v>
      </c>
      <c r="K1038" s="38" t="n">
        <f aca="false">J1038+Inputs!$C$10</f>
        <v>0.1095238</v>
      </c>
      <c r="L1038" s="37" t="n">
        <f aca="false">I1038*K1038/C1038</f>
        <v>220.547926027397</v>
      </c>
      <c r="M1038" s="37" t="n">
        <f aca="false">IF(AND(A1038&gt;=Inputs!$C$13,OR(A1038&lt;Inputs!$B$19,Inputs!$B$20=1)),I1038*Inputs!$C$11/C1038,0)</f>
        <v>40.2739726027397</v>
      </c>
    </row>
    <row r="1039" customFormat="false" ht="15" hidden="false" customHeight="false" outlineLevel="0" collapsed="false">
      <c r="A1039" s="35" t="n">
        <f aca="false">A1038+1</f>
        <v>45846</v>
      </c>
      <c r="B1039" s="35" t="n">
        <f aca="false">EOMONTH(A1039+1,0)</f>
        <v>45869</v>
      </c>
      <c r="C1039" s="36" t="n">
        <f aca="false">IF(MOD(YEAR(A1039),4)=0,366,365)</f>
        <v>365</v>
      </c>
      <c r="D1039" s="37" t="n">
        <f aca="false">Inputs!$B$9-SUMIFS(Cash_Events!$G$6:$G$20,Cash_Events!$C$6:$C$20,"rAGMF",Cash_Events!$B$6:$B$20,"&lt;="&amp;A1039)</f>
        <v>735000</v>
      </c>
      <c r="E1039" s="38" t="n">
        <f aca="false">VLOOKUP(A1039,Inputs!$A$40:$B$48,2,TRUE())</f>
        <v>0.0419027</v>
      </c>
      <c r="F1039" s="38" t="n">
        <f aca="false">E1039+Inputs!$B$10</f>
        <v>0.1094027</v>
      </c>
      <c r="G1039" s="37" t="n">
        <f aca="false">D1039*F1039/C1039</f>
        <v>220.304067123288</v>
      </c>
      <c r="H1039" s="37" t="n">
        <f aca="false">IF(AND(A1039&gt;=Inputs!$B$13,OR(A1039&lt;Inputs!$B$19,Inputs!$B$20=1)),D1039*Inputs!$B$11/C1039,0)</f>
        <v>40.2739726027397</v>
      </c>
      <c r="I1039" s="37" t="n">
        <f aca="false">Inputs!$C$9-SUMIFS(Cash_Events!$G$6:$G$20,Cash_Events!$C$6:$C$20,"FHL",Cash_Events!$B$6:$B$20,"&lt;="&amp;A1039)</f>
        <v>735000</v>
      </c>
      <c r="J1039" s="38" t="n">
        <f aca="false">VLOOKUP(A1039,Inputs!$F$40:$G$48,2,TRUE())</f>
        <v>0.0420238</v>
      </c>
      <c r="K1039" s="38" t="n">
        <f aca="false">J1039+Inputs!$C$10</f>
        <v>0.1095238</v>
      </c>
      <c r="L1039" s="37" t="n">
        <f aca="false">I1039*K1039/C1039</f>
        <v>220.547926027397</v>
      </c>
      <c r="M1039" s="37" t="n">
        <f aca="false">IF(AND(A1039&gt;=Inputs!$C$13,OR(A1039&lt;Inputs!$B$19,Inputs!$B$20=1)),I1039*Inputs!$C$11/C1039,0)</f>
        <v>40.2739726027397</v>
      </c>
    </row>
    <row r="1040" customFormat="false" ht="15" hidden="false" customHeight="false" outlineLevel="0" collapsed="false">
      <c r="A1040" s="35" t="n">
        <f aca="false">A1039+1</f>
        <v>45847</v>
      </c>
      <c r="B1040" s="35" t="n">
        <f aca="false">EOMONTH(A1040+1,0)</f>
        <v>45869</v>
      </c>
      <c r="C1040" s="36" t="n">
        <f aca="false">IF(MOD(YEAR(A1040),4)=0,366,365)</f>
        <v>365</v>
      </c>
      <c r="D1040" s="37" t="n">
        <f aca="false">Inputs!$B$9-SUMIFS(Cash_Events!$G$6:$G$20,Cash_Events!$C$6:$C$20,"rAGMF",Cash_Events!$B$6:$B$20,"&lt;="&amp;A1040)</f>
        <v>735000</v>
      </c>
      <c r="E1040" s="38" t="n">
        <f aca="false">VLOOKUP(A1040,Inputs!$A$40:$B$48,2,TRUE())</f>
        <v>0.0419027</v>
      </c>
      <c r="F1040" s="38" t="n">
        <f aca="false">E1040+Inputs!$B$10</f>
        <v>0.1094027</v>
      </c>
      <c r="G1040" s="37" t="n">
        <f aca="false">D1040*F1040/C1040</f>
        <v>220.304067123288</v>
      </c>
      <c r="H1040" s="37" t="n">
        <f aca="false">IF(AND(A1040&gt;=Inputs!$B$13,OR(A1040&lt;Inputs!$B$19,Inputs!$B$20=1)),D1040*Inputs!$B$11/C1040,0)</f>
        <v>40.2739726027397</v>
      </c>
      <c r="I1040" s="37" t="n">
        <f aca="false">Inputs!$C$9-SUMIFS(Cash_Events!$G$6:$G$20,Cash_Events!$C$6:$C$20,"FHL",Cash_Events!$B$6:$B$20,"&lt;="&amp;A1040)</f>
        <v>735000</v>
      </c>
      <c r="J1040" s="38" t="n">
        <f aca="false">VLOOKUP(A1040,Inputs!$F$40:$G$48,2,TRUE())</f>
        <v>0.0420238</v>
      </c>
      <c r="K1040" s="38" t="n">
        <f aca="false">J1040+Inputs!$C$10</f>
        <v>0.1095238</v>
      </c>
      <c r="L1040" s="37" t="n">
        <f aca="false">I1040*K1040/C1040</f>
        <v>220.547926027397</v>
      </c>
      <c r="M1040" s="37" t="n">
        <f aca="false">IF(AND(A1040&gt;=Inputs!$C$13,OR(A1040&lt;Inputs!$B$19,Inputs!$B$20=1)),I1040*Inputs!$C$11/C1040,0)</f>
        <v>40.2739726027397</v>
      </c>
    </row>
    <row r="1041" customFormat="false" ht="15" hidden="false" customHeight="false" outlineLevel="0" collapsed="false">
      <c r="A1041" s="35" t="n">
        <f aca="false">A1040+1</f>
        <v>45848</v>
      </c>
      <c r="B1041" s="35" t="n">
        <f aca="false">EOMONTH(A1041+1,0)</f>
        <v>45869</v>
      </c>
      <c r="C1041" s="36" t="n">
        <f aca="false">IF(MOD(YEAR(A1041),4)=0,366,365)</f>
        <v>365</v>
      </c>
      <c r="D1041" s="37" t="n">
        <f aca="false">Inputs!$B$9-SUMIFS(Cash_Events!$G$6:$G$20,Cash_Events!$C$6:$C$20,"rAGMF",Cash_Events!$B$6:$B$20,"&lt;="&amp;A1041)</f>
        <v>735000</v>
      </c>
      <c r="E1041" s="38" t="n">
        <f aca="false">VLOOKUP(A1041,Inputs!$A$40:$B$48,2,TRUE())</f>
        <v>0.0419027</v>
      </c>
      <c r="F1041" s="38" t="n">
        <f aca="false">E1041+Inputs!$B$10</f>
        <v>0.1094027</v>
      </c>
      <c r="G1041" s="37" t="n">
        <f aca="false">D1041*F1041/C1041</f>
        <v>220.304067123288</v>
      </c>
      <c r="H1041" s="37" t="n">
        <f aca="false">IF(AND(A1041&gt;=Inputs!$B$13,OR(A1041&lt;Inputs!$B$19,Inputs!$B$20=1)),D1041*Inputs!$B$11/C1041,0)</f>
        <v>40.2739726027397</v>
      </c>
      <c r="I1041" s="37" t="n">
        <f aca="false">Inputs!$C$9-SUMIFS(Cash_Events!$G$6:$G$20,Cash_Events!$C$6:$C$20,"FHL",Cash_Events!$B$6:$B$20,"&lt;="&amp;A1041)</f>
        <v>735000</v>
      </c>
      <c r="J1041" s="38" t="n">
        <f aca="false">VLOOKUP(A1041,Inputs!$F$40:$G$48,2,TRUE())</f>
        <v>0.0420238</v>
      </c>
      <c r="K1041" s="38" t="n">
        <f aca="false">J1041+Inputs!$C$10</f>
        <v>0.1095238</v>
      </c>
      <c r="L1041" s="37" t="n">
        <f aca="false">I1041*K1041/C1041</f>
        <v>220.547926027397</v>
      </c>
      <c r="M1041" s="37" t="n">
        <f aca="false">IF(AND(A1041&gt;=Inputs!$C$13,OR(A1041&lt;Inputs!$B$19,Inputs!$B$20=1)),I1041*Inputs!$C$11/C1041,0)</f>
        <v>40.2739726027397</v>
      </c>
    </row>
    <row r="1042" customFormat="false" ht="15" hidden="false" customHeight="false" outlineLevel="0" collapsed="false">
      <c r="A1042" s="35" t="n">
        <f aca="false">A1041+1</f>
        <v>45849</v>
      </c>
      <c r="B1042" s="35" t="n">
        <f aca="false">EOMONTH(A1042+1,0)</f>
        <v>45869</v>
      </c>
      <c r="C1042" s="36" t="n">
        <f aca="false">IF(MOD(YEAR(A1042),4)=0,366,365)</f>
        <v>365</v>
      </c>
      <c r="D1042" s="37" t="n">
        <f aca="false">Inputs!$B$9-SUMIFS(Cash_Events!$G$6:$G$20,Cash_Events!$C$6:$C$20,"rAGMF",Cash_Events!$B$6:$B$20,"&lt;="&amp;A1042)</f>
        <v>735000</v>
      </c>
      <c r="E1042" s="38" t="n">
        <f aca="false">VLOOKUP(A1042,Inputs!$A$40:$B$48,2,TRUE())</f>
        <v>0.0419027</v>
      </c>
      <c r="F1042" s="38" t="n">
        <f aca="false">E1042+Inputs!$B$10</f>
        <v>0.1094027</v>
      </c>
      <c r="G1042" s="37" t="n">
        <f aca="false">D1042*F1042/C1042</f>
        <v>220.304067123288</v>
      </c>
      <c r="H1042" s="37" t="n">
        <f aca="false">IF(AND(A1042&gt;=Inputs!$B$13,OR(A1042&lt;Inputs!$B$19,Inputs!$B$20=1)),D1042*Inputs!$B$11/C1042,0)</f>
        <v>40.2739726027397</v>
      </c>
      <c r="I1042" s="37" t="n">
        <f aca="false">Inputs!$C$9-SUMIFS(Cash_Events!$G$6:$G$20,Cash_Events!$C$6:$C$20,"FHL",Cash_Events!$B$6:$B$20,"&lt;="&amp;A1042)</f>
        <v>735000</v>
      </c>
      <c r="J1042" s="38" t="n">
        <f aca="false">VLOOKUP(A1042,Inputs!$F$40:$G$48,2,TRUE())</f>
        <v>0.0420238</v>
      </c>
      <c r="K1042" s="38" t="n">
        <f aca="false">J1042+Inputs!$C$10</f>
        <v>0.1095238</v>
      </c>
      <c r="L1042" s="37" t="n">
        <f aca="false">I1042*K1042/C1042</f>
        <v>220.547926027397</v>
      </c>
      <c r="M1042" s="37" t="n">
        <f aca="false">IF(AND(A1042&gt;=Inputs!$C$13,OR(A1042&lt;Inputs!$B$19,Inputs!$B$20=1)),I1042*Inputs!$C$11/C1042,0)</f>
        <v>40.2739726027397</v>
      </c>
    </row>
    <row r="1043" customFormat="false" ht="15" hidden="false" customHeight="false" outlineLevel="0" collapsed="false">
      <c r="A1043" s="35" t="n">
        <f aca="false">A1042+1</f>
        <v>45850</v>
      </c>
      <c r="B1043" s="35" t="n">
        <f aca="false">EOMONTH(A1043+1,0)</f>
        <v>45869</v>
      </c>
      <c r="C1043" s="36" t="n">
        <f aca="false">IF(MOD(YEAR(A1043),4)=0,366,365)</f>
        <v>365</v>
      </c>
      <c r="D1043" s="37" t="n">
        <f aca="false">Inputs!$B$9-SUMIFS(Cash_Events!$G$6:$G$20,Cash_Events!$C$6:$C$20,"rAGMF",Cash_Events!$B$6:$B$20,"&lt;="&amp;A1043)</f>
        <v>735000</v>
      </c>
      <c r="E1043" s="38" t="n">
        <f aca="false">VLOOKUP(A1043,Inputs!$A$40:$B$48,2,TRUE())</f>
        <v>0.0419027</v>
      </c>
      <c r="F1043" s="38" t="n">
        <f aca="false">E1043+Inputs!$B$10</f>
        <v>0.1094027</v>
      </c>
      <c r="G1043" s="37" t="n">
        <f aca="false">D1043*F1043/C1043</f>
        <v>220.304067123288</v>
      </c>
      <c r="H1043" s="37" t="n">
        <f aca="false">IF(AND(A1043&gt;=Inputs!$B$13,OR(A1043&lt;Inputs!$B$19,Inputs!$B$20=1)),D1043*Inputs!$B$11/C1043,0)</f>
        <v>40.2739726027397</v>
      </c>
      <c r="I1043" s="37" t="n">
        <f aca="false">Inputs!$C$9-SUMIFS(Cash_Events!$G$6:$G$20,Cash_Events!$C$6:$C$20,"FHL",Cash_Events!$B$6:$B$20,"&lt;="&amp;A1043)</f>
        <v>735000</v>
      </c>
      <c r="J1043" s="38" t="n">
        <f aca="false">VLOOKUP(A1043,Inputs!$F$40:$G$48,2,TRUE())</f>
        <v>0.0420238</v>
      </c>
      <c r="K1043" s="38" t="n">
        <f aca="false">J1043+Inputs!$C$10</f>
        <v>0.1095238</v>
      </c>
      <c r="L1043" s="37" t="n">
        <f aca="false">I1043*K1043/C1043</f>
        <v>220.547926027397</v>
      </c>
      <c r="M1043" s="37" t="n">
        <f aca="false">IF(AND(A1043&gt;=Inputs!$C$13,OR(A1043&lt;Inputs!$B$19,Inputs!$B$20=1)),I1043*Inputs!$C$11/C1043,0)</f>
        <v>40.2739726027397</v>
      </c>
    </row>
    <row r="1044" customFormat="false" ht="15" hidden="false" customHeight="false" outlineLevel="0" collapsed="false">
      <c r="A1044" s="35" t="n">
        <f aca="false">A1043+1</f>
        <v>45851</v>
      </c>
      <c r="B1044" s="35" t="n">
        <f aca="false">EOMONTH(A1044+1,0)</f>
        <v>45869</v>
      </c>
      <c r="C1044" s="36" t="n">
        <f aca="false">IF(MOD(YEAR(A1044),4)=0,366,365)</f>
        <v>365</v>
      </c>
      <c r="D1044" s="37" t="n">
        <f aca="false">Inputs!$B$9-SUMIFS(Cash_Events!$G$6:$G$20,Cash_Events!$C$6:$C$20,"rAGMF",Cash_Events!$B$6:$B$20,"&lt;="&amp;A1044)</f>
        <v>735000</v>
      </c>
      <c r="E1044" s="38" t="n">
        <f aca="false">VLOOKUP(A1044,Inputs!$A$40:$B$48,2,TRUE())</f>
        <v>0.0419027</v>
      </c>
      <c r="F1044" s="38" t="n">
        <f aca="false">E1044+Inputs!$B$10</f>
        <v>0.1094027</v>
      </c>
      <c r="G1044" s="37" t="n">
        <f aca="false">D1044*F1044/C1044</f>
        <v>220.304067123288</v>
      </c>
      <c r="H1044" s="37" t="n">
        <f aca="false">IF(AND(A1044&gt;=Inputs!$B$13,OR(A1044&lt;Inputs!$B$19,Inputs!$B$20=1)),D1044*Inputs!$B$11/C1044,0)</f>
        <v>40.2739726027397</v>
      </c>
      <c r="I1044" s="37" t="n">
        <f aca="false">Inputs!$C$9-SUMIFS(Cash_Events!$G$6:$G$20,Cash_Events!$C$6:$C$20,"FHL",Cash_Events!$B$6:$B$20,"&lt;="&amp;A1044)</f>
        <v>735000</v>
      </c>
      <c r="J1044" s="38" t="n">
        <f aca="false">VLOOKUP(A1044,Inputs!$F$40:$G$48,2,TRUE())</f>
        <v>0.0420238</v>
      </c>
      <c r="K1044" s="38" t="n">
        <f aca="false">J1044+Inputs!$C$10</f>
        <v>0.1095238</v>
      </c>
      <c r="L1044" s="37" t="n">
        <f aca="false">I1044*K1044/C1044</f>
        <v>220.547926027397</v>
      </c>
      <c r="M1044" s="37" t="n">
        <f aca="false">IF(AND(A1044&gt;=Inputs!$C$13,OR(A1044&lt;Inputs!$B$19,Inputs!$B$20=1)),I1044*Inputs!$C$11/C1044,0)</f>
        <v>40.2739726027397</v>
      </c>
    </row>
    <row r="1045" customFormat="false" ht="15" hidden="false" customHeight="false" outlineLevel="0" collapsed="false">
      <c r="A1045" s="35" t="n">
        <f aca="false">A1044+1</f>
        <v>45852</v>
      </c>
      <c r="B1045" s="35" t="n">
        <f aca="false">EOMONTH(A1045+1,0)</f>
        <v>45869</v>
      </c>
      <c r="C1045" s="36" t="n">
        <f aca="false">IF(MOD(YEAR(A1045),4)=0,366,365)</f>
        <v>365</v>
      </c>
      <c r="D1045" s="37" t="n">
        <f aca="false">Inputs!$B$9-SUMIFS(Cash_Events!$G$6:$G$20,Cash_Events!$C$6:$C$20,"rAGMF",Cash_Events!$B$6:$B$20,"&lt;="&amp;A1045)</f>
        <v>735000</v>
      </c>
      <c r="E1045" s="38" t="n">
        <f aca="false">VLOOKUP(A1045,Inputs!$A$40:$B$48,2,TRUE())</f>
        <v>0.0419027</v>
      </c>
      <c r="F1045" s="38" t="n">
        <f aca="false">E1045+Inputs!$B$10</f>
        <v>0.1094027</v>
      </c>
      <c r="G1045" s="37" t="n">
        <f aca="false">D1045*F1045/C1045</f>
        <v>220.304067123288</v>
      </c>
      <c r="H1045" s="37" t="n">
        <f aca="false">IF(AND(A1045&gt;=Inputs!$B$13,OR(A1045&lt;Inputs!$B$19,Inputs!$B$20=1)),D1045*Inputs!$B$11/C1045,0)</f>
        <v>40.2739726027397</v>
      </c>
      <c r="I1045" s="37" t="n">
        <f aca="false">Inputs!$C$9-SUMIFS(Cash_Events!$G$6:$G$20,Cash_Events!$C$6:$C$20,"FHL",Cash_Events!$B$6:$B$20,"&lt;="&amp;A1045)</f>
        <v>735000</v>
      </c>
      <c r="J1045" s="38" t="n">
        <f aca="false">VLOOKUP(A1045,Inputs!$F$40:$G$48,2,TRUE())</f>
        <v>0.0420238</v>
      </c>
      <c r="K1045" s="38" t="n">
        <f aca="false">J1045+Inputs!$C$10</f>
        <v>0.1095238</v>
      </c>
      <c r="L1045" s="37" t="n">
        <f aca="false">I1045*K1045/C1045</f>
        <v>220.547926027397</v>
      </c>
      <c r="M1045" s="37" t="n">
        <f aca="false">IF(AND(A1045&gt;=Inputs!$C$13,OR(A1045&lt;Inputs!$B$19,Inputs!$B$20=1)),I1045*Inputs!$C$11/C1045,0)</f>
        <v>40.2739726027397</v>
      </c>
    </row>
    <row r="1046" customFormat="false" ht="15" hidden="false" customHeight="false" outlineLevel="0" collapsed="false">
      <c r="A1046" s="35" t="n">
        <f aca="false">A1045+1</f>
        <v>45853</v>
      </c>
      <c r="B1046" s="35" t="n">
        <f aca="false">EOMONTH(A1046+1,0)</f>
        <v>45869</v>
      </c>
      <c r="C1046" s="36" t="n">
        <f aca="false">IF(MOD(YEAR(A1046),4)=0,366,365)</f>
        <v>365</v>
      </c>
      <c r="D1046" s="37" t="n">
        <f aca="false">Inputs!$B$9-SUMIFS(Cash_Events!$G$6:$G$20,Cash_Events!$C$6:$C$20,"rAGMF",Cash_Events!$B$6:$B$20,"&lt;="&amp;A1046)</f>
        <v>735000</v>
      </c>
      <c r="E1046" s="38" t="n">
        <f aca="false">VLOOKUP(A1046,Inputs!$A$40:$B$48,2,TRUE())</f>
        <v>0.0419027</v>
      </c>
      <c r="F1046" s="38" t="n">
        <f aca="false">E1046+Inputs!$B$10</f>
        <v>0.1094027</v>
      </c>
      <c r="G1046" s="37" t="n">
        <f aca="false">D1046*F1046/C1046</f>
        <v>220.304067123288</v>
      </c>
      <c r="H1046" s="37" t="n">
        <f aca="false">IF(AND(A1046&gt;=Inputs!$B$13,OR(A1046&lt;Inputs!$B$19,Inputs!$B$20=1)),D1046*Inputs!$B$11/C1046,0)</f>
        <v>40.2739726027397</v>
      </c>
      <c r="I1046" s="37" t="n">
        <f aca="false">Inputs!$C$9-SUMIFS(Cash_Events!$G$6:$G$20,Cash_Events!$C$6:$C$20,"FHL",Cash_Events!$B$6:$B$20,"&lt;="&amp;A1046)</f>
        <v>735000</v>
      </c>
      <c r="J1046" s="38" t="n">
        <f aca="false">VLOOKUP(A1046,Inputs!$F$40:$G$48,2,TRUE())</f>
        <v>0.0420238</v>
      </c>
      <c r="K1046" s="38" t="n">
        <f aca="false">J1046+Inputs!$C$10</f>
        <v>0.1095238</v>
      </c>
      <c r="L1046" s="37" t="n">
        <f aca="false">I1046*K1046/C1046</f>
        <v>220.547926027397</v>
      </c>
      <c r="M1046" s="37" t="n">
        <f aca="false">IF(AND(A1046&gt;=Inputs!$C$13,OR(A1046&lt;Inputs!$B$19,Inputs!$B$20=1)),I1046*Inputs!$C$11/C1046,0)</f>
        <v>40.2739726027397</v>
      </c>
    </row>
    <row r="1047" customFormat="false" ht="15" hidden="false" customHeight="false" outlineLevel="0" collapsed="false">
      <c r="A1047" s="35" t="n">
        <f aca="false">A1046+1</f>
        <v>45854</v>
      </c>
      <c r="B1047" s="35" t="n">
        <f aca="false">EOMONTH(A1047+1,0)</f>
        <v>45869</v>
      </c>
      <c r="C1047" s="36" t="n">
        <f aca="false">IF(MOD(YEAR(A1047),4)=0,366,365)</f>
        <v>365</v>
      </c>
      <c r="D1047" s="37" t="n">
        <f aca="false">Inputs!$B$9-SUMIFS(Cash_Events!$G$6:$G$20,Cash_Events!$C$6:$C$20,"rAGMF",Cash_Events!$B$6:$B$20,"&lt;="&amp;A1047)</f>
        <v>735000</v>
      </c>
      <c r="E1047" s="38" t="n">
        <f aca="false">VLOOKUP(A1047,Inputs!$A$40:$B$48,2,TRUE())</f>
        <v>0.0419027</v>
      </c>
      <c r="F1047" s="38" t="n">
        <f aca="false">E1047+Inputs!$B$10</f>
        <v>0.1094027</v>
      </c>
      <c r="G1047" s="37" t="n">
        <f aca="false">D1047*F1047/C1047</f>
        <v>220.304067123288</v>
      </c>
      <c r="H1047" s="37" t="n">
        <f aca="false">IF(AND(A1047&gt;=Inputs!$B$13,OR(A1047&lt;Inputs!$B$19,Inputs!$B$20=1)),D1047*Inputs!$B$11/C1047,0)</f>
        <v>40.2739726027397</v>
      </c>
      <c r="I1047" s="37" t="n">
        <f aca="false">Inputs!$C$9-SUMIFS(Cash_Events!$G$6:$G$20,Cash_Events!$C$6:$C$20,"FHL",Cash_Events!$B$6:$B$20,"&lt;="&amp;A1047)</f>
        <v>735000</v>
      </c>
      <c r="J1047" s="38" t="n">
        <f aca="false">VLOOKUP(A1047,Inputs!$F$40:$G$48,2,TRUE())</f>
        <v>0.0420238</v>
      </c>
      <c r="K1047" s="38" t="n">
        <f aca="false">J1047+Inputs!$C$10</f>
        <v>0.1095238</v>
      </c>
      <c r="L1047" s="37" t="n">
        <f aca="false">I1047*K1047/C1047</f>
        <v>220.547926027397</v>
      </c>
      <c r="M1047" s="37" t="n">
        <f aca="false">IF(AND(A1047&gt;=Inputs!$C$13,OR(A1047&lt;Inputs!$B$19,Inputs!$B$20=1)),I1047*Inputs!$C$11/C1047,0)</f>
        <v>40.2739726027397</v>
      </c>
    </row>
    <row r="1048" customFormat="false" ht="15" hidden="false" customHeight="false" outlineLevel="0" collapsed="false">
      <c r="A1048" s="35" t="n">
        <f aca="false">A1047+1</f>
        <v>45855</v>
      </c>
      <c r="B1048" s="35" t="n">
        <f aca="false">EOMONTH(A1048+1,0)</f>
        <v>45869</v>
      </c>
      <c r="C1048" s="36" t="n">
        <f aca="false">IF(MOD(YEAR(A1048),4)=0,366,365)</f>
        <v>365</v>
      </c>
      <c r="D1048" s="37" t="n">
        <f aca="false">Inputs!$B$9-SUMIFS(Cash_Events!$G$6:$G$20,Cash_Events!$C$6:$C$20,"rAGMF",Cash_Events!$B$6:$B$20,"&lt;="&amp;A1048)</f>
        <v>735000</v>
      </c>
      <c r="E1048" s="38" t="n">
        <f aca="false">VLOOKUP(A1048,Inputs!$A$40:$B$48,2,TRUE())</f>
        <v>0.0419027</v>
      </c>
      <c r="F1048" s="38" t="n">
        <f aca="false">E1048+Inputs!$B$10</f>
        <v>0.1094027</v>
      </c>
      <c r="G1048" s="37" t="n">
        <f aca="false">D1048*F1048/C1048</f>
        <v>220.304067123288</v>
      </c>
      <c r="H1048" s="37" t="n">
        <f aca="false">IF(AND(A1048&gt;=Inputs!$B$13,OR(A1048&lt;Inputs!$B$19,Inputs!$B$20=1)),D1048*Inputs!$B$11/C1048,0)</f>
        <v>40.2739726027397</v>
      </c>
      <c r="I1048" s="37" t="n">
        <f aca="false">Inputs!$C$9-SUMIFS(Cash_Events!$G$6:$G$20,Cash_Events!$C$6:$C$20,"FHL",Cash_Events!$B$6:$B$20,"&lt;="&amp;A1048)</f>
        <v>735000</v>
      </c>
      <c r="J1048" s="38" t="n">
        <f aca="false">VLOOKUP(A1048,Inputs!$F$40:$G$48,2,TRUE())</f>
        <v>0.0420238</v>
      </c>
      <c r="K1048" s="38" t="n">
        <f aca="false">J1048+Inputs!$C$10</f>
        <v>0.1095238</v>
      </c>
      <c r="L1048" s="37" t="n">
        <f aca="false">I1048*K1048/C1048</f>
        <v>220.547926027397</v>
      </c>
      <c r="M1048" s="37" t="n">
        <f aca="false">IF(AND(A1048&gt;=Inputs!$C$13,OR(A1048&lt;Inputs!$B$19,Inputs!$B$20=1)),I1048*Inputs!$C$11/C1048,0)</f>
        <v>40.2739726027397</v>
      </c>
    </row>
    <row r="1049" customFormat="false" ht="15" hidden="false" customHeight="false" outlineLevel="0" collapsed="false">
      <c r="A1049" s="35" t="n">
        <f aca="false">A1048+1</f>
        <v>45856</v>
      </c>
      <c r="B1049" s="35" t="n">
        <f aca="false">EOMONTH(A1049+1,0)</f>
        <v>45869</v>
      </c>
      <c r="C1049" s="36" t="n">
        <f aca="false">IF(MOD(YEAR(A1049),4)=0,366,365)</f>
        <v>365</v>
      </c>
      <c r="D1049" s="37" t="n">
        <f aca="false">Inputs!$B$9-SUMIFS(Cash_Events!$G$6:$G$20,Cash_Events!$C$6:$C$20,"rAGMF",Cash_Events!$B$6:$B$20,"&lt;="&amp;A1049)</f>
        <v>735000</v>
      </c>
      <c r="E1049" s="38" t="n">
        <f aca="false">VLOOKUP(A1049,Inputs!$A$40:$B$48,2,TRUE())</f>
        <v>0.0419027</v>
      </c>
      <c r="F1049" s="38" t="n">
        <f aca="false">E1049+Inputs!$B$10</f>
        <v>0.1094027</v>
      </c>
      <c r="G1049" s="37" t="n">
        <f aca="false">D1049*F1049/C1049</f>
        <v>220.304067123288</v>
      </c>
      <c r="H1049" s="37" t="n">
        <f aca="false">IF(AND(A1049&gt;=Inputs!$B$13,OR(A1049&lt;Inputs!$B$19,Inputs!$B$20=1)),D1049*Inputs!$B$11/C1049,0)</f>
        <v>40.2739726027397</v>
      </c>
      <c r="I1049" s="37" t="n">
        <f aca="false">Inputs!$C$9-SUMIFS(Cash_Events!$G$6:$G$20,Cash_Events!$C$6:$C$20,"FHL",Cash_Events!$B$6:$B$20,"&lt;="&amp;A1049)</f>
        <v>735000</v>
      </c>
      <c r="J1049" s="38" t="n">
        <f aca="false">VLOOKUP(A1049,Inputs!$F$40:$G$48,2,TRUE())</f>
        <v>0.0420238</v>
      </c>
      <c r="K1049" s="38" t="n">
        <f aca="false">J1049+Inputs!$C$10</f>
        <v>0.1095238</v>
      </c>
      <c r="L1049" s="37" t="n">
        <f aca="false">I1049*K1049/C1049</f>
        <v>220.547926027397</v>
      </c>
      <c r="M1049" s="37" t="n">
        <f aca="false">IF(AND(A1049&gt;=Inputs!$C$13,OR(A1049&lt;Inputs!$B$19,Inputs!$B$20=1)),I1049*Inputs!$C$11/C1049,0)</f>
        <v>40.2739726027397</v>
      </c>
    </row>
    <row r="1050" customFormat="false" ht="15" hidden="false" customHeight="false" outlineLevel="0" collapsed="false">
      <c r="A1050" s="35" t="n">
        <f aca="false">A1049+1</f>
        <v>45857</v>
      </c>
      <c r="B1050" s="35" t="n">
        <f aca="false">EOMONTH(A1050+1,0)</f>
        <v>45869</v>
      </c>
      <c r="C1050" s="36" t="n">
        <f aca="false">IF(MOD(YEAR(A1050),4)=0,366,365)</f>
        <v>365</v>
      </c>
      <c r="D1050" s="37" t="n">
        <f aca="false">Inputs!$B$9-SUMIFS(Cash_Events!$G$6:$G$20,Cash_Events!$C$6:$C$20,"rAGMF",Cash_Events!$B$6:$B$20,"&lt;="&amp;A1050)</f>
        <v>735000</v>
      </c>
      <c r="E1050" s="38" t="n">
        <f aca="false">VLOOKUP(A1050,Inputs!$A$40:$B$48,2,TRUE())</f>
        <v>0.0419027</v>
      </c>
      <c r="F1050" s="38" t="n">
        <f aca="false">E1050+Inputs!$B$10</f>
        <v>0.1094027</v>
      </c>
      <c r="G1050" s="37" t="n">
        <f aca="false">D1050*F1050/C1050</f>
        <v>220.304067123288</v>
      </c>
      <c r="H1050" s="37" t="n">
        <f aca="false">IF(AND(A1050&gt;=Inputs!$B$13,OR(A1050&lt;Inputs!$B$19,Inputs!$B$20=1)),D1050*Inputs!$B$11/C1050,0)</f>
        <v>40.2739726027397</v>
      </c>
      <c r="I1050" s="37" t="n">
        <f aca="false">Inputs!$C$9-SUMIFS(Cash_Events!$G$6:$G$20,Cash_Events!$C$6:$C$20,"FHL",Cash_Events!$B$6:$B$20,"&lt;="&amp;A1050)</f>
        <v>735000</v>
      </c>
      <c r="J1050" s="38" t="n">
        <f aca="false">VLOOKUP(A1050,Inputs!$F$40:$G$48,2,TRUE())</f>
        <v>0.0420238</v>
      </c>
      <c r="K1050" s="38" t="n">
        <f aca="false">J1050+Inputs!$C$10</f>
        <v>0.1095238</v>
      </c>
      <c r="L1050" s="37" t="n">
        <f aca="false">I1050*K1050/C1050</f>
        <v>220.547926027397</v>
      </c>
      <c r="M1050" s="37" t="n">
        <f aca="false">IF(AND(A1050&gt;=Inputs!$C$13,OR(A1050&lt;Inputs!$B$19,Inputs!$B$20=1)),I1050*Inputs!$C$11/C1050,0)</f>
        <v>40.2739726027397</v>
      </c>
    </row>
    <row r="1051" customFormat="false" ht="15" hidden="false" customHeight="false" outlineLevel="0" collapsed="false">
      <c r="A1051" s="35" t="n">
        <f aca="false">A1050+1</f>
        <v>45858</v>
      </c>
      <c r="B1051" s="35" t="n">
        <f aca="false">EOMONTH(A1051+1,0)</f>
        <v>45869</v>
      </c>
      <c r="C1051" s="36" t="n">
        <f aca="false">IF(MOD(YEAR(A1051),4)=0,366,365)</f>
        <v>365</v>
      </c>
      <c r="D1051" s="37" t="n">
        <f aca="false">Inputs!$B$9-SUMIFS(Cash_Events!$G$6:$G$20,Cash_Events!$C$6:$C$20,"rAGMF",Cash_Events!$B$6:$B$20,"&lt;="&amp;A1051)</f>
        <v>735000</v>
      </c>
      <c r="E1051" s="38" t="n">
        <f aca="false">VLOOKUP(A1051,Inputs!$A$40:$B$48,2,TRUE())</f>
        <v>0.0419027</v>
      </c>
      <c r="F1051" s="38" t="n">
        <f aca="false">E1051+Inputs!$B$10</f>
        <v>0.1094027</v>
      </c>
      <c r="G1051" s="37" t="n">
        <f aca="false">D1051*F1051/C1051</f>
        <v>220.304067123288</v>
      </c>
      <c r="H1051" s="37" t="n">
        <f aca="false">IF(AND(A1051&gt;=Inputs!$B$13,OR(A1051&lt;Inputs!$B$19,Inputs!$B$20=1)),D1051*Inputs!$B$11/C1051,0)</f>
        <v>40.2739726027397</v>
      </c>
      <c r="I1051" s="37" t="n">
        <f aca="false">Inputs!$C$9-SUMIFS(Cash_Events!$G$6:$G$20,Cash_Events!$C$6:$C$20,"FHL",Cash_Events!$B$6:$B$20,"&lt;="&amp;A1051)</f>
        <v>735000</v>
      </c>
      <c r="J1051" s="38" t="n">
        <f aca="false">VLOOKUP(A1051,Inputs!$F$40:$G$48,2,TRUE())</f>
        <v>0.0420238</v>
      </c>
      <c r="K1051" s="38" t="n">
        <f aca="false">J1051+Inputs!$C$10</f>
        <v>0.1095238</v>
      </c>
      <c r="L1051" s="37" t="n">
        <f aca="false">I1051*K1051/C1051</f>
        <v>220.547926027397</v>
      </c>
      <c r="M1051" s="37" t="n">
        <f aca="false">IF(AND(A1051&gt;=Inputs!$C$13,OR(A1051&lt;Inputs!$B$19,Inputs!$B$20=1)),I1051*Inputs!$C$11/C1051,0)</f>
        <v>40.2739726027397</v>
      </c>
    </row>
    <row r="1052" customFormat="false" ht="15" hidden="false" customHeight="false" outlineLevel="0" collapsed="false">
      <c r="A1052" s="35" t="n">
        <f aca="false">A1051+1</f>
        <v>45859</v>
      </c>
      <c r="B1052" s="35" t="n">
        <f aca="false">EOMONTH(A1052+1,0)</f>
        <v>45869</v>
      </c>
      <c r="C1052" s="36" t="n">
        <f aca="false">IF(MOD(YEAR(A1052),4)=0,366,365)</f>
        <v>365</v>
      </c>
      <c r="D1052" s="37" t="n">
        <f aca="false">Inputs!$B$9-SUMIFS(Cash_Events!$G$6:$G$20,Cash_Events!$C$6:$C$20,"rAGMF",Cash_Events!$B$6:$B$20,"&lt;="&amp;A1052)</f>
        <v>735000</v>
      </c>
      <c r="E1052" s="38" t="n">
        <f aca="false">VLOOKUP(A1052,Inputs!$A$40:$B$48,2,TRUE())</f>
        <v>0.0419027</v>
      </c>
      <c r="F1052" s="38" t="n">
        <f aca="false">E1052+Inputs!$B$10</f>
        <v>0.1094027</v>
      </c>
      <c r="G1052" s="37" t="n">
        <f aca="false">D1052*F1052/C1052</f>
        <v>220.304067123288</v>
      </c>
      <c r="H1052" s="37" t="n">
        <f aca="false">IF(AND(A1052&gt;=Inputs!$B$13,OR(A1052&lt;Inputs!$B$19,Inputs!$B$20=1)),D1052*Inputs!$B$11/C1052,0)</f>
        <v>40.2739726027397</v>
      </c>
      <c r="I1052" s="37" t="n">
        <f aca="false">Inputs!$C$9-SUMIFS(Cash_Events!$G$6:$G$20,Cash_Events!$C$6:$C$20,"FHL",Cash_Events!$B$6:$B$20,"&lt;="&amp;A1052)</f>
        <v>735000</v>
      </c>
      <c r="J1052" s="38" t="n">
        <f aca="false">VLOOKUP(A1052,Inputs!$F$40:$G$48,2,TRUE())</f>
        <v>0.0420238</v>
      </c>
      <c r="K1052" s="38" t="n">
        <f aca="false">J1052+Inputs!$C$10</f>
        <v>0.1095238</v>
      </c>
      <c r="L1052" s="37" t="n">
        <f aca="false">I1052*K1052/C1052</f>
        <v>220.547926027397</v>
      </c>
      <c r="M1052" s="37" t="n">
        <f aca="false">IF(AND(A1052&gt;=Inputs!$C$13,OR(A1052&lt;Inputs!$B$19,Inputs!$B$20=1)),I1052*Inputs!$C$11/C1052,0)</f>
        <v>40.2739726027397</v>
      </c>
    </row>
    <row r="1053" customFormat="false" ht="15" hidden="false" customHeight="false" outlineLevel="0" collapsed="false">
      <c r="A1053" s="35" t="n">
        <f aca="false">A1052+1</f>
        <v>45860</v>
      </c>
      <c r="B1053" s="35" t="n">
        <f aca="false">EOMONTH(A1053+1,0)</f>
        <v>45869</v>
      </c>
      <c r="C1053" s="36" t="n">
        <f aca="false">IF(MOD(YEAR(A1053),4)=0,366,365)</f>
        <v>365</v>
      </c>
      <c r="D1053" s="37" t="n">
        <f aca="false">Inputs!$B$9-SUMIFS(Cash_Events!$G$6:$G$20,Cash_Events!$C$6:$C$20,"rAGMF",Cash_Events!$B$6:$B$20,"&lt;="&amp;A1053)</f>
        <v>735000</v>
      </c>
      <c r="E1053" s="38" t="n">
        <f aca="false">VLOOKUP(A1053,Inputs!$A$40:$B$48,2,TRUE())</f>
        <v>0.0419027</v>
      </c>
      <c r="F1053" s="38" t="n">
        <f aca="false">E1053+Inputs!$B$10</f>
        <v>0.1094027</v>
      </c>
      <c r="G1053" s="37" t="n">
        <f aca="false">D1053*F1053/C1053</f>
        <v>220.304067123288</v>
      </c>
      <c r="H1053" s="37" t="n">
        <f aca="false">IF(AND(A1053&gt;=Inputs!$B$13,OR(A1053&lt;Inputs!$B$19,Inputs!$B$20=1)),D1053*Inputs!$B$11/C1053,0)</f>
        <v>40.2739726027397</v>
      </c>
      <c r="I1053" s="37" t="n">
        <f aca="false">Inputs!$C$9-SUMIFS(Cash_Events!$G$6:$G$20,Cash_Events!$C$6:$C$20,"FHL",Cash_Events!$B$6:$B$20,"&lt;="&amp;A1053)</f>
        <v>735000</v>
      </c>
      <c r="J1053" s="38" t="n">
        <f aca="false">VLOOKUP(A1053,Inputs!$F$40:$G$48,2,TRUE())</f>
        <v>0.0420238</v>
      </c>
      <c r="K1053" s="38" t="n">
        <f aca="false">J1053+Inputs!$C$10</f>
        <v>0.1095238</v>
      </c>
      <c r="L1053" s="37" t="n">
        <f aca="false">I1053*K1053/C1053</f>
        <v>220.547926027397</v>
      </c>
      <c r="M1053" s="37" t="n">
        <f aca="false">IF(AND(A1053&gt;=Inputs!$C$13,OR(A1053&lt;Inputs!$B$19,Inputs!$B$20=1)),I1053*Inputs!$C$11/C1053,0)</f>
        <v>40.2739726027397</v>
      </c>
    </row>
    <row r="1054" customFormat="false" ht="15" hidden="false" customHeight="false" outlineLevel="0" collapsed="false">
      <c r="A1054" s="35" t="n">
        <f aca="false">A1053+1</f>
        <v>45861</v>
      </c>
      <c r="B1054" s="35" t="n">
        <f aca="false">EOMONTH(A1054+1,0)</f>
        <v>45869</v>
      </c>
      <c r="C1054" s="36" t="n">
        <f aca="false">IF(MOD(YEAR(A1054),4)=0,366,365)</f>
        <v>365</v>
      </c>
      <c r="D1054" s="37" t="n">
        <f aca="false">Inputs!$B$9-SUMIFS(Cash_Events!$G$6:$G$20,Cash_Events!$C$6:$C$20,"rAGMF",Cash_Events!$B$6:$B$20,"&lt;="&amp;A1054)</f>
        <v>735000</v>
      </c>
      <c r="E1054" s="38" t="n">
        <f aca="false">VLOOKUP(A1054,Inputs!$A$40:$B$48,2,TRUE())</f>
        <v>0.0419027</v>
      </c>
      <c r="F1054" s="38" t="n">
        <f aca="false">E1054+Inputs!$B$10</f>
        <v>0.1094027</v>
      </c>
      <c r="G1054" s="37" t="n">
        <f aca="false">D1054*F1054/C1054</f>
        <v>220.304067123288</v>
      </c>
      <c r="H1054" s="37" t="n">
        <f aca="false">IF(AND(A1054&gt;=Inputs!$B$13,OR(A1054&lt;Inputs!$B$19,Inputs!$B$20=1)),D1054*Inputs!$B$11/C1054,0)</f>
        <v>40.2739726027397</v>
      </c>
      <c r="I1054" s="37" t="n">
        <f aca="false">Inputs!$C$9-SUMIFS(Cash_Events!$G$6:$G$20,Cash_Events!$C$6:$C$20,"FHL",Cash_Events!$B$6:$B$20,"&lt;="&amp;A1054)</f>
        <v>735000</v>
      </c>
      <c r="J1054" s="38" t="n">
        <f aca="false">VLOOKUP(A1054,Inputs!$F$40:$G$48,2,TRUE())</f>
        <v>0.0420238</v>
      </c>
      <c r="K1054" s="38" t="n">
        <f aca="false">J1054+Inputs!$C$10</f>
        <v>0.1095238</v>
      </c>
      <c r="L1054" s="37" t="n">
        <f aca="false">I1054*K1054/C1054</f>
        <v>220.547926027397</v>
      </c>
      <c r="M1054" s="37" t="n">
        <f aca="false">IF(AND(A1054&gt;=Inputs!$C$13,OR(A1054&lt;Inputs!$B$19,Inputs!$B$20=1)),I1054*Inputs!$C$11/C1054,0)</f>
        <v>40.2739726027397</v>
      </c>
    </row>
    <row r="1055" customFormat="false" ht="15" hidden="false" customHeight="false" outlineLevel="0" collapsed="false">
      <c r="A1055" s="35" t="n">
        <f aca="false">A1054+1</f>
        <v>45862</v>
      </c>
      <c r="B1055" s="35" t="n">
        <f aca="false">EOMONTH(A1055+1,0)</f>
        <v>45869</v>
      </c>
      <c r="C1055" s="36" t="n">
        <f aca="false">IF(MOD(YEAR(A1055),4)=0,366,365)</f>
        <v>365</v>
      </c>
      <c r="D1055" s="37" t="n">
        <f aca="false">Inputs!$B$9-SUMIFS(Cash_Events!$G$6:$G$20,Cash_Events!$C$6:$C$20,"rAGMF",Cash_Events!$B$6:$B$20,"&lt;="&amp;A1055)</f>
        <v>735000</v>
      </c>
      <c r="E1055" s="38" t="n">
        <f aca="false">VLOOKUP(A1055,Inputs!$A$40:$B$48,2,TRUE())</f>
        <v>0.0419027</v>
      </c>
      <c r="F1055" s="38" t="n">
        <f aca="false">E1055+Inputs!$B$10</f>
        <v>0.1094027</v>
      </c>
      <c r="G1055" s="37" t="n">
        <f aca="false">D1055*F1055/C1055</f>
        <v>220.304067123288</v>
      </c>
      <c r="H1055" s="37" t="n">
        <f aca="false">IF(AND(A1055&gt;=Inputs!$B$13,OR(A1055&lt;Inputs!$B$19,Inputs!$B$20=1)),D1055*Inputs!$B$11/C1055,0)</f>
        <v>40.2739726027397</v>
      </c>
      <c r="I1055" s="37" t="n">
        <f aca="false">Inputs!$C$9-SUMIFS(Cash_Events!$G$6:$G$20,Cash_Events!$C$6:$C$20,"FHL",Cash_Events!$B$6:$B$20,"&lt;="&amp;A1055)</f>
        <v>735000</v>
      </c>
      <c r="J1055" s="38" t="n">
        <f aca="false">VLOOKUP(A1055,Inputs!$F$40:$G$48,2,TRUE())</f>
        <v>0.0420238</v>
      </c>
      <c r="K1055" s="38" t="n">
        <f aca="false">J1055+Inputs!$C$10</f>
        <v>0.1095238</v>
      </c>
      <c r="L1055" s="37" t="n">
        <f aca="false">I1055*K1055/C1055</f>
        <v>220.547926027397</v>
      </c>
      <c r="M1055" s="37" t="n">
        <f aca="false">IF(AND(A1055&gt;=Inputs!$C$13,OR(A1055&lt;Inputs!$B$19,Inputs!$B$20=1)),I1055*Inputs!$C$11/C1055,0)</f>
        <v>40.2739726027397</v>
      </c>
    </row>
    <row r="1056" customFormat="false" ht="15" hidden="false" customHeight="false" outlineLevel="0" collapsed="false">
      <c r="A1056" s="35" t="n">
        <f aca="false">A1055+1</f>
        <v>45863</v>
      </c>
      <c r="B1056" s="35" t="n">
        <f aca="false">EOMONTH(A1056+1,0)</f>
        <v>45869</v>
      </c>
      <c r="C1056" s="36" t="n">
        <f aca="false">IF(MOD(YEAR(A1056),4)=0,366,365)</f>
        <v>365</v>
      </c>
      <c r="D1056" s="37" t="n">
        <f aca="false">Inputs!$B$9-SUMIFS(Cash_Events!$G$6:$G$20,Cash_Events!$C$6:$C$20,"rAGMF",Cash_Events!$B$6:$B$20,"&lt;="&amp;A1056)</f>
        <v>735000</v>
      </c>
      <c r="E1056" s="38" t="n">
        <f aca="false">VLOOKUP(A1056,Inputs!$A$40:$B$48,2,TRUE())</f>
        <v>0.0419027</v>
      </c>
      <c r="F1056" s="38" t="n">
        <f aca="false">E1056+Inputs!$B$10</f>
        <v>0.1094027</v>
      </c>
      <c r="G1056" s="37" t="n">
        <f aca="false">D1056*F1056/C1056</f>
        <v>220.304067123288</v>
      </c>
      <c r="H1056" s="37" t="n">
        <f aca="false">IF(AND(A1056&gt;=Inputs!$B$13,OR(A1056&lt;Inputs!$B$19,Inputs!$B$20=1)),D1056*Inputs!$B$11/C1056,0)</f>
        <v>40.2739726027397</v>
      </c>
      <c r="I1056" s="37" t="n">
        <f aca="false">Inputs!$C$9-SUMIFS(Cash_Events!$G$6:$G$20,Cash_Events!$C$6:$C$20,"FHL",Cash_Events!$B$6:$B$20,"&lt;="&amp;A1056)</f>
        <v>735000</v>
      </c>
      <c r="J1056" s="38" t="n">
        <f aca="false">VLOOKUP(A1056,Inputs!$F$40:$G$48,2,TRUE())</f>
        <v>0.0420238</v>
      </c>
      <c r="K1056" s="38" t="n">
        <f aca="false">J1056+Inputs!$C$10</f>
        <v>0.1095238</v>
      </c>
      <c r="L1056" s="37" t="n">
        <f aca="false">I1056*K1056/C1056</f>
        <v>220.547926027397</v>
      </c>
      <c r="M1056" s="37" t="n">
        <f aca="false">IF(AND(A1056&gt;=Inputs!$C$13,OR(A1056&lt;Inputs!$B$19,Inputs!$B$20=1)),I1056*Inputs!$C$11/C1056,0)</f>
        <v>40.2739726027397</v>
      </c>
    </row>
    <row r="1057" customFormat="false" ht="15" hidden="false" customHeight="false" outlineLevel="0" collapsed="false">
      <c r="A1057" s="35" t="n">
        <f aca="false">A1056+1</f>
        <v>45864</v>
      </c>
      <c r="B1057" s="35" t="n">
        <f aca="false">EOMONTH(A1057+1,0)</f>
        <v>45869</v>
      </c>
      <c r="C1057" s="36" t="n">
        <f aca="false">IF(MOD(YEAR(A1057),4)=0,366,365)</f>
        <v>365</v>
      </c>
      <c r="D1057" s="37" t="n">
        <f aca="false">Inputs!$B$9-SUMIFS(Cash_Events!$G$6:$G$20,Cash_Events!$C$6:$C$20,"rAGMF",Cash_Events!$B$6:$B$20,"&lt;="&amp;A1057)</f>
        <v>735000</v>
      </c>
      <c r="E1057" s="38" t="n">
        <f aca="false">VLOOKUP(A1057,Inputs!$A$40:$B$48,2,TRUE())</f>
        <v>0.0419027</v>
      </c>
      <c r="F1057" s="38" t="n">
        <f aca="false">E1057+Inputs!$B$10</f>
        <v>0.1094027</v>
      </c>
      <c r="G1057" s="37" t="n">
        <f aca="false">D1057*F1057/C1057</f>
        <v>220.304067123288</v>
      </c>
      <c r="H1057" s="37" t="n">
        <f aca="false">IF(AND(A1057&gt;=Inputs!$B$13,OR(A1057&lt;Inputs!$B$19,Inputs!$B$20=1)),D1057*Inputs!$B$11/C1057,0)</f>
        <v>40.2739726027397</v>
      </c>
      <c r="I1057" s="37" t="n">
        <f aca="false">Inputs!$C$9-SUMIFS(Cash_Events!$G$6:$G$20,Cash_Events!$C$6:$C$20,"FHL",Cash_Events!$B$6:$B$20,"&lt;="&amp;A1057)</f>
        <v>735000</v>
      </c>
      <c r="J1057" s="38" t="n">
        <f aca="false">VLOOKUP(A1057,Inputs!$F$40:$G$48,2,TRUE())</f>
        <v>0.0420238</v>
      </c>
      <c r="K1057" s="38" t="n">
        <f aca="false">J1057+Inputs!$C$10</f>
        <v>0.1095238</v>
      </c>
      <c r="L1057" s="37" t="n">
        <f aca="false">I1057*K1057/C1057</f>
        <v>220.547926027397</v>
      </c>
      <c r="M1057" s="37" t="n">
        <f aca="false">IF(AND(A1057&gt;=Inputs!$C$13,OR(A1057&lt;Inputs!$B$19,Inputs!$B$20=1)),I1057*Inputs!$C$11/C1057,0)</f>
        <v>40.2739726027397</v>
      </c>
    </row>
    <row r="1058" customFormat="false" ht="15" hidden="false" customHeight="false" outlineLevel="0" collapsed="false">
      <c r="A1058" s="35" t="n">
        <f aca="false">A1057+1</f>
        <v>45865</v>
      </c>
      <c r="B1058" s="35" t="n">
        <f aca="false">EOMONTH(A1058+1,0)</f>
        <v>45869</v>
      </c>
      <c r="C1058" s="36" t="n">
        <f aca="false">IF(MOD(YEAR(A1058),4)=0,366,365)</f>
        <v>365</v>
      </c>
      <c r="D1058" s="37" t="n">
        <f aca="false">Inputs!$B$9-SUMIFS(Cash_Events!$G$6:$G$20,Cash_Events!$C$6:$C$20,"rAGMF",Cash_Events!$B$6:$B$20,"&lt;="&amp;A1058)</f>
        <v>735000</v>
      </c>
      <c r="E1058" s="38" t="n">
        <f aca="false">VLOOKUP(A1058,Inputs!$A$40:$B$48,2,TRUE())</f>
        <v>0.0419027</v>
      </c>
      <c r="F1058" s="38" t="n">
        <f aca="false">E1058+Inputs!$B$10</f>
        <v>0.1094027</v>
      </c>
      <c r="G1058" s="37" t="n">
        <f aca="false">D1058*F1058/C1058</f>
        <v>220.304067123288</v>
      </c>
      <c r="H1058" s="37" t="n">
        <f aca="false">IF(AND(A1058&gt;=Inputs!$B$13,OR(A1058&lt;Inputs!$B$19,Inputs!$B$20=1)),D1058*Inputs!$B$11/C1058,0)</f>
        <v>40.2739726027397</v>
      </c>
      <c r="I1058" s="37" t="n">
        <f aca="false">Inputs!$C$9-SUMIFS(Cash_Events!$G$6:$G$20,Cash_Events!$C$6:$C$20,"FHL",Cash_Events!$B$6:$B$20,"&lt;="&amp;A1058)</f>
        <v>735000</v>
      </c>
      <c r="J1058" s="38" t="n">
        <f aca="false">VLOOKUP(A1058,Inputs!$F$40:$G$48,2,TRUE())</f>
        <v>0.0420238</v>
      </c>
      <c r="K1058" s="38" t="n">
        <f aca="false">J1058+Inputs!$C$10</f>
        <v>0.1095238</v>
      </c>
      <c r="L1058" s="37" t="n">
        <f aca="false">I1058*K1058/C1058</f>
        <v>220.547926027397</v>
      </c>
      <c r="M1058" s="37" t="n">
        <f aca="false">IF(AND(A1058&gt;=Inputs!$C$13,OR(A1058&lt;Inputs!$B$19,Inputs!$B$20=1)),I1058*Inputs!$C$11/C1058,0)</f>
        <v>40.2739726027397</v>
      </c>
    </row>
    <row r="1059" customFormat="false" ht="15" hidden="false" customHeight="false" outlineLevel="0" collapsed="false">
      <c r="A1059" s="35" t="n">
        <f aca="false">A1058+1</f>
        <v>45866</v>
      </c>
      <c r="B1059" s="35" t="n">
        <f aca="false">EOMONTH(A1059+1,0)</f>
        <v>45869</v>
      </c>
      <c r="C1059" s="36" t="n">
        <f aca="false">IF(MOD(YEAR(A1059),4)=0,366,365)</f>
        <v>365</v>
      </c>
      <c r="D1059" s="37" t="n">
        <f aca="false">Inputs!$B$9-SUMIFS(Cash_Events!$G$6:$G$20,Cash_Events!$C$6:$C$20,"rAGMF",Cash_Events!$B$6:$B$20,"&lt;="&amp;A1059)</f>
        <v>735000</v>
      </c>
      <c r="E1059" s="38" t="n">
        <f aca="false">VLOOKUP(A1059,Inputs!$A$40:$B$48,2,TRUE())</f>
        <v>0.0419027</v>
      </c>
      <c r="F1059" s="38" t="n">
        <f aca="false">E1059+Inputs!$B$10</f>
        <v>0.1094027</v>
      </c>
      <c r="G1059" s="37" t="n">
        <f aca="false">D1059*F1059/C1059</f>
        <v>220.304067123288</v>
      </c>
      <c r="H1059" s="37" t="n">
        <f aca="false">IF(AND(A1059&gt;=Inputs!$B$13,OR(A1059&lt;Inputs!$B$19,Inputs!$B$20=1)),D1059*Inputs!$B$11/C1059,0)</f>
        <v>40.2739726027397</v>
      </c>
      <c r="I1059" s="37" t="n">
        <f aca="false">Inputs!$C$9-SUMIFS(Cash_Events!$G$6:$G$20,Cash_Events!$C$6:$C$20,"FHL",Cash_Events!$B$6:$B$20,"&lt;="&amp;A1059)</f>
        <v>735000</v>
      </c>
      <c r="J1059" s="38" t="n">
        <f aca="false">VLOOKUP(A1059,Inputs!$F$40:$G$48,2,TRUE())</f>
        <v>0.0420238</v>
      </c>
      <c r="K1059" s="38" t="n">
        <f aca="false">J1059+Inputs!$C$10</f>
        <v>0.1095238</v>
      </c>
      <c r="L1059" s="37" t="n">
        <f aca="false">I1059*K1059/C1059</f>
        <v>220.547926027397</v>
      </c>
      <c r="M1059" s="37" t="n">
        <f aca="false">IF(AND(A1059&gt;=Inputs!$C$13,OR(A1059&lt;Inputs!$B$19,Inputs!$B$20=1)),I1059*Inputs!$C$11/C1059,0)</f>
        <v>40.2739726027397</v>
      </c>
    </row>
    <row r="1060" customFormat="false" ht="15" hidden="false" customHeight="false" outlineLevel="0" collapsed="false">
      <c r="A1060" s="35" t="n">
        <f aca="false">A1059+1</f>
        <v>45867</v>
      </c>
      <c r="B1060" s="35" t="n">
        <f aca="false">EOMONTH(A1060+1,0)</f>
        <v>45869</v>
      </c>
      <c r="C1060" s="36" t="n">
        <f aca="false">IF(MOD(YEAR(A1060),4)=0,366,365)</f>
        <v>365</v>
      </c>
      <c r="D1060" s="37" t="n">
        <f aca="false">Inputs!$B$9-SUMIFS(Cash_Events!$G$6:$G$20,Cash_Events!$C$6:$C$20,"rAGMF",Cash_Events!$B$6:$B$20,"&lt;="&amp;A1060)</f>
        <v>735000</v>
      </c>
      <c r="E1060" s="38" t="n">
        <f aca="false">VLOOKUP(A1060,Inputs!$A$40:$B$48,2,TRUE())</f>
        <v>0.0419027</v>
      </c>
      <c r="F1060" s="38" t="n">
        <f aca="false">E1060+Inputs!$B$10</f>
        <v>0.1094027</v>
      </c>
      <c r="G1060" s="37" t="n">
        <f aca="false">D1060*F1060/C1060</f>
        <v>220.304067123288</v>
      </c>
      <c r="H1060" s="37" t="n">
        <f aca="false">IF(AND(A1060&gt;=Inputs!$B$13,OR(A1060&lt;Inputs!$B$19,Inputs!$B$20=1)),D1060*Inputs!$B$11/C1060,0)</f>
        <v>40.2739726027397</v>
      </c>
      <c r="I1060" s="37" t="n">
        <f aca="false">Inputs!$C$9-SUMIFS(Cash_Events!$G$6:$G$20,Cash_Events!$C$6:$C$20,"FHL",Cash_Events!$B$6:$B$20,"&lt;="&amp;A1060)</f>
        <v>735000</v>
      </c>
      <c r="J1060" s="38" t="n">
        <f aca="false">VLOOKUP(A1060,Inputs!$F$40:$G$48,2,TRUE())</f>
        <v>0.0420238</v>
      </c>
      <c r="K1060" s="38" t="n">
        <f aca="false">J1060+Inputs!$C$10</f>
        <v>0.1095238</v>
      </c>
      <c r="L1060" s="37" t="n">
        <f aca="false">I1060*K1060/C1060</f>
        <v>220.547926027397</v>
      </c>
      <c r="M1060" s="37" t="n">
        <f aca="false">IF(AND(A1060&gt;=Inputs!$C$13,OR(A1060&lt;Inputs!$B$19,Inputs!$B$20=1)),I1060*Inputs!$C$11/C1060,0)</f>
        <v>40.2739726027397</v>
      </c>
    </row>
    <row r="1061" customFormat="false" ht="15" hidden="false" customHeight="false" outlineLevel="0" collapsed="false">
      <c r="A1061" s="35" t="n">
        <f aca="false">A1060+1</f>
        <v>45868</v>
      </c>
      <c r="B1061" s="35" t="n">
        <f aca="false">EOMONTH(A1061+1,0)</f>
        <v>45869</v>
      </c>
      <c r="C1061" s="36" t="n">
        <f aca="false">IF(MOD(YEAR(A1061),4)=0,366,365)</f>
        <v>365</v>
      </c>
      <c r="D1061" s="37" t="n">
        <f aca="false">Inputs!$B$9-SUMIFS(Cash_Events!$G$6:$G$20,Cash_Events!$C$6:$C$20,"rAGMF",Cash_Events!$B$6:$B$20,"&lt;="&amp;A1061)</f>
        <v>735000</v>
      </c>
      <c r="E1061" s="38" t="n">
        <f aca="false">VLOOKUP(A1061,Inputs!$A$40:$B$48,2,TRUE())</f>
        <v>0.0419027</v>
      </c>
      <c r="F1061" s="38" t="n">
        <f aca="false">E1061+Inputs!$B$10</f>
        <v>0.1094027</v>
      </c>
      <c r="G1061" s="37" t="n">
        <f aca="false">D1061*F1061/C1061</f>
        <v>220.304067123288</v>
      </c>
      <c r="H1061" s="37" t="n">
        <f aca="false">IF(AND(A1061&gt;=Inputs!$B$13,OR(A1061&lt;Inputs!$B$19,Inputs!$B$20=1)),D1061*Inputs!$B$11/C1061,0)</f>
        <v>40.2739726027397</v>
      </c>
      <c r="I1061" s="37" t="n">
        <f aca="false">Inputs!$C$9-SUMIFS(Cash_Events!$G$6:$G$20,Cash_Events!$C$6:$C$20,"FHL",Cash_Events!$B$6:$B$20,"&lt;="&amp;A1061)</f>
        <v>735000</v>
      </c>
      <c r="J1061" s="38" t="n">
        <f aca="false">VLOOKUP(A1061,Inputs!$F$40:$G$48,2,TRUE())</f>
        <v>0.0420238</v>
      </c>
      <c r="K1061" s="38" t="n">
        <f aca="false">J1061+Inputs!$C$10</f>
        <v>0.1095238</v>
      </c>
      <c r="L1061" s="37" t="n">
        <f aca="false">I1061*K1061/C1061</f>
        <v>220.547926027397</v>
      </c>
      <c r="M1061" s="37" t="n">
        <f aca="false">IF(AND(A1061&gt;=Inputs!$C$13,OR(A1061&lt;Inputs!$B$19,Inputs!$B$20=1)),I1061*Inputs!$C$11/C1061,0)</f>
        <v>40.2739726027397</v>
      </c>
    </row>
    <row r="1062" customFormat="false" ht="15" hidden="false" customHeight="false" outlineLevel="0" collapsed="false">
      <c r="A1062" s="35" t="n">
        <f aca="false">A1061+1</f>
        <v>45869</v>
      </c>
      <c r="B1062" s="35" t="n">
        <f aca="false">EOMONTH(A1062+1,0)</f>
        <v>45900</v>
      </c>
      <c r="C1062" s="36" t="n">
        <f aca="false">IF(MOD(YEAR(A1062),4)=0,366,365)</f>
        <v>365</v>
      </c>
      <c r="D1062" s="37" t="n">
        <f aca="false">Inputs!$B$9-SUMIFS(Cash_Events!$G$6:$G$20,Cash_Events!$C$6:$C$20,"rAGMF",Cash_Events!$B$6:$B$20,"&lt;="&amp;A1062)</f>
        <v>735000</v>
      </c>
      <c r="E1062" s="38" t="n">
        <f aca="false">VLOOKUP(A1062,Inputs!$A$40:$B$48,2,TRUE())</f>
        <v>0.0419027</v>
      </c>
      <c r="F1062" s="38" t="n">
        <f aca="false">E1062+Inputs!$B$10</f>
        <v>0.1094027</v>
      </c>
      <c r="G1062" s="37" t="n">
        <f aca="false">D1062*F1062/C1062</f>
        <v>220.304067123288</v>
      </c>
      <c r="H1062" s="37" t="n">
        <f aca="false">IF(AND(A1062&gt;=Inputs!$B$13,OR(A1062&lt;Inputs!$B$19,Inputs!$B$20=1)),D1062*Inputs!$B$11/C1062,0)</f>
        <v>40.2739726027397</v>
      </c>
      <c r="I1062" s="37" t="n">
        <f aca="false">Inputs!$C$9-SUMIFS(Cash_Events!$G$6:$G$20,Cash_Events!$C$6:$C$20,"FHL",Cash_Events!$B$6:$B$20,"&lt;="&amp;A1062)</f>
        <v>735000</v>
      </c>
      <c r="J1062" s="38" t="n">
        <f aca="false">VLOOKUP(A1062,Inputs!$F$40:$G$48,2,TRUE())</f>
        <v>0.0420238</v>
      </c>
      <c r="K1062" s="38" t="n">
        <f aca="false">J1062+Inputs!$C$10</f>
        <v>0.1095238</v>
      </c>
      <c r="L1062" s="37" t="n">
        <f aca="false">I1062*K1062/C1062</f>
        <v>220.547926027397</v>
      </c>
      <c r="M1062" s="37" t="n">
        <f aca="false">IF(AND(A1062&gt;=Inputs!$C$13,OR(A1062&lt;Inputs!$B$19,Inputs!$B$20=1)),I1062*Inputs!$C$11/C1062,0)</f>
        <v>40.2739726027397</v>
      </c>
    </row>
    <row r="1063" customFormat="false" ht="15" hidden="false" customHeight="false" outlineLevel="0" collapsed="false">
      <c r="A1063" s="35" t="n">
        <f aca="false">A1062+1</f>
        <v>45870</v>
      </c>
      <c r="B1063" s="35" t="n">
        <f aca="false">EOMONTH(A1063+1,0)</f>
        <v>45900</v>
      </c>
      <c r="C1063" s="36" t="n">
        <f aca="false">IF(MOD(YEAR(A1063),4)=0,366,365)</f>
        <v>365</v>
      </c>
      <c r="D1063" s="37" t="n">
        <f aca="false">Inputs!$B$9-SUMIFS(Cash_Events!$G$6:$G$20,Cash_Events!$C$6:$C$20,"rAGMF",Cash_Events!$B$6:$B$20,"&lt;="&amp;A1063)</f>
        <v>735000</v>
      </c>
      <c r="E1063" s="38" t="n">
        <f aca="false">VLOOKUP(A1063,Inputs!$A$40:$B$48,2,TRUE())</f>
        <v>0.0419027</v>
      </c>
      <c r="F1063" s="38" t="n">
        <f aca="false">E1063+Inputs!$B$10</f>
        <v>0.1094027</v>
      </c>
      <c r="G1063" s="37" t="n">
        <f aca="false">D1063*F1063/C1063</f>
        <v>220.304067123288</v>
      </c>
      <c r="H1063" s="37" t="n">
        <f aca="false">IF(AND(A1063&gt;=Inputs!$B$13,OR(A1063&lt;Inputs!$B$19,Inputs!$B$20=1)),D1063*Inputs!$B$11/C1063,0)</f>
        <v>40.2739726027397</v>
      </c>
      <c r="I1063" s="37" t="n">
        <f aca="false">Inputs!$C$9-SUMIFS(Cash_Events!$G$6:$G$20,Cash_Events!$C$6:$C$20,"FHL",Cash_Events!$B$6:$B$20,"&lt;="&amp;A1063)</f>
        <v>735000</v>
      </c>
      <c r="J1063" s="38" t="n">
        <f aca="false">VLOOKUP(A1063,Inputs!$F$40:$G$48,2,TRUE())</f>
        <v>0.0420238</v>
      </c>
      <c r="K1063" s="38" t="n">
        <f aca="false">J1063+Inputs!$C$10</f>
        <v>0.1095238</v>
      </c>
      <c r="L1063" s="37" t="n">
        <f aca="false">I1063*K1063/C1063</f>
        <v>220.547926027397</v>
      </c>
      <c r="M1063" s="37" t="n">
        <f aca="false">IF(AND(A1063&gt;=Inputs!$C$13,OR(A1063&lt;Inputs!$B$19,Inputs!$B$20=1)),I1063*Inputs!$C$11/C1063,0)</f>
        <v>40.2739726027397</v>
      </c>
    </row>
    <row r="1064" customFormat="false" ht="15" hidden="false" customHeight="false" outlineLevel="0" collapsed="false">
      <c r="A1064" s="35" t="n">
        <f aca="false">A1063+1</f>
        <v>45871</v>
      </c>
      <c r="B1064" s="35" t="n">
        <f aca="false">EOMONTH(A1064+1,0)</f>
        <v>45900</v>
      </c>
      <c r="C1064" s="36" t="n">
        <f aca="false">IF(MOD(YEAR(A1064),4)=0,366,365)</f>
        <v>365</v>
      </c>
      <c r="D1064" s="37" t="n">
        <f aca="false">Inputs!$B$9-SUMIFS(Cash_Events!$G$6:$G$20,Cash_Events!$C$6:$C$20,"rAGMF",Cash_Events!$B$6:$B$20,"&lt;="&amp;A1064)</f>
        <v>735000</v>
      </c>
      <c r="E1064" s="38" t="n">
        <f aca="false">VLOOKUP(A1064,Inputs!$A$40:$B$48,2,TRUE())</f>
        <v>0.0419027</v>
      </c>
      <c r="F1064" s="38" t="n">
        <f aca="false">E1064+Inputs!$B$10</f>
        <v>0.1094027</v>
      </c>
      <c r="G1064" s="37" t="n">
        <f aca="false">D1064*F1064/C1064</f>
        <v>220.304067123288</v>
      </c>
      <c r="H1064" s="37" t="n">
        <f aca="false">IF(AND(A1064&gt;=Inputs!$B$13,OR(A1064&lt;Inputs!$B$19,Inputs!$B$20=1)),D1064*Inputs!$B$11/C1064,0)</f>
        <v>40.2739726027397</v>
      </c>
      <c r="I1064" s="37" t="n">
        <f aca="false">Inputs!$C$9-SUMIFS(Cash_Events!$G$6:$G$20,Cash_Events!$C$6:$C$20,"FHL",Cash_Events!$B$6:$B$20,"&lt;="&amp;A1064)</f>
        <v>735000</v>
      </c>
      <c r="J1064" s="38" t="n">
        <f aca="false">VLOOKUP(A1064,Inputs!$F$40:$G$48,2,TRUE())</f>
        <v>0.0420238</v>
      </c>
      <c r="K1064" s="38" t="n">
        <f aca="false">J1064+Inputs!$C$10</f>
        <v>0.1095238</v>
      </c>
      <c r="L1064" s="37" t="n">
        <f aca="false">I1064*K1064/C1064</f>
        <v>220.547926027397</v>
      </c>
      <c r="M1064" s="37" t="n">
        <f aca="false">IF(AND(A1064&gt;=Inputs!$C$13,OR(A1064&lt;Inputs!$B$19,Inputs!$B$20=1)),I1064*Inputs!$C$11/C1064,0)</f>
        <v>40.2739726027397</v>
      </c>
    </row>
    <row r="1065" customFormat="false" ht="15" hidden="false" customHeight="false" outlineLevel="0" collapsed="false">
      <c r="A1065" s="35" t="n">
        <f aca="false">A1064+1</f>
        <v>45872</v>
      </c>
      <c r="B1065" s="35" t="n">
        <f aca="false">EOMONTH(A1065+1,0)</f>
        <v>45900</v>
      </c>
      <c r="C1065" s="36" t="n">
        <f aca="false">IF(MOD(YEAR(A1065),4)=0,366,365)</f>
        <v>365</v>
      </c>
      <c r="D1065" s="37" t="n">
        <f aca="false">Inputs!$B$9-SUMIFS(Cash_Events!$G$6:$G$20,Cash_Events!$C$6:$C$20,"rAGMF",Cash_Events!$B$6:$B$20,"&lt;="&amp;A1065)</f>
        <v>735000</v>
      </c>
      <c r="E1065" s="38" t="n">
        <f aca="false">VLOOKUP(A1065,Inputs!$A$40:$B$48,2,TRUE())</f>
        <v>0.0419027</v>
      </c>
      <c r="F1065" s="38" t="n">
        <f aca="false">E1065+Inputs!$B$10</f>
        <v>0.1094027</v>
      </c>
      <c r="G1065" s="37" t="n">
        <f aca="false">D1065*F1065/C1065</f>
        <v>220.304067123288</v>
      </c>
      <c r="H1065" s="37" t="n">
        <f aca="false">IF(AND(A1065&gt;=Inputs!$B$13,OR(A1065&lt;Inputs!$B$19,Inputs!$B$20=1)),D1065*Inputs!$B$11/C1065,0)</f>
        <v>40.2739726027397</v>
      </c>
      <c r="I1065" s="37" t="n">
        <f aca="false">Inputs!$C$9-SUMIFS(Cash_Events!$G$6:$G$20,Cash_Events!$C$6:$C$20,"FHL",Cash_Events!$B$6:$B$20,"&lt;="&amp;A1065)</f>
        <v>735000</v>
      </c>
      <c r="J1065" s="38" t="n">
        <f aca="false">VLOOKUP(A1065,Inputs!$F$40:$G$48,2,TRUE())</f>
        <v>0.0420238</v>
      </c>
      <c r="K1065" s="38" t="n">
        <f aca="false">J1065+Inputs!$C$10</f>
        <v>0.1095238</v>
      </c>
      <c r="L1065" s="37" t="n">
        <f aca="false">I1065*K1065/C1065</f>
        <v>220.547926027397</v>
      </c>
      <c r="M1065" s="37" t="n">
        <f aca="false">IF(AND(A1065&gt;=Inputs!$C$13,OR(A1065&lt;Inputs!$B$19,Inputs!$B$20=1)),I1065*Inputs!$C$11/C1065,0)</f>
        <v>40.2739726027397</v>
      </c>
    </row>
    <row r="1066" customFormat="false" ht="15" hidden="false" customHeight="false" outlineLevel="0" collapsed="false">
      <c r="A1066" s="35" t="n">
        <f aca="false">A1065+1</f>
        <v>45873</v>
      </c>
      <c r="B1066" s="35" t="n">
        <f aca="false">EOMONTH(A1066+1,0)</f>
        <v>45900</v>
      </c>
      <c r="C1066" s="36" t="n">
        <f aca="false">IF(MOD(YEAR(A1066),4)=0,366,365)</f>
        <v>365</v>
      </c>
      <c r="D1066" s="37" t="n">
        <f aca="false">Inputs!$B$9-SUMIFS(Cash_Events!$G$6:$G$20,Cash_Events!$C$6:$C$20,"rAGMF",Cash_Events!$B$6:$B$20,"&lt;="&amp;A1066)</f>
        <v>735000</v>
      </c>
      <c r="E1066" s="38" t="n">
        <f aca="false">VLOOKUP(A1066,Inputs!$A$40:$B$48,2,TRUE())</f>
        <v>0.0419027</v>
      </c>
      <c r="F1066" s="38" t="n">
        <f aca="false">E1066+Inputs!$B$10</f>
        <v>0.1094027</v>
      </c>
      <c r="G1066" s="37" t="n">
        <f aca="false">D1066*F1066/C1066</f>
        <v>220.304067123288</v>
      </c>
      <c r="H1066" s="37" t="n">
        <f aca="false">IF(AND(A1066&gt;=Inputs!$B$13,OR(A1066&lt;Inputs!$B$19,Inputs!$B$20=1)),D1066*Inputs!$B$11/C1066,0)</f>
        <v>40.2739726027397</v>
      </c>
      <c r="I1066" s="37" t="n">
        <f aca="false">Inputs!$C$9-SUMIFS(Cash_Events!$G$6:$G$20,Cash_Events!$C$6:$C$20,"FHL",Cash_Events!$B$6:$B$20,"&lt;="&amp;A1066)</f>
        <v>735000</v>
      </c>
      <c r="J1066" s="38" t="n">
        <f aca="false">VLOOKUP(A1066,Inputs!$F$40:$G$48,2,TRUE())</f>
        <v>0.0420238</v>
      </c>
      <c r="K1066" s="38" t="n">
        <f aca="false">J1066+Inputs!$C$10</f>
        <v>0.1095238</v>
      </c>
      <c r="L1066" s="37" t="n">
        <f aca="false">I1066*K1066/C1066</f>
        <v>220.547926027397</v>
      </c>
      <c r="M1066" s="37" t="n">
        <f aca="false">IF(AND(A1066&gt;=Inputs!$C$13,OR(A1066&lt;Inputs!$B$19,Inputs!$B$20=1)),I1066*Inputs!$C$11/C1066,0)</f>
        <v>40.2739726027397</v>
      </c>
    </row>
    <row r="1067" customFormat="false" ht="15" hidden="false" customHeight="false" outlineLevel="0" collapsed="false">
      <c r="A1067" s="35" t="n">
        <f aca="false">A1066+1</f>
        <v>45874</v>
      </c>
      <c r="B1067" s="35" t="n">
        <f aca="false">EOMONTH(A1067+1,0)</f>
        <v>45900</v>
      </c>
      <c r="C1067" s="36" t="n">
        <f aca="false">IF(MOD(YEAR(A1067),4)=0,366,365)</f>
        <v>365</v>
      </c>
      <c r="D1067" s="37" t="n">
        <f aca="false">Inputs!$B$9-SUMIFS(Cash_Events!$G$6:$G$20,Cash_Events!$C$6:$C$20,"rAGMF",Cash_Events!$B$6:$B$20,"&lt;="&amp;A1067)</f>
        <v>735000</v>
      </c>
      <c r="E1067" s="38" t="n">
        <f aca="false">VLOOKUP(A1067,Inputs!$A$40:$B$48,2,TRUE())</f>
        <v>0.0419027</v>
      </c>
      <c r="F1067" s="38" t="n">
        <f aca="false">E1067+Inputs!$B$10</f>
        <v>0.1094027</v>
      </c>
      <c r="G1067" s="37" t="n">
        <f aca="false">D1067*F1067/C1067</f>
        <v>220.304067123288</v>
      </c>
      <c r="H1067" s="37" t="n">
        <f aca="false">IF(AND(A1067&gt;=Inputs!$B$13,OR(A1067&lt;Inputs!$B$19,Inputs!$B$20=1)),D1067*Inputs!$B$11/C1067,0)</f>
        <v>40.2739726027397</v>
      </c>
      <c r="I1067" s="37" t="n">
        <f aca="false">Inputs!$C$9-SUMIFS(Cash_Events!$G$6:$G$20,Cash_Events!$C$6:$C$20,"FHL",Cash_Events!$B$6:$B$20,"&lt;="&amp;A1067)</f>
        <v>735000</v>
      </c>
      <c r="J1067" s="38" t="n">
        <f aca="false">VLOOKUP(A1067,Inputs!$F$40:$G$48,2,TRUE())</f>
        <v>0.0420238</v>
      </c>
      <c r="K1067" s="38" t="n">
        <f aca="false">J1067+Inputs!$C$10</f>
        <v>0.1095238</v>
      </c>
      <c r="L1067" s="37" t="n">
        <f aca="false">I1067*K1067/C1067</f>
        <v>220.547926027397</v>
      </c>
      <c r="M1067" s="37" t="n">
        <f aca="false">IF(AND(A1067&gt;=Inputs!$C$13,OR(A1067&lt;Inputs!$B$19,Inputs!$B$20=1)),I1067*Inputs!$C$11/C1067,0)</f>
        <v>40.2739726027397</v>
      </c>
    </row>
    <row r="1068" customFormat="false" ht="15" hidden="false" customHeight="false" outlineLevel="0" collapsed="false">
      <c r="A1068" s="35" t="n">
        <f aca="false">A1067+1</f>
        <v>45875</v>
      </c>
      <c r="B1068" s="35" t="n">
        <f aca="false">EOMONTH(A1068+1,0)</f>
        <v>45900</v>
      </c>
      <c r="C1068" s="36" t="n">
        <f aca="false">IF(MOD(YEAR(A1068),4)=0,366,365)</f>
        <v>365</v>
      </c>
      <c r="D1068" s="37" t="n">
        <f aca="false">Inputs!$B$9-SUMIFS(Cash_Events!$G$6:$G$20,Cash_Events!$C$6:$C$20,"rAGMF",Cash_Events!$B$6:$B$20,"&lt;="&amp;A1068)</f>
        <v>735000</v>
      </c>
      <c r="E1068" s="38" t="n">
        <f aca="false">VLOOKUP(A1068,Inputs!$A$40:$B$48,2,TRUE())</f>
        <v>0.0419027</v>
      </c>
      <c r="F1068" s="38" t="n">
        <f aca="false">E1068+Inputs!$B$10</f>
        <v>0.1094027</v>
      </c>
      <c r="G1068" s="37" t="n">
        <f aca="false">D1068*F1068/C1068</f>
        <v>220.304067123288</v>
      </c>
      <c r="H1068" s="37" t="n">
        <f aca="false">IF(AND(A1068&gt;=Inputs!$B$13,OR(A1068&lt;Inputs!$B$19,Inputs!$B$20=1)),D1068*Inputs!$B$11/C1068,0)</f>
        <v>40.2739726027397</v>
      </c>
      <c r="I1068" s="37" t="n">
        <f aca="false">Inputs!$C$9-SUMIFS(Cash_Events!$G$6:$G$20,Cash_Events!$C$6:$C$20,"FHL",Cash_Events!$B$6:$B$20,"&lt;="&amp;A1068)</f>
        <v>735000</v>
      </c>
      <c r="J1068" s="38" t="n">
        <f aca="false">VLOOKUP(A1068,Inputs!$F$40:$G$48,2,TRUE())</f>
        <v>0.0420238</v>
      </c>
      <c r="K1068" s="38" t="n">
        <f aca="false">J1068+Inputs!$C$10</f>
        <v>0.1095238</v>
      </c>
      <c r="L1068" s="37" t="n">
        <f aca="false">I1068*K1068/C1068</f>
        <v>220.547926027397</v>
      </c>
      <c r="M1068" s="37" t="n">
        <f aca="false">IF(AND(A1068&gt;=Inputs!$C$13,OR(A1068&lt;Inputs!$B$19,Inputs!$B$20=1)),I1068*Inputs!$C$11/C1068,0)</f>
        <v>40.2739726027397</v>
      </c>
    </row>
    <row r="1069" customFormat="false" ht="15" hidden="false" customHeight="false" outlineLevel="0" collapsed="false">
      <c r="A1069" s="35" t="n">
        <f aca="false">A1068+1</f>
        <v>45876</v>
      </c>
      <c r="B1069" s="35" t="n">
        <f aca="false">EOMONTH(A1069+1,0)</f>
        <v>45900</v>
      </c>
      <c r="C1069" s="36" t="n">
        <f aca="false">IF(MOD(YEAR(A1069),4)=0,366,365)</f>
        <v>365</v>
      </c>
      <c r="D1069" s="37" t="n">
        <f aca="false">Inputs!$B$9-SUMIFS(Cash_Events!$G$6:$G$20,Cash_Events!$C$6:$C$20,"rAGMF",Cash_Events!$B$6:$B$20,"&lt;="&amp;A1069)</f>
        <v>735000</v>
      </c>
      <c r="E1069" s="38" t="n">
        <f aca="false">VLOOKUP(A1069,Inputs!$A$40:$B$48,2,TRUE())</f>
        <v>0.0419027</v>
      </c>
      <c r="F1069" s="38" t="n">
        <f aca="false">E1069+Inputs!$B$10</f>
        <v>0.1094027</v>
      </c>
      <c r="G1069" s="37" t="n">
        <f aca="false">D1069*F1069/C1069</f>
        <v>220.304067123288</v>
      </c>
      <c r="H1069" s="37" t="n">
        <f aca="false">IF(AND(A1069&gt;=Inputs!$B$13,OR(A1069&lt;Inputs!$B$19,Inputs!$B$20=1)),D1069*Inputs!$B$11/C1069,0)</f>
        <v>40.2739726027397</v>
      </c>
      <c r="I1069" s="37" t="n">
        <f aca="false">Inputs!$C$9-SUMIFS(Cash_Events!$G$6:$G$20,Cash_Events!$C$6:$C$20,"FHL",Cash_Events!$B$6:$B$20,"&lt;="&amp;A1069)</f>
        <v>735000</v>
      </c>
      <c r="J1069" s="38" t="n">
        <f aca="false">VLOOKUP(A1069,Inputs!$F$40:$G$48,2,TRUE())</f>
        <v>0.0420238</v>
      </c>
      <c r="K1069" s="38" t="n">
        <f aca="false">J1069+Inputs!$C$10</f>
        <v>0.1095238</v>
      </c>
      <c r="L1069" s="37" t="n">
        <f aca="false">I1069*K1069/C1069</f>
        <v>220.547926027397</v>
      </c>
      <c r="M1069" s="37" t="n">
        <f aca="false">IF(AND(A1069&gt;=Inputs!$C$13,OR(A1069&lt;Inputs!$B$19,Inputs!$B$20=1)),I1069*Inputs!$C$11/C1069,0)</f>
        <v>40.2739726027397</v>
      </c>
    </row>
    <row r="1070" customFormat="false" ht="15" hidden="false" customHeight="false" outlineLevel="0" collapsed="false">
      <c r="A1070" s="35" t="n">
        <f aca="false">A1069+1</f>
        <v>45877</v>
      </c>
      <c r="B1070" s="35" t="n">
        <f aca="false">EOMONTH(A1070+1,0)</f>
        <v>45900</v>
      </c>
      <c r="C1070" s="36" t="n">
        <f aca="false">IF(MOD(YEAR(A1070),4)=0,366,365)</f>
        <v>365</v>
      </c>
      <c r="D1070" s="37" t="n">
        <f aca="false">Inputs!$B$9-SUMIFS(Cash_Events!$G$6:$G$20,Cash_Events!$C$6:$C$20,"rAGMF",Cash_Events!$B$6:$B$20,"&lt;="&amp;A1070)</f>
        <v>735000</v>
      </c>
      <c r="E1070" s="38" t="n">
        <f aca="false">VLOOKUP(A1070,Inputs!$A$40:$B$48,2,TRUE())</f>
        <v>0.0419027</v>
      </c>
      <c r="F1070" s="38" t="n">
        <f aca="false">E1070+Inputs!$B$10</f>
        <v>0.1094027</v>
      </c>
      <c r="G1070" s="37" t="n">
        <f aca="false">D1070*F1070/C1070</f>
        <v>220.304067123288</v>
      </c>
      <c r="H1070" s="37" t="n">
        <f aca="false">IF(AND(A1070&gt;=Inputs!$B$13,OR(A1070&lt;Inputs!$B$19,Inputs!$B$20=1)),D1070*Inputs!$B$11/C1070,0)</f>
        <v>40.2739726027397</v>
      </c>
      <c r="I1070" s="37" t="n">
        <f aca="false">Inputs!$C$9-SUMIFS(Cash_Events!$G$6:$G$20,Cash_Events!$C$6:$C$20,"FHL",Cash_Events!$B$6:$B$20,"&lt;="&amp;A1070)</f>
        <v>735000</v>
      </c>
      <c r="J1070" s="38" t="n">
        <f aca="false">VLOOKUP(A1070,Inputs!$F$40:$G$48,2,TRUE())</f>
        <v>0.0420238</v>
      </c>
      <c r="K1070" s="38" t="n">
        <f aca="false">J1070+Inputs!$C$10</f>
        <v>0.1095238</v>
      </c>
      <c r="L1070" s="37" t="n">
        <f aca="false">I1070*K1070/C1070</f>
        <v>220.547926027397</v>
      </c>
      <c r="M1070" s="37" t="n">
        <f aca="false">IF(AND(A1070&gt;=Inputs!$C$13,OR(A1070&lt;Inputs!$B$19,Inputs!$B$20=1)),I1070*Inputs!$C$11/C1070,0)</f>
        <v>40.2739726027397</v>
      </c>
    </row>
    <row r="1071" customFormat="false" ht="15" hidden="false" customHeight="false" outlineLevel="0" collapsed="false">
      <c r="A1071" s="35" t="n">
        <f aca="false">A1070+1</f>
        <v>45878</v>
      </c>
      <c r="B1071" s="35" t="n">
        <f aca="false">EOMONTH(A1071+1,0)</f>
        <v>45900</v>
      </c>
      <c r="C1071" s="36" t="n">
        <f aca="false">IF(MOD(YEAR(A1071),4)=0,366,365)</f>
        <v>365</v>
      </c>
      <c r="D1071" s="37" t="n">
        <f aca="false">Inputs!$B$9-SUMIFS(Cash_Events!$G$6:$G$20,Cash_Events!$C$6:$C$20,"rAGMF",Cash_Events!$B$6:$B$20,"&lt;="&amp;A1071)</f>
        <v>735000</v>
      </c>
      <c r="E1071" s="38" t="n">
        <f aca="false">VLOOKUP(A1071,Inputs!$A$40:$B$48,2,TRUE())</f>
        <v>0.0419027</v>
      </c>
      <c r="F1071" s="38" t="n">
        <f aca="false">E1071+Inputs!$B$10</f>
        <v>0.1094027</v>
      </c>
      <c r="G1071" s="37" t="n">
        <f aca="false">D1071*F1071/C1071</f>
        <v>220.304067123288</v>
      </c>
      <c r="H1071" s="37" t="n">
        <f aca="false">IF(AND(A1071&gt;=Inputs!$B$13,OR(A1071&lt;Inputs!$B$19,Inputs!$B$20=1)),D1071*Inputs!$B$11/C1071,0)</f>
        <v>40.2739726027397</v>
      </c>
      <c r="I1071" s="37" t="n">
        <f aca="false">Inputs!$C$9-SUMIFS(Cash_Events!$G$6:$G$20,Cash_Events!$C$6:$C$20,"FHL",Cash_Events!$B$6:$B$20,"&lt;="&amp;A1071)</f>
        <v>735000</v>
      </c>
      <c r="J1071" s="38" t="n">
        <f aca="false">VLOOKUP(A1071,Inputs!$F$40:$G$48,2,TRUE())</f>
        <v>0.0420238</v>
      </c>
      <c r="K1071" s="38" t="n">
        <f aca="false">J1071+Inputs!$C$10</f>
        <v>0.1095238</v>
      </c>
      <c r="L1071" s="37" t="n">
        <f aca="false">I1071*K1071/C1071</f>
        <v>220.547926027397</v>
      </c>
      <c r="M1071" s="37" t="n">
        <f aca="false">IF(AND(A1071&gt;=Inputs!$C$13,OR(A1071&lt;Inputs!$B$19,Inputs!$B$20=1)),I1071*Inputs!$C$11/C1071,0)</f>
        <v>40.2739726027397</v>
      </c>
    </row>
    <row r="1072" customFormat="false" ht="15" hidden="false" customHeight="false" outlineLevel="0" collapsed="false">
      <c r="A1072" s="35" t="n">
        <f aca="false">A1071+1</f>
        <v>45879</v>
      </c>
      <c r="B1072" s="35" t="n">
        <f aca="false">EOMONTH(A1072+1,0)</f>
        <v>45900</v>
      </c>
      <c r="C1072" s="36" t="n">
        <f aca="false">IF(MOD(YEAR(A1072),4)=0,366,365)</f>
        <v>365</v>
      </c>
      <c r="D1072" s="37" t="n">
        <f aca="false">Inputs!$B$9-SUMIFS(Cash_Events!$G$6:$G$20,Cash_Events!$C$6:$C$20,"rAGMF",Cash_Events!$B$6:$B$20,"&lt;="&amp;A1072)</f>
        <v>735000</v>
      </c>
      <c r="E1072" s="38" t="n">
        <f aca="false">VLOOKUP(A1072,Inputs!$A$40:$B$48,2,TRUE())</f>
        <v>0.0419027</v>
      </c>
      <c r="F1072" s="38" t="n">
        <f aca="false">E1072+Inputs!$B$10</f>
        <v>0.1094027</v>
      </c>
      <c r="G1072" s="37" t="n">
        <f aca="false">D1072*F1072/C1072</f>
        <v>220.304067123288</v>
      </c>
      <c r="H1072" s="37" t="n">
        <f aca="false">IF(AND(A1072&gt;=Inputs!$B$13,OR(A1072&lt;Inputs!$B$19,Inputs!$B$20=1)),D1072*Inputs!$B$11/C1072,0)</f>
        <v>40.2739726027397</v>
      </c>
      <c r="I1072" s="37" t="n">
        <f aca="false">Inputs!$C$9-SUMIFS(Cash_Events!$G$6:$G$20,Cash_Events!$C$6:$C$20,"FHL",Cash_Events!$B$6:$B$20,"&lt;="&amp;A1072)</f>
        <v>735000</v>
      </c>
      <c r="J1072" s="38" t="n">
        <f aca="false">VLOOKUP(A1072,Inputs!$F$40:$G$48,2,TRUE())</f>
        <v>0.0420238</v>
      </c>
      <c r="K1072" s="38" t="n">
        <f aca="false">J1072+Inputs!$C$10</f>
        <v>0.1095238</v>
      </c>
      <c r="L1072" s="37" t="n">
        <f aca="false">I1072*K1072/C1072</f>
        <v>220.547926027397</v>
      </c>
      <c r="M1072" s="37" t="n">
        <f aca="false">IF(AND(A1072&gt;=Inputs!$C$13,OR(A1072&lt;Inputs!$B$19,Inputs!$B$20=1)),I1072*Inputs!$C$11/C1072,0)</f>
        <v>40.2739726027397</v>
      </c>
    </row>
    <row r="1073" customFormat="false" ht="15" hidden="false" customHeight="false" outlineLevel="0" collapsed="false">
      <c r="A1073" s="35" t="n">
        <f aca="false">A1072+1</f>
        <v>45880</v>
      </c>
      <c r="B1073" s="35" t="n">
        <f aca="false">EOMONTH(A1073+1,0)</f>
        <v>45900</v>
      </c>
      <c r="C1073" s="36" t="n">
        <f aca="false">IF(MOD(YEAR(A1073),4)=0,366,365)</f>
        <v>365</v>
      </c>
      <c r="D1073" s="37" t="n">
        <f aca="false">Inputs!$B$9-SUMIFS(Cash_Events!$G$6:$G$20,Cash_Events!$C$6:$C$20,"rAGMF",Cash_Events!$B$6:$B$20,"&lt;="&amp;A1073)</f>
        <v>735000</v>
      </c>
      <c r="E1073" s="38" t="n">
        <f aca="false">VLOOKUP(A1073,Inputs!$A$40:$B$48,2,TRUE())</f>
        <v>0.0419027</v>
      </c>
      <c r="F1073" s="38" t="n">
        <f aca="false">E1073+Inputs!$B$10</f>
        <v>0.1094027</v>
      </c>
      <c r="G1073" s="37" t="n">
        <f aca="false">D1073*F1073/C1073</f>
        <v>220.304067123288</v>
      </c>
      <c r="H1073" s="37" t="n">
        <f aca="false">IF(AND(A1073&gt;=Inputs!$B$13,OR(A1073&lt;Inputs!$B$19,Inputs!$B$20=1)),D1073*Inputs!$B$11/C1073,0)</f>
        <v>40.2739726027397</v>
      </c>
      <c r="I1073" s="37" t="n">
        <f aca="false">Inputs!$C$9-SUMIFS(Cash_Events!$G$6:$G$20,Cash_Events!$C$6:$C$20,"FHL",Cash_Events!$B$6:$B$20,"&lt;="&amp;A1073)</f>
        <v>735000</v>
      </c>
      <c r="J1073" s="38" t="n">
        <f aca="false">VLOOKUP(A1073,Inputs!$F$40:$G$48,2,TRUE())</f>
        <v>0.0420238</v>
      </c>
      <c r="K1073" s="38" t="n">
        <f aca="false">J1073+Inputs!$C$10</f>
        <v>0.1095238</v>
      </c>
      <c r="L1073" s="37" t="n">
        <f aca="false">I1073*K1073/C1073</f>
        <v>220.547926027397</v>
      </c>
      <c r="M1073" s="37" t="n">
        <f aca="false">IF(AND(A1073&gt;=Inputs!$C$13,OR(A1073&lt;Inputs!$B$19,Inputs!$B$20=1)),I1073*Inputs!$C$11/C1073,0)</f>
        <v>40.2739726027397</v>
      </c>
    </row>
    <row r="1074" customFormat="false" ht="15" hidden="false" customHeight="false" outlineLevel="0" collapsed="false">
      <c r="A1074" s="35" t="n">
        <f aca="false">A1073+1</f>
        <v>45881</v>
      </c>
      <c r="B1074" s="35" t="n">
        <f aca="false">EOMONTH(A1074+1,0)</f>
        <v>45900</v>
      </c>
      <c r="C1074" s="36" t="n">
        <f aca="false">IF(MOD(YEAR(A1074),4)=0,366,365)</f>
        <v>365</v>
      </c>
      <c r="D1074" s="37" t="n">
        <f aca="false">Inputs!$B$9-SUMIFS(Cash_Events!$G$6:$G$20,Cash_Events!$C$6:$C$20,"rAGMF",Cash_Events!$B$6:$B$20,"&lt;="&amp;A1074)</f>
        <v>735000</v>
      </c>
      <c r="E1074" s="38" t="n">
        <f aca="false">VLOOKUP(A1074,Inputs!$A$40:$B$48,2,TRUE())</f>
        <v>0.0419027</v>
      </c>
      <c r="F1074" s="38" t="n">
        <f aca="false">E1074+Inputs!$B$10</f>
        <v>0.1094027</v>
      </c>
      <c r="G1074" s="37" t="n">
        <f aca="false">D1074*F1074/C1074</f>
        <v>220.304067123288</v>
      </c>
      <c r="H1074" s="37" t="n">
        <f aca="false">IF(AND(A1074&gt;=Inputs!$B$13,OR(A1074&lt;Inputs!$B$19,Inputs!$B$20=1)),D1074*Inputs!$B$11/C1074,0)</f>
        <v>40.2739726027397</v>
      </c>
      <c r="I1074" s="37" t="n">
        <f aca="false">Inputs!$C$9-SUMIFS(Cash_Events!$G$6:$G$20,Cash_Events!$C$6:$C$20,"FHL",Cash_Events!$B$6:$B$20,"&lt;="&amp;A1074)</f>
        <v>735000</v>
      </c>
      <c r="J1074" s="38" t="n">
        <f aca="false">VLOOKUP(A1074,Inputs!$F$40:$G$48,2,TRUE())</f>
        <v>0.0420238</v>
      </c>
      <c r="K1074" s="38" t="n">
        <f aca="false">J1074+Inputs!$C$10</f>
        <v>0.1095238</v>
      </c>
      <c r="L1074" s="37" t="n">
        <f aca="false">I1074*K1074/C1074</f>
        <v>220.547926027397</v>
      </c>
      <c r="M1074" s="37" t="n">
        <f aca="false">IF(AND(A1074&gt;=Inputs!$C$13,OR(A1074&lt;Inputs!$B$19,Inputs!$B$20=1)),I1074*Inputs!$C$11/C1074,0)</f>
        <v>40.2739726027397</v>
      </c>
    </row>
    <row r="1075" customFormat="false" ht="15" hidden="false" customHeight="false" outlineLevel="0" collapsed="false">
      <c r="A1075" s="35" t="n">
        <f aca="false">A1074+1</f>
        <v>45882</v>
      </c>
      <c r="B1075" s="35" t="n">
        <f aca="false">EOMONTH(A1075+1,0)</f>
        <v>45900</v>
      </c>
      <c r="C1075" s="36" t="n">
        <f aca="false">IF(MOD(YEAR(A1075),4)=0,366,365)</f>
        <v>365</v>
      </c>
      <c r="D1075" s="37" t="n">
        <f aca="false">Inputs!$B$9-SUMIFS(Cash_Events!$G$6:$G$20,Cash_Events!$C$6:$C$20,"rAGMF",Cash_Events!$B$6:$B$20,"&lt;="&amp;A1075)</f>
        <v>735000</v>
      </c>
      <c r="E1075" s="38" t="n">
        <f aca="false">VLOOKUP(A1075,Inputs!$A$40:$B$48,2,TRUE())</f>
        <v>0.0419027</v>
      </c>
      <c r="F1075" s="38" t="n">
        <f aca="false">E1075+Inputs!$B$10</f>
        <v>0.1094027</v>
      </c>
      <c r="G1075" s="37" t="n">
        <f aca="false">D1075*F1075/C1075</f>
        <v>220.304067123288</v>
      </c>
      <c r="H1075" s="37" t="n">
        <f aca="false">IF(AND(A1075&gt;=Inputs!$B$13,OR(A1075&lt;Inputs!$B$19,Inputs!$B$20=1)),D1075*Inputs!$B$11/C1075,0)</f>
        <v>40.2739726027397</v>
      </c>
      <c r="I1075" s="37" t="n">
        <f aca="false">Inputs!$C$9-SUMIFS(Cash_Events!$G$6:$G$20,Cash_Events!$C$6:$C$20,"FHL",Cash_Events!$B$6:$B$20,"&lt;="&amp;A1075)</f>
        <v>735000</v>
      </c>
      <c r="J1075" s="38" t="n">
        <f aca="false">VLOOKUP(A1075,Inputs!$F$40:$G$48,2,TRUE())</f>
        <v>0.0420238</v>
      </c>
      <c r="K1075" s="38" t="n">
        <f aca="false">J1075+Inputs!$C$10</f>
        <v>0.1095238</v>
      </c>
      <c r="L1075" s="37" t="n">
        <f aca="false">I1075*K1075/C1075</f>
        <v>220.547926027397</v>
      </c>
      <c r="M1075" s="37" t="n">
        <f aca="false">IF(AND(A1075&gt;=Inputs!$C$13,OR(A1075&lt;Inputs!$B$19,Inputs!$B$20=1)),I1075*Inputs!$C$11/C1075,0)</f>
        <v>40.2739726027397</v>
      </c>
    </row>
    <row r="1076" customFormat="false" ht="15" hidden="false" customHeight="false" outlineLevel="0" collapsed="false">
      <c r="A1076" s="35" t="n">
        <f aca="false">A1075+1</f>
        <v>45883</v>
      </c>
      <c r="B1076" s="35" t="n">
        <f aca="false">EOMONTH(A1076+1,0)</f>
        <v>45900</v>
      </c>
      <c r="C1076" s="36" t="n">
        <f aca="false">IF(MOD(YEAR(A1076),4)=0,366,365)</f>
        <v>365</v>
      </c>
      <c r="D1076" s="37" t="n">
        <f aca="false">Inputs!$B$9-SUMIFS(Cash_Events!$G$6:$G$20,Cash_Events!$C$6:$C$20,"rAGMF",Cash_Events!$B$6:$B$20,"&lt;="&amp;A1076)</f>
        <v>735000</v>
      </c>
      <c r="E1076" s="38" t="n">
        <f aca="false">VLOOKUP(A1076,Inputs!$A$40:$B$48,2,TRUE())</f>
        <v>0.0419027</v>
      </c>
      <c r="F1076" s="38" t="n">
        <f aca="false">E1076+Inputs!$B$10</f>
        <v>0.1094027</v>
      </c>
      <c r="G1076" s="37" t="n">
        <f aca="false">D1076*F1076/C1076</f>
        <v>220.304067123288</v>
      </c>
      <c r="H1076" s="37" t="n">
        <f aca="false">IF(AND(A1076&gt;=Inputs!$B$13,OR(A1076&lt;Inputs!$B$19,Inputs!$B$20=1)),D1076*Inputs!$B$11/C1076,0)</f>
        <v>40.2739726027397</v>
      </c>
      <c r="I1076" s="37" t="n">
        <f aca="false">Inputs!$C$9-SUMIFS(Cash_Events!$G$6:$G$20,Cash_Events!$C$6:$C$20,"FHL",Cash_Events!$B$6:$B$20,"&lt;="&amp;A1076)</f>
        <v>735000</v>
      </c>
      <c r="J1076" s="38" t="n">
        <f aca="false">VLOOKUP(A1076,Inputs!$F$40:$G$48,2,TRUE())</f>
        <v>0.0420238</v>
      </c>
      <c r="K1076" s="38" t="n">
        <f aca="false">J1076+Inputs!$C$10</f>
        <v>0.1095238</v>
      </c>
      <c r="L1076" s="37" t="n">
        <f aca="false">I1076*K1076/C1076</f>
        <v>220.547926027397</v>
      </c>
      <c r="M1076" s="37" t="n">
        <f aca="false">IF(AND(A1076&gt;=Inputs!$C$13,OR(A1076&lt;Inputs!$B$19,Inputs!$B$20=1)),I1076*Inputs!$C$11/C1076,0)</f>
        <v>40.2739726027397</v>
      </c>
    </row>
    <row r="1077" customFormat="false" ht="15" hidden="false" customHeight="false" outlineLevel="0" collapsed="false">
      <c r="A1077" s="35" t="n">
        <f aca="false">A1076+1</f>
        <v>45884</v>
      </c>
      <c r="B1077" s="35" t="n">
        <f aca="false">EOMONTH(A1077+1,0)</f>
        <v>45900</v>
      </c>
      <c r="C1077" s="36" t="n">
        <f aca="false">IF(MOD(YEAR(A1077),4)=0,366,365)</f>
        <v>365</v>
      </c>
      <c r="D1077" s="37" t="n">
        <f aca="false">Inputs!$B$9-SUMIFS(Cash_Events!$G$6:$G$20,Cash_Events!$C$6:$C$20,"rAGMF",Cash_Events!$B$6:$B$20,"&lt;="&amp;A1077)</f>
        <v>735000</v>
      </c>
      <c r="E1077" s="38" t="n">
        <f aca="false">VLOOKUP(A1077,Inputs!$A$40:$B$48,2,TRUE())</f>
        <v>0.0419027</v>
      </c>
      <c r="F1077" s="38" t="n">
        <f aca="false">E1077+Inputs!$B$10</f>
        <v>0.1094027</v>
      </c>
      <c r="G1077" s="37" t="n">
        <f aca="false">D1077*F1077/C1077</f>
        <v>220.304067123288</v>
      </c>
      <c r="H1077" s="37" t="n">
        <f aca="false">IF(AND(A1077&gt;=Inputs!$B$13,OR(A1077&lt;Inputs!$B$19,Inputs!$B$20=1)),D1077*Inputs!$B$11/C1077,0)</f>
        <v>40.2739726027397</v>
      </c>
      <c r="I1077" s="37" t="n">
        <f aca="false">Inputs!$C$9-SUMIFS(Cash_Events!$G$6:$G$20,Cash_Events!$C$6:$C$20,"FHL",Cash_Events!$B$6:$B$20,"&lt;="&amp;A1077)</f>
        <v>735000</v>
      </c>
      <c r="J1077" s="38" t="n">
        <f aca="false">VLOOKUP(A1077,Inputs!$F$40:$G$48,2,TRUE())</f>
        <v>0.0420238</v>
      </c>
      <c r="K1077" s="38" t="n">
        <f aca="false">J1077+Inputs!$C$10</f>
        <v>0.1095238</v>
      </c>
      <c r="L1077" s="37" t="n">
        <f aca="false">I1077*K1077/C1077</f>
        <v>220.547926027397</v>
      </c>
      <c r="M1077" s="37" t="n">
        <f aca="false">IF(AND(A1077&gt;=Inputs!$C$13,OR(A1077&lt;Inputs!$B$19,Inputs!$B$20=1)),I1077*Inputs!$C$11/C1077,0)</f>
        <v>40.2739726027397</v>
      </c>
    </row>
    <row r="1078" customFormat="false" ht="15" hidden="false" customHeight="false" outlineLevel="0" collapsed="false">
      <c r="A1078" s="35" t="n">
        <f aca="false">A1077+1</f>
        <v>45885</v>
      </c>
      <c r="B1078" s="35" t="n">
        <f aca="false">EOMONTH(A1078+1,0)</f>
        <v>45900</v>
      </c>
      <c r="C1078" s="36" t="n">
        <f aca="false">IF(MOD(YEAR(A1078),4)=0,366,365)</f>
        <v>365</v>
      </c>
      <c r="D1078" s="37" t="n">
        <f aca="false">Inputs!$B$9-SUMIFS(Cash_Events!$G$6:$G$20,Cash_Events!$C$6:$C$20,"rAGMF",Cash_Events!$B$6:$B$20,"&lt;="&amp;A1078)</f>
        <v>735000</v>
      </c>
      <c r="E1078" s="38" t="n">
        <f aca="false">VLOOKUP(A1078,Inputs!$A$40:$B$48,2,TRUE())</f>
        <v>0.0419027</v>
      </c>
      <c r="F1078" s="38" t="n">
        <f aca="false">E1078+Inputs!$B$10</f>
        <v>0.1094027</v>
      </c>
      <c r="G1078" s="37" t="n">
        <f aca="false">D1078*F1078/C1078</f>
        <v>220.304067123288</v>
      </c>
      <c r="H1078" s="37" t="n">
        <f aca="false">IF(AND(A1078&gt;=Inputs!$B$13,OR(A1078&lt;Inputs!$B$19,Inputs!$B$20=1)),D1078*Inputs!$B$11/C1078,0)</f>
        <v>40.2739726027397</v>
      </c>
      <c r="I1078" s="37" t="n">
        <f aca="false">Inputs!$C$9-SUMIFS(Cash_Events!$G$6:$G$20,Cash_Events!$C$6:$C$20,"FHL",Cash_Events!$B$6:$B$20,"&lt;="&amp;A1078)</f>
        <v>735000</v>
      </c>
      <c r="J1078" s="38" t="n">
        <f aca="false">VLOOKUP(A1078,Inputs!$F$40:$G$48,2,TRUE())</f>
        <v>0.0420238</v>
      </c>
      <c r="K1078" s="38" t="n">
        <f aca="false">J1078+Inputs!$C$10</f>
        <v>0.1095238</v>
      </c>
      <c r="L1078" s="37" t="n">
        <f aca="false">I1078*K1078/C1078</f>
        <v>220.547926027397</v>
      </c>
      <c r="M1078" s="37" t="n">
        <f aca="false">IF(AND(A1078&gt;=Inputs!$C$13,OR(A1078&lt;Inputs!$B$19,Inputs!$B$20=1)),I1078*Inputs!$C$11/C1078,0)</f>
        <v>40.2739726027397</v>
      </c>
    </row>
    <row r="1079" customFormat="false" ht="15" hidden="false" customHeight="false" outlineLevel="0" collapsed="false">
      <c r="A1079" s="35" t="n">
        <f aca="false">A1078+1</f>
        <v>45886</v>
      </c>
      <c r="B1079" s="35" t="n">
        <f aca="false">EOMONTH(A1079+1,0)</f>
        <v>45900</v>
      </c>
      <c r="C1079" s="36" t="n">
        <f aca="false">IF(MOD(YEAR(A1079),4)=0,366,365)</f>
        <v>365</v>
      </c>
      <c r="D1079" s="37" t="n">
        <f aca="false">Inputs!$B$9-SUMIFS(Cash_Events!$G$6:$G$20,Cash_Events!$C$6:$C$20,"rAGMF",Cash_Events!$B$6:$B$20,"&lt;="&amp;A1079)</f>
        <v>735000</v>
      </c>
      <c r="E1079" s="38" t="n">
        <f aca="false">VLOOKUP(A1079,Inputs!$A$40:$B$48,2,TRUE())</f>
        <v>0.0419027</v>
      </c>
      <c r="F1079" s="38" t="n">
        <f aca="false">E1079+Inputs!$B$10</f>
        <v>0.1094027</v>
      </c>
      <c r="G1079" s="37" t="n">
        <f aca="false">D1079*F1079/C1079</f>
        <v>220.304067123288</v>
      </c>
      <c r="H1079" s="37" t="n">
        <f aca="false">IF(AND(A1079&gt;=Inputs!$B$13,OR(A1079&lt;Inputs!$B$19,Inputs!$B$20=1)),D1079*Inputs!$B$11/C1079,0)</f>
        <v>40.2739726027397</v>
      </c>
      <c r="I1079" s="37" t="n">
        <f aca="false">Inputs!$C$9-SUMIFS(Cash_Events!$G$6:$G$20,Cash_Events!$C$6:$C$20,"FHL",Cash_Events!$B$6:$B$20,"&lt;="&amp;A1079)</f>
        <v>735000</v>
      </c>
      <c r="J1079" s="38" t="n">
        <f aca="false">VLOOKUP(A1079,Inputs!$F$40:$G$48,2,TRUE())</f>
        <v>0.0420238</v>
      </c>
      <c r="K1079" s="38" t="n">
        <f aca="false">J1079+Inputs!$C$10</f>
        <v>0.1095238</v>
      </c>
      <c r="L1079" s="37" t="n">
        <f aca="false">I1079*K1079/C1079</f>
        <v>220.547926027397</v>
      </c>
      <c r="M1079" s="37" t="n">
        <f aca="false">IF(AND(A1079&gt;=Inputs!$C$13,OR(A1079&lt;Inputs!$B$19,Inputs!$B$20=1)),I1079*Inputs!$C$11/C1079,0)</f>
        <v>40.2739726027397</v>
      </c>
    </row>
    <row r="1080" customFormat="false" ht="15" hidden="false" customHeight="false" outlineLevel="0" collapsed="false">
      <c r="A1080" s="35" t="n">
        <f aca="false">A1079+1</f>
        <v>45887</v>
      </c>
      <c r="B1080" s="35" t="n">
        <f aca="false">EOMONTH(A1080+1,0)</f>
        <v>45900</v>
      </c>
      <c r="C1080" s="36" t="n">
        <f aca="false">IF(MOD(YEAR(A1080),4)=0,366,365)</f>
        <v>365</v>
      </c>
      <c r="D1080" s="37" t="n">
        <f aca="false">Inputs!$B$9-SUMIFS(Cash_Events!$G$6:$G$20,Cash_Events!$C$6:$C$20,"rAGMF",Cash_Events!$B$6:$B$20,"&lt;="&amp;A1080)</f>
        <v>735000</v>
      </c>
      <c r="E1080" s="38" t="n">
        <f aca="false">VLOOKUP(A1080,Inputs!$A$40:$B$48,2,TRUE())</f>
        <v>0.0419027</v>
      </c>
      <c r="F1080" s="38" t="n">
        <f aca="false">E1080+Inputs!$B$10</f>
        <v>0.1094027</v>
      </c>
      <c r="G1080" s="37" t="n">
        <f aca="false">D1080*F1080/C1080</f>
        <v>220.304067123288</v>
      </c>
      <c r="H1080" s="37" t="n">
        <f aca="false">IF(AND(A1080&gt;=Inputs!$B$13,OR(A1080&lt;Inputs!$B$19,Inputs!$B$20=1)),D1080*Inputs!$B$11/C1080,0)</f>
        <v>40.2739726027397</v>
      </c>
      <c r="I1080" s="37" t="n">
        <f aca="false">Inputs!$C$9-SUMIFS(Cash_Events!$G$6:$G$20,Cash_Events!$C$6:$C$20,"FHL",Cash_Events!$B$6:$B$20,"&lt;="&amp;A1080)</f>
        <v>735000</v>
      </c>
      <c r="J1080" s="38" t="n">
        <f aca="false">VLOOKUP(A1080,Inputs!$F$40:$G$48,2,TRUE())</f>
        <v>0.0420238</v>
      </c>
      <c r="K1080" s="38" t="n">
        <f aca="false">J1080+Inputs!$C$10</f>
        <v>0.1095238</v>
      </c>
      <c r="L1080" s="37" t="n">
        <f aca="false">I1080*K1080/C1080</f>
        <v>220.547926027397</v>
      </c>
      <c r="M1080" s="37" t="n">
        <f aca="false">IF(AND(A1080&gt;=Inputs!$C$13,OR(A1080&lt;Inputs!$B$19,Inputs!$B$20=1)),I1080*Inputs!$C$11/C1080,0)</f>
        <v>40.2739726027397</v>
      </c>
    </row>
    <row r="1081" customFormat="false" ht="15" hidden="false" customHeight="false" outlineLevel="0" collapsed="false">
      <c r="A1081" s="35" t="n">
        <f aca="false">A1080+1</f>
        <v>45888</v>
      </c>
      <c r="B1081" s="35" t="n">
        <f aca="false">EOMONTH(A1081+1,0)</f>
        <v>45900</v>
      </c>
      <c r="C1081" s="36" t="n">
        <f aca="false">IF(MOD(YEAR(A1081),4)=0,366,365)</f>
        <v>365</v>
      </c>
      <c r="D1081" s="37" t="n">
        <f aca="false">Inputs!$B$9-SUMIFS(Cash_Events!$G$6:$G$20,Cash_Events!$C$6:$C$20,"rAGMF",Cash_Events!$B$6:$B$20,"&lt;="&amp;A1081)</f>
        <v>735000</v>
      </c>
      <c r="E1081" s="38" t="n">
        <f aca="false">VLOOKUP(A1081,Inputs!$A$40:$B$48,2,TRUE())</f>
        <v>0.0419027</v>
      </c>
      <c r="F1081" s="38" t="n">
        <f aca="false">E1081+Inputs!$B$10</f>
        <v>0.1094027</v>
      </c>
      <c r="G1081" s="37" t="n">
        <f aca="false">D1081*F1081/C1081</f>
        <v>220.304067123288</v>
      </c>
      <c r="H1081" s="37" t="n">
        <f aca="false">IF(AND(A1081&gt;=Inputs!$B$13,OR(A1081&lt;Inputs!$B$19,Inputs!$B$20=1)),D1081*Inputs!$B$11/C1081,0)</f>
        <v>40.2739726027397</v>
      </c>
      <c r="I1081" s="37" t="n">
        <f aca="false">Inputs!$C$9-SUMIFS(Cash_Events!$G$6:$G$20,Cash_Events!$C$6:$C$20,"FHL",Cash_Events!$B$6:$B$20,"&lt;="&amp;A1081)</f>
        <v>735000</v>
      </c>
      <c r="J1081" s="38" t="n">
        <f aca="false">VLOOKUP(A1081,Inputs!$F$40:$G$48,2,TRUE())</f>
        <v>0.0420238</v>
      </c>
      <c r="K1081" s="38" t="n">
        <f aca="false">J1081+Inputs!$C$10</f>
        <v>0.1095238</v>
      </c>
      <c r="L1081" s="37" t="n">
        <f aca="false">I1081*K1081/C1081</f>
        <v>220.547926027397</v>
      </c>
      <c r="M1081" s="37" t="n">
        <f aca="false">IF(AND(A1081&gt;=Inputs!$C$13,OR(A1081&lt;Inputs!$B$19,Inputs!$B$20=1)),I1081*Inputs!$C$11/C1081,0)</f>
        <v>40.2739726027397</v>
      </c>
    </row>
    <row r="1082" customFormat="false" ht="15" hidden="false" customHeight="false" outlineLevel="0" collapsed="false">
      <c r="A1082" s="35" t="n">
        <f aca="false">A1081+1</f>
        <v>45889</v>
      </c>
      <c r="B1082" s="35" t="n">
        <f aca="false">EOMONTH(A1082+1,0)</f>
        <v>45900</v>
      </c>
      <c r="C1082" s="36" t="n">
        <f aca="false">IF(MOD(YEAR(A1082),4)=0,366,365)</f>
        <v>365</v>
      </c>
      <c r="D1082" s="37" t="n">
        <f aca="false">Inputs!$B$9-SUMIFS(Cash_Events!$G$6:$G$20,Cash_Events!$C$6:$C$20,"rAGMF",Cash_Events!$B$6:$B$20,"&lt;="&amp;A1082)</f>
        <v>735000</v>
      </c>
      <c r="E1082" s="38" t="n">
        <f aca="false">VLOOKUP(A1082,Inputs!$A$40:$B$48,2,TRUE())</f>
        <v>0.0419027</v>
      </c>
      <c r="F1082" s="38" t="n">
        <f aca="false">E1082+Inputs!$B$10</f>
        <v>0.1094027</v>
      </c>
      <c r="G1082" s="37" t="n">
        <f aca="false">D1082*F1082/C1082</f>
        <v>220.304067123288</v>
      </c>
      <c r="H1082" s="37" t="n">
        <f aca="false">IF(AND(A1082&gt;=Inputs!$B$13,OR(A1082&lt;Inputs!$B$19,Inputs!$B$20=1)),D1082*Inputs!$B$11/C1082,0)</f>
        <v>40.2739726027397</v>
      </c>
      <c r="I1082" s="37" t="n">
        <f aca="false">Inputs!$C$9-SUMIFS(Cash_Events!$G$6:$G$20,Cash_Events!$C$6:$C$20,"FHL",Cash_Events!$B$6:$B$20,"&lt;="&amp;A1082)</f>
        <v>735000</v>
      </c>
      <c r="J1082" s="38" t="n">
        <f aca="false">VLOOKUP(A1082,Inputs!$F$40:$G$48,2,TRUE())</f>
        <v>0.0420238</v>
      </c>
      <c r="K1082" s="38" t="n">
        <f aca="false">J1082+Inputs!$C$10</f>
        <v>0.1095238</v>
      </c>
      <c r="L1082" s="37" t="n">
        <f aca="false">I1082*K1082/C1082</f>
        <v>220.547926027397</v>
      </c>
      <c r="M1082" s="37" t="n">
        <f aca="false">IF(AND(A1082&gt;=Inputs!$C$13,OR(A1082&lt;Inputs!$B$19,Inputs!$B$20=1)),I1082*Inputs!$C$11/C1082,0)</f>
        <v>40.2739726027397</v>
      </c>
    </row>
    <row r="1083" customFormat="false" ht="15" hidden="false" customHeight="false" outlineLevel="0" collapsed="false">
      <c r="A1083" s="35" t="n">
        <f aca="false">A1082+1</f>
        <v>45890</v>
      </c>
      <c r="B1083" s="35" t="n">
        <f aca="false">EOMONTH(A1083+1,0)</f>
        <v>45900</v>
      </c>
      <c r="C1083" s="36" t="n">
        <f aca="false">IF(MOD(YEAR(A1083),4)=0,366,365)</f>
        <v>365</v>
      </c>
      <c r="D1083" s="37" t="n">
        <f aca="false">Inputs!$B$9-SUMIFS(Cash_Events!$G$6:$G$20,Cash_Events!$C$6:$C$20,"rAGMF",Cash_Events!$B$6:$B$20,"&lt;="&amp;A1083)</f>
        <v>735000</v>
      </c>
      <c r="E1083" s="38" t="n">
        <f aca="false">VLOOKUP(A1083,Inputs!$A$40:$B$48,2,TRUE())</f>
        <v>0.0419027</v>
      </c>
      <c r="F1083" s="38" t="n">
        <f aca="false">E1083+Inputs!$B$10</f>
        <v>0.1094027</v>
      </c>
      <c r="G1083" s="37" t="n">
        <f aca="false">D1083*F1083/C1083</f>
        <v>220.304067123288</v>
      </c>
      <c r="H1083" s="37" t="n">
        <f aca="false">IF(AND(A1083&gt;=Inputs!$B$13,OR(A1083&lt;Inputs!$B$19,Inputs!$B$20=1)),D1083*Inputs!$B$11/C1083,0)</f>
        <v>40.2739726027397</v>
      </c>
      <c r="I1083" s="37" t="n">
        <f aca="false">Inputs!$C$9-SUMIFS(Cash_Events!$G$6:$G$20,Cash_Events!$C$6:$C$20,"FHL",Cash_Events!$B$6:$B$20,"&lt;="&amp;A1083)</f>
        <v>735000</v>
      </c>
      <c r="J1083" s="38" t="n">
        <f aca="false">VLOOKUP(A1083,Inputs!$F$40:$G$48,2,TRUE())</f>
        <v>0.0420238</v>
      </c>
      <c r="K1083" s="38" t="n">
        <f aca="false">J1083+Inputs!$C$10</f>
        <v>0.1095238</v>
      </c>
      <c r="L1083" s="37" t="n">
        <f aca="false">I1083*K1083/C1083</f>
        <v>220.547926027397</v>
      </c>
      <c r="M1083" s="37" t="n">
        <f aca="false">IF(AND(A1083&gt;=Inputs!$C$13,OR(A1083&lt;Inputs!$B$19,Inputs!$B$20=1)),I1083*Inputs!$C$11/C1083,0)</f>
        <v>40.2739726027397</v>
      </c>
    </row>
    <row r="1084" customFormat="false" ht="15" hidden="false" customHeight="false" outlineLevel="0" collapsed="false">
      <c r="A1084" s="35" t="n">
        <f aca="false">A1083+1</f>
        <v>45891</v>
      </c>
      <c r="B1084" s="35" t="n">
        <f aca="false">EOMONTH(A1084+1,0)</f>
        <v>45900</v>
      </c>
      <c r="C1084" s="36" t="n">
        <f aca="false">IF(MOD(YEAR(A1084),4)=0,366,365)</f>
        <v>365</v>
      </c>
      <c r="D1084" s="37" t="n">
        <f aca="false">Inputs!$B$9-SUMIFS(Cash_Events!$G$6:$G$20,Cash_Events!$C$6:$C$20,"rAGMF",Cash_Events!$B$6:$B$20,"&lt;="&amp;A1084)</f>
        <v>735000</v>
      </c>
      <c r="E1084" s="38" t="n">
        <f aca="false">VLOOKUP(A1084,Inputs!$A$40:$B$48,2,TRUE())</f>
        <v>0.0419027</v>
      </c>
      <c r="F1084" s="38" t="n">
        <f aca="false">E1084+Inputs!$B$10</f>
        <v>0.1094027</v>
      </c>
      <c r="G1084" s="37" t="n">
        <f aca="false">D1084*F1084/C1084</f>
        <v>220.304067123288</v>
      </c>
      <c r="H1084" s="37" t="n">
        <f aca="false">IF(AND(A1084&gt;=Inputs!$B$13,OR(A1084&lt;Inputs!$B$19,Inputs!$B$20=1)),D1084*Inputs!$B$11/C1084,0)</f>
        <v>40.2739726027397</v>
      </c>
      <c r="I1084" s="37" t="n">
        <f aca="false">Inputs!$C$9-SUMIFS(Cash_Events!$G$6:$G$20,Cash_Events!$C$6:$C$20,"FHL",Cash_Events!$B$6:$B$20,"&lt;="&amp;A1084)</f>
        <v>735000</v>
      </c>
      <c r="J1084" s="38" t="n">
        <f aca="false">VLOOKUP(A1084,Inputs!$F$40:$G$48,2,TRUE())</f>
        <v>0.0420238</v>
      </c>
      <c r="K1084" s="38" t="n">
        <f aca="false">J1084+Inputs!$C$10</f>
        <v>0.1095238</v>
      </c>
      <c r="L1084" s="37" t="n">
        <f aca="false">I1084*K1084/C1084</f>
        <v>220.547926027397</v>
      </c>
      <c r="M1084" s="37" t="n">
        <f aca="false">IF(AND(A1084&gt;=Inputs!$C$13,OR(A1084&lt;Inputs!$B$19,Inputs!$B$20=1)),I1084*Inputs!$C$11/C1084,0)</f>
        <v>40.2739726027397</v>
      </c>
    </row>
    <row r="1085" customFormat="false" ht="15" hidden="false" customHeight="false" outlineLevel="0" collapsed="false">
      <c r="A1085" s="35" t="n">
        <f aca="false">A1084+1</f>
        <v>45892</v>
      </c>
      <c r="B1085" s="35" t="n">
        <f aca="false">EOMONTH(A1085+1,0)</f>
        <v>45900</v>
      </c>
      <c r="C1085" s="36" t="n">
        <f aca="false">IF(MOD(YEAR(A1085),4)=0,366,365)</f>
        <v>365</v>
      </c>
      <c r="D1085" s="37" t="n">
        <f aca="false">Inputs!$B$9-SUMIFS(Cash_Events!$G$6:$G$20,Cash_Events!$C$6:$C$20,"rAGMF",Cash_Events!$B$6:$B$20,"&lt;="&amp;A1085)</f>
        <v>735000</v>
      </c>
      <c r="E1085" s="38" t="n">
        <f aca="false">VLOOKUP(A1085,Inputs!$A$40:$B$48,2,TRUE())</f>
        <v>0.0419027</v>
      </c>
      <c r="F1085" s="38" t="n">
        <f aca="false">E1085+Inputs!$B$10</f>
        <v>0.1094027</v>
      </c>
      <c r="G1085" s="37" t="n">
        <f aca="false">D1085*F1085/C1085</f>
        <v>220.304067123288</v>
      </c>
      <c r="H1085" s="37" t="n">
        <f aca="false">IF(AND(A1085&gt;=Inputs!$B$13,OR(A1085&lt;Inputs!$B$19,Inputs!$B$20=1)),D1085*Inputs!$B$11/C1085,0)</f>
        <v>40.2739726027397</v>
      </c>
      <c r="I1085" s="37" t="n">
        <f aca="false">Inputs!$C$9-SUMIFS(Cash_Events!$G$6:$G$20,Cash_Events!$C$6:$C$20,"FHL",Cash_Events!$B$6:$B$20,"&lt;="&amp;A1085)</f>
        <v>735000</v>
      </c>
      <c r="J1085" s="38" t="n">
        <f aca="false">VLOOKUP(A1085,Inputs!$F$40:$G$48,2,TRUE())</f>
        <v>0.0420238</v>
      </c>
      <c r="K1085" s="38" t="n">
        <f aca="false">J1085+Inputs!$C$10</f>
        <v>0.1095238</v>
      </c>
      <c r="L1085" s="37" t="n">
        <f aca="false">I1085*K1085/C1085</f>
        <v>220.547926027397</v>
      </c>
      <c r="M1085" s="37" t="n">
        <f aca="false">IF(AND(A1085&gt;=Inputs!$C$13,OR(A1085&lt;Inputs!$B$19,Inputs!$B$20=1)),I1085*Inputs!$C$11/C1085,0)</f>
        <v>40.2739726027397</v>
      </c>
    </row>
    <row r="1086" customFormat="false" ht="15" hidden="false" customHeight="false" outlineLevel="0" collapsed="false">
      <c r="A1086" s="35" t="n">
        <f aca="false">A1085+1</f>
        <v>45893</v>
      </c>
      <c r="B1086" s="35" t="n">
        <f aca="false">EOMONTH(A1086+1,0)</f>
        <v>45900</v>
      </c>
      <c r="C1086" s="36" t="n">
        <f aca="false">IF(MOD(YEAR(A1086),4)=0,366,365)</f>
        <v>365</v>
      </c>
      <c r="D1086" s="37" t="n">
        <f aca="false">Inputs!$B$9-SUMIFS(Cash_Events!$G$6:$G$20,Cash_Events!$C$6:$C$20,"rAGMF",Cash_Events!$B$6:$B$20,"&lt;="&amp;A1086)</f>
        <v>735000</v>
      </c>
      <c r="E1086" s="38" t="n">
        <f aca="false">VLOOKUP(A1086,Inputs!$A$40:$B$48,2,TRUE())</f>
        <v>0.0419027</v>
      </c>
      <c r="F1086" s="38" t="n">
        <f aca="false">E1086+Inputs!$B$10</f>
        <v>0.1094027</v>
      </c>
      <c r="G1086" s="37" t="n">
        <f aca="false">D1086*F1086/C1086</f>
        <v>220.304067123288</v>
      </c>
      <c r="H1086" s="37" t="n">
        <f aca="false">IF(AND(A1086&gt;=Inputs!$B$13,OR(A1086&lt;Inputs!$B$19,Inputs!$B$20=1)),D1086*Inputs!$B$11/C1086,0)</f>
        <v>40.2739726027397</v>
      </c>
      <c r="I1086" s="37" t="n">
        <f aca="false">Inputs!$C$9-SUMIFS(Cash_Events!$G$6:$G$20,Cash_Events!$C$6:$C$20,"FHL",Cash_Events!$B$6:$B$20,"&lt;="&amp;A1086)</f>
        <v>735000</v>
      </c>
      <c r="J1086" s="38" t="n">
        <f aca="false">VLOOKUP(A1086,Inputs!$F$40:$G$48,2,TRUE())</f>
        <v>0.0420238</v>
      </c>
      <c r="K1086" s="38" t="n">
        <f aca="false">J1086+Inputs!$C$10</f>
        <v>0.1095238</v>
      </c>
      <c r="L1086" s="37" t="n">
        <f aca="false">I1086*K1086/C1086</f>
        <v>220.547926027397</v>
      </c>
      <c r="M1086" s="37" t="n">
        <f aca="false">IF(AND(A1086&gt;=Inputs!$C$13,OR(A1086&lt;Inputs!$B$19,Inputs!$B$20=1)),I1086*Inputs!$C$11/C1086,0)</f>
        <v>40.2739726027397</v>
      </c>
    </row>
    <row r="1087" customFormat="false" ht="15" hidden="false" customHeight="false" outlineLevel="0" collapsed="false">
      <c r="A1087" s="35" t="n">
        <f aca="false">A1086+1</f>
        <v>45894</v>
      </c>
      <c r="B1087" s="35" t="n">
        <f aca="false">EOMONTH(A1087+1,0)</f>
        <v>45900</v>
      </c>
      <c r="C1087" s="36" t="n">
        <f aca="false">IF(MOD(YEAR(A1087),4)=0,366,365)</f>
        <v>365</v>
      </c>
      <c r="D1087" s="37" t="n">
        <f aca="false">Inputs!$B$9-SUMIFS(Cash_Events!$G$6:$G$20,Cash_Events!$C$6:$C$20,"rAGMF",Cash_Events!$B$6:$B$20,"&lt;="&amp;A1087)</f>
        <v>735000</v>
      </c>
      <c r="E1087" s="38" t="n">
        <f aca="false">VLOOKUP(A1087,Inputs!$A$40:$B$48,2,TRUE())</f>
        <v>0.0419027</v>
      </c>
      <c r="F1087" s="38" t="n">
        <f aca="false">E1087+Inputs!$B$10</f>
        <v>0.1094027</v>
      </c>
      <c r="G1087" s="37" t="n">
        <f aca="false">D1087*F1087/C1087</f>
        <v>220.304067123288</v>
      </c>
      <c r="H1087" s="37" t="n">
        <f aca="false">IF(AND(A1087&gt;=Inputs!$B$13,OR(A1087&lt;Inputs!$B$19,Inputs!$B$20=1)),D1087*Inputs!$B$11/C1087,0)</f>
        <v>40.2739726027397</v>
      </c>
      <c r="I1087" s="37" t="n">
        <f aca="false">Inputs!$C$9-SUMIFS(Cash_Events!$G$6:$G$20,Cash_Events!$C$6:$C$20,"FHL",Cash_Events!$B$6:$B$20,"&lt;="&amp;A1087)</f>
        <v>735000</v>
      </c>
      <c r="J1087" s="38" t="n">
        <f aca="false">VLOOKUP(A1087,Inputs!$F$40:$G$48,2,TRUE())</f>
        <v>0.0420238</v>
      </c>
      <c r="K1087" s="38" t="n">
        <f aca="false">J1087+Inputs!$C$10</f>
        <v>0.1095238</v>
      </c>
      <c r="L1087" s="37" t="n">
        <f aca="false">I1087*K1087/C1087</f>
        <v>220.547926027397</v>
      </c>
      <c r="M1087" s="37" t="n">
        <f aca="false">IF(AND(A1087&gt;=Inputs!$C$13,OR(A1087&lt;Inputs!$B$19,Inputs!$B$20=1)),I1087*Inputs!$C$11/C1087,0)</f>
        <v>40.2739726027397</v>
      </c>
    </row>
    <row r="1088" customFormat="false" ht="15" hidden="false" customHeight="false" outlineLevel="0" collapsed="false">
      <c r="A1088" s="35" t="n">
        <f aca="false">A1087+1</f>
        <v>45895</v>
      </c>
      <c r="B1088" s="35" t="n">
        <f aca="false">EOMONTH(A1088+1,0)</f>
        <v>45900</v>
      </c>
      <c r="C1088" s="36" t="n">
        <f aca="false">IF(MOD(YEAR(A1088),4)=0,366,365)</f>
        <v>365</v>
      </c>
      <c r="D1088" s="37" t="n">
        <f aca="false">Inputs!$B$9-SUMIFS(Cash_Events!$G$6:$G$20,Cash_Events!$C$6:$C$20,"rAGMF",Cash_Events!$B$6:$B$20,"&lt;="&amp;A1088)</f>
        <v>735000</v>
      </c>
      <c r="E1088" s="38" t="n">
        <f aca="false">VLOOKUP(A1088,Inputs!$A$40:$B$48,2,TRUE())</f>
        <v>0.0419027</v>
      </c>
      <c r="F1088" s="38" t="n">
        <f aca="false">E1088+Inputs!$B$10</f>
        <v>0.1094027</v>
      </c>
      <c r="G1088" s="37" t="n">
        <f aca="false">D1088*F1088/C1088</f>
        <v>220.304067123288</v>
      </c>
      <c r="H1088" s="37" t="n">
        <f aca="false">IF(AND(A1088&gt;=Inputs!$B$13,OR(A1088&lt;Inputs!$B$19,Inputs!$B$20=1)),D1088*Inputs!$B$11/C1088,0)</f>
        <v>40.2739726027397</v>
      </c>
      <c r="I1088" s="37" t="n">
        <f aca="false">Inputs!$C$9-SUMIFS(Cash_Events!$G$6:$G$20,Cash_Events!$C$6:$C$20,"FHL",Cash_Events!$B$6:$B$20,"&lt;="&amp;A1088)</f>
        <v>735000</v>
      </c>
      <c r="J1088" s="38" t="n">
        <f aca="false">VLOOKUP(A1088,Inputs!$F$40:$G$48,2,TRUE())</f>
        <v>0.0420238</v>
      </c>
      <c r="K1088" s="38" t="n">
        <f aca="false">J1088+Inputs!$C$10</f>
        <v>0.1095238</v>
      </c>
      <c r="L1088" s="37" t="n">
        <f aca="false">I1088*K1088/C1088</f>
        <v>220.547926027397</v>
      </c>
      <c r="M1088" s="37" t="n">
        <f aca="false">IF(AND(A1088&gt;=Inputs!$C$13,OR(A1088&lt;Inputs!$B$19,Inputs!$B$20=1)),I1088*Inputs!$C$11/C1088,0)</f>
        <v>40.2739726027397</v>
      </c>
    </row>
    <row r="1089" customFormat="false" ht="15" hidden="false" customHeight="false" outlineLevel="0" collapsed="false">
      <c r="A1089" s="35" t="n">
        <f aca="false">A1088+1</f>
        <v>45896</v>
      </c>
      <c r="B1089" s="35" t="n">
        <f aca="false">EOMONTH(A1089+1,0)</f>
        <v>45900</v>
      </c>
      <c r="C1089" s="36" t="n">
        <f aca="false">IF(MOD(YEAR(A1089),4)=0,366,365)</f>
        <v>365</v>
      </c>
      <c r="D1089" s="37" t="n">
        <f aca="false">Inputs!$B$9-SUMIFS(Cash_Events!$G$6:$G$20,Cash_Events!$C$6:$C$20,"rAGMF",Cash_Events!$B$6:$B$20,"&lt;="&amp;A1089)</f>
        <v>735000</v>
      </c>
      <c r="E1089" s="38" t="n">
        <f aca="false">VLOOKUP(A1089,Inputs!$A$40:$B$48,2,TRUE())</f>
        <v>0.0419027</v>
      </c>
      <c r="F1089" s="38" t="n">
        <f aca="false">E1089+Inputs!$B$10</f>
        <v>0.1094027</v>
      </c>
      <c r="G1089" s="37" t="n">
        <f aca="false">D1089*F1089/C1089</f>
        <v>220.304067123288</v>
      </c>
      <c r="H1089" s="37" t="n">
        <f aca="false">IF(AND(A1089&gt;=Inputs!$B$13,OR(A1089&lt;Inputs!$B$19,Inputs!$B$20=1)),D1089*Inputs!$B$11/C1089,0)</f>
        <v>40.2739726027397</v>
      </c>
      <c r="I1089" s="37" t="n">
        <f aca="false">Inputs!$C$9-SUMIFS(Cash_Events!$G$6:$G$20,Cash_Events!$C$6:$C$20,"FHL",Cash_Events!$B$6:$B$20,"&lt;="&amp;A1089)</f>
        <v>735000</v>
      </c>
      <c r="J1089" s="38" t="n">
        <f aca="false">VLOOKUP(A1089,Inputs!$F$40:$G$48,2,TRUE())</f>
        <v>0.0420238</v>
      </c>
      <c r="K1089" s="38" t="n">
        <f aca="false">J1089+Inputs!$C$10</f>
        <v>0.1095238</v>
      </c>
      <c r="L1089" s="37" t="n">
        <f aca="false">I1089*K1089/C1089</f>
        <v>220.547926027397</v>
      </c>
      <c r="M1089" s="37" t="n">
        <f aca="false">IF(AND(A1089&gt;=Inputs!$C$13,OR(A1089&lt;Inputs!$B$19,Inputs!$B$20=1)),I1089*Inputs!$C$11/C1089,0)</f>
        <v>40.2739726027397</v>
      </c>
    </row>
    <row r="1090" customFormat="false" ht="15" hidden="false" customHeight="false" outlineLevel="0" collapsed="false">
      <c r="A1090" s="35" t="n">
        <f aca="false">A1089+1</f>
        <v>45897</v>
      </c>
      <c r="B1090" s="35" t="n">
        <f aca="false">EOMONTH(A1090+1,0)</f>
        <v>45900</v>
      </c>
      <c r="C1090" s="36" t="n">
        <f aca="false">IF(MOD(YEAR(A1090),4)=0,366,365)</f>
        <v>365</v>
      </c>
      <c r="D1090" s="37" t="n">
        <f aca="false">Inputs!$B$9-SUMIFS(Cash_Events!$G$6:$G$20,Cash_Events!$C$6:$C$20,"rAGMF",Cash_Events!$B$6:$B$20,"&lt;="&amp;A1090)</f>
        <v>735000</v>
      </c>
      <c r="E1090" s="38" t="n">
        <f aca="false">VLOOKUP(A1090,Inputs!$A$40:$B$48,2,TRUE())</f>
        <v>0.0419027</v>
      </c>
      <c r="F1090" s="38" t="n">
        <f aca="false">E1090+Inputs!$B$10</f>
        <v>0.1094027</v>
      </c>
      <c r="G1090" s="37" t="n">
        <f aca="false">D1090*F1090/C1090</f>
        <v>220.304067123288</v>
      </c>
      <c r="H1090" s="37" t="n">
        <f aca="false">IF(AND(A1090&gt;=Inputs!$B$13,OR(A1090&lt;Inputs!$B$19,Inputs!$B$20=1)),D1090*Inputs!$B$11/C1090,0)</f>
        <v>40.2739726027397</v>
      </c>
      <c r="I1090" s="37" t="n">
        <f aca="false">Inputs!$C$9-SUMIFS(Cash_Events!$G$6:$G$20,Cash_Events!$C$6:$C$20,"FHL",Cash_Events!$B$6:$B$20,"&lt;="&amp;A1090)</f>
        <v>735000</v>
      </c>
      <c r="J1090" s="38" t="n">
        <f aca="false">VLOOKUP(A1090,Inputs!$F$40:$G$48,2,TRUE())</f>
        <v>0.0420238</v>
      </c>
      <c r="K1090" s="38" t="n">
        <f aca="false">J1090+Inputs!$C$10</f>
        <v>0.1095238</v>
      </c>
      <c r="L1090" s="37" t="n">
        <f aca="false">I1090*K1090/C1090</f>
        <v>220.547926027397</v>
      </c>
      <c r="M1090" s="37" t="n">
        <f aca="false">IF(AND(A1090&gt;=Inputs!$C$13,OR(A1090&lt;Inputs!$B$19,Inputs!$B$20=1)),I1090*Inputs!$C$11/C1090,0)</f>
        <v>40.2739726027397</v>
      </c>
    </row>
    <row r="1091" customFormat="false" ht="15" hidden="false" customHeight="false" outlineLevel="0" collapsed="false">
      <c r="A1091" s="35" t="n">
        <f aca="false">A1090+1</f>
        <v>45898</v>
      </c>
      <c r="B1091" s="35" t="n">
        <f aca="false">EOMONTH(A1091+1,0)</f>
        <v>45900</v>
      </c>
      <c r="C1091" s="36" t="n">
        <f aca="false">IF(MOD(YEAR(A1091),4)=0,366,365)</f>
        <v>365</v>
      </c>
      <c r="D1091" s="37" t="n">
        <f aca="false">Inputs!$B$9-SUMIFS(Cash_Events!$G$6:$G$20,Cash_Events!$C$6:$C$20,"rAGMF",Cash_Events!$B$6:$B$20,"&lt;="&amp;A1091)</f>
        <v>735000</v>
      </c>
      <c r="E1091" s="38" t="n">
        <f aca="false">VLOOKUP(A1091,Inputs!$A$40:$B$48,2,TRUE())</f>
        <v>0.0419027</v>
      </c>
      <c r="F1091" s="38" t="n">
        <f aca="false">E1091+Inputs!$B$10</f>
        <v>0.1094027</v>
      </c>
      <c r="G1091" s="37" t="n">
        <f aca="false">D1091*F1091/C1091</f>
        <v>220.304067123288</v>
      </c>
      <c r="H1091" s="37" t="n">
        <f aca="false">IF(AND(A1091&gt;=Inputs!$B$13,OR(A1091&lt;Inputs!$B$19,Inputs!$B$20=1)),D1091*Inputs!$B$11/C1091,0)</f>
        <v>40.2739726027397</v>
      </c>
      <c r="I1091" s="37" t="n">
        <f aca="false">Inputs!$C$9-SUMIFS(Cash_Events!$G$6:$G$20,Cash_Events!$C$6:$C$20,"FHL",Cash_Events!$B$6:$B$20,"&lt;="&amp;A1091)</f>
        <v>735000</v>
      </c>
      <c r="J1091" s="38" t="n">
        <f aca="false">VLOOKUP(A1091,Inputs!$F$40:$G$48,2,TRUE())</f>
        <v>0.0420238</v>
      </c>
      <c r="K1091" s="38" t="n">
        <f aca="false">J1091+Inputs!$C$10</f>
        <v>0.1095238</v>
      </c>
      <c r="L1091" s="37" t="n">
        <f aca="false">I1091*K1091/C1091</f>
        <v>220.547926027397</v>
      </c>
      <c r="M1091" s="37" t="n">
        <f aca="false">IF(AND(A1091&gt;=Inputs!$C$13,OR(A1091&lt;Inputs!$B$19,Inputs!$B$20=1)),I1091*Inputs!$C$11/C1091,0)</f>
        <v>40.2739726027397</v>
      </c>
    </row>
    <row r="1092" customFormat="false" ht="15" hidden="false" customHeight="false" outlineLevel="0" collapsed="false">
      <c r="A1092" s="35" t="n">
        <f aca="false">A1091+1</f>
        <v>45899</v>
      </c>
      <c r="B1092" s="35" t="n">
        <f aca="false">EOMONTH(A1092+1,0)</f>
        <v>45900</v>
      </c>
      <c r="C1092" s="36" t="n">
        <f aca="false">IF(MOD(YEAR(A1092),4)=0,366,365)</f>
        <v>365</v>
      </c>
      <c r="D1092" s="37" t="n">
        <f aca="false">Inputs!$B$9-SUMIFS(Cash_Events!$G$6:$G$20,Cash_Events!$C$6:$C$20,"rAGMF",Cash_Events!$B$6:$B$20,"&lt;="&amp;A1092)</f>
        <v>735000</v>
      </c>
      <c r="E1092" s="38" t="n">
        <f aca="false">VLOOKUP(A1092,Inputs!$A$40:$B$48,2,TRUE())</f>
        <v>0.0419027</v>
      </c>
      <c r="F1092" s="38" t="n">
        <f aca="false">E1092+Inputs!$B$10</f>
        <v>0.1094027</v>
      </c>
      <c r="G1092" s="37" t="n">
        <f aca="false">D1092*F1092/C1092</f>
        <v>220.304067123288</v>
      </c>
      <c r="H1092" s="37" t="n">
        <f aca="false">IF(AND(A1092&gt;=Inputs!$B$13,OR(A1092&lt;Inputs!$B$19,Inputs!$B$20=1)),D1092*Inputs!$B$11/C1092,0)</f>
        <v>40.2739726027397</v>
      </c>
      <c r="I1092" s="37" t="n">
        <f aca="false">Inputs!$C$9-SUMIFS(Cash_Events!$G$6:$G$20,Cash_Events!$C$6:$C$20,"FHL",Cash_Events!$B$6:$B$20,"&lt;="&amp;A1092)</f>
        <v>735000</v>
      </c>
      <c r="J1092" s="38" t="n">
        <f aca="false">VLOOKUP(A1092,Inputs!$F$40:$G$48,2,TRUE())</f>
        <v>0.0420238</v>
      </c>
      <c r="K1092" s="38" t="n">
        <f aca="false">J1092+Inputs!$C$10</f>
        <v>0.1095238</v>
      </c>
      <c r="L1092" s="37" t="n">
        <f aca="false">I1092*K1092/C1092</f>
        <v>220.547926027397</v>
      </c>
      <c r="M1092" s="37" t="n">
        <f aca="false">IF(AND(A1092&gt;=Inputs!$C$13,OR(A1092&lt;Inputs!$B$19,Inputs!$B$20=1)),I1092*Inputs!$C$11/C1092,0)</f>
        <v>40.2739726027397</v>
      </c>
    </row>
    <row r="1093" customFormat="false" ht="15" hidden="false" customHeight="false" outlineLevel="0" collapsed="false">
      <c r="A1093" s="35" t="n">
        <f aca="false">A1092+1</f>
        <v>45900</v>
      </c>
      <c r="B1093" s="35" t="n">
        <f aca="false">EOMONTH(A1093+1,0)</f>
        <v>45930</v>
      </c>
      <c r="C1093" s="36" t="n">
        <f aca="false">IF(MOD(YEAR(A1093),4)=0,366,365)</f>
        <v>365</v>
      </c>
      <c r="D1093" s="37" t="n">
        <f aca="false">Inputs!$B$9-SUMIFS(Cash_Events!$G$6:$G$20,Cash_Events!$C$6:$C$20,"rAGMF",Cash_Events!$B$6:$B$20,"&lt;="&amp;A1093)</f>
        <v>735000</v>
      </c>
      <c r="E1093" s="38" t="n">
        <f aca="false">VLOOKUP(A1093,Inputs!$A$40:$B$48,2,TRUE())</f>
        <v>0.0419027</v>
      </c>
      <c r="F1093" s="38" t="n">
        <f aca="false">E1093+Inputs!$B$10</f>
        <v>0.1094027</v>
      </c>
      <c r="G1093" s="37" t="n">
        <f aca="false">D1093*F1093/C1093</f>
        <v>220.304067123288</v>
      </c>
      <c r="H1093" s="37" t="n">
        <f aca="false">IF(AND(A1093&gt;=Inputs!$B$13,OR(A1093&lt;Inputs!$B$19,Inputs!$B$20=1)),D1093*Inputs!$B$11/C1093,0)</f>
        <v>40.2739726027397</v>
      </c>
      <c r="I1093" s="37" t="n">
        <f aca="false">Inputs!$C$9-SUMIFS(Cash_Events!$G$6:$G$20,Cash_Events!$C$6:$C$20,"FHL",Cash_Events!$B$6:$B$20,"&lt;="&amp;A1093)</f>
        <v>735000</v>
      </c>
      <c r="J1093" s="38" t="n">
        <f aca="false">VLOOKUP(A1093,Inputs!$F$40:$G$48,2,TRUE())</f>
        <v>0.0420238</v>
      </c>
      <c r="K1093" s="38" t="n">
        <f aca="false">J1093+Inputs!$C$10</f>
        <v>0.1095238</v>
      </c>
      <c r="L1093" s="37" t="n">
        <f aca="false">I1093*K1093/C1093</f>
        <v>220.547926027397</v>
      </c>
      <c r="M1093" s="37" t="n">
        <f aca="false">IF(AND(A1093&gt;=Inputs!$C$13,OR(A1093&lt;Inputs!$B$19,Inputs!$B$20=1)),I1093*Inputs!$C$11/C1093,0)</f>
        <v>40.2739726027397</v>
      </c>
    </row>
    <row r="1094" customFormat="false" ht="15" hidden="false" customHeight="false" outlineLevel="0" collapsed="false">
      <c r="A1094" s="35" t="n">
        <f aca="false">A1093+1</f>
        <v>45901</v>
      </c>
      <c r="B1094" s="35" t="n">
        <f aca="false">EOMONTH(A1094+1,0)</f>
        <v>45930</v>
      </c>
      <c r="C1094" s="36" t="n">
        <f aca="false">IF(MOD(YEAR(A1094),4)=0,366,365)</f>
        <v>365</v>
      </c>
      <c r="D1094" s="37" t="n">
        <f aca="false">Inputs!$B$9-SUMIFS(Cash_Events!$G$6:$G$20,Cash_Events!$C$6:$C$20,"rAGMF",Cash_Events!$B$6:$B$20,"&lt;="&amp;A1094)</f>
        <v>735000</v>
      </c>
      <c r="E1094" s="38" t="n">
        <f aca="false">VLOOKUP(A1094,Inputs!$A$40:$B$48,2,TRUE())</f>
        <v>0.0419027</v>
      </c>
      <c r="F1094" s="38" t="n">
        <f aca="false">E1094+Inputs!$B$10</f>
        <v>0.1094027</v>
      </c>
      <c r="G1094" s="37" t="n">
        <f aca="false">D1094*F1094/C1094</f>
        <v>220.304067123288</v>
      </c>
      <c r="H1094" s="37" t="n">
        <f aca="false">IF(AND(A1094&gt;=Inputs!$B$13,OR(A1094&lt;Inputs!$B$19,Inputs!$B$20=1)),D1094*Inputs!$B$11/C1094,0)</f>
        <v>40.2739726027397</v>
      </c>
      <c r="I1094" s="37" t="n">
        <f aca="false">Inputs!$C$9-SUMIFS(Cash_Events!$G$6:$G$20,Cash_Events!$C$6:$C$20,"FHL",Cash_Events!$B$6:$B$20,"&lt;="&amp;A1094)</f>
        <v>735000</v>
      </c>
      <c r="J1094" s="38" t="n">
        <f aca="false">VLOOKUP(A1094,Inputs!$F$40:$G$48,2,TRUE())</f>
        <v>0.0420238</v>
      </c>
      <c r="K1094" s="38" t="n">
        <f aca="false">J1094+Inputs!$C$10</f>
        <v>0.1095238</v>
      </c>
      <c r="L1094" s="37" t="n">
        <f aca="false">I1094*K1094/C1094</f>
        <v>220.547926027397</v>
      </c>
      <c r="M1094" s="37" t="n">
        <f aca="false">IF(AND(A1094&gt;=Inputs!$C$13,OR(A1094&lt;Inputs!$B$19,Inputs!$B$20=1)),I1094*Inputs!$C$11/C1094,0)</f>
        <v>40.2739726027397</v>
      </c>
    </row>
    <row r="1095" customFormat="false" ht="15" hidden="false" customHeight="false" outlineLevel="0" collapsed="false">
      <c r="A1095" s="35" t="n">
        <f aca="false">A1094+1</f>
        <v>45902</v>
      </c>
      <c r="B1095" s="35" t="n">
        <f aca="false">EOMONTH(A1095+1,0)</f>
        <v>45930</v>
      </c>
      <c r="C1095" s="36" t="n">
        <f aca="false">IF(MOD(YEAR(A1095),4)=0,366,365)</f>
        <v>365</v>
      </c>
      <c r="D1095" s="37" t="n">
        <f aca="false">Inputs!$B$9-SUMIFS(Cash_Events!$G$6:$G$20,Cash_Events!$C$6:$C$20,"rAGMF",Cash_Events!$B$6:$B$20,"&lt;="&amp;A1095)</f>
        <v>735000</v>
      </c>
      <c r="E1095" s="38" t="n">
        <f aca="false">VLOOKUP(A1095,Inputs!$A$40:$B$48,2,TRUE())</f>
        <v>0.0419027</v>
      </c>
      <c r="F1095" s="38" t="n">
        <f aca="false">E1095+Inputs!$B$10</f>
        <v>0.1094027</v>
      </c>
      <c r="G1095" s="37" t="n">
        <f aca="false">D1095*F1095/C1095</f>
        <v>220.304067123288</v>
      </c>
      <c r="H1095" s="37" t="n">
        <f aca="false">IF(AND(A1095&gt;=Inputs!$B$13,OR(A1095&lt;Inputs!$B$19,Inputs!$B$20=1)),D1095*Inputs!$B$11/C1095,0)</f>
        <v>40.2739726027397</v>
      </c>
      <c r="I1095" s="37" t="n">
        <f aca="false">Inputs!$C$9-SUMIFS(Cash_Events!$G$6:$G$20,Cash_Events!$C$6:$C$20,"FHL",Cash_Events!$B$6:$B$20,"&lt;="&amp;A1095)</f>
        <v>735000</v>
      </c>
      <c r="J1095" s="38" t="n">
        <f aca="false">VLOOKUP(A1095,Inputs!$F$40:$G$48,2,TRUE())</f>
        <v>0.0420238</v>
      </c>
      <c r="K1095" s="38" t="n">
        <f aca="false">J1095+Inputs!$C$10</f>
        <v>0.1095238</v>
      </c>
      <c r="L1095" s="37" t="n">
        <f aca="false">I1095*K1095/C1095</f>
        <v>220.547926027397</v>
      </c>
      <c r="M1095" s="37" t="n">
        <f aca="false">IF(AND(A1095&gt;=Inputs!$C$13,OR(A1095&lt;Inputs!$B$19,Inputs!$B$20=1)),I1095*Inputs!$C$11/C1095,0)</f>
        <v>40.2739726027397</v>
      </c>
    </row>
    <row r="1096" customFormat="false" ht="15" hidden="false" customHeight="false" outlineLevel="0" collapsed="false">
      <c r="A1096" s="35" t="n">
        <f aca="false">A1095+1</f>
        <v>45903</v>
      </c>
      <c r="B1096" s="35" t="n">
        <f aca="false">EOMONTH(A1096+1,0)</f>
        <v>45930</v>
      </c>
      <c r="C1096" s="36" t="n">
        <f aca="false">IF(MOD(YEAR(A1096),4)=0,366,365)</f>
        <v>365</v>
      </c>
      <c r="D1096" s="37" t="n">
        <f aca="false">Inputs!$B$9-SUMIFS(Cash_Events!$G$6:$G$20,Cash_Events!$C$6:$C$20,"rAGMF",Cash_Events!$B$6:$B$20,"&lt;="&amp;A1096)</f>
        <v>735000</v>
      </c>
      <c r="E1096" s="38" t="n">
        <f aca="false">VLOOKUP(A1096,Inputs!$A$40:$B$48,2,TRUE())</f>
        <v>0.0419027</v>
      </c>
      <c r="F1096" s="38" t="n">
        <f aca="false">E1096+Inputs!$B$10</f>
        <v>0.1094027</v>
      </c>
      <c r="G1096" s="37" t="n">
        <f aca="false">D1096*F1096/C1096</f>
        <v>220.304067123288</v>
      </c>
      <c r="H1096" s="37" t="n">
        <f aca="false">IF(AND(A1096&gt;=Inputs!$B$13,OR(A1096&lt;Inputs!$B$19,Inputs!$B$20=1)),D1096*Inputs!$B$11/C1096,0)</f>
        <v>40.2739726027397</v>
      </c>
      <c r="I1096" s="37" t="n">
        <f aca="false">Inputs!$C$9-SUMIFS(Cash_Events!$G$6:$G$20,Cash_Events!$C$6:$C$20,"FHL",Cash_Events!$B$6:$B$20,"&lt;="&amp;A1096)</f>
        <v>735000</v>
      </c>
      <c r="J1096" s="38" t="n">
        <f aca="false">VLOOKUP(A1096,Inputs!$F$40:$G$48,2,TRUE())</f>
        <v>0.0420238</v>
      </c>
      <c r="K1096" s="38" t="n">
        <f aca="false">J1096+Inputs!$C$10</f>
        <v>0.1095238</v>
      </c>
      <c r="L1096" s="37" t="n">
        <f aca="false">I1096*K1096/C1096</f>
        <v>220.547926027397</v>
      </c>
      <c r="M1096" s="37" t="n">
        <f aca="false">IF(AND(A1096&gt;=Inputs!$C$13,OR(A1096&lt;Inputs!$B$19,Inputs!$B$20=1)),I1096*Inputs!$C$11/C1096,0)</f>
        <v>40.2739726027397</v>
      </c>
    </row>
    <row r="1097" customFormat="false" ht="15" hidden="false" customHeight="false" outlineLevel="0" collapsed="false">
      <c r="A1097" s="35" t="n">
        <f aca="false">A1096+1</f>
        <v>45904</v>
      </c>
      <c r="B1097" s="35" t="n">
        <f aca="false">EOMONTH(A1097+1,0)</f>
        <v>45930</v>
      </c>
      <c r="C1097" s="36" t="n">
        <f aca="false">IF(MOD(YEAR(A1097),4)=0,366,365)</f>
        <v>365</v>
      </c>
      <c r="D1097" s="37" t="n">
        <f aca="false">Inputs!$B$9-SUMIFS(Cash_Events!$G$6:$G$20,Cash_Events!$C$6:$C$20,"rAGMF",Cash_Events!$B$6:$B$20,"&lt;="&amp;A1097)</f>
        <v>735000</v>
      </c>
      <c r="E1097" s="38" t="n">
        <f aca="false">VLOOKUP(A1097,Inputs!$A$40:$B$48,2,TRUE())</f>
        <v>0.0419027</v>
      </c>
      <c r="F1097" s="38" t="n">
        <f aca="false">E1097+Inputs!$B$10</f>
        <v>0.1094027</v>
      </c>
      <c r="G1097" s="37" t="n">
        <f aca="false">D1097*F1097/C1097</f>
        <v>220.304067123288</v>
      </c>
      <c r="H1097" s="37" t="n">
        <f aca="false">IF(AND(A1097&gt;=Inputs!$B$13,OR(A1097&lt;Inputs!$B$19,Inputs!$B$20=1)),D1097*Inputs!$B$11/C1097,0)</f>
        <v>40.2739726027397</v>
      </c>
      <c r="I1097" s="37" t="n">
        <f aca="false">Inputs!$C$9-SUMIFS(Cash_Events!$G$6:$G$20,Cash_Events!$C$6:$C$20,"FHL",Cash_Events!$B$6:$B$20,"&lt;="&amp;A1097)</f>
        <v>735000</v>
      </c>
      <c r="J1097" s="38" t="n">
        <f aca="false">VLOOKUP(A1097,Inputs!$F$40:$G$48,2,TRUE())</f>
        <v>0.0420238</v>
      </c>
      <c r="K1097" s="38" t="n">
        <f aca="false">J1097+Inputs!$C$10</f>
        <v>0.1095238</v>
      </c>
      <c r="L1097" s="37" t="n">
        <f aca="false">I1097*K1097/C1097</f>
        <v>220.547926027397</v>
      </c>
      <c r="M1097" s="37" t="n">
        <f aca="false">IF(AND(A1097&gt;=Inputs!$C$13,OR(A1097&lt;Inputs!$B$19,Inputs!$B$20=1)),I1097*Inputs!$C$11/C1097,0)</f>
        <v>40.2739726027397</v>
      </c>
    </row>
    <row r="1098" customFormat="false" ht="15" hidden="false" customHeight="false" outlineLevel="0" collapsed="false">
      <c r="A1098" s="35" t="n">
        <f aca="false">A1097+1</f>
        <v>45905</v>
      </c>
      <c r="B1098" s="35" t="n">
        <f aca="false">EOMONTH(A1098+1,0)</f>
        <v>45930</v>
      </c>
      <c r="C1098" s="36" t="n">
        <f aca="false">IF(MOD(YEAR(A1098),4)=0,366,365)</f>
        <v>365</v>
      </c>
      <c r="D1098" s="37" t="n">
        <f aca="false">Inputs!$B$9-SUMIFS(Cash_Events!$G$6:$G$20,Cash_Events!$C$6:$C$20,"rAGMF",Cash_Events!$B$6:$B$20,"&lt;="&amp;A1098)</f>
        <v>735000</v>
      </c>
      <c r="E1098" s="38" t="n">
        <f aca="false">VLOOKUP(A1098,Inputs!$A$40:$B$48,2,TRUE())</f>
        <v>0.0419027</v>
      </c>
      <c r="F1098" s="38" t="n">
        <f aca="false">E1098+Inputs!$B$10</f>
        <v>0.1094027</v>
      </c>
      <c r="G1098" s="37" t="n">
        <f aca="false">D1098*F1098/C1098</f>
        <v>220.304067123288</v>
      </c>
      <c r="H1098" s="37" t="n">
        <f aca="false">IF(AND(A1098&gt;=Inputs!$B$13,OR(A1098&lt;Inputs!$B$19,Inputs!$B$20=1)),D1098*Inputs!$B$11/C1098,0)</f>
        <v>40.2739726027397</v>
      </c>
      <c r="I1098" s="37" t="n">
        <f aca="false">Inputs!$C$9-SUMIFS(Cash_Events!$G$6:$G$20,Cash_Events!$C$6:$C$20,"FHL",Cash_Events!$B$6:$B$20,"&lt;="&amp;A1098)</f>
        <v>735000</v>
      </c>
      <c r="J1098" s="38" t="n">
        <f aca="false">VLOOKUP(A1098,Inputs!$F$40:$G$48,2,TRUE())</f>
        <v>0.0420238</v>
      </c>
      <c r="K1098" s="38" t="n">
        <f aca="false">J1098+Inputs!$C$10</f>
        <v>0.1095238</v>
      </c>
      <c r="L1098" s="37" t="n">
        <f aca="false">I1098*K1098/C1098</f>
        <v>220.547926027397</v>
      </c>
      <c r="M1098" s="37" t="n">
        <f aca="false">IF(AND(A1098&gt;=Inputs!$C$13,OR(A1098&lt;Inputs!$B$19,Inputs!$B$20=1)),I1098*Inputs!$C$11/C1098,0)</f>
        <v>40.2739726027397</v>
      </c>
    </row>
    <row r="1099" customFormat="false" ht="15" hidden="false" customHeight="false" outlineLevel="0" collapsed="false">
      <c r="A1099" s="35" t="n">
        <f aca="false">A1098+1</f>
        <v>45906</v>
      </c>
      <c r="B1099" s="35" t="n">
        <f aca="false">EOMONTH(A1099+1,0)</f>
        <v>45930</v>
      </c>
      <c r="C1099" s="36" t="n">
        <f aca="false">IF(MOD(YEAR(A1099),4)=0,366,365)</f>
        <v>365</v>
      </c>
      <c r="D1099" s="37" t="n">
        <f aca="false">Inputs!$B$9-SUMIFS(Cash_Events!$G$6:$G$20,Cash_Events!$C$6:$C$20,"rAGMF",Cash_Events!$B$6:$B$20,"&lt;="&amp;A1099)</f>
        <v>735000</v>
      </c>
      <c r="E1099" s="38" t="n">
        <f aca="false">VLOOKUP(A1099,Inputs!$A$40:$B$48,2,TRUE())</f>
        <v>0.0419027</v>
      </c>
      <c r="F1099" s="38" t="n">
        <f aca="false">E1099+Inputs!$B$10</f>
        <v>0.1094027</v>
      </c>
      <c r="G1099" s="37" t="n">
        <f aca="false">D1099*F1099/C1099</f>
        <v>220.304067123288</v>
      </c>
      <c r="H1099" s="37" t="n">
        <f aca="false">IF(AND(A1099&gt;=Inputs!$B$13,OR(A1099&lt;Inputs!$B$19,Inputs!$B$20=1)),D1099*Inputs!$B$11/C1099,0)</f>
        <v>40.2739726027397</v>
      </c>
      <c r="I1099" s="37" t="n">
        <f aca="false">Inputs!$C$9-SUMIFS(Cash_Events!$G$6:$G$20,Cash_Events!$C$6:$C$20,"FHL",Cash_Events!$B$6:$B$20,"&lt;="&amp;A1099)</f>
        <v>735000</v>
      </c>
      <c r="J1099" s="38" t="n">
        <f aca="false">VLOOKUP(A1099,Inputs!$F$40:$G$48,2,TRUE())</f>
        <v>0.0420238</v>
      </c>
      <c r="K1099" s="38" t="n">
        <f aca="false">J1099+Inputs!$C$10</f>
        <v>0.1095238</v>
      </c>
      <c r="L1099" s="37" t="n">
        <f aca="false">I1099*K1099/C1099</f>
        <v>220.547926027397</v>
      </c>
      <c r="M1099" s="37" t="n">
        <f aca="false">IF(AND(A1099&gt;=Inputs!$C$13,OR(A1099&lt;Inputs!$B$19,Inputs!$B$20=1)),I1099*Inputs!$C$11/C1099,0)</f>
        <v>40.2739726027397</v>
      </c>
    </row>
    <row r="1100" customFormat="false" ht="15" hidden="false" customHeight="false" outlineLevel="0" collapsed="false">
      <c r="A1100" s="35" t="n">
        <f aca="false">A1099+1</f>
        <v>45907</v>
      </c>
      <c r="B1100" s="35" t="n">
        <f aca="false">EOMONTH(A1100+1,0)</f>
        <v>45930</v>
      </c>
      <c r="C1100" s="36" t="n">
        <f aca="false">IF(MOD(YEAR(A1100),4)=0,366,365)</f>
        <v>365</v>
      </c>
      <c r="D1100" s="37" t="n">
        <f aca="false">Inputs!$B$9-SUMIFS(Cash_Events!$G$6:$G$20,Cash_Events!$C$6:$C$20,"rAGMF",Cash_Events!$B$6:$B$20,"&lt;="&amp;A1100)</f>
        <v>735000</v>
      </c>
      <c r="E1100" s="38" t="n">
        <f aca="false">VLOOKUP(A1100,Inputs!$A$40:$B$48,2,TRUE())</f>
        <v>0.0419027</v>
      </c>
      <c r="F1100" s="38" t="n">
        <f aca="false">E1100+Inputs!$B$10</f>
        <v>0.1094027</v>
      </c>
      <c r="G1100" s="37" t="n">
        <f aca="false">D1100*F1100/C1100</f>
        <v>220.304067123288</v>
      </c>
      <c r="H1100" s="37" t="n">
        <f aca="false">IF(AND(A1100&gt;=Inputs!$B$13,OR(A1100&lt;Inputs!$B$19,Inputs!$B$20=1)),D1100*Inputs!$B$11/C1100,0)</f>
        <v>40.2739726027397</v>
      </c>
      <c r="I1100" s="37" t="n">
        <f aca="false">Inputs!$C$9-SUMIFS(Cash_Events!$G$6:$G$20,Cash_Events!$C$6:$C$20,"FHL",Cash_Events!$B$6:$B$20,"&lt;="&amp;A1100)</f>
        <v>735000</v>
      </c>
      <c r="J1100" s="38" t="n">
        <f aca="false">VLOOKUP(A1100,Inputs!$F$40:$G$48,2,TRUE())</f>
        <v>0.0420238</v>
      </c>
      <c r="K1100" s="38" t="n">
        <f aca="false">J1100+Inputs!$C$10</f>
        <v>0.1095238</v>
      </c>
      <c r="L1100" s="37" t="n">
        <f aca="false">I1100*K1100/C1100</f>
        <v>220.547926027397</v>
      </c>
      <c r="M1100" s="37" t="n">
        <f aca="false">IF(AND(A1100&gt;=Inputs!$C$13,OR(A1100&lt;Inputs!$B$19,Inputs!$B$20=1)),I1100*Inputs!$C$11/C1100,0)</f>
        <v>40.2739726027397</v>
      </c>
    </row>
    <row r="1101" customFormat="false" ht="15" hidden="false" customHeight="false" outlineLevel="0" collapsed="false">
      <c r="A1101" s="35" t="n">
        <f aca="false">A1100+1</f>
        <v>45908</v>
      </c>
      <c r="B1101" s="35" t="n">
        <f aca="false">EOMONTH(A1101+1,0)</f>
        <v>45930</v>
      </c>
      <c r="C1101" s="36" t="n">
        <f aca="false">IF(MOD(YEAR(A1101),4)=0,366,365)</f>
        <v>365</v>
      </c>
      <c r="D1101" s="37" t="n">
        <f aca="false">Inputs!$B$9-SUMIFS(Cash_Events!$G$6:$G$20,Cash_Events!$C$6:$C$20,"rAGMF",Cash_Events!$B$6:$B$20,"&lt;="&amp;A1101)</f>
        <v>735000</v>
      </c>
      <c r="E1101" s="38" t="n">
        <f aca="false">VLOOKUP(A1101,Inputs!$A$40:$B$48,2,TRUE())</f>
        <v>0.0419027</v>
      </c>
      <c r="F1101" s="38" t="n">
        <f aca="false">E1101+Inputs!$B$10</f>
        <v>0.1094027</v>
      </c>
      <c r="G1101" s="37" t="n">
        <f aca="false">D1101*F1101/C1101</f>
        <v>220.304067123288</v>
      </c>
      <c r="H1101" s="37" t="n">
        <f aca="false">IF(AND(A1101&gt;=Inputs!$B$13,OR(A1101&lt;Inputs!$B$19,Inputs!$B$20=1)),D1101*Inputs!$B$11/C1101,0)</f>
        <v>40.2739726027397</v>
      </c>
      <c r="I1101" s="37" t="n">
        <f aca="false">Inputs!$C$9-SUMIFS(Cash_Events!$G$6:$G$20,Cash_Events!$C$6:$C$20,"FHL",Cash_Events!$B$6:$B$20,"&lt;="&amp;A1101)</f>
        <v>735000</v>
      </c>
      <c r="J1101" s="38" t="n">
        <f aca="false">VLOOKUP(A1101,Inputs!$F$40:$G$48,2,TRUE())</f>
        <v>0.0420238</v>
      </c>
      <c r="K1101" s="38" t="n">
        <f aca="false">J1101+Inputs!$C$10</f>
        <v>0.1095238</v>
      </c>
      <c r="L1101" s="37" t="n">
        <f aca="false">I1101*K1101/C1101</f>
        <v>220.547926027397</v>
      </c>
      <c r="M1101" s="37" t="n">
        <f aca="false">IF(AND(A1101&gt;=Inputs!$C$13,OR(A1101&lt;Inputs!$B$19,Inputs!$B$20=1)),I1101*Inputs!$C$11/C1101,0)</f>
        <v>40.2739726027397</v>
      </c>
    </row>
    <row r="1102" customFormat="false" ht="15" hidden="false" customHeight="false" outlineLevel="0" collapsed="false">
      <c r="A1102" s="35" t="n">
        <f aca="false">A1101+1</f>
        <v>45909</v>
      </c>
      <c r="B1102" s="35" t="n">
        <f aca="false">EOMONTH(A1102+1,0)</f>
        <v>45930</v>
      </c>
      <c r="C1102" s="36" t="n">
        <f aca="false">IF(MOD(YEAR(A1102),4)=0,366,365)</f>
        <v>365</v>
      </c>
      <c r="D1102" s="37" t="n">
        <f aca="false">Inputs!$B$9-SUMIFS(Cash_Events!$G$6:$G$20,Cash_Events!$C$6:$C$20,"rAGMF",Cash_Events!$B$6:$B$20,"&lt;="&amp;A1102)</f>
        <v>735000</v>
      </c>
      <c r="E1102" s="38" t="n">
        <f aca="false">VLOOKUP(A1102,Inputs!$A$40:$B$48,2,TRUE())</f>
        <v>0.0396676</v>
      </c>
      <c r="F1102" s="38" t="n">
        <f aca="false">E1102+Inputs!$B$10</f>
        <v>0.1071676</v>
      </c>
      <c r="G1102" s="37" t="n">
        <f aca="false">D1102*F1102/C1102</f>
        <v>215.803249315068</v>
      </c>
      <c r="H1102" s="37" t="n">
        <f aca="false">IF(AND(A1102&gt;=Inputs!$B$13,OR(A1102&lt;Inputs!$B$19,Inputs!$B$20=1)),D1102*Inputs!$B$11/C1102,0)</f>
        <v>40.2739726027397</v>
      </c>
      <c r="I1102" s="37" t="n">
        <f aca="false">Inputs!$C$9-SUMIFS(Cash_Events!$G$6:$G$20,Cash_Events!$C$6:$C$20,"FHL",Cash_Events!$B$6:$B$20,"&lt;="&amp;A1102)</f>
        <v>735000</v>
      </c>
      <c r="J1102" s="38" t="n">
        <f aca="false">VLOOKUP(A1102,Inputs!$F$40:$G$48,2,TRUE())</f>
        <v>0.0420238</v>
      </c>
      <c r="K1102" s="38" t="n">
        <f aca="false">J1102+Inputs!$C$10</f>
        <v>0.1095238</v>
      </c>
      <c r="L1102" s="37" t="n">
        <f aca="false">I1102*K1102/C1102</f>
        <v>220.547926027397</v>
      </c>
      <c r="M1102" s="37" t="n">
        <f aca="false">IF(AND(A1102&gt;=Inputs!$C$13,OR(A1102&lt;Inputs!$B$19,Inputs!$B$20=1)),I1102*Inputs!$C$11/C1102,0)</f>
        <v>40.2739726027397</v>
      </c>
    </row>
    <row r="1103" customFormat="false" ht="15" hidden="false" customHeight="false" outlineLevel="0" collapsed="false">
      <c r="A1103" s="35" t="n">
        <f aca="false">A1102+1</f>
        <v>45910</v>
      </c>
      <c r="B1103" s="35" t="n">
        <f aca="false">EOMONTH(A1103+1,0)</f>
        <v>45930</v>
      </c>
      <c r="C1103" s="36" t="n">
        <f aca="false">IF(MOD(YEAR(A1103),4)=0,366,365)</f>
        <v>365</v>
      </c>
      <c r="D1103" s="37" t="n">
        <f aca="false">Inputs!$B$9-SUMIFS(Cash_Events!$G$6:$G$20,Cash_Events!$C$6:$C$20,"rAGMF",Cash_Events!$B$6:$B$20,"&lt;="&amp;A1103)</f>
        <v>735000</v>
      </c>
      <c r="E1103" s="38" t="n">
        <f aca="false">VLOOKUP(A1103,Inputs!$A$40:$B$48,2,TRUE())</f>
        <v>0.0396676</v>
      </c>
      <c r="F1103" s="38" t="n">
        <f aca="false">E1103+Inputs!$B$10</f>
        <v>0.1071676</v>
      </c>
      <c r="G1103" s="37" t="n">
        <f aca="false">D1103*F1103/C1103</f>
        <v>215.803249315068</v>
      </c>
      <c r="H1103" s="37" t="n">
        <f aca="false">IF(AND(A1103&gt;=Inputs!$B$13,OR(A1103&lt;Inputs!$B$19,Inputs!$B$20=1)),D1103*Inputs!$B$11/C1103,0)</f>
        <v>40.2739726027397</v>
      </c>
      <c r="I1103" s="37" t="n">
        <f aca="false">Inputs!$C$9-SUMIFS(Cash_Events!$G$6:$G$20,Cash_Events!$C$6:$C$20,"FHL",Cash_Events!$B$6:$B$20,"&lt;="&amp;A1103)</f>
        <v>735000</v>
      </c>
      <c r="J1103" s="38" t="n">
        <f aca="false">VLOOKUP(A1103,Inputs!$F$40:$G$48,2,TRUE())</f>
        <v>0.0420238</v>
      </c>
      <c r="K1103" s="38" t="n">
        <f aca="false">J1103+Inputs!$C$10</f>
        <v>0.1095238</v>
      </c>
      <c r="L1103" s="37" t="n">
        <f aca="false">I1103*K1103/C1103</f>
        <v>220.547926027397</v>
      </c>
      <c r="M1103" s="37" t="n">
        <f aca="false">IF(AND(A1103&gt;=Inputs!$C$13,OR(A1103&lt;Inputs!$B$19,Inputs!$B$20=1)),I1103*Inputs!$C$11/C1103,0)</f>
        <v>40.2739726027397</v>
      </c>
    </row>
    <row r="1104" customFormat="false" ht="15" hidden="false" customHeight="false" outlineLevel="0" collapsed="false">
      <c r="A1104" s="35" t="n">
        <f aca="false">A1103+1</f>
        <v>45911</v>
      </c>
      <c r="B1104" s="35" t="n">
        <f aca="false">EOMONTH(A1104+1,0)</f>
        <v>45930</v>
      </c>
      <c r="C1104" s="36" t="n">
        <f aca="false">IF(MOD(YEAR(A1104),4)=0,366,365)</f>
        <v>365</v>
      </c>
      <c r="D1104" s="37" t="n">
        <f aca="false">Inputs!$B$9-SUMIFS(Cash_Events!$G$6:$G$20,Cash_Events!$C$6:$C$20,"rAGMF",Cash_Events!$B$6:$B$20,"&lt;="&amp;A1104)</f>
        <v>735000</v>
      </c>
      <c r="E1104" s="38" t="n">
        <f aca="false">VLOOKUP(A1104,Inputs!$A$40:$B$48,2,TRUE())</f>
        <v>0.0396676</v>
      </c>
      <c r="F1104" s="38" t="n">
        <f aca="false">E1104+Inputs!$B$10</f>
        <v>0.1071676</v>
      </c>
      <c r="G1104" s="37" t="n">
        <f aca="false">D1104*F1104/C1104</f>
        <v>215.803249315068</v>
      </c>
      <c r="H1104" s="37" t="n">
        <f aca="false">IF(AND(A1104&gt;=Inputs!$B$13,OR(A1104&lt;Inputs!$B$19,Inputs!$B$20=1)),D1104*Inputs!$B$11/C1104,0)</f>
        <v>40.2739726027397</v>
      </c>
      <c r="I1104" s="37" t="n">
        <f aca="false">Inputs!$C$9-SUMIFS(Cash_Events!$G$6:$G$20,Cash_Events!$C$6:$C$20,"FHL",Cash_Events!$B$6:$B$20,"&lt;="&amp;A1104)</f>
        <v>735000</v>
      </c>
      <c r="J1104" s="38" t="n">
        <f aca="false">VLOOKUP(A1104,Inputs!$F$40:$G$48,2,TRUE())</f>
        <v>0.0420238</v>
      </c>
      <c r="K1104" s="38" t="n">
        <f aca="false">J1104+Inputs!$C$10</f>
        <v>0.1095238</v>
      </c>
      <c r="L1104" s="37" t="n">
        <f aca="false">I1104*K1104/C1104</f>
        <v>220.547926027397</v>
      </c>
      <c r="M1104" s="37" t="n">
        <f aca="false">IF(AND(A1104&gt;=Inputs!$C$13,OR(A1104&lt;Inputs!$B$19,Inputs!$B$20=1)),I1104*Inputs!$C$11/C1104,0)</f>
        <v>40.2739726027397</v>
      </c>
    </row>
    <row r="1105" customFormat="false" ht="15" hidden="false" customHeight="false" outlineLevel="0" collapsed="false">
      <c r="A1105" s="35" t="n">
        <f aca="false">A1104+1</f>
        <v>45912</v>
      </c>
      <c r="B1105" s="35" t="n">
        <f aca="false">EOMONTH(A1105+1,0)</f>
        <v>45930</v>
      </c>
      <c r="C1105" s="36" t="n">
        <f aca="false">IF(MOD(YEAR(A1105),4)=0,366,365)</f>
        <v>365</v>
      </c>
      <c r="D1105" s="37" t="n">
        <f aca="false">Inputs!$B$9-SUMIFS(Cash_Events!$G$6:$G$20,Cash_Events!$C$6:$C$20,"rAGMF",Cash_Events!$B$6:$B$20,"&lt;="&amp;A1105)</f>
        <v>735000</v>
      </c>
      <c r="E1105" s="38" t="n">
        <f aca="false">VLOOKUP(A1105,Inputs!$A$40:$B$48,2,TRUE())</f>
        <v>0.0396676</v>
      </c>
      <c r="F1105" s="38" t="n">
        <f aca="false">E1105+Inputs!$B$10</f>
        <v>0.1071676</v>
      </c>
      <c r="G1105" s="37" t="n">
        <f aca="false">D1105*F1105/C1105</f>
        <v>215.803249315068</v>
      </c>
      <c r="H1105" s="37" t="n">
        <f aca="false">IF(AND(A1105&gt;=Inputs!$B$13,OR(A1105&lt;Inputs!$B$19,Inputs!$B$20=1)),D1105*Inputs!$B$11/C1105,0)</f>
        <v>40.2739726027397</v>
      </c>
      <c r="I1105" s="37" t="n">
        <f aca="false">Inputs!$C$9-SUMIFS(Cash_Events!$G$6:$G$20,Cash_Events!$C$6:$C$20,"FHL",Cash_Events!$B$6:$B$20,"&lt;="&amp;A1105)</f>
        <v>735000</v>
      </c>
      <c r="J1105" s="38" t="n">
        <f aca="false">VLOOKUP(A1105,Inputs!$F$40:$G$48,2,TRUE())</f>
        <v>0.0420238</v>
      </c>
      <c r="K1105" s="38" t="n">
        <f aca="false">J1105+Inputs!$C$10</f>
        <v>0.1095238</v>
      </c>
      <c r="L1105" s="37" t="n">
        <f aca="false">I1105*K1105/C1105</f>
        <v>220.547926027397</v>
      </c>
      <c r="M1105" s="37" t="n">
        <f aca="false">IF(AND(A1105&gt;=Inputs!$C$13,OR(A1105&lt;Inputs!$B$19,Inputs!$B$20=1)),I1105*Inputs!$C$11/C1105,0)</f>
        <v>40.2739726027397</v>
      </c>
    </row>
    <row r="1106" customFormat="false" ht="15" hidden="false" customHeight="false" outlineLevel="0" collapsed="false">
      <c r="A1106" s="35" t="n">
        <f aca="false">A1105+1</f>
        <v>45913</v>
      </c>
      <c r="B1106" s="35" t="n">
        <f aca="false">EOMONTH(A1106+1,0)</f>
        <v>45930</v>
      </c>
      <c r="C1106" s="36" t="n">
        <f aca="false">IF(MOD(YEAR(A1106),4)=0,366,365)</f>
        <v>365</v>
      </c>
      <c r="D1106" s="37" t="n">
        <f aca="false">Inputs!$B$9-SUMIFS(Cash_Events!$G$6:$G$20,Cash_Events!$C$6:$C$20,"rAGMF",Cash_Events!$B$6:$B$20,"&lt;="&amp;A1106)</f>
        <v>735000</v>
      </c>
      <c r="E1106" s="38" t="n">
        <f aca="false">VLOOKUP(A1106,Inputs!$A$40:$B$48,2,TRUE())</f>
        <v>0.0396676</v>
      </c>
      <c r="F1106" s="38" t="n">
        <f aca="false">E1106+Inputs!$B$10</f>
        <v>0.1071676</v>
      </c>
      <c r="G1106" s="37" t="n">
        <f aca="false">D1106*F1106/C1106</f>
        <v>215.803249315068</v>
      </c>
      <c r="H1106" s="37" t="n">
        <f aca="false">IF(AND(A1106&gt;=Inputs!$B$13,OR(A1106&lt;Inputs!$B$19,Inputs!$B$20=1)),D1106*Inputs!$B$11/C1106,0)</f>
        <v>40.2739726027397</v>
      </c>
      <c r="I1106" s="37" t="n">
        <f aca="false">Inputs!$C$9-SUMIFS(Cash_Events!$G$6:$G$20,Cash_Events!$C$6:$C$20,"FHL",Cash_Events!$B$6:$B$20,"&lt;="&amp;A1106)</f>
        <v>735000</v>
      </c>
      <c r="J1106" s="38" t="n">
        <f aca="false">VLOOKUP(A1106,Inputs!$F$40:$G$48,2,TRUE())</f>
        <v>0.0420238</v>
      </c>
      <c r="K1106" s="38" t="n">
        <f aca="false">J1106+Inputs!$C$10</f>
        <v>0.1095238</v>
      </c>
      <c r="L1106" s="37" t="n">
        <f aca="false">I1106*K1106/C1106</f>
        <v>220.547926027397</v>
      </c>
      <c r="M1106" s="37" t="n">
        <f aca="false">IF(AND(A1106&gt;=Inputs!$C$13,OR(A1106&lt;Inputs!$B$19,Inputs!$B$20=1)),I1106*Inputs!$C$11/C1106,0)</f>
        <v>40.2739726027397</v>
      </c>
    </row>
    <row r="1107" customFormat="false" ht="15" hidden="false" customHeight="false" outlineLevel="0" collapsed="false">
      <c r="A1107" s="35" t="n">
        <f aca="false">A1106+1</f>
        <v>45914</v>
      </c>
      <c r="B1107" s="35" t="n">
        <f aca="false">EOMONTH(A1107+1,0)</f>
        <v>45930</v>
      </c>
      <c r="C1107" s="36" t="n">
        <f aca="false">IF(MOD(YEAR(A1107),4)=0,366,365)</f>
        <v>365</v>
      </c>
      <c r="D1107" s="37" t="n">
        <f aca="false">Inputs!$B$9-SUMIFS(Cash_Events!$G$6:$G$20,Cash_Events!$C$6:$C$20,"rAGMF",Cash_Events!$B$6:$B$20,"&lt;="&amp;A1107)</f>
        <v>735000</v>
      </c>
      <c r="E1107" s="38" t="n">
        <f aca="false">VLOOKUP(A1107,Inputs!$A$40:$B$48,2,TRUE())</f>
        <v>0.0396676</v>
      </c>
      <c r="F1107" s="38" t="n">
        <f aca="false">E1107+Inputs!$B$10</f>
        <v>0.1071676</v>
      </c>
      <c r="G1107" s="37" t="n">
        <f aca="false">D1107*F1107/C1107</f>
        <v>215.803249315068</v>
      </c>
      <c r="H1107" s="37" t="n">
        <f aca="false">IF(AND(A1107&gt;=Inputs!$B$13,OR(A1107&lt;Inputs!$B$19,Inputs!$B$20=1)),D1107*Inputs!$B$11/C1107,0)</f>
        <v>40.2739726027397</v>
      </c>
      <c r="I1107" s="37" t="n">
        <f aca="false">Inputs!$C$9-SUMIFS(Cash_Events!$G$6:$G$20,Cash_Events!$C$6:$C$20,"FHL",Cash_Events!$B$6:$B$20,"&lt;="&amp;A1107)</f>
        <v>735000</v>
      </c>
      <c r="J1107" s="38" t="n">
        <f aca="false">VLOOKUP(A1107,Inputs!$F$40:$G$48,2,TRUE())</f>
        <v>0.0420238</v>
      </c>
      <c r="K1107" s="38" t="n">
        <f aca="false">J1107+Inputs!$C$10</f>
        <v>0.1095238</v>
      </c>
      <c r="L1107" s="37" t="n">
        <f aca="false">I1107*K1107/C1107</f>
        <v>220.547926027397</v>
      </c>
      <c r="M1107" s="37" t="n">
        <f aca="false">IF(AND(A1107&gt;=Inputs!$C$13,OR(A1107&lt;Inputs!$B$19,Inputs!$B$20=1)),I1107*Inputs!$C$11/C1107,0)</f>
        <v>40.2739726027397</v>
      </c>
    </row>
    <row r="1108" customFormat="false" ht="15" hidden="false" customHeight="false" outlineLevel="0" collapsed="false">
      <c r="A1108" s="35" t="n">
        <f aca="false">A1107+1</f>
        <v>45915</v>
      </c>
      <c r="B1108" s="35" t="n">
        <f aca="false">EOMONTH(A1108+1,0)</f>
        <v>45930</v>
      </c>
      <c r="C1108" s="36" t="n">
        <f aca="false">IF(MOD(YEAR(A1108),4)=0,366,365)</f>
        <v>365</v>
      </c>
      <c r="D1108" s="37" t="n">
        <f aca="false">Inputs!$B$9-SUMIFS(Cash_Events!$G$6:$G$20,Cash_Events!$C$6:$C$20,"rAGMF",Cash_Events!$B$6:$B$20,"&lt;="&amp;A1108)</f>
        <v>735000</v>
      </c>
      <c r="E1108" s="38" t="n">
        <f aca="false">VLOOKUP(A1108,Inputs!$A$40:$B$48,2,TRUE())</f>
        <v>0.0396676</v>
      </c>
      <c r="F1108" s="38" t="n">
        <f aca="false">E1108+Inputs!$B$10</f>
        <v>0.1071676</v>
      </c>
      <c r="G1108" s="37" t="n">
        <f aca="false">D1108*F1108/C1108</f>
        <v>215.803249315068</v>
      </c>
      <c r="H1108" s="37" t="n">
        <f aca="false">IF(AND(A1108&gt;=Inputs!$B$13,OR(A1108&lt;Inputs!$B$19,Inputs!$B$20=1)),D1108*Inputs!$B$11/C1108,0)</f>
        <v>40.2739726027397</v>
      </c>
      <c r="I1108" s="37" t="n">
        <f aca="false">Inputs!$C$9-SUMIFS(Cash_Events!$G$6:$G$20,Cash_Events!$C$6:$C$20,"FHL",Cash_Events!$B$6:$B$20,"&lt;="&amp;A1108)</f>
        <v>735000</v>
      </c>
      <c r="J1108" s="38" t="n">
        <f aca="false">VLOOKUP(A1108,Inputs!$F$40:$G$48,2,TRUE())</f>
        <v>0.0386433</v>
      </c>
      <c r="K1108" s="38" t="n">
        <f aca="false">J1108+Inputs!$C$10</f>
        <v>0.1061433</v>
      </c>
      <c r="L1108" s="37" t="n">
        <f aca="false">I1108*K1108/C1108</f>
        <v>213.740617808219</v>
      </c>
      <c r="M1108" s="37" t="n">
        <f aca="false">IF(AND(A1108&gt;=Inputs!$C$13,OR(A1108&lt;Inputs!$B$19,Inputs!$B$20=1)),I1108*Inputs!$C$11/C1108,0)</f>
        <v>40.2739726027397</v>
      </c>
    </row>
    <row r="1109" customFormat="false" ht="15" hidden="false" customHeight="false" outlineLevel="0" collapsed="false">
      <c r="A1109" s="35" t="n">
        <f aca="false">A1108+1</f>
        <v>45916</v>
      </c>
      <c r="B1109" s="35" t="n">
        <f aca="false">EOMONTH(A1109+1,0)</f>
        <v>45930</v>
      </c>
      <c r="C1109" s="36" t="n">
        <f aca="false">IF(MOD(YEAR(A1109),4)=0,366,365)</f>
        <v>365</v>
      </c>
      <c r="D1109" s="37" t="n">
        <f aca="false">Inputs!$B$9-SUMIFS(Cash_Events!$G$6:$G$20,Cash_Events!$C$6:$C$20,"rAGMF",Cash_Events!$B$6:$B$20,"&lt;="&amp;A1109)</f>
        <v>735000</v>
      </c>
      <c r="E1109" s="38" t="n">
        <f aca="false">VLOOKUP(A1109,Inputs!$A$40:$B$48,2,TRUE())</f>
        <v>0.0396676</v>
      </c>
      <c r="F1109" s="38" t="n">
        <f aca="false">E1109+Inputs!$B$10</f>
        <v>0.1071676</v>
      </c>
      <c r="G1109" s="37" t="n">
        <f aca="false">D1109*F1109/C1109</f>
        <v>215.803249315068</v>
      </c>
      <c r="H1109" s="37" t="n">
        <f aca="false">IF(AND(A1109&gt;=Inputs!$B$13,OR(A1109&lt;Inputs!$B$19,Inputs!$B$20=1)),D1109*Inputs!$B$11/C1109,0)</f>
        <v>40.2739726027397</v>
      </c>
      <c r="I1109" s="37" t="n">
        <f aca="false">Inputs!$C$9-SUMIFS(Cash_Events!$G$6:$G$20,Cash_Events!$C$6:$C$20,"FHL",Cash_Events!$B$6:$B$20,"&lt;="&amp;A1109)</f>
        <v>735000</v>
      </c>
      <c r="J1109" s="38" t="n">
        <f aca="false">VLOOKUP(A1109,Inputs!$F$40:$G$48,2,TRUE())</f>
        <v>0.0386433</v>
      </c>
      <c r="K1109" s="38" t="n">
        <f aca="false">J1109+Inputs!$C$10</f>
        <v>0.1061433</v>
      </c>
      <c r="L1109" s="37" t="n">
        <f aca="false">I1109*K1109/C1109</f>
        <v>213.740617808219</v>
      </c>
      <c r="M1109" s="37" t="n">
        <f aca="false">IF(AND(A1109&gt;=Inputs!$C$13,OR(A1109&lt;Inputs!$B$19,Inputs!$B$20=1)),I1109*Inputs!$C$11/C1109,0)</f>
        <v>40.2739726027397</v>
      </c>
    </row>
    <row r="1110" customFormat="false" ht="15" hidden="false" customHeight="false" outlineLevel="0" collapsed="false">
      <c r="A1110" s="35" t="n">
        <f aca="false">A1109+1</f>
        <v>45917</v>
      </c>
      <c r="B1110" s="35" t="n">
        <f aca="false">EOMONTH(A1110+1,0)</f>
        <v>45930</v>
      </c>
      <c r="C1110" s="36" t="n">
        <f aca="false">IF(MOD(YEAR(A1110),4)=0,366,365)</f>
        <v>365</v>
      </c>
      <c r="D1110" s="37" t="n">
        <f aca="false">Inputs!$B$9-SUMIFS(Cash_Events!$G$6:$G$20,Cash_Events!$C$6:$C$20,"rAGMF",Cash_Events!$B$6:$B$20,"&lt;="&amp;A1110)</f>
        <v>735000</v>
      </c>
      <c r="E1110" s="38" t="n">
        <f aca="false">VLOOKUP(A1110,Inputs!$A$40:$B$48,2,TRUE())</f>
        <v>0.0396676</v>
      </c>
      <c r="F1110" s="38" t="n">
        <f aca="false">E1110+Inputs!$B$10</f>
        <v>0.1071676</v>
      </c>
      <c r="G1110" s="37" t="n">
        <f aca="false">D1110*F1110/C1110</f>
        <v>215.803249315068</v>
      </c>
      <c r="H1110" s="37" t="n">
        <f aca="false">IF(AND(A1110&gt;=Inputs!$B$13,OR(A1110&lt;Inputs!$B$19,Inputs!$B$20=1)),D1110*Inputs!$B$11/C1110,0)</f>
        <v>40.2739726027397</v>
      </c>
      <c r="I1110" s="37" t="n">
        <f aca="false">Inputs!$C$9-SUMIFS(Cash_Events!$G$6:$G$20,Cash_Events!$C$6:$C$20,"FHL",Cash_Events!$B$6:$B$20,"&lt;="&amp;A1110)</f>
        <v>735000</v>
      </c>
      <c r="J1110" s="38" t="n">
        <f aca="false">VLOOKUP(A1110,Inputs!$F$40:$G$48,2,TRUE())</f>
        <v>0.0386433</v>
      </c>
      <c r="K1110" s="38" t="n">
        <f aca="false">J1110+Inputs!$C$10</f>
        <v>0.1061433</v>
      </c>
      <c r="L1110" s="37" t="n">
        <f aca="false">I1110*K1110/C1110</f>
        <v>213.740617808219</v>
      </c>
      <c r="M1110" s="37" t="n">
        <f aca="false">IF(AND(A1110&gt;=Inputs!$C$13,OR(A1110&lt;Inputs!$B$19,Inputs!$B$20=1)),I1110*Inputs!$C$11/C1110,0)</f>
        <v>40.2739726027397</v>
      </c>
    </row>
    <row r="1111" customFormat="false" ht="15" hidden="false" customHeight="false" outlineLevel="0" collapsed="false">
      <c r="A1111" s="35" t="n">
        <f aca="false">A1110+1</f>
        <v>45918</v>
      </c>
      <c r="B1111" s="35" t="n">
        <f aca="false">EOMONTH(A1111+1,0)</f>
        <v>45930</v>
      </c>
      <c r="C1111" s="36" t="n">
        <f aca="false">IF(MOD(YEAR(A1111),4)=0,366,365)</f>
        <v>365</v>
      </c>
      <c r="D1111" s="37" t="n">
        <f aca="false">Inputs!$B$9-SUMIFS(Cash_Events!$G$6:$G$20,Cash_Events!$C$6:$C$20,"rAGMF",Cash_Events!$B$6:$B$20,"&lt;="&amp;A1111)</f>
        <v>735000</v>
      </c>
      <c r="E1111" s="38" t="n">
        <f aca="false">VLOOKUP(A1111,Inputs!$A$40:$B$48,2,TRUE())</f>
        <v>0.0396676</v>
      </c>
      <c r="F1111" s="38" t="n">
        <f aca="false">E1111+Inputs!$B$10</f>
        <v>0.1071676</v>
      </c>
      <c r="G1111" s="37" t="n">
        <f aca="false">D1111*F1111/C1111</f>
        <v>215.803249315068</v>
      </c>
      <c r="H1111" s="37" t="n">
        <f aca="false">IF(AND(A1111&gt;=Inputs!$B$13,OR(A1111&lt;Inputs!$B$19,Inputs!$B$20=1)),D1111*Inputs!$B$11/C1111,0)</f>
        <v>40.2739726027397</v>
      </c>
      <c r="I1111" s="37" t="n">
        <f aca="false">Inputs!$C$9-SUMIFS(Cash_Events!$G$6:$G$20,Cash_Events!$C$6:$C$20,"FHL",Cash_Events!$B$6:$B$20,"&lt;="&amp;A1111)</f>
        <v>735000</v>
      </c>
      <c r="J1111" s="38" t="n">
        <f aca="false">VLOOKUP(A1111,Inputs!$F$40:$G$48,2,TRUE())</f>
        <v>0.0386433</v>
      </c>
      <c r="K1111" s="38" t="n">
        <f aca="false">J1111+Inputs!$C$10</f>
        <v>0.1061433</v>
      </c>
      <c r="L1111" s="37" t="n">
        <f aca="false">I1111*K1111/C1111</f>
        <v>213.740617808219</v>
      </c>
      <c r="M1111" s="37" t="n">
        <f aca="false">IF(AND(A1111&gt;=Inputs!$C$13,OR(A1111&lt;Inputs!$B$19,Inputs!$B$20=1)),I1111*Inputs!$C$11/C1111,0)</f>
        <v>40.2739726027397</v>
      </c>
    </row>
    <row r="1112" customFormat="false" ht="15" hidden="false" customHeight="false" outlineLevel="0" collapsed="false">
      <c r="A1112" s="35" t="n">
        <f aca="false">A1111+1</f>
        <v>45919</v>
      </c>
      <c r="B1112" s="35" t="n">
        <f aca="false">EOMONTH(A1112+1,0)</f>
        <v>45930</v>
      </c>
      <c r="C1112" s="36" t="n">
        <f aca="false">IF(MOD(YEAR(A1112),4)=0,366,365)</f>
        <v>365</v>
      </c>
      <c r="D1112" s="37" t="n">
        <f aca="false">Inputs!$B$9-SUMIFS(Cash_Events!$G$6:$G$20,Cash_Events!$C$6:$C$20,"rAGMF",Cash_Events!$B$6:$B$20,"&lt;="&amp;A1112)</f>
        <v>735000</v>
      </c>
      <c r="E1112" s="38" t="n">
        <f aca="false">VLOOKUP(A1112,Inputs!$A$40:$B$48,2,TRUE())</f>
        <v>0.0396676</v>
      </c>
      <c r="F1112" s="38" t="n">
        <f aca="false">E1112+Inputs!$B$10</f>
        <v>0.1071676</v>
      </c>
      <c r="G1112" s="37" t="n">
        <f aca="false">D1112*F1112/C1112</f>
        <v>215.803249315068</v>
      </c>
      <c r="H1112" s="37" t="n">
        <f aca="false">IF(AND(A1112&gt;=Inputs!$B$13,OR(A1112&lt;Inputs!$B$19,Inputs!$B$20=1)),D1112*Inputs!$B$11/C1112,0)</f>
        <v>40.2739726027397</v>
      </c>
      <c r="I1112" s="37" t="n">
        <f aca="false">Inputs!$C$9-SUMIFS(Cash_Events!$G$6:$G$20,Cash_Events!$C$6:$C$20,"FHL",Cash_Events!$B$6:$B$20,"&lt;="&amp;A1112)</f>
        <v>735000</v>
      </c>
      <c r="J1112" s="38" t="n">
        <f aca="false">VLOOKUP(A1112,Inputs!$F$40:$G$48,2,TRUE())</f>
        <v>0.0386433</v>
      </c>
      <c r="K1112" s="38" t="n">
        <f aca="false">J1112+Inputs!$C$10</f>
        <v>0.1061433</v>
      </c>
      <c r="L1112" s="37" t="n">
        <f aca="false">I1112*K1112/C1112</f>
        <v>213.740617808219</v>
      </c>
      <c r="M1112" s="37" t="n">
        <f aca="false">IF(AND(A1112&gt;=Inputs!$C$13,OR(A1112&lt;Inputs!$B$19,Inputs!$B$20=1)),I1112*Inputs!$C$11/C1112,0)</f>
        <v>40.2739726027397</v>
      </c>
    </row>
    <row r="1113" customFormat="false" ht="15" hidden="false" customHeight="false" outlineLevel="0" collapsed="false">
      <c r="A1113" s="35" t="n">
        <f aca="false">A1112+1</f>
        <v>45920</v>
      </c>
      <c r="B1113" s="35" t="n">
        <f aca="false">EOMONTH(A1113+1,0)</f>
        <v>45930</v>
      </c>
      <c r="C1113" s="36" t="n">
        <f aca="false">IF(MOD(YEAR(A1113),4)=0,366,365)</f>
        <v>365</v>
      </c>
      <c r="D1113" s="37" t="n">
        <f aca="false">Inputs!$B$9-SUMIFS(Cash_Events!$G$6:$G$20,Cash_Events!$C$6:$C$20,"rAGMF",Cash_Events!$B$6:$B$20,"&lt;="&amp;A1113)</f>
        <v>735000</v>
      </c>
      <c r="E1113" s="38" t="n">
        <f aca="false">VLOOKUP(A1113,Inputs!$A$40:$B$48,2,TRUE())</f>
        <v>0.0396676</v>
      </c>
      <c r="F1113" s="38" t="n">
        <f aca="false">E1113+Inputs!$B$10</f>
        <v>0.1071676</v>
      </c>
      <c r="G1113" s="37" t="n">
        <f aca="false">D1113*F1113/C1113</f>
        <v>215.803249315068</v>
      </c>
      <c r="H1113" s="37" t="n">
        <f aca="false">IF(AND(A1113&gt;=Inputs!$B$13,OR(A1113&lt;Inputs!$B$19,Inputs!$B$20=1)),D1113*Inputs!$B$11/C1113,0)</f>
        <v>40.2739726027397</v>
      </c>
      <c r="I1113" s="37" t="n">
        <f aca="false">Inputs!$C$9-SUMIFS(Cash_Events!$G$6:$G$20,Cash_Events!$C$6:$C$20,"FHL",Cash_Events!$B$6:$B$20,"&lt;="&amp;A1113)</f>
        <v>735000</v>
      </c>
      <c r="J1113" s="38" t="n">
        <f aca="false">VLOOKUP(A1113,Inputs!$F$40:$G$48,2,TRUE())</f>
        <v>0.0386433</v>
      </c>
      <c r="K1113" s="38" t="n">
        <f aca="false">J1113+Inputs!$C$10</f>
        <v>0.1061433</v>
      </c>
      <c r="L1113" s="37" t="n">
        <f aca="false">I1113*K1113/C1113</f>
        <v>213.740617808219</v>
      </c>
      <c r="M1113" s="37" t="n">
        <f aca="false">IF(AND(A1113&gt;=Inputs!$C$13,OR(A1113&lt;Inputs!$B$19,Inputs!$B$20=1)),I1113*Inputs!$C$11/C1113,0)</f>
        <v>40.2739726027397</v>
      </c>
    </row>
    <row r="1114" customFormat="false" ht="15" hidden="false" customHeight="false" outlineLevel="0" collapsed="false">
      <c r="A1114" s="35" t="n">
        <f aca="false">A1113+1</f>
        <v>45921</v>
      </c>
      <c r="B1114" s="35" t="n">
        <f aca="false">EOMONTH(A1114+1,0)</f>
        <v>45930</v>
      </c>
      <c r="C1114" s="36" t="n">
        <f aca="false">IF(MOD(YEAR(A1114),4)=0,366,365)</f>
        <v>365</v>
      </c>
      <c r="D1114" s="37" t="n">
        <f aca="false">Inputs!$B$9-SUMIFS(Cash_Events!$G$6:$G$20,Cash_Events!$C$6:$C$20,"rAGMF",Cash_Events!$B$6:$B$20,"&lt;="&amp;A1114)</f>
        <v>735000</v>
      </c>
      <c r="E1114" s="38" t="n">
        <f aca="false">VLOOKUP(A1114,Inputs!$A$40:$B$48,2,TRUE())</f>
        <v>0.0396676</v>
      </c>
      <c r="F1114" s="38" t="n">
        <f aca="false">E1114+Inputs!$B$10</f>
        <v>0.1071676</v>
      </c>
      <c r="G1114" s="37" t="n">
        <f aca="false">D1114*F1114/C1114</f>
        <v>215.803249315068</v>
      </c>
      <c r="H1114" s="37" t="n">
        <f aca="false">IF(AND(A1114&gt;=Inputs!$B$13,OR(A1114&lt;Inputs!$B$19,Inputs!$B$20=1)),D1114*Inputs!$B$11/C1114,0)</f>
        <v>40.2739726027397</v>
      </c>
      <c r="I1114" s="37" t="n">
        <f aca="false">Inputs!$C$9-SUMIFS(Cash_Events!$G$6:$G$20,Cash_Events!$C$6:$C$20,"FHL",Cash_Events!$B$6:$B$20,"&lt;="&amp;A1114)</f>
        <v>735000</v>
      </c>
      <c r="J1114" s="38" t="n">
        <f aca="false">VLOOKUP(A1114,Inputs!$F$40:$G$48,2,TRUE())</f>
        <v>0.0386433</v>
      </c>
      <c r="K1114" s="38" t="n">
        <f aca="false">J1114+Inputs!$C$10</f>
        <v>0.1061433</v>
      </c>
      <c r="L1114" s="37" t="n">
        <f aca="false">I1114*K1114/C1114</f>
        <v>213.740617808219</v>
      </c>
      <c r="M1114" s="37" t="n">
        <f aca="false">IF(AND(A1114&gt;=Inputs!$C$13,OR(A1114&lt;Inputs!$B$19,Inputs!$B$20=1)),I1114*Inputs!$C$11/C1114,0)</f>
        <v>40.2739726027397</v>
      </c>
    </row>
    <row r="1115" customFormat="false" ht="15" hidden="false" customHeight="false" outlineLevel="0" collapsed="false">
      <c r="A1115" s="35" t="n">
        <f aca="false">A1114+1</f>
        <v>45922</v>
      </c>
      <c r="B1115" s="35" t="n">
        <f aca="false">EOMONTH(A1115+1,0)</f>
        <v>45930</v>
      </c>
      <c r="C1115" s="36" t="n">
        <f aca="false">IF(MOD(YEAR(A1115),4)=0,366,365)</f>
        <v>365</v>
      </c>
      <c r="D1115" s="37" t="n">
        <f aca="false">Inputs!$B$9-SUMIFS(Cash_Events!$G$6:$G$20,Cash_Events!$C$6:$C$20,"rAGMF",Cash_Events!$B$6:$B$20,"&lt;="&amp;A1115)</f>
        <v>735000</v>
      </c>
      <c r="E1115" s="38" t="n">
        <f aca="false">VLOOKUP(A1115,Inputs!$A$40:$B$48,2,TRUE())</f>
        <v>0.0396676</v>
      </c>
      <c r="F1115" s="38" t="n">
        <f aca="false">E1115+Inputs!$B$10</f>
        <v>0.1071676</v>
      </c>
      <c r="G1115" s="37" t="n">
        <f aca="false">D1115*F1115/C1115</f>
        <v>215.803249315068</v>
      </c>
      <c r="H1115" s="37" t="n">
        <f aca="false">IF(AND(A1115&gt;=Inputs!$B$13,OR(A1115&lt;Inputs!$B$19,Inputs!$B$20=1)),D1115*Inputs!$B$11/C1115,0)</f>
        <v>40.2739726027397</v>
      </c>
      <c r="I1115" s="37" t="n">
        <f aca="false">Inputs!$C$9-SUMIFS(Cash_Events!$G$6:$G$20,Cash_Events!$C$6:$C$20,"FHL",Cash_Events!$B$6:$B$20,"&lt;="&amp;A1115)</f>
        <v>735000</v>
      </c>
      <c r="J1115" s="38" t="n">
        <f aca="false">VLOOKUP(A1115,Inputs!$F$40:$G$48,2,TRUE())</f>
        <v>0.0386433</v>
      </c>
      <c r="K1115" s="38" t="n">
        <f aca="false">J1115+Inputs!$C$10</f>
        <v>0.1061433</v>
      </c>
      <c r="L1115" s="37" t="n">
        <f aca="false">I1115*K1115/C1115</f>
        <v>213.740617808219</v>
      </c>
      <c r="M1115" s="37" t="n">
        <f aca="false">IF(AND(A1115&gt;=Inputs!$C$13,OR(A1115&lt;Inputs!$B$19,Inputs!$B$20=1)),I1115*Inputs!$C$11/C1115,0)</f>
        <v>40.2739726027397</v>
      </c>
    </row>
    <row r="1116" customFormat="false" ht="15" hidden="false" customHeight="false" outlineLevel="0" collapsed="false">
      <c r="A1116" s="35" t="n">
        <f aca="false">A1115+1</f>
        <v>45923</v>
      </c>
      <c r="B1116" s="35" t="n">
        <f aca="false">EOMONTH(A1116+1,0)</f>
        <v>45930</v>
      </c>
      <c r="C1116" s="36" t="n">
        <f aca="false">IF(MOD(YEAR(A1116),4)=0,366,365)</f>
        <v>365</v>
      </c>
      <c r="D1116" s="37" t="n">
        <f aca="false">Inputs!$B$9-SUMIFS(Cash_Events!$G$6:$G$20,Cash_Events!$C$6:$C$20,"rAGMF",Cash_Events!$B$6:$B$20,"&lt;="&amp;A1116)</f>
        <v>735000</v>
      </c>
      <c r="E1116" s="38" t="n">
        <f aca="false">VLOOKUP(A1116,Inputs!$A$40:$B$48,2,TRUE())</f>
        <v>0.0396676</v>
      </c>
      <c r="F1116" s="38" t="n">
        <f aca="false">E1116+Inputs!$B$10</f>
        <v>0.1071676</v>
      </c>
      <c r="G1116" s="37" t="n">
        <f aca="false">D1116*F1116/C1116</f>
        <v>215.803249315068</v>
      </c>
      <c r="H1116" s="37" t="n">
        <f aca="false">IF(AND(A1116&gt;=Inputs!$B$13,OR(A1116&lt;Inputs!$B$19,Inputs!$B$20=1)),D1116*Inputs!$B$11/C1116,0)</f>
        <v>40.2739726027397</v>
      </c>
      <c r="I1116" s="37" t="n">
        <f aca="false">Inputs!$C$9-SUMIFS(Cash_Events!$G$6:$G$20,Cash_Events!$C$6:$C$20,"FHL",Cash_Events!$B$6:$B$20,"&lt;="&amp;A1116)</f>
        <v>735000</v>
      </c>
      <c r="J1116" s="38" t="n">
        <f aca="false">VLOOKUP(A1116,Inputs!$F$40:$G$48,2,TRUE())</f>
        <v>0.0386433</v>
      </c>
      <c r="K1116" s="38" t="n">
        <f aca="false">J1116+Inputs!$C$10</f>
        <v>0.1061433</v>
      </c>
      <c r="L1116" s="37" t="n">
        <f aca="false">I1116*K1116/C1116</f>
        <v>213.740617808219</v>
      </c>
      <c r="M1116" s="37" t="n">
        <f aca="false">IF(AND(A1116&gt;=Inputs!$C$13,OR(A1116&lt;Inputs!$B$19,Inputs!$B$20=1)),I1116*Inputs!$C$11/C1116,0)</f>
        <v>40.2739726027397</v>
      </c>
    </row>
    <row r="1117" customFormat="false" ht="15" hidden="false" customHeight="false" outlineLevel="0" collapsed="false">
      <c r="A1117" s="35" t="n">
        <f aca="false">A1116+1</f>
        <v>45924</v>
      </c>
      <c r="B1117" s="35" t="n">
        <f aca="false">EOMONTH(A1117+1,0)</f>
        <v>45930</v>
      </c>
      <c r="C1117" s="36" t="n">
        <f aca="false">IF(MOD(YEAR(A1117),4)=0,366,365)</f>
        <v>365</v>
      </c>
      <c r="D1117" s="37" t="n">
        <f aca="false">Inputs!$B$9-SUMIFS(Cash_Events!$G$6:$G$20,Cash_Events!$C$6:$C$20,"rAGMF",Cash_Events!$B$6:$B$20,"&lt;="&amp;A1117)</f>
        <v>735000</v>
      </c>
      <c r="E1117" s="38" t="n">
        <f aca="false">VLOOKUP(A1117,Inputs!$A$40:$B$48,2,TRUE())</f>
        <v>0.0396676</v>
      </c>
      <c r="F1117" s="38" t="n">
        <f aca="false">E1117+Inputs!$B$10</f>
        <v>0.1071676</v>
      </c>
      <c r="G1117" s="37" t="n">
        <f aca="false">D1117*F1117/C1117</f>
        <v>215.803249315068</v>
      </c>
      <c r="H1117" s="37" t="n">
        <f aca="false">IF(AND(A1117&gt;=Inputs!$B$13,OR(A1117&lt;Inputs!$B$19,Inputs!$B$20=1)),D1117*Inputs!$B$11/C1117,0)</f>
        <v>40.2739726027397</v>
      </c>
      <c r="I1117" s="37" t="n">
        <f aca="false">Inputs!$C$9-SUMIFS(Cash_Events!$G$6:$G$20,Cash_Events!$C$6:$C$20,"FHL",Cash_Events!$B$6:$B$20,"&lt;="&amp;A1117)</f>
        <v>735000</v>
      </c>
      <c r="J1117" s="38" t="n">
        <f aca="false">VLOOKUP(A1117,Inputs!$F$40:$G$48,2,TRUE())</f>
        <v>0.0386433</v>
      </c>
      <c r="K1117" s="38" t="n">
        <f aca="false">J1117+Inputs!$C$10</f>
        <v>0.1061433</v>
      </c>
      <c r="L1117" s="37" t="n">
        <f aca="false">I1117*K1117/C1117</f>
        <v>213.740617808219</v>
      </c>
      <c r="M1117" s="37" t="n">
        <f aca="false">IF(AND(A1117&gt;=Inputs!$C$13,OR(A1117&lt;Inputs!$B$19,Inputs!$B$20=1)),I1117*Inputs!$C$11/C1117,0)</f>
        <v>40.2739726027397</v>
      </c>
    </row>
    <row r="1118" customFormat="false" ht="15" hidden="false" customHeight="false" outlineLevel="0" collapsed="false">
      <c r="A1118" s="35" t="n">
        <f aca="false">A1117+1</f>
        <v>45925</v>
      </c>
      <c r="B1118" s="35" t="n">
        <f aca="false">EOMONTH(A1118+1,0)</f>
        <v>45930</v>
      </c>
      <c r="C1118" s="36" t="n">
        <f aca="false">IF(MOD(YEAR(A1118),4)=0,366,365)</f>
        <v>365</v>
      </c>
      <c r="D1118" s="37" t="n">
        <f aca="false">Inputs!$B$9-SUMIFS(Cash_Events!$G$6:$G$20,Cash_Events!$C$6:$C$20,"rAGMF",Cash_Events!$B$6:$B$20,"&lt;="&amp;A1118)</f>
        <v>735000</v>
      </c>
      <c r="E1118" s="38" t="n">
        <f aca="false">VLOOKUP(A1118,Inputs!$A$40:$B$48,2,TRUE())</f>
        <v>0.0396676</v>
      </c>
      <c r="F1118" s="38" t="n">
        <f aca="false">E1118+Inputs!$B$10</f>
        <v>0.1071676</v>
      </c>
      <c r="G1118" s="37" t="n">
        <f aca="false">D1118*F1118/C1118</f>
        <v>215.803249315068</v>
      </c>
      <c r="H1118" s="37" t="n">
        <f aca="false">IF(AND(A1118&gt;=Inputs!$B$13,OR(A1118&lt;Inputs!$B$19,Inputs!$B$20=1)),D1118*Inputs!$B$11/C1118,0)</f>
        <v>40.2739726027397</v>
      </c>
      <c r="I1118" s="37" t="n">
        <f aca="false">Inputs!$C$9-SUMIFS(Cash_Events!$G$6:$G$20,Cash_Events!$C$6:$C$20,"FHL",Cash_Events!$B$6:$B$20,"&lt;="&amp;A1118)</f>
        <v>735000</v>
      </c>
      <c r="J1118" s="38" t="n">
        <f aca="false">VLOOKUP(A1118,Inputs!$F$40:$G$48,2,TRUE())</f>
        <v>0.0386433</v>
      </c>
      <c r="K1118" s="38" t="n">
        <f aca="false">J1118+Inputs!$C$10</f>
        <v>0.1061433</v>
      </c>
      <c r="L1118" s="37" t="n">
        <f aca="false">I1118*K1118/C1118</f>
        <v>213.740617808219</v>
      </c>
      <c r="M1118" s="37" t="n">
        <f aca="false">IF(AND(A1118&gt;=Inputs!$C$13,OR(A1118&lt;Inputs!$B$19,Inputs!$B$20=1)),I1118*Inputs!$C$11/C1118,0)</f>
        <v>40.2739726027397</v>
      </c>
    </row>
    <row r="1119" customFormat="false" ht="15" hidden="false" customHeight="false" outlineLevel="0" collapsed="false">
      <c r="A1119" s="35" t="n">
        <f aca="false">A1118+1</f>
        <v>45926</v>
      </c>
      <c r="B1119" s="35" t="n">
        <f aca="false">EOMONTH(A1119+1,0)</f>
        <v>45930</v>
      </c>
      <c r="C1119" s="36" t="n">
        <f aca="false">IF(MOD(YEAR(A1119),4)=0,366,365)</f>
        <v>365</v>
      </c>
      <c r="D1119" s="37" t="n">
        <f aca="false">Inputs!$B$9-SUMIFS(Cash_Events!$G$6:$G$20,Cash_Events!$C$6:$C$20,"rAGMF",Cash_Events!$B$6:$B$20,"&lt;="&amp;A1119)</f>
        <v>735000</v>
      </c>
      <c r="E1119" s="38" t="n">
        <f aca="false">VLOOKUP(A1119,Inputs!$A$40:$B$48,2,TRUE())</f>
        <v>0.0396676</v>
      </c>
      <c r="F1119" s="38" t="n">
        <f aca="false">E1119+Inputs!$B$10</f>
        <v>0.1071676</v>
      </c>
      <c r="G1119" s="37" t="n">
        <f aca="false">D1119*F1119/C1119</f>
        <v>215.803249315068</v>
      </c>
      <c r="H1119" s="37" t="n">
        <f aca="false">IF(AND(A1119&gt;=Inputs!$B$13,OR(A1119&lt;Inputs!$B$19,Inputs!$B$20=1)),D1119*Inputs!$B$11/C1119,0)</f>
        <v>40.2739726027397</v>
      </c>
      <c r="I1119" s="37" t="n">
        <f aca="false">Inputs!$C$9-SUMIFS(Cash_Events!$G$6:$G$20,Cash_Events!$C$6:$C$20,"FHL",Cash_Events!$B$6:$B$20,"&lt;="&amp;A1119)</f>
        <v>735000</v>
      </c>
      <c r="J1119" s="38" t="n">
        <f aca="false">VLOOKUP(A1119,Inputs!$F$40:$G$48,2,TRUE())</f>
        <v>0.0386433</v>
      </c>
      <c r="K1119" s="38" t="n">
        <f aca="false">J1119+Inputs!$C$10</f>
        <v>0.1061433</v>
      </c>
      <c r="L1119" s="37" t="n">
        <f aca="false">I1119*K1119/C1119</f>
        <v>213.740617808219</v>
      </c>
      <c r="M1119" s="37" t="n">
        <f aca="false">IF(AND(A1119&gt;=Inputs!$C$13,OR(A1119&lt;Inputs!$B$19,Inputs!$B$20=1)),I1119*Inputs!$C$11/C1119,0)</f>
        <v>40.2739726027397</v>
      </c>
    </row>
    <row r="1120" customFormat="false" ht="15" hidden="false" customHeight="false" outlineLevel="0" collapsed="false">
      <c r="A1120" s="35" t="n">
        <f aca="false">A1119+1</f>
        <v>45927</v>
      </c>
      <c r="B1120" s="35" t="n">
        <f aca="false">EOMONTH(A1120+1,0)</f>
        <v>45930</v>
      </c>
      <c r="C1120" s="36" t="n">
        <f aca="false">IF(MOD(YEAR(A1120),4)=0,366,365)</f>
        <v>365</v>
      </c>
      <c r="D1120" s="37" t="n">
        <f aca="false">Inputs!$B$9-SUMIFS(Cash_Events!$G$6:$G$20,Cash_Events!$C$6:$C$20,"rAGMF",Cash_Events!$B$6:$B$20,"&lt;="&amp;A1120)</f>
        <v>735000</v>
      </c>
      <c r="E1120" s="38" t="n">
        <f aca="false">VLOOKUP(A1120,Inputs!$A$40:$B$48,2,TRUE())</f>
        <v>0.0396676</v>
      </c>
      <c r="F1120" s="38" t="n">
        <f aca="false">E1120+Inputs!$B$10</f>
        <v>0.1071676</v>
      </c>
      <c r="G1120" s="37" t="n">
        <f aca="false">D1120*F1120/C1120</f>
        <v>215.803249315068</v>
      </c>
      <c r="H1120" s="37" t="n">
        <f aca="false">IF(AND(A1120&gt;=Inputs!$B$13,OR(A1120&lt;Inputs!$B$19,Inputs!$B$20=1)),D1120*Inputs!$B$11/C1120,0)</f>
        <v>40.2739726027397</v>
      </c>
      <c r="I1120" s="37" t="n">
        <f aca="false">Inputs!$C$9-SUMIFS(Cash_Events!$G$6:$G$20,Cash_Events!$C$6:$C$20,"FHL",Cash_Events!$B$6:$B$20,"&lt;="&amp;A1120)</f>
        <v>735000</v>
      </c>
      <c r="J1120" s="38" t="n">
        <f aca="false">VLOOKUP(A1120,Inputs!$F$40:$G$48,2,TRUE())</f>
        <v>0.0386433</v>
      </c>
      <c r="K1120" s="38" t="n">
        <f aca="false">J1120+Inputs!$C$10</f>
        <v>0.1061433</v>
      </c>
      <c r="L1120" s="37" t="n">
        <f aca="false">I1120*K1120/C1120</f>
        <v>213.740617808219</v>
      </c>
      <c r="M1120" s="37" t="n">
        <f aca="false">IF(AND(A1120&gt;=Inputs!$C$13,OR(A1120&lt;Inputs!$B$19,Inputs!$B$20=1)),I1120*Inputs!$C$11/C1120,0)</f>
        <v>40.2739726027397</v>
      </c>
    </row>
    <row r="1121" customFormat="false" ht="15" hidden="false" customHeight="false" outlineLevel="0" collapsed="false">
      <c r="A1121" s="35" t="n">
        <f aca="false">A1120+1</f>
        <v>45928</v>
      </c>
      <c r="B1121" s="35" t="n">
        <f aca="false">EOMONTH(A1121+1,0)</f>
        <v>45930</v>
      </c>
      <c r="C1121" s="36" t="n">
        <f aca="false">IF(MOD(YEAR(A1121),4)=0,366,365)</f>
        <v>365</v>
      </c>
      <c r="D1121" s="37" t="n">
        <f aca="false">Inputs!$B$9-SUMIFS(Cash_Events!$G$6:$G$20,Cash_Events!$C$6:$C$20,"rAGMF",Cash_Events!$B$6:$B$20,"&lt;="&amp;A1121)</f>
        <v>735000</v>
      </c>
      <c r="E1121" s="38" t="n">
        <f aca="false">VLOOKUP(A1121,Inputs!$A$40:$B$48,2,TRUE())</f>
        <v>0.0396676</v>
      </c>
      <c r="F1121" s="38" t="n">
        <f aca="false">E1121+Inputs!$B$10</f>
        <v>0.1071676</v>
      </c>
      <c r="G1121" s="37" t="n">
        <f aca="false">D1121*F1121/C1121</f>
        <v>215.803249315068</v>
      </c>
      <c r="H1121" s="37" t="n">
        <f aca="false">IF(AND(A1121&gt;=Inputs!$B$13,OR(A1121&lt;Inputs!$B$19,Inputs!$B$20=1)),D1121*Inputs!$B$11/C1121,0)</f>
        <v>40.2739726027397</v>
      </c>
      <c r="I1121" s="37" t="n">
        <f aca="false">Inputs!$C$9-SUMIFS(Cash_Events!$G$6:$G$20,Cash_Events!$C$6:$C$20,"FHL",Cash_Events!$B$6:$B$20,"&lt;="&amp;A1121)</f>
        <v>735000</v>
      </c>
      <c r="J1121" s="38" t="n">
        <f aca="false">VLOOKUP(A1121,Inputs!$F$40:$G$48,2,TRUE())</f>
        <v>0.0386433</v>
      </c>
      <c r="K1121" s="38" t="n">
        <f aca="false">J1121+Inputs!$C$10</f>
        <v>0.1061433</v>
      </c>
      <c r="L1121" s="37" t="n">
        <f aca="false">I1121*K1121/C1121</f>
        <v>213.740617808219</v>
      </c>
      <c r="M1121" s="37" t="n">
        <f aca="false">IF(AND(A1121&gt;=Inputs!$C$13,OR(A1121&lt;Inputs!$B$19,Inputs!$B$20=1)),I1121*Inputs!$C$11/C1121,0)</f>
        <v>40.2739726027397</v>
      </c>
    </row>
    <row r="1122" customFormat="false" ht="15" hidden="false" customHeight="false" outlineLevel="0" collapsed="false">
      <c r="A1122" s="35" t="n">
        <f aca="false">A1121+1</f>
        <v>45929</v>
      </c>
      <c r="B1122" s="35" t="n">
        <f aca="false">EOMONTH(A1122+1,0)</f>
        <v>45930</v>
      </c>
      <c r="C1122" s="36" t="n">
        <f aca="false">IF(MOD(YEAR(A1122),4)=0,366,365)</f>
        <v>365</v>
      </c>
      <c r="D1122" s="37" t="n">
        <f aca="false">Inputs!$B$9-SUMIFS(Cash_Events!$G$6:$G$20,Cash_Events!$C$6:$C$20,"rAGMF",Cash_Events!$B$6:$B$20,"&lt;="&amp;A1122)</f>
        <v>735000</v>
      </c>
      <c r="E1122" s="38" t="n">
        <f aca="false">VLOOKUP(A1122,Inputs!$A$40:$B$48,2,TRUE())</f>
        <v>0.0396676</v>
      </c>
      <c r="F1122" s="38" t="n">
        <f aca="false">E1122+Inputs!$B$10</f>
        <v>0.1071676</v>
      </c>
      <c r="G1122" s="37" t="n">
        <f aca="false">D1122*F1122/C1122</f>
        <v>215.803249315068</v>
      </c>
      <c r="H1122" s="37" t="n">
        <f aca="false">IF(AND(A1122&gt;=Inputs!$B$13,OR(A1122&lt;Inputs!$B$19,Inputs!$B$20=1)),D1122*Inputs!$B$11/C1122,0)</f>
        <v>40.2739726027397</v>
      </c>
      <c r="I1122" s="37" t="n">
        <f aca="false">Inputs!$C$9-SUMIFS(Cash_Events!$G$6:$G$20,Cash_Events!$C$6:$C$20,"FHL",Cash_Events!$B$6:$B$20,"&lt;="&amp;A1122)</f>
        <v>735000</v>
      </c>
      <c r="J1122" s="38" t="n">
        <f aca="false">VLOOKUP(A1122,Inputs!$F$40:$G$48,2,TRUE())</f>
        <v>0.0386433</v>
      </c>
      <c r="K1122" s="38" t="n">
        <f aca="false">J1122+Inputs!$C$10</f>
        <v>0.1061433</v>
      </c>
      <c r="L1122" s="37" t="n">
        <f aca="false">I1122*K1122/C1122</f>
        <v>213.740617808219</v>
      </c>
      <c r="M1122" s="37" t="n">
        <f aca="false">IF(AND(A1122&gt;=Inputs!$C$13,OR(A1122&lt;Inputs!$B$19,Inputs!$B$20=1)),I1122*Inputs!$C$11/C1122,0)</f>
        <v>40.2739726027397</v>
      </c>
    </row>
    <row r="1123" customFormat="false" ht="15" hidden="false" customHeight="false" outlineLevel="0" collapsed="false">
      <c r="A1123" s="35" t="n">
        <f aca="false">A1122+1</f>
        <v>45930</v>
      </c>
      <c r="B1123" s="35" t="n">
        <f aca="false">EOMONTH(A1123+1,0)</f>
        <v>45961</v>
      </c>
      <c r="C1123" s="36" t="n">
        <f aca="false">IF(MOD(YEAR(A1123),4)=0,366,365)</f>
        <v>365</v>
      </c>
      <c r="D1123" s="37" t="n">
        <f aca="false">Inputs!$B$9-SUMIFS(Cash_Events!$G$6:$G$20,Cash_Events!$C$6:$C$20,"rAGMF",Cash_Events!$B$6:$B$20,"&lt;="&amp;A1123)</f>
        <v>735000</v>
      </c>
      <c r="E1123" s="38" t="n">
        <f aca="false">VLOOKUP(A1123,Inputs!$A$40:$B$48,2,TRUE())</f>
        <v>0.0396676</v>
      </c>
      <c r="F1123" s="38" t="n">
        <f aca="false">E1123+Inputs!$B$10</f>
        <v>0.1071676</v>
      </c>
      <c r="G1123" s="37" t="n">
        <f aca="false">D1123*F1123/C1123</f>
        <v>215.803249315068</v>
      </c>
      <c r="H1123" s="37" t="n">
        <f aca="false">IF(AND(A1123&gt;=Inputs!$B$13,OR(A1123&lt;Inputs!$B$19,Inputs!$B$20=1)),D1123*Inputs!$B$11/C1123,0)</f>
        <v>40.2739726027397</v>
      </c>
      <c r="I1123" s="37" t="n">
        <f aca="false">Inputs!$C$9-SUMIFS(Cash_Events!$G$6:$G$20,Cash_Events!$C$6:$C$20,"FHL",Cash_Events!$B$6:$B$20,"&lt;="&amp;A1123)</f>
        <v>735000</v>
      </c>
      <c r="J1123" s="38" t="n">
        <f aca="false">VLOOKUP(A1123,Inputs!$F$40:$G$48,2,TRUE())</f>
        <v>0.0386433</v>
      </c>
      <c r="K1123" s="38" t="n">
        <f aca="false">J1123+Inputs!$C$10</f>
        <v>0.1061433</v>
      </c>
      <c r="L1123" s="37" t="n">
        <f aca="false">I1123*K1123/C1123</f>
        <v>213.740617808219</v>
      </c>
      <c r="M1123" s="37" t="n">
        <f aca="false">IF(AND(A1123&gt;=Inputs!$C$13,OR(A1123&lt;Inputs!$B$19,Inputs!$B$20=1)),I1123*Inputs!$C$11/C1123,0)</f>
        <v>40.2739726027397</v>
      </c>
    </row>
    <row r="1124" customFormat="false" ht="15" hidden="false" customHeight="false" outlineLevel="0" collapsed="false">
      <c r="A1124" s="35" t="n">
        <f aca="false">A1123+1</f>
        <v>45931</v>
      </c>
      <c r="B1124" s="35" t="n">
        <f aca="false">EOMONTH(A1124+1,0)</f>
        <v>45961</v>
      </c>
      <c r="C1124" s="36" t="n">
        <f aca="false">IF(MOD(YEAR(A1124),4)=0,366,365)</f>
        <v>365</v>
      </c>
      <c r="D1124" s="37" t="n">
        <f aca="false">Inputs!$B$9-SUMIFS(Cash_Events!$G$6:$G$20,Cash_Events!$C$6:$C$20,"rAGMF",Cash_Events!$B$6:$B$20,"&lt;="&amp;A1124)</f>
        <v>735000</v>
      </c>
      <c r="E1124" s="38" t="n">
        <f aca="false">VLOOKUP(A1124,Inputs!$A$40:$B$48,2,TRUE())</f>
        <v>0.0396676</v>
      </c>
      <c r="F1124" s="38" t="n">
        <f aca="false">E1124+Inputs!$B$10</f>
        <v>0.1071676</v>
      </c>
      <c r="G1124" s="37" t="n">
        <f aca="false">D1124*F1124/C1124</f>
        <v>215.803249315068</v>
      </c>
      <c r="H1124" s="37" t="n">
        <f aca="false">IF(AND(A1124&gt;=Inputs!$B$13,OR(A1124&lt;Inputs!$B$19,Inputs!$B$20=1)),D1124*Inputs!$B$11/C1124,0)</f>
        <v>40.2739726027397</v>
      </c>
      <c r="I1124" s="37" t="n">
        <f aca="false">Inputs!$C$9-SUMIFS(Cash_Events!$G$6:$G$20,Cash_Events!$C$6:$C$20,"FHL",Cash_Events!$B$6:$B$20,"&lt;="&amp;A1124)</f>
        <v>735000</v>
      </c>
      <c r="J1124" s="38" t="n">
        <f aca="false">VLOOKUP(A1124,Inputs!$F$40:$G$48,2,TRUE())</f>
        <v>0.0386433</v>
      </c>
      <c r="K1124" s="38" t="n">
        <f aca="false">J1124+Inputs!$C$10</f>
        <v>0.1061433</v>
      </c>
      <c r="L1124" s="37" t="n">
        <f aca="false">I1124*K1124/C1124</f>
        <v>213.740617808219</v>
      </c>
      <c r="M1124" s="37" t="n">
        <f aca="false">IF(AND(A1124&gt;=Inputs!$C$13,OR(A1124&lt;Inputs!$B$19,Inputs!$B$20=1)),I1124*Inputs!$C$11/C1124,0)</f>
        <v>40.2739726027397</v>
      </c>
    </row>
    <row r="1125" customFormat="false" ht="15" hidden="false" customHeight="false" outlineLevel="0" collapsed="false">
      <c r="A1125" s="35" t="n">
        <f aca="false">A1124+1</f>
        <v>45932</v>
      </c>
      <c r="B1125" s="35" t="n">
        <f aca="false">EOMONTH(A1125+1,0)</f>
        <v>45961</v>
      </c>
      <c r="C1125" s="36" t="n">
        <f aca="false">IF(MOD(YEAR(A1125),4)=0,366,365)</f>
        <v>365</v>
      </c>
      <c r="D1125" s="37" t="n">
        <f aca="false">Inputs!$B$9-SUMIFS(Cash_Events!$G$6:$G$20,Cash_Events!$C$6:$C$20,"rAGMF",Cash_Events!$B$6:$B$20,"&lt;="&amp;A1125)</f>
        <v>735000</v>
      </c>
      <c r="E1125" s="38" t="n">
        <f aca="false">VLOOKUP(A1125,Inputs!$A$40:$B$48,2,TRUE())</f>
        <v>0.0396676</v>
      </c>
      <c r="F1125" s="38" t="n">
        <f aca="false">E1125+Inputs!$B$10</f>
        <v>0.1071676</v>
      </c>
      <c r="G1125" s="37" t="n">
        <f aca="false">D1125*F1125/C1125</f>
        <v>215.803249315068</v>
      </c>
      <c r="H1125" s="37" t="n">
        <f aca="false">IF(AND(A1125&gt;=Inputs!$B$13,OR(A1125&lt;Inputs!$B$19,Inputs!$B$20=1)),D1125*Inputs!$B$11/C1125,0)</f>
        <v>40.2739726027397</v>
      </c>
      <c r="I1125" s="37" t="n">
        <f aca="false">Inputs!$C$9-SUMIFS(Cash_Events!$G$6:$G$20,Cash_Events!$C$6:$C$20,"FHL",Cash_Events!$B$6:$B$20,"&lt;="&amp;A1125)</f>
        <v>735000</v>
      </c>
      <c r="J1125" s="38" t="n">
        <f aca="false">VLOOKUP(A1125,Inputs!$F$40:$G$48,2,TRUE())</f>
        <v>0.0386433</v>
      </c>
      <c r="K1125" s="38" t="n">
        <f aca="false">J1125+Inputs!$C$10</f>
        <v>0.1061433</v>
      </c>
      <c r="L1125" s="37" t="n">
        <f aca="false">I1125*K1125/C1125</f>
        <v>213.740617808219</v>
      </c>
      <c r="M1125" s="37" t="n">
        <f aca="false">IF(AND(A1125&gt;=Inputs!$C$13,OR(A1125&lt;Inputs!$B$19,Inputs!$B$20=1)),I1125*Inputs!$C$11/C1125,0)</f>
        <v>40.2739726027397</v>
      </c>
    </row>
    <row r="1126" customFormat="false" ht="15" hidden="false" customHeight="false" outlineLevel="0" collapsed="false">
      <c r="A1126" s="35" t="n">
        <f aca="false">A1125+1</f>
        <v>45933</v>
      </c>
      <c r="B1126" s="35" t="n">
        <f aca="false">EOMONTH(A1126+1,0)</f>
        <v>45961</v>
      </c>
      <c r="C1126" s="36" t="n">
        <f aca="false">IF(MOD(YEAR(A1126),4)=0,366,365)</f>
        <v>365</v>
      </c>
      <c r="D1126" s="37" t="n">
        <f aca="false">Inputs!$B$9-SUMIFS(Cash_Events!$G$6:$G$20,Cash_Events!$C$6:$C$20,"rAGMF",Cash_Events!$B$6:$B$20,"&lt;="&amp;A1126)</f>
        <v>735000</v>
      </c>
      <c r="E1126" s="38" t="n">
        <f aca="false">VLOOKUP(A1126,Inputs!$A$40:$B$48,2,TRUE())</f>
        <v>0.0396676</v>
      </c>
      <c r="F1126" s="38" t="n">
        <f aca="false">E1126+Inputs!$B$10</f>
        <v>0.1071676</v>
      </c>
      <c r="G1126" s="37" t="n">
        <f aca="false">D1126*F1126/C1126</f>
        <v>215.803249315068</v>
      </c>
      <c r="H1126" s="37" t="n">
        <f aca="false">IF(AND(A1126&gt;=Inputs!$B$13,OR(A1126&lt;Inputs!$B$19,Inputs!$B$20=1)),D1126*Inputs!$B$11/C1126,0)</f>
        <v>40.2739726027397</v>
      </c>
      <c r="I1126" s="37" t="n">
        <f aca="false">Inputs!$C$9-SUMIFS(Cash_Events!$G$6:$G$20,Cash_Events!$C$6:$C$20,"FHL",Cash_Events!$B$6:$B$20,"&lt;="&amp;A1126)</f>
        <v>735000</v>
      </c>
      <c r="J1126" s="38" t="n">
        <f aca="false">VLOOKUP(A1126,Inputs!$F$40:$G$48,2,TRUE())</f>
        <v>0.0386433</v>
      </c>
      <c r="K1126" s="38" t="n">
        <f aca="false">J1126+Inputs!$C$10</f>
        <v>0.1061433</v>
      </c>
      <c r="L1126" s="37" t="n">
        <f aca="false">I1126*K1126/C1126</f>
        <v>213.740617808219</v>
      </c>
      <c r="M1126" s="37" t="n">
        <f aca="false">IF(AND(A1126&gt;=Inputs!$C$13,OR(A1126&lt;Inputs!$B$19,Inputs!$B$20=1)),I1126*Inputs!$C$11/C1126,0)</f>
        <v>40.2739726027397</v>
      </c>
    </row>
    <row r="1127" customFormat="false" ht="15" hidden="false" customHeight="false" outlineLevel="0" collapsed="false">
      <c r="A1127" s="35" t="n">
        <f aca="false">A1126+1</f>
        <v>45934</v>
      </c>
      <c r="B1127" s="35" t="n">
        <f aca="false">EOMONTH(A1127+1,0)</f>
        <v>45961</v>
      </c>
      <c r="C1127" s="36" t="n">
        <f aca="false">IF(MOD(YEAR(A1127),4)=0,366,365)</f>
        <v>365</v>
      </c>
      <c r="D1127" s="37" t="n">
        <f aca="false">Inputs!$B$9-SUMIFS(Cash_Events!$G$6:$G$20,Cash_Events!$C$6:$C$20,"rAGMF",Cash_Events!$B$6:$B$20,"&lt;="&amp;A1127)</f>
        <v>735000</v>
      </c>
      <c r="E1127" s="38" t="n">
        <f aca="false">VLOOKUP(A1127,Inputs!$A$40:$B$48,2,TRUE())</f>
        <v>0.0396676</v>
      </c>
      <c r="F1127" s="38" t="n">
        <f aca="false">E1127+Inputs!$B$10</f>
        <v>0.1071676</v>
      </c>
      <c r="G1127" s="37" t="n">
        <f aca="false">D1127*F1127/C1127</f>
        <v>215.803249315068</v>
      </c>
      <c r="H1127" s="37" t="n">
        <f aca="false">IF(AND(A1127&gt;=Inputs!$B$13,OR(A1127&lt;Inputs!$B$19,Inputs!$B$20=1)),D1127*Inputs!$B$11/C1127,0)</f>
        <v>40.2739726027397</v>
      </c>
      <c r="I1127" s="37" t="n">
        <f aca="false">Inputs!$C$9-SUMIFS(Cash_Events!$G$6:$G$20,Cash_Events!$C$6:$C$20,"FHL",Cash_Events!$B$6:$B$20,"&lt;="&amp;A1127)</f>
        <v>735000</v>
      </c>
      <c r="J1127" s="38" t="n">
        <f aca="false">VLOOKUP(A1127,Inputs!$F$40:$G$48,2,TRUE())</f>
        <v>0.0386433</v>
      </c>
      <c r="K1127" s="38" t="n">
        <f aca="false">J1127+Inputs!$C$10</f>
        <v>0.1061433</v>
      </c>
      <c r="L1127" s="37" t="n">
        <f aca="false">I1127*K1127/C1127</f>
        <v>213.740617808219</v>
      </c>
      <c r="M1127" s="37" t="n">
        <f aca="false">IF(AND(A1127&gt;=Inputs!$C$13,OR(A1127&lt;Inputs!$B$19,Inputs!$B$20=1)),I1127*Inputs!$C$11/C1127,0)</f>
        <v>40.2739726027397</v>
      </c>
    </row>
    <row r="1128" customFormat="false" ht="15" hidden="false" customHeight="false" outlineLevel="0" collapsed="false">
      <c r="A1128" s="35" t="n">
        <f aca="false">A1127+1</f>
        <v>45935</v>
      </c>
      <c r="B1128" s="35" t="n">
        <f aca="false">EOMONTH(A1128+1,0)</f>
        <v>45961</v>
      </c>
      <c r="C1128" s="36" t="n">
        <f aca="false">IF(MOD(YEAR(A1128),4)=0,366,365)</f>
        <v>365</v>
      </c>
      <c r="D1128" s="37" t="n">
        <f aca="false">Inputs!$B$9-SUMIFS(Cash_Events!$G$6:$G$20,Cash_Events!$C$6:$C$20,"rAGMF",Cash_Events!$B$6:$B$20,"&lt;="&amp;A1128)</f>
        <v>735000</v>
      </c>
      <c r="E1128" s="38" t="n">
        <f aca="false">VLOOKUP(A1128,Inputs!$A$40:$B$48,2,TRUE())</f>
        <v>0.0396676</v>
      </c>
      <c r="F1128" s="38" t="n">
        <f aca="false">E1128+Inputs!$B$10</f>
        <v>0.1071676</v>
      </c>
      <c r="G1128" s="37" t="n">
        <f aca="false">D1128*F1128/C1128</f>
        <v>215.803249315068</v>
      </c>
      <c r="H1128" s="37" t="n">
        <f aca="false">IF(AND(A1128&gt;=Inputs!$B$13,OR(A1128&lt;Inputs!$B$19,Inputs!$B$20=1)),D1128*Inputs!$B$11/C1128,0)</f>
        <v>40.2739726027397</v>
      </c>
      <c r="I1128" s="37" t="n">
        <f aca="false">Inputs!$C$9-SUMIFS(Cash_Events!$G$6:$G$20,Cash_Events!$C$6:$C$20,"FHL",Cash_Events!$B$6:$B$20,"&lt;="&amp;A1128)</f>
        <v>735000</v>
      </c>
      <c r="J1128" s="38" t="n">
        <f aca="false">VLOOKUP(A1128,Inputs!$F$40:$G$48,2,TRUE())</f>
        <v>0.0386433</v>
      </c>
      <c r="K1128" s="38" t="n">
        <f aca="false">J1128+Inputs!$C$10</f>
        <v>0.1061433</v>
      </c>
      <c r="L1128" s="37" t="n">
        <f aca="false">I1128*K1128/C1128</f>
        <v>213.740617808219</v>
      </c>
      <c r="M1128" s="37" t="n">
        <f aca="false">IF(AND(A1128&gt;=Inputs!$C$13,OR(A1128&lt;Inputs!$B$19,Inputs!$B$20=1)),I1128*Inputs!$C$11/C1128,0)</f>
        <v>40.2739726027397</v>
      </c>
    </row>
    <row r="1129" customFormat="false" ht="15" hidden="false" customHeight="false" outlineLevel="0" collapsed="false">
      <c r="A1129" s="35" t="n">
        <f aca="false">A1128+1</f>
        <v>45936</v>
      </c>
      <c r="B1129" s="35" t="n">
        <f aca="false">EOMONTH(A1129+1,0)</f>
        <v>45961</v>
      </c>
      <c r="C1129" s="36" t="n">
        <f aca="false">IF(MOD(YEAR(A1129),4)=0,366,365)</f>
        <v>365</v>
      </c>
      <c r="D1129" s="37" t="n">
        <f aca="false">Inputs!$B$9-SUMIFS(Cash_Events!$G$6:$G$20,Cash_Events!$C$6:$C$20,"rAGMF",Cash_Events!$B$6:$B$20,"&lt;="&amp;A1129)</f>
        <v>735000</v>
      </c>
      <c r="E1129" s="38" t="n">
        <f aca="false">VLOOKUP(A1129,Inputs!$A$40:$B$48,2,TRUE())</f>
        <v>0.0396676</v>
      </c>
      <c r="F1129" s="38" t="n">
        <f aca="false">E1129+Inputs!$B$10</f>
        <v>0.1071676</v>
      </c>
      <c r="G1129" s="37" t="n">
        <f aca="false">D1129*F1129/C1129</f>
        <v>215.803249315068</v>
      </c>
      <c r="H1129" s="37" t="n">
        <f aca="false">IF(AND(A1129&gt;=Inputs!$B$13,OR(A1129&lt;Inputs!$B$19,Inputs!$B$20=1)),D1129*Inputs!$B$11/C1129,0)</f>
        <v>40.2739726027397</v>
      </c>
      <c r="I1129" s="37" t="n">
        <f aca="false">Inputs!$C$9-SUMIFS(Cash_Events!$G$6:$G$20,Cash_Events!$C$6:$C$20,"FHL",Cash_Events!$B$6:$B$20,"&lt;="&amp;A1129)</f>
        <v>735000</v>
      </c>
      <c r="J1129" s="38" t="n">
        <f aca="false">VLOOKUP(A1129,Inputs!$F$40:$G$48,2,TRUE())</f>
        <v>0.0386433</v>
      </c>
      <c r="K1129" s="38" t="n">
        <f aca="false">J1129+Inputs!$C$10</f>
        <v>0.1061433</v>
      </c>
      <c r="L1129" s="37" t="n">
        <f aca="false">I1129*K1129/C1129</f>
        <v>213.740617808219</v>
      </c>
      <c r="M1129" s="37" t="n">
        <f aca="false">IF(AND(A1129&gt;=Inputs!$C$13,OR(A1129&lt;Inputs!$B$19,Inputs!$B$20=1)),I1129*Inputs!$C$11/C1129,0)</f>
        <v>40.2739726027397</v>
      </c>
    </row>
    <row r="1130" customFormat="false" ht="15" hidden="false" customHeight="false" outlineLevel="0" collapsed="false">
      <c r="A1130" s="35" t="n">
        <f aca="false">A1129+1</f>
        <v>45937</v>
      </c>
      <c r="B1130" s="35" t="n">
        <f aca="false">EOMONTH(A1130+1,0)</f>
        <v>45961</v>
      </c>
      <c r="C1130" s="36" t="n">
        <f aca="false">IF(MOD(YEAR(A1130),4)=0,366,365)</f>
        <v>365</v>
      </c>
      <c r="D1130" s="37" t="n">
        <f aca="false">Inputs!$B$9-SUMIFS(Cash_Events!$G$6:$G$20,Cash_Events!$C$6:$C$20,"rAGMF",Cash_Events!$B$6:$B$20,"&lt;="&amp;A1130)</f>
        <v>735000</v>
      </c>
      <c r="E1130" s="38" t="n">
        <f aca="false">VLOOKUP(A1130,Inputs!$A$40:$B$48,2,TRUE())</f>
        <v>0.0396676</v>
      </c>
      <c r="F1130" s="38" t="n">
        <f aca="false">E1130+Inputs!$B$10</f>
        <v>0.1071676</v>
      </c>
      <c r="G1130" s="37" t="n">
        <f aca="false">D1130*F1130/C1130</f>
        <v>215.803249315068</v>
      </c>
      <c r="H1130" s="37" t="n">
        <f aca="false">IF(AND(A1130&gt;=Inputs!$B$13,OR(A1130&lt;Inputs!$B$19,Inputs!$B$20=1)),D1130*Inputs!$B$11/C1130,0)</f>
        <v>40.2739726027397</v>
      </c>
      <c r="I1130" s="37" t="n">
        <f aca="false">Inputs!$C$9-SUMIFS(Cash_Events!$G$6:$G$20,Cash_Events!$C$6:$C$20,"FHL",Cash_Events!$B$6:$B$20,"&lt;="&amp;A1130)</f>
        <v>735000</v>
      </c>
      <c r="J1130" s="38" t="n">
        <f aca="false">VLOOKUP(A1130,Inputs!$F$40:$G$48,2,TRUE())</f>
        <v>0.0386433</v>
      </c>
      <c r="K1130" s="38" t="n">
        <f aca="false">J1130+Inputs!$C$10</f>
        <v>0.1061433</v>
      </c>
      <c r="L1130" s="37" t="n">
        <f aca="false">I1130*K1130/C1130</f>
        <v>213.740617808219</v>
      </c>
      <c r="M1130" s="37" t="n">
        <f aca="false">IF(AND(A1130&gt;=Inputs!$C$13,OR(A1130&lt;Inputs!$B$19,Inputs!$B$20=1)),I1130*Inputs!$C$11/C1130,0)</f>
        <v>40.2739726027397</v>
      </c>
    </row>
    <row r="1131" customFormat="false" ht="15" hidden="false" customHeight="false" outlineLevel="0" collapsed="false">
      <c r="A1131" s="35" t="n">
        <f aca="false">A1130+1</f>
        <v>45938</v>
      </c>
      <c r="B1131" s="35" t="n">
        <f aca="false">EOMONTH(A1131+1,0)</f>
        <v>45961</v>
      </c>
      <c r="C1131" s="36" t="n">
        <f aca="false">IF(MOD(YEAR(A1131),4)=0,366,365)</f>
        <v>365</v>
      </c>
      <c r="D1131" s="37" t="n">
        <f aca="false">Inputs!$B$9-SUMIFS(Cash_Events!$G$6:$G$20,Cash_Events!$C$6:$C$20,"rAGMF",Cash_Events!$B$6:$B$20,"&lt;="&amp;A1131)</f>
        <v>735000</v>
      </c>
      <c r="E1131" s="38" t="n">
        <f aca="false">VLOOKUP(A1131,Inputs!$A$40:$B$48,2,TRUE())</f>
        <v>0.0396676</v>
      </c>
      <c r="F1131" s="38" t="n">
        <f aca="false">E1131+Inputs!$B$10</f>
        <v>0.1071676</v>
      </c>
      <c r="G1131" s="37" t="n">
        <f aca="false">D1131*F1131/C1131</f>
        <v>215.803249315068</v>
      </c>
      <c r="H1131" s="37" t="n">
        <f aca="false">IF(AND(A1131&gt;=Inputs!$B$13,OR(A1131&lt;Inputs!$B$19,Inputs!$B$20=1)),D1131*Inputs!$B$11/C1131,0)</f>
        <v>40.2739726027397</v>
      </c>
      <c r="I1131" s="37" t="n">
        <f aca="false">Inputs!$C$9-SUMIFS(Cash_Events!$G$6:$G$20,Cash_Events!$C$6:$C$20,"FHL",Cash_Events!$B$6:$B$20,"&lt;="&amp;A1131)</f>
        <v>735000</v>
      </c>
      <c r="J1131" s="38" t="n">
        <f aca="false">VLOOKUP(A1131,Inputs!$F$40:$G$48,2,TRUE())</f>
        <v>0.0386433</v>
      </c>
      <c r="K1131" s="38" t="n">
        <f aca="false">J1131+Inputs!$C$10</f>
        <v>0.1061433</v>
      </c>
      <c r="L1131" s="37" t="n">
        <f aca="false">I1131*K1131/C1131</f>
        <v>213.740617808219</v>
      </c>
      <c r="M1131" s="37" t="n">
        <f aca="false">IF(AND(A1131&gt;=Inputs!$C$13,OR(A1131&lt;Inputs!$B$19,Inputs!$B$20=1)),I1131*Inputs!$C$11/C1131,0)</f>
        <v>40.2739726027397</v>
      </c>
    </row>
    <row r="1132" customFormat="false" ht="15" hidden="false" customHeight="false" outlineLevel="0" collapsed="false">
      <c r="A1132" s="35" t="n">
        <f aca="false">A1131+1</f>
        <v>45939</v>
      </c>
      <c r="B1132" s="35" t="n">
        <f aca="false">EOMONTH(A1132+1,0)</f>
        <v>45961</v>
      </c>
      <c r="C1132" s="36" t="n">
        <f aca="false">IF(MOD(YEAR(A1132),4)=0,366,365)</f>
        <v>365</v>
      </c>
      <c r="D1132" s="37" t="n">
        <f aca="false">Inputs!$B$9-SUMIFS(Cash_Events!$G$6:$G$20,Cash_Events!$C$6:$C$20,"rAGMF",Cash_Events!$B$6:$B$20,"&lt;="&amp;A1132)</f>
        <v>735000</v>
      </c>
      <c r="E1132" s="38" t="n">
        <f aca="false">VLOOKUP(A1132,Inputs!$A$40:$B$48,2,TRUE())</f>
        <v>0.0396676</v>
      </c>
      <c r="F1132" s="38" t="n">
        <f aca="false">E1132+Inputs!$B$10</f>
        <v>0.1071676</v>
      </c>
      <c r="G1132" s="37" t="n">
        <f aca="false">D1132*F1132/C1132</f>
        <v>215.803249315068</v>
      </c>
      <c r="H1132" s="37" t="n">
        <f aca="false">IF(AND(A1132&gt;=Inputs!$B$13,OR(A1132&lt;Inputs!$B$19,Inputs!$B$20=1)),D1132*Inputs!$B$11/C1132,0)</f>
        <v>40.2739726027397</v>
      </c>
      <c r="I1132" s="37" t="n">
        <f aca="false">Inputs!$C$9-SUMIFS(Cash_Events!$G$6:$G$20,Cash_Events!$C$6:$C$20,"FHL",Cash_Events!$B$6:$B$20,"&lt;="&amp;A1132)</f>
        <v>735000</v>
      </c>
      <c r="J1132" s="38" t="n">
        <f aca="false">VLOOKUP(A1132,Inputs!$F$40:$G$48,2,TRUE())</f>
        <v>0.0386433</v>
      </c>
      <c r="K1132" s="38" t="n">
        <f aca="false">J1132+Inputs!$C$10</f>
        <v>0.1061433</v>
      </c>
      <c r="L1132" s="37" t="n">
        <f aca="false">I1132*K1132/C1132</f>
        <v>213.740617808219</v>
      </c>
      <c r="M1132" s="37" t="n">
        <f aca="false">IF(AND(A1132&gt;=Inputs!$C$13,OR(A1132&lt;Inputs!$B$19,Inputs!$B$20=1)),I1132*Inputs!$C$11/C1132,0)</f>
        <v>40.2739726027397</v>
      </c>
    </row>
    <row r="1133" customFormat="false" ht="15" hidden="false" customHeight="false" outlineLevel="0" collapsed="false">
      <c r="A1133" s="35" t="n">
        <f aca="false">A1132+1</f>
        <v>45940</v>
      </c>
      <c r="B1133" s="35" t="n">
        <f aca="false">EOMONTH(A1133+1,0)</f>
        <v>45961</v>
      </c>
      <c r="C1133" s="36" t="n">
        <f aca="false">IF(MOD(YEAR(A1133),4)=0,366,365)</f>
        <v>365</v>
      </c>
      <c r="D1133" s="37" t="n">
        <f aca="false">Inputs!$B$9-SUMIFS(Cash_Events!$G$6:$G$20,Cash_Events!$C$6:$C$20,"rAGMF",Cash_Events!$B$6:$B$20,"&lt;="&amp;A1133)</f>
        <v>735000</v>
      </c>
      <c r="E1133" s="38" t="n">
        <f aca="false">VLOOKUP(A1133,Inputs!$A$40:$B$48,2,TRUE())</f>
        <v>0.0396676</v>
      </c>
      <c r="F1133" s="38" t="n">
        <f aca="false">E1133+Inputs!$B$10</f>
        <v>0.1071676</v>
      </c>
      <c r="G1133" s="37" t="n">
        <f aca="false">D1133*F1133/C1133</f>
        <v>215.803249315068</v>
      </c>
      <c r="H1133" s="37" t="n">
        <f aca="false">IF(AND(A1133&gt;=Inputs!$B$13,OR(A1133&lt;Inputs!$B$19,Inputs!$B$20=1)),D1133*Inputs!$B$11/C1133,0)</f>
        <v>40.2739726027397</v>
      </c>
      <c r="I1133" s="37" t="n">
        <f aca="false">Inputs!$C$9-SUMIFS(Cash_Events!$G$6:$G$20,Cash_Events!$C$6:$C$20,"FHL",Cash_Events!$B$6:$B$20,"&lt;="&amp;A1133)</f>
        <v>735000</v>
      </c>
      <c r="J1133" s="38" t="n">
        <f aca="false">VLOOKUP(A1133,Inputs!$F$40:$G$48,2,TRUE())</f>
        <v>0.0386433</v>
      </c>
      <c r="K1133" s="38" t="n">
        <f aca="false">J1133+Inputs!$C$10</f>
        <v>0.1061433</v>
      </c>
      <c r="L1133" s="37" t="n">
        <f aca="false">I1133*K1133/C1133</f>
        <v>213.740617808219</v>
      </c>
      <c r="M1133" s="37" t="n">
        <f aca="false">IF(AND(A1133&gt;=Inputs!$C$13,OR(A1133&lt;Inputs!$B$19,Inputs!$B$20=1)),I1133*Inputs!$C$11/C1133,0)</f>
        <v>40.2739726027397</v>
      </c>
    </row>
    <row r="1134" customFormat="false" ht="15" hidden="false" customHeight="false" outlineLevel="0" collapsed="false">
      <c r="A1134" s="35" t="n">
        <f aca="false">A1133+1</f>
        <v>45941</v>
      </c>
      <c r="B1134" s="35" t="n">
        <f aca="false">EOMONTH(A1134+1,0)</f>
        <v>45961</v>
      </c>
      <c r="C1134" s="36" t="n">
        <f aca="false">IF(MOD(YEAR(A1134),4)=0,366,365)</f>
        <v>365</v>
      </c>
      <c r="D1134" s="37" t="n">
        <f aca="false">Inputs!$B$9-SUMIFS(Cash_Events!$G$6:$G$20,Cash_Events!$C$6:$C$20,"rAGMF",Cash_Events!$B$6:$B$20,"&lt;="&amp;A1134)</f>
        <v>735000</v>
      </c>
      <c r="E1134" s="38" t="n">
        <f aca="false">VLOOKUP(A1134,Inputs!$A$40:$B$48,2,TRUE())</f>
        <v>0.0396676</v>
      </c>
      <c r="F1134" s="38" t="n">
        <f aca="false">E1134+Inputs!$B$10</f>
        <v>0.1071676</v>
      </c>
      <c r="G1134" s="37" t="n">
        <f aca="false">D1134*F1134/C1134</f>
        <v>215.803249315068</v>
      </c>
      <c r="H1134" s="37" t="n">
        <f aca="false">IF(AND(A1134&gt;=Inputs!$B$13,OR(A1134&lt;Inputs!$B$19,Inputs!$B$20=1)),D1134*Inputs!$B$11/C1134,0)</f>
        <v>40.2739726027397</v>
      </c>
      <c r="I1134" s="37" t="n">
        <f aca="false">Inputs!$C$9-SUMIFS(Cash_Events!$G$6:$G$20,Cash_Events!$C$6:$C$20,"FHL",Cash_Events!$B$6:$B$20,"&lt;="&amp;A1134)</f>
        <v>735000</v>
      </c>
      <c r="J1134" s="38" t="n">
        <f aca="false">VLOOKUP(A1134,Inputs!$F$40:$G$48,2,TRUE())</f>
        <v>0.0386433</v>
      </c>
      <c r="K1134" s="38" t="n">
        <f aca="false">J1134+Inputs!$C$10</f>
        <v>0.1061433</v>
      </c>
      <c r="L1134" s="37" t="n">
        <f aca="false">I1134*K1134/C1134</f>
        <v>213.740617808219</v>
      </c>
      <c r="M1134" s="37" t="n">
        <f aca="false">IF(AND(A1134&gt;=Inputs!$C$13,OR(A1134&lt;Inputs!$B$19,Inputs!$B$20=1)),I1134*Inputs!$C$11/C1134,0)</f>
        <v>40.2739726027397</v>
      </c>
    </row>
    <row r="1135" customFormat="false" ht="15" hidden="false" customHeight="false" outlineLevel="0" collapsed="false">
      <c r="A1135" s="35" t="n">
        <f aca="false">A1134+1</f>
        <v>45942</v>
      </c>
      <c r="B1135" s="35" t="n">
        <f aca="false">EOMONTH(A1135+1,0)</f>
        <v>45961</v>
      </c>
      <c r="C1135" s="36" t="n">
        <f aca="false">IF(MOD(YEAR(A1135),4)=0,366,365)</f>
        <v>365</v>
      </c>
      <c r="D1135" s="37" t="n">
        <f aca="false">Inputs!$B$9-SUMIFS(Cash_Events!$G$6:$G$20,Cash_Events!$C$6:$C$20,"rAGMF",Cash_Events!$B$6:$B$20,"&lt;="&amp;A1135)</f>
        <v>735000</v>
      </c>
      <c r="E1135" s="38" t="n">
        <f aca="false">VLOOKUP(A1135,Inputs!$A$40:$B$48,2,TRUE())</f>
        <v>0.0396676</v>
      </c>
      <c r="F1135" s="38" t="n">
        <f aca="false">E1135+Inputs!$B$10</f>
        <v>0.1071676</v>
      </c>
      <c r="G1135" s="37" t="n">
        <f aca="false">D1135*F1135/C1135</f>
        <v>215.803249315068</v>
      </c>
      <c r="H1135" s="37" t="n">
        <f aca="false">IF(AND(A1135&gt;=Inputs!$B$13,OR(A1135&lt;Inputs!$B$19,Inputs!$B$20=1)),D1135*Inputs!$B$11/C1135,0)</f>
        <v>40.2739726027397</v>
      </c>
      <c r="I1135" s="37" t="n">
        <f aca="false">Inputs!$C$9-SUMIFS(Cash_Events!$G$6:$G$20,Cash_Events!$C$6:$C$20,"FHL",Cash_Events!$B$6:$B$20,"&lt;="&amp;A1135)</f>
        <v>735000</v>
      </c>
      <c r="J1135" s="38" t="n">
        <f aca="false">VLOOKUP(A1135,Inputs!$F$40:$G$48,2,TRUE())</f>
        <v>0.0386433</v>
      </c>
      <c r="K1135" s="38" t="n">
        <f aca="false">J1135+Inputs!$C$10</f>
        <v>0.1061433</v>
      </c>
      <c r="L1135" s="37" t="n">
        <f aca="false">I1135*K1135/C1135</f>
        <v>213.740617808219</v>
      </c>
      <c r="M1135" s="37" t="n">
        <f aca="false">IF(AND(A1135&gt;=Inputs!$C$13,OR(A1135&lt;Inputs!$B$19,Inputs!$B$20=1)),I1135*Inputs!$C$11/C1135,0)</f>
        <v>40.2739726027397</v>
      </c>
    </row>
    <row r="1136" customFormat="false" ht="15" hidden="false" customHeight="false" outlineLevel="0" collapsed="false">
      <c r="A1136" s="35" t="n">
        <f aca="false">A1135+1</f>
        <v>45943</v>
      </c>
      <c r="B1136" s="35" t="n">
        <f aca="false">EOMONTH(A1136+1,0)</f>
        <v>45961</v>
      </c>
      <c r="C1136" s="36" t="n">
        <f aca="false">IF(MOD(YEAR(A1136),4)=0,366,365)</f>
        <v>365</v>
      </c>
      <c r="D1136" s="37" t="n">
        <f aca="false">Inputs!$B$9-SUMIFS(Cash_Events!$G$6:$G$20,Cash_Events!$C$6:$C$20,"rAGMF",Cash_Events!$B$6:$B$20,"&lt;="&amp;A1136)</f>
        <v>735000</v>
      </c>
      <c r="E1136" s="38" t="n">
        <f aca="false">VLOOKUP(A1136,Inputs!$A$40:$B$48,2,TRUE())</f>
        <v>0.0396676</v>
      </c>
      <c r="F1136" s="38" t="n">
        <f aca="false">E1136+Inputs!$B$10</f>
        <v>0.1071676</v>
      </c>
      <c r="G1136" s="37" t="n">
        <f aca="false">D1136*F1136/C1136</f>
        <v>215.803249315068</v>
      </c>
      <c r="H1136" s="37" t="n">
        <f aca="false">IF(AND(A1136&gt;=Inputs!$B$13,OR(A1136&lt;Inputs!$B$19,Inputs!$B$20=1)),D1136*Inputs!$B$11/C1136,0)</f>
        <v>40.2739726027397</v>
      </c>
      <c r="I1136" s="37" t="n">
        <f aca="false">Inputs!$C$9-SUMIFS(Cash_Events!$G$6:$G$20,Cash_Events!$C$6:$C$20,"FHL",Cash_Events!$B$6:$B$20,"&lt;="&amp;A1136)</f>
        <v>735000</v>
      </c>
      <c r="J1136" s="38" t="n">
        <f aca="false">VLOOKUP(A1136,Inputs!$F$40:$G$48,2,TRUE())</f>
        <v>0.0386433</v>
      </c>
      <c r="K1136" s="38" t="n">
        <f aca="false">J1136+Inputs!$C$10</f>
        <v>0.1061433</v>
      </c>
      <c r="L1136" s="37" t="n">
        <f aca="false">I1136*K1136/C1136</f>
        <v>213.740617808219</v>
      </c>
      <c r="M1136" s="37" t="n">
        <f aca="false">IF(AND(A1136&gt;=Inputs!$C$13,OR(A1136&lt;Inputs!$B$19,Inputs!$B$20=1)),I1136*Inputs!$C$11/C1136,0)</f>
        <v>40.2739726027397</v>
      </c>
    </row>
    <row r="1137" customFormat="false" ht="15" hidden="false" customHeight="false" outlineLevel="0" collapsed="false">
      <c r="A1137" s="35" t="n">
        <f aca="false">A1136+1</f>
        <v>45944</v>
      </c>
      <c r="B1137" s="35" t="n">
        <f aca="false">EOMONTH(A1137+1,0)</f>
        <v>45961</v>
      </c>
      <c r="C1137" s="36" t="n">
        <f aca="false">IF(MOD(YEAR(A1137),4)=0,366,365)</f>
        <v>365</v>
      </c>
      <c r="D1137" s="37" t="n">
        <f aca="false">Inputs!$B$9-SUMIFS(Cash_Events!$G$6:$G$20,Cash_Events!$C$6:$C$20,"rAGMF",Cash_Events!$B$6:$B$20,"&lt;="&amp;A1137)</f>
        <v>735000</v>
      </c>
      <c r="E1137" s="38" t="n">
        <f aca="false">VLOOKUP(A1137,Inputs!$A$40:$B$48,2,TRUE())</f>
        <v>0.0396676</v>
      </c>
      <c r="F1137" s="38" t="n">
        <f aca="false">E1137+Inputs!$B$10</f>
        <v>0.1071676</v>
      </c>
      <c r="G1137" s="37" t="n">
        <f aca="false">D1137*F1137/C1137</f>
        <v>215.803249315068</v>
      </c>
      <c r="H1137" s="37" t="n">
        <f aca="false">IF(AND(A1137&gt;=Inputs!$B$13,OR(A1137&lt;Inputs!$B$19,Inputs!$B$20=1)),D1137*Inputs!$B$11/C1137,0)</f>
        <v>40.2739726027397</v>
      </c>
      <c r="I1137" s="37" t="n">
        <f aca="false">Inputs!$C$9-SUMIFS(Cash_Events!$G$6:$G$20,Cash_Events!$C$6:$C$20,"FHL",Cash_Events!$B$6:$B$20,"&lt;="&amp;A1137)</f>
        <v>735000</v>
      </c>
      <c r="J1137" s="38" t="n">
        <f aca="false">VLOOKUP(A1137,Inputs!$F$40:$G$48,2,TRUE())</f>
        <v>0.0386433</v>
      </c>
      <c r="K1137" s="38" t="n">
        <f aca="false">J1137+Inputs!$C$10</f>
        <v>0.1061433</v>
      </c>
      <c r="L1137" s="37" t="n">
        <f aca="false">I1137*K1137/C1137</f>
        <v>213.740617808219</v>
      </c>
      <c r="M1137" s="37" t="n">
        <f aca="false">IF(AND(A1137&gt;=Inputs!$C$13,OR(A1137&lt;Inputs!$B$19,Inputs!$B$20=1)),I1137*Inputs!$C$11/C1137,0)</f>
        <v>40.2739726027397</v>
      </c>
    </row>
    <row r="1138" customFormat="false" ht="15" hidden="false" customHeight="false" outlineLevel="0" collapsed="false">
      <c r="A1138" s="35" t="n">
        <f aca="false">A1137+1</f>
        <v>45945</v>
      </c>
      <c r="B1138" s="35" t="n">
        <f aca="false">EOMONTH(A1138+1,0)</f>
        <v>45961</v>
      </c>
      <c r="C1138" s="36" t="n">
        <f aca="false">IF(MOD(YEAR(A1138),4)=0,366,365)</f>
        <v>365</v>
      </c>
      <c r="D1138" s="37" t="n">
        <f aca="false">Inputs!$B$9-SUMIFS(Cash_Events!$G$6:$G$20,Cash_Events!$C$6:$C$20,"rAGMF",Cash_Events!$B$6:$B$20,"&lt;="&amp;A1138)</f>
        <v>735000</v>
      </c>
      <c r="E1138" s="38" t="n">
        <f aca="false">VLOOKUP(A1138,Inputs!$A$40:$B$48,2,TRUE())</f>
        <v>0.0396676</v>
      </c>
      <c r="F1138" s="38" t="n">
        <f aca="false">E1138+Inputs!$B$10</f>
        <v>0.1071676</v>
      </c>
      <c r="G1138" s="37" t="n">
        <f aca="false">D1138*F1138/C1138</f>
        <v>215.803249315068</v>
      </c>
      <c r="H1138" s="37" t="n">
        <f aca="false">IF(AND(A1138&gt;=Inputs!$B$13,OR(A1138&lt;Inputs!$B$19,Inputs!$B$20=1)),D1138*Inputs!$B$11/C1138,0)</f>
        <v>40.2739726027397</v>
      </c>
      <c r="I1138" s="37" t="n">
        <f aca="false">Inputs!$C$9-SUMIFS(Cash_Events!$G$6:$G$20,Cash_Events!$C$6:$C$20,"FHL",Cash_Events!$B$6:$B$20,"&lt;="&amp;A1138)</f>
        <v>735000</v>
      </c>
      <c r="J1138" s="38" t="n">
        <f aca="false">VLOOKUP(A1138,Inputs!$F$40:$G$48,2,TRUE())</f>
        <v>0.0386433</v>
      </c>
      <c r="K1138" s="38" t="n">
        <f aca="false">J1138+Inputs!$C$10</f>
        <v>0.1061433</v>
      </c>
      <c r="L1138" s="37" t="n">
        <f aca="false">I1138*K1138/C1138</f>
        <v>213.740617808219</v>
      </c>
      <c r="M1138" s="37" t="n">
        <f aca="false">IF(AND(A1138&gt;=Inputs!$C$13,OR(A1138&lt;Inputs!$B$19,Inputs!$B$20=1)),I1138*Inputs!$C$11/C1138,0)</f>
        <v>40.2739726027397</v>
      </c>
    </row>
    <row r="1139" customFormat="false" ht="15" hidden="false" customHeight="false" outlineLevel="0" collapsed="false">
      <c r="A1139" s="35" t="n">
        <f aca="false">A1138+1</f>
        <v>45946</v>
      </c>
      <c r="B1139" s="35" t="n">
        <f aca="false">EOMONTH(A1139+1,0)</f>
        <v>45961</v>
      </c>
      <c r="C1139" s="36" t="n">
        <f aca="false">IF(MOD(YEAR(A1139),4)=0,366,365)</f>
        <v>365</v>
      </c>
      <c r="D1139" s="37" t="n">
        <f aca="false">Inputs!$B$9-SUMIFS(Cash_Events!$G$6:$G$20,Cash_Events!$C$6:$C$20,"rAGMF",Cash_Events!$B$6:$B$20,"&lt;="&amp;A1139)</f>
        <v>735000</v>
      </c>
      <c r="E1139" s="38" t="n">
        <f aca="false">VLOOKUP(A1139,Inputs!$A$40:$B$48,2,TRUE())</f>
        <v>0.0396676</v>
      </c>
      <c r="F1139" s="38" t="n">
        <f aca="false">E1139+Inputs!$B$10</f>
        <v>0.1071676</v>
      </c>
      <c r="G1139" s="37" t="n">
        <f aca="false">D1139*F1139/C1139</f>
        <v>215.803249315068</v>
      </c>
      <c r="H1139" s="37" t="n">
        <f aca="false">IF(AND(A1139&gt;=Inputs!$B$13,OR(A1139&lt;Inputs!$B$19,Inputs!$B$20=1)),D1139*Inputs!$B$11/C1139,0)</f>
        <v>40.2739726027397</v>
      </c>
      <c r="I1139" s="37" t="n">
        <f aca="false">Inputs!$C$9-SUMIFS(Cash_Events!$G$6:$G$20,Cash_Events!$C$6:$C$20,"FHL",Cash_Events!$B$6:$B$20,"&lt;="&amp;A1139)</f>
        <v>735000</v>
      </c>
      <c r="J1139" s="38" t="n">
        <f aca="false">VLOOKUP(A1139,Inputs!$F$40:$G$48,2,TRUE())</f>
        <v>0.0386433</v>
      </c>
      <c r="K1139" s="38" t="n">
        <f aca="false">J1139+Inputs!$C$10</f>
        <v>0.1061433</v>
      </c>
      <c r="L1139" s="37" t="n">
        <f aca="false">I1139*K1139/C1139</f>
        <v>213.740617808219</v>
      </c>
      <c r="M1139" s="37" t="n">
        <f aca="false">IF(AND(A1139&gt;=Inputs!$C$13,OR(A1139&lt;Inputs!$B$19,Inputs!$B$20=1)),I1139*Inputs!$C$11/C1139,0)</f>
        <v>40.2739726027397</v>
      </c>
    </row>
    <row r="1140" customFormat="false" ht="15" hidden="false" customHeight="false" outlineLevel="0" collapsed="false">
      <c r="A1140" s="35" t="n">
        <f aca="false">A1139+1</f>
        <v>45947</v>
      </c>
      <c r="B1140" s="35" t="n">
        <f aca="false">EOMONTH(A1140+1,0)</f>
        <v>45961</v>
      </c>
      <c r="C1140" s="36" t="n">
        <f aca="false">IF(MOD(YEAR(A1140),4)=0,366,365)</f>
        <v>365</v>
      </c>
      <c r="D1140" s="37" t="n">
        <f aca="false">Inputs!$B$9-SUMIFS(Cash_Events!$G$6:$G$20,Cash_Events!$C$6:$C$20,"rAGMF",Cash_Events!$B$6:$B$20,"&lt;="&amp;A1140)</f>
        <v>735000</v>
      </c>
      <c r="E1140" s="38" t="n">
        <f aca="false">VLOOKUP(A1140,Inputs!$A$40:$B$48,2,TRUE())</f>
        <v>0.0396676</v>
      </c>
      <c r="F1140" s="38" t="n">
        <f aca="false">E1140+Inputs!$B$10</f>
        <v>0.1071676</v>
      </c>
      <c r="G1140" s="37" t="n">
        <f aca="false">D1140*F1140/C1140</f>
        <v>215.803249315068</v>
      </c>
      <c r="H1140" s="37" t="n">
        <f aca="false">IF(AND(A1140&gt;=Inputs!$B$13,OR(A1140&lt;Inputs!$B$19,Inputs!$B$20=1)),D1140*Inputs!$B$11/C1140,0)</f>
        <v>40.2739726027397</v>
      </c>
      <c r="I1140" s="37" t="n">
        <f aca="false">Inputs!$C$9-SUMIFS(Cash_Events!$G$6:$G$20,Cash_Events!$C$6:$C$20,"FHL",Cash_Events!$B$6:$B$20,"&lt;="&amp;A1140)</f>
        <v>735000</v>
      </c>
      <c r="J1140" s="38" t="n">
        <f aca="false">VLOOKUP(A1140,Inputs!$F$40:$G$48,2,TRUE())</f>
        <v>0.0386433</v>
      </c>
      <c r="K1140" s="38" t="n">
        <f aca="false">J1140+Inputs!$C$10</f>
        <v>0.1061433</v>
      </c>
      <c r="L1140" s="37" t="n">
        <f aca="false">I1140*K1140/C1140</f>
        <v>213.740617808219</v>
      </c>
      <c r="M1140" s="37" t="n">
        <f aca="false">IF(AND(A1140&gt;=Inputs!$C$13,OR(A1140&lt;Inputs!$B$19,Inputs!$B$20=1)),I1140*Inputs!$C$11/C1140,0)</f>
        <v>40.2739726027397</v>
      </c>
    </row>
    <row r="1141" customFormat="false" ht="15" hidden="false" customHeight="false" outlineLevel="0" collapsed="false">
      <c r="A1141" s="35" t="n">
        <f aca="false">A1140+1</f>
        <v>45948</v>
      </c>
      <c r="B1141" s="35" t="n">
        <f aca="false">EOMONTH(A1141+1,0)</f>
        <v>45961</v>
      </c>
      <c r="C1141" s="36" t="n">
        <f aca="false">IF(MOD(YEAR(A1141),4)=0,366,365)</f>
        <v>365</v>
      </c>
      <c r="D1141" s="37" t="n">
        <f aca="false">Inputs!$B$9-SUMIFS(Cash_Events!$G$6:$G$20,Cash_Events!$C$6:$C$20,"rAGMF",Cash_Events!$B$6:$B$20,"&lt;="&amp;A1141)</f>
        <v>735000</v>
      </c>
      <c r="E1141" s="38" t="n">
        <f aca="false">VLOOKUP(A1141,Inputs!$A$40:$B$48,2,TRUE())</f>
        <v>0.0396676</v>
      </c>
      <c r="F1141" s="38" t="n">
        <f aca="false">E1141+Inputs!$B$10</f>
        <v>0.1071676</v>
      </c>
      <c r="G1141" s="37" t="n">
        <f aca="false">D1141*F1141/C1141</f>
        <v>215.803249315068</v>
      </c>
      <c r="H1141" s="37" t="n">
        <f aca="false">IF(AND(A1141&gt;=Inputs!$B$13,OR(A1141&lt;Inputs!$B$19,Inputs!$B$20=1)),D1141*Inputs!$B$11/C1141,0)</f>
        <v>40.2739726027397</v>
      </c>
      <c r="I1141" s="37" t="n">
        <f aca="false">Inputs!$C$9-SUMIFS(Cash_Events!$G$6:$G$20,Cash_Events!$C$6:$C$20,"FHL",Cash_Events!$B$6:$B$20,"&lt;="&amp;A1141)</f>
        <v>735000</v>
      </c>
      <c r="J1141" s="38" t="n">
        <f aca="false">VLOOKUP(A1141,Inputs!$F$40:$G$48,2,TRUE())</f>
        <v>0.0386433</v>
      </c>
      <c r="K1141" s="38" t="n">
        <f aca="false">J1141+Inputs!$C$10</f>
        <v>0.1061433</v>
      </c>
      <c r="L1141" s="37" t="n">
        <f aca="false">I1141*K1141/C1141</f>
        <v>213.740617808219</v>
      </c>
      <c r="M1141" s="37" t="n">
        <f aca="false">IF(AND(A1141&gt;=Inputs!$C$13,OR(A1141&lt;Inputs!$B$19,Inputs!$B$20=1)),I1141*Inputs!$C$11/C1141,0)</f>
        <v>40.2739726027397</v>
      </c>
    </row>
    <row r="1142" customFormat="false" ht="15" hidden="false" customHeight="false" outlineLevel="0" collapsed="false">
      <c r="A1142" s="35" t="n">
        <f aca="false">A1141+1</f>
        <v>45949</v>
      </c>
      <c r="B1142" s="35" t="n">
        <f aca="false">EOMONTH(A1142+1,0)</f>
        <v>45961</v>
      </c>
      <c r="C1142" s="36" t="n">
        <f aca="false">IF(MOD(YEAR(A1142),4)=0,366,365)</f>
        <v>365</v>
      </c>
      <c r="D1142" s="37" t="n">
        <f aca="false">Inputs!$B$9-SUMIFS(Cash_Events!$G$6:$G$20,Cash_Events!$C$6:$C$20,"rAGMF",Cash_Events!$B$6:$B$20,"&lt;="&amp;A1142)</f>
        <v>735000</v>
      </c>
      <c r="E1142" s="38" t="n">
        <f aca="false">VLOOKUP(A1142,Inputs!$A$40:$B$48,2,TRUE())</f>
        <v>0.0396676</v>
      </c>
      <c r="F1142" s="38" t="n">
        <f aca="false">E1142+Inputs!$B$10</f>
        <v>0.1071676</v>
      </c>
      <c r="G1142" s="37" t="n">
        <f aca="false">D1142*F1142/C1142</f>
        <v>215.803249315068</v>
      </c>
      <c r="H1142" s="37" t="n">
        <f aca="false">IF(AND(A1142&gt;=Inputs!$B$13,OR(A1142&lt;Inputs!$B$19,Inputs!$B$20=1)),D1142*Inputs!$B$11/C1142,0)</f>
        <v>40.2739726027397</v>
      </c>
      <c r="I1142" s="37" t="n">
        <f aca="false">Inputs!$C$9-SUMIFS(Cash_Events!$G$6:$G$20,Cash_Events!$C$6:$C$20,"FHL",Cash_Events!$B$6:$B$20,"&lt;="&amp;A1142)</f>
        <v>735000</v>
      </c>
      <c r="J1142" s="38" t="n">
        <f aca="false">VLOOKUP(A1142,Inputs!$F$40:$G$48,2,TRUE())</f>
        <v>0.0386433</v>
      </c>
      <c r="K1142" s="38" t="n">
        <f aca="false">J1142+Inputs!$C$10</f>
        <v>0.1061433</v>
      </c>
      <c r="L1142" s="37" t="n">
        <f aca="false">I1142*K1142/C1142</f>
        <v>213.740617808219</v>
      </c>
      <c r="M1142" s="37" t="n">
        <f aca="false">IF(AND(A1142&gt;=Inputs!$C$13,OR(A1142&lt;Inputs!$B$19,Inputs!$B$20=1)),I1142*Inputs!$C$11/C1142,0)</f>
        <v>40.2739726027397</v>
      </c>
    </row>
    <row r="1143" customFormat="false" ht="15" hidden="false" customHeight="false" outlineLevel="0" collapsed="false">
      <c r="A1143" s="35" t="n">
        <f aca="false">A1142+1</f>
        <v>45950</v>
      </c>
      <c r="B1143" s="35" t="n">
        <f aca="false">EOMONTH(A1143+1,0)</f>
        <v>45961</v>
      </c>
      <c r="C1143" s="36" t="n">
        <f aca="false">IF(MOD(YEAR(A1143),4)=0,366,365)</f>
        <v>365</v>
      </c>
      <c r="D1143" s="37" t="n">
        <f aca="false">Inputs!$B$9-SUMIFS(Cash_Events!$G$6:$G$20,Cash_Events!$C$6:$C$20,"rAGMF",Cash_Events!$B$6:$B$20,"&lt;="&amp;A1143)</f>
        <v>735000</v>
      </c>
      <c r="E1143" s="38" t="n">
        <f aca="false">VLOOKUP(A1143,Inputs!$A$40:$B$48,2,TRUE())</f>
        <v>0.0396676</v>
      </c>
      <c r="F1143" s="38" t="n">
        <f aca="false">E1143+Inputs!$B$10</f>
        <v>0.1071676</v>
      </c>
      <c r="G1143" s="37" t="n">
        <f aca="false">D1143*F1143/C1143</f>
        <v>215.803249315068</v>
      </c>
      <c r="H1143" s="37" t="n">
        <f aca="false">IF(AND(A1143&gt;=Inputs!$B$13,OR(A1143&lt;Inputs!$B$19,Inputs!$B$20=1)),D1143*Inputs!$B$11/C1143,0)</f>
        <v>40.2739726027397</v>
      </c>
      <c r="I1143" s="37" t="n">
        <f aca="false">Inputs!$C$9-SUMIFS(Cash_Events!$G$6:$G$20,Cash_Events!$C$6:$C$20,"FHL",Cash_Events!$B$6:$B$20,"&lt;="&amp;A1143)</f>
        <v>735000</v>
      </c>
      <c r="J1143" s="38" t="n">
        <f aca="false">VLOOKUP(A1143,Inputs!$F$40:$G$48,2,TRUE())</f>
        <v>0.0386433</v>
      </c>
      <c r="K1143" s="38" t="n">
        <f aca="false">J1143+Inputs!$C$10</f>
        <v>0.1061433</v>
      </c>
      <c r="L1143" s="37" t="n">
        <f aca="false">I1143*K1143/C1143</f>
        <v>213.740617808219</v>
      </c>
      <c r="M1143" s="37" t="n">
        <f aca="false">IF(AND(A1143&gt;=Inputs!$C$13,OR(A1143&lt;Inputs!$B$19,Inputs!$B$20=1)),I1143*Inputs!$C$11/C1143,0)</f>
        <v>40.2739726027397</v>
      </c>
    </row>
    <row r="1144" customFormat="false" ht="15" hidden="false" customHeight="false" outlineLevel="0" collapsed="false">
      <c r="A1144" s="35" t="n">
        <f aca="false">A1143+1</f>
        <v>45951</v>
      </c>
      <c r="B1144" s="35" t="n">
        <f aca="false">EOMONTH(A1144+1,0)</f>
        <v>45961</v>
      </c>
      <c r="C1144" s="36" t="n">
        <f aca="false">IF(MOD(YEAR(A1144),4)=0,366,365)</f>
        <v>365</v>
      </c>
      <c r="D1144" s="37" t="n">
        <f aca="false">Inputs!$B$9-SUMIFS(Cash_Events!$G$6:$G$20,Cash_Events!$C$6:$C$20,"rAGMF",Cash_Events!$B$6:$B$20,"&lt;="&amp;A1144)</f>
        <v>735000</v>
      </c>
      <c r="E1144" s="38" t="n">
        <f aca="false">VLOOKUP(A1144,Inputs!$A$40:$B$48,2,TRUE())</f>
        <v>0.0396676</v>
      </c>
      <c r="F1144" s="38" t="n">
        <f aca="false">E1144+Inputs!$B$10</f>
        <v>0.1071676</v>
      </c>
      <c r="G1144" s="37" t="n">
        <f aca="false">D1144*F1144/C1144</f>
        <v>215.803249315068</v>
      </c>
      <c r="H1144" s="37" t="n">
        <f aca="false">IF(AND(A1144&gt;=Inputs!$B$13,OR(A1144&lt;Inputs!$B$19,Inputs!$B$20=1)),D1144*Inputs!$B$11/C1144,0)</f>
        <v>40.2739726027397</v>
      </c>
      <c r="I1144" s="37" t="n">
        <f aca="false">Inputs!$C$9-SUMIFS(Cash_Events!$G$6:$G$20,Cash_Events!$C$6:$C$20,"FHL",Cash_Events!$B$6:$B$20,"&lt;="&amp;A1144)</f>
        <v>735000</v>
      </c>
      <c r="J1144" s="38" t="n">
        <f aca="false">VLOOKUP(A1144,Inputs!$F$40:$G$48,2,TRUE())</f>
        <v>0.0386433</v>
      </c>
      <c r="K1144" s="38" t="n">
        <f aca="false">J1144+Inputs!$C$10</f>
        <v>0.1061433</v>
      </c>
      <c r="L1144" s="37" t="n">
        <f aca="false">I1144*K1144/C1144</f>
        <v>213.740617808219</v>
      </c>
      <c r="M1144" s="37" t="n">
        <f aca="false">IF(AND(A1144&gt;=Inputs!$C$13,OR(A1144&lt;Inputs!$B$19,Inputs!$B$20=1)),I1144*Inputs!$C$11/C1144,0)</f>
        <v>40.2739726027397</v>
      </c>
    </row>
    <row r="1145" customFormat="false" ht="15" hidden="false" customHeight="false" outlineLevel="0" collapsed="false">
      <c r="A1145" s="35" t="n">
        <f aca="false">A1144+1</f>
        <v>45952</v>
      </c>
      <c r="B1145" s="35" t="n">
        <f aca="false">EOMONTH(A1145+1,0)</f>
        <v>45961</v>
      </c>
      <c r="C1145" s="36" t="n">
        <f aca="false">IF(MOD(YEAR(A1145),4)=0,366,365)</f>
        <v>365</v>
      </c>
      <c r="D1145" s="37" t="n">
        <f aca="false">Inputs!$B$9-SUMIFS(Cash_Events!$G$6:$G$20,Cash_Events!$C$6:$C$20,"rAGMF",Cash_Events!$B$6:$B$20,"&lt;="&amp;A1145)</f>
        <v>735000</v>
      </c>
      <c r="E1145" s="38" t="n">
        <f aca="false">VLOOKUP(A1145,Inputs!$A$40:$B$48,2,TRUE())</f>
        <v>0.0396676</v>
      </c>
      <c r="F1145" s="38" t="n">
        <f aca="false">E1145+Inputs!$B$10</f>
        <v>0.1071676</v>
      </c>
      <c r="G1145" s="37" t="n">
        <f aca="false">D1145*F1145/C1145</f>
        <v>215.803249315068</v>
      </c>
      <c r="H1145" s="37" t="n">
        <f aca="false">IF(AND(A1145&gt;=Inputs!$B$13,OR(A1145&lt;Inputs!$B$19,Inputs!$B$20=1)),D1145*Inputs!$B$11/C1145,0)</f>
        <v>40.2739726027397</v>
      </c>
      <c r="I1145" s="37" t="n">
        <f aca="false">Inputs!$C$9-SUMIFS(Cash_Events!$G$6:$G$20,Cash_Events!$C$6:$C$20,"FHL",Cash_Events!$B$6:$B$20,"&lt;="&amp;A1145)</f>
        <v>735000</v>
      </c>
      <c r="J1145" s="38" t="n">
        <f aca="false">VLOOKUP(A1145,Inputs!$F$40:$G$48,2,TRUE())</f>
        <v>0.0386433</v>
      </c>
      <c r="K1145" s="38" t="n">
        <f aca="false">J1145+Inputs!$C$10</f>
        <v>0.1061433</v>
      </c>
      <c r="L1145" s="37" t="n">
        <f aca="false">I1145*K1145/C1145</f>
        <v>213.740617808219</v>
      </c>
      <c r="M1145" s="37" t="n">
        <f aca="false">IF(AND(A1145&gt;=Inputs!$C$13,OR(A1145&lt;Inputs!$B$19,Inputs!$B$20=1)),I1145*Inputs!$C$11/C1145,0)</f>
        <v>40.2739726027397</v>
      </c>
    </row>
    <row r="1146" customFormat="false" ht="15" hidden="false" customHeight="false" outlineLevel="0" collapsed="false">
      <c r="A1146" s="35" t="n">
        <f aca="false">A1145+1</f>
        <v>45953</v>
      </c>
      <c r="B1146" s="35" t="n">
        <f aca="false">EOMONTH(A1146+1,0)</f>
        <v>45961</v>
      </c>
      <c r="C1146" s="36" t="n">
        <f aca="false">IF(MOD(YEAR(A1146),4)=0,366,365)</f>
        <v>365</v>
      </c>
      <c r="D1146" s="37" t="n">
        <f aca="false">Inputs!$B$9-SUMIFS(Cash_Events!$G$6:$G$20,Cash_Events!$C$6:$C$20,"rAGMF",Cash_Events!$B$6:$B$20,"&lt;="&amp;A1146)</f>
        <v>735000</v>
      </c>
      <c r="E1146" s="38" t="n">
        <f aca="false">VLOOKUP(A1146,Inputs!$A$40:$B$48,2,TRUE())</f>
        <v>0.0396676</v>
      </c>
      <c r="F1146" s="38" t="n">
        <f aca="false">E1146+Inputs!$B$10</f>
        <v>0.1071676</v>
      </c>
      <c r="G1146" s="37" t="n">
        <f aca="false">D1146*F1146/C1146</f>
        <v>215.803249315068</v>
      </c>
      <c r="H1146" s="37" t="n">
        <f aca="false">IF(AND(A1146&gt;=Inputs!$B$13,OR(A1146&lt;Inputs!$B$19,Inputs!$B$20=1)),D1146*Inputs!$B$11/C1146,0)</f>
        <v>40.2739726027397</v>
      </c>
      <c r="I1146" s="37" t="n">
        <f aca="false">Inputs!$C$9-SUMIFS(Cash_Events!$G$6:$G$20,Cash_Events!$C$6:$C$20,"FHL",Cash_Events!$B$6:$B$20,"&lt;="&amp;A1146)</f>
        <v>735000</v>
      </c>
      <c r="J1146" s="38" t="n">
        <f aca="false">VLOOKUP(A1146,Inputs!$F$40:$G$48,2,TRUE())</f>
        <v>0.0386433</v>
      </c>
      <c r="K1146" s="38" t="n">
        <f aca="false">J1146+Inputs!$C$10</f>
        <v>0.1061433</v>
      </c>
      <c r="L1146" s="37" t="n">
        <f aca="false">I1146*K1146/C1146</f>
        <v>213.740617808219</v>
      </c>
      <c r="M1146" s="37" t="n">
        <f aca="false">IF(AND(A1146&gt;=Inputs!$C$13,OR(A1146&lt;Inputs!$B$19,Inputs!$B$20=1)),I1146*Inputs!$C$11/C1146,0)</f>
        <v>40.2739726027397</v>
      </c>
    </row>
    <row r="1147" customFormat="false" ht="15" hidden="false" customHeight="false" outlineLevel="0" collapsed="false">
      <c r="A1147" s="35" t="n">
        <f aca="false">A1146+1</f>
        <v>45954</v>
      </c>
      <c r="B1147" s="35" t="n">
        <f aca="false">EOMONTH(A1147+1,0)</f>
        <v>45961</v>
      </c>
      <c r="C1147" s="36" t="n">
        <f aca="false">IF(MOD(YEAR(A1147),4)=0,366,365)</f>
        <v>365</v>
      </c>
      <c r="D1147" s="37" t="n">
        <f aca="false">Inputs!$B$9-SUMIFS(Cash_Events!$G$6:$G$20,Cash_Events!$C$6:$C$20,"rAGMF",Cash_Events!$B$6:$B$20,"&lt;="&amp;A1147)</f>
        <v>735000</v>
      </c>
      <c r="E1147" s="38" t="n">
        <f aca="false">VLOOKUP(A1147,Inputs!$A$40:$B$48,2,TRUE())</f>
        <v>0.0396676</v>
      </c>
      <c r="F1147" s="38" t="n">
        <f aca="false">E1147+Inputs!$B$10</f>
        <v>0.1071676</v>
      </c>
      <c r="G1147" s="37" t="n">
        <f aca="false">D1147*F1147/C1147</f>
        <v>215.803249315068</v>
      </c>
      <c r="H1147" s="37" t="n">
        <f aca="false">IF(AND(A1147&gt;=Inputs!$B$13,OR(A1147&lt;Inputs!$B$19,Inputs!$B$20=1)),D1147*Inputs!$B$11/C1147,0)</f>
        <v>40.2739726027397</v>
      </c>
      <c r="I1147" s="37" t="n">
        <f aca="false">Inputs!$C$9-SUMIFS(Cash_Events!$G$6:$G$20,Cash_Events!$C$6:$C$20,"FHL",Cash_Events!$B$6:$B$20,"&lt;="&amp;A1147)</f>
        <v>735000</v>
      </c>
      <c r="J1147" s="38" t="n">
        <f aca="false">VLOOKUP(A1147,Inputs!$F$40:$G$48,2,TRUE())</f>
        <v>0.0386433</v>
      </c>
      <c r="K1147" s="38" t="n">
        <f aca="false">J1147+Inputs!$C$10</f>
        <v>0.1061433</v>
      </c>
      <c r="L1147" s="37" t="n">
        <f aca="false">I1147*K1147/C1147</f>
        <v>213.740617808219</v>
      </c>
      <c r="M1147" s="37" t="n">
        <f aca="false">IF(AND(A1147&gt;=Inputs!$C$13,OR(A1147&lt;Inputs!$B$19,Inputs!$B$20=1)),I1147*Inputs!$C$11/C1147,0)</f>
        <v>40.2739726027397</v>
      </c>
    </row>
    <row r="1148" customFormat="false" ht="15" hidden="false" customHeight="false" outlineLevel="0" collapsed="false">
      <c r="A1148" s="35" t="n">
        <f aca="false">A1147+1</f>
        <v>45955</v>
      </c>
      <c r="B1148" s="35" t="n">
        <f aca="false">EOMONTH(A1148+1,0)</f>
        <v>45961</v>
      </c>
      <c r="C1148" s="36" t="n">
        <f aca="false">IF(MOD(YEAR(A1148),4)=0,366,365)</f>
        <v>365</v>
      </c>
      <c r="D1148" s="37" t="n">
        <f aca="false">Inputs!$B$9-SUMIFS(Cash_Events!$G$6:$G$20,Cash_Events!$C$6:$C$20,"rAGMF",Cash_Events!$B$6:$B$20,"&lt;="&amp;A1148)</f>
        <v>735000</v>
      </c>
      <c r="E1148" s="38" t="n">
        <f aca="false">VLOOKUP(A1148,Inputs!$A$40:$B$48,2,TRUE())</f>
        <v>0.0396676</v>
      </c>
      <c r="F1148" s="38" t="n">
        <f aca="false">E1148+Inputs!$B$10</f>
        <v>0.1071676</v>
      </c>
      <c r="G1148" s="37" t="n">
        <f aca="false">D1148*F1148/C1148</f>
        <v>215.803249315068</v>
      </c>
      <c r="H1148" s="37" t="n">
        <f aca="false">IF(AND(A1148&gt;=Inputs!$B$13,OR(A1148&lt;Inputs!$B$19,Inputs!$B$20=1)),D1148*Inputs!$B$11/C1148,0)</f>
        <v>40.2739726027397</v>
      </c>
      <c r="I1148" s="37" t="n">
        <f aca="false">Inputs!$C$9-SUMIFS(Cash_Events!$G$6:$G$20,Cash_Events!$C$6:$C$20,"FHL",Cash_Events!$B$6:$B$20,"&lt;="&amp;A1148)</f>
        <v>735000</v>
      </c>
      <c r="J1148" s="38" t="n">
        <f aca="false">VLOOKUP(A1148,Inputs!$F$40:$G$48,2,TRUE())</f>
        <v>0.0386433</v>
      </c>
      <c r="K1148" s="38" t="n">
        <f aca="false">J1148+Inputs!$C$10</f>
        <v>0.1061433</v>
      </c>
      <c r="L1148" s="37" t="n">
        <f aca="false">I1148*K1148/C1148</f>
        <v>213.740617808219</v>
      </c>
      <c r="M1148" s="37" t="n">
        <f aca="false">IF(AND(A1148&gt;=Inputs!$C$13,OR(A1148&lt;Inputs!$B$19,Inputs!$B$20=1)),I1148*Inputs!$C$11/C1148,0)</f>
        <v>40.2739726027397</v>
      </c>
    </row>
    <row r="1149" customFormat="false" ht="15" hidden="false" customHeight="false" outlineLevel="0" collapsed="false">
      <c r="A1149" s="35" t="n">
        <f aca="false">A1148+1</f>
        <v>45956</v>
      </c>
      <c r="B1149" s="35" t="n">
        <f aca="false">EOMONTH(A1149+1,0)</f>
        <v>45961</v>
      </c>
      <c r="C1149" s="36" t="n">
        <f aca="false">IF(MOD(YEAR(A1149),4)=0,366,365)</f>
        <v>365</v>
      </c>
      <c r="D1149" s="37" t="n">
        <f aca="false">Inputs!$B$9-SUMIFS(Cash_Events!$G$6:$G$20,Cash_Events!$C$6:$C$20,"rAGMF",Cash_Events!$B$6:$B$20,"&lt;="&amp;A1149)</f>
        <v>735000</v>
      </c>
      <c r="E1149" s="38" t="n">
        <f aca="false">VLOOKUP(A1149,Inputs!$A$40:$B$48,2,TRUE())</f>
        <v>0.0396676</v>
      </c>
      <c r="F1149" s="38" t="n">
        <f aca="false">E1149+Inputs!$B$10</f>
        <v>0.1071676</v>
      </c>
      <c r="G1149" s="37" t="n">
        <f aca="false">D1149*F1149/C1149</f>
        <v>215.803249315068</v>
      </c>
      <c r="H1149" s="37" t="n">
        <f aca="false">IF(AND(A1149&gt;=Inputs!$B$13,OR(A1149&lt;Inputs!$B$19,Inputs!$B$20=1)),D1149*Inputs!$B$11/C1149,0)</f>
        <v>40.2739726027397</v>
      </c>
      <c r="I1149" s="37" t="n">
        <f aca="false">Inputs!$C$9-SUMIFS(Cash_Events!$G$6:$G$20,Cash_Events!$C$6:$C$20,"FHL",Cash_Events!$B$6:$B$20,"&lt;="&amp;A1149)</f>
        <v>735000</v>
      </c>
      <c r="J1149" s="38" t="n">
        <f aca="false">VLOOKUP(A1149,Inputs!$F$40:$G$48,2,TRUE())</f>
        <v>0.0386433</v>
      </c>
      <c r="K1149" s="38" t="n">
        <f aca="false">J1149+Inputs!$C$10</f>
        <v>0.1061433</v>
      </c>
      <c r="L1149" s="37" t="n">
        <f aca="false">I1149*K1149/C1149</f>
        <v>213.740617808219</v>
      </c>
      <c r="M1149" s="37" t="n">
        <f aca="false">IF(AND(A1149&gt;=Inputs!$C$13,OR(A1149&lt;Inputs!$B$19,Inputs!$B$20=1)),I1149*Inputs!$C$11/C1149,0)</f>
        <v>40.2739726027397</v>
      </c>
    </row>
    <row r="1150" customFormat="false" ht="15" hidden="false" customHeight="false" outlineLevel="0" collapsed="false">
      <c r="A1150" s="35" t="n">
        <f aca="false">A1149+1</f>
        <v>45957</v>
      </c>
      <c r="B1150" s="35" t="n">
        <f aca="false">EOMONTH(A1150+1,0)</f>
        <v>45961</v>
      </c>
      <c r="C1150" s="36" t="n">
        <f aca="false">IF(MOD(YEAR(A1150),4)=0,366,365)</f>
        <v>365</v>
      </c>
      <c r="D1150" s="37" t="n">
        <f aca="false">Inputs!$B$9-SUMIFS(Cash_Events!$G$6:$G$20,Cash_Events!$C$6:$C$20,"rAGMF",Cash_Events!$B$6:$B$20,"&lt;="&amp;A1150)</f>
        <v>735000</v>
      </c>
      <c r="E1150" s="38" t="n">
        <f aca="false">VLOOKUP(A1150,Inputs!$A$40:$B$48,2,TRUE())</f>
        <v>0.0396676</v>
      </c>
      <c r="F1150" s="38" t="n">
        <f aca="false">E1150+Inputs!$B$10</f>
        <v>0.1071676</v>
      </c>
      <c r="G1150" s="37" t="n">
        <f aca="false">D1150*F1150/C1150</f>
        <v>215.803249315068</v>
      </c>
      <c r="H1150" s="37" t="n">
        <f aca="false">IF(AND(A1150&gt;=Inputs!$B$13,OR(A1150&lt;Inputs!$B$19,Inputs!$B$20=1)),D1150*Inputs!$B$11/C1150,0)</f>
        <v>40.2739726027397</v>
      </c>
      <c r="I1150" s="37" t="n">
        <f aca="false">Inputs!$C$9-SUMIFS(Cash_Events!$G$6:$G$20,Cash_Events!$C$6:$C$20,"FHL",Cash_Events!$B$6:$B$20,"&lt;="&amp;A1150)</f>
        <v>735000</v>
      </c>
      <c r="J1150" s="38" t="n">
        <f aca="false">VLOOKUP(A1150,Inputs!$F$40:$G$48,2,TRUE())</f>
        <v>0.0386433</v>
      </c>
      <c r="K1150" s="38" t="n">
        <f aca="false">J1150+Inputs!$C$10</f>
        <v>0.1061433</v>
      </c>
      <c r="L1150" s="37" t="n">
        <f aca="false">I1150*K1150/C1150</f>
        <v>213.740617808219</v>
      </c>
      <c r="M1150" s="37" t="n">
        <f aca="false">IF(AND(A1150&gt;=Inputs!$C$13,OR(A1150&lt;Inputs!$B$19,Inputs!$B$20=1)),I1150*Inputs!$C$11/C1150,0)</f>
        <v>40.2739726027397</v>
      </c>
    </row>
    <row r="1151" customFormat="false" ht="15" hidden="false" customHeight="false" outlineLevel="0" collapsed="false">
      <c r="A1151" s="35" t="n">
        <f aca="false">A1150+1</f>
        <v>45958</v>
      </c>
      <c r="B1151" s="35" t="n">
        <f aca="false">EOMONTH(A1151+1,0)</f>
        <v>45961</v>
      </c>
      <c r="C1151" s="36" t="n">
        <f aca="false">IF(MOD(YEAR(A1151),4)=0,366,365)</f>
        <v>365</v>
      </c>
      <c r="D1151" s="37" t="n">
        <f aca="false">Inputs!$B$9-SUMIFS(Cash_Events!$G$6:$G$20,Cash_Events!$C$6:$C$20,"rAGMF",Cash_Events!$B$6:$B$20,"&lt;="&amp;A1151)</f>
        <v>735000</v>
      </c>
      <c r="E1151" s="38" t="n">
        <f aca="false">VLOOKUP(A1151,Inputs!$A$40:$B$48,2,TRUE())</f>
        <v>0.0396676</v>
      </c>
      <c r="F1151" s="38" t="n">
        <f aca="false">E1151+Inputs!$B$10</f>
        <v>0.1071676</v>
      </c>
      <c r="G1151" s="37" t="n">
        <f aca="false">D1151*F1151/C1151</f>
        <v>215.803249315068</v>
      </c>
      <c r="H1151" s="37" t="n">
        <f aca="false">IF(AND(A1151&gt;=Inputs!$B$13,OR(A1151&lt;Inputs!$B$19,Inputs!$B$20=1)),D1151*Inputs!$B$11/C1151,0)</f>
        <v>40.2739726027397</v>
      </c>
      <c r="I1151" s="37" t="n">
        <f aca="false">Inputs!$C$9-SUMIFS(Cash_Events!$G$6:$G$20,Cash_Events!$C$6:$C$20,"FHL",Cash_Events!$B$6:$B$20,"&lt;="&amp;A1151)</f>
        <v>735000</v>
      </c>
      <c r="J1151" s="38" t="n">
        <f aca="false">VLOOKUP(A1151,Inputs!$F$40:$G$48,2,TRUE())</f>
        <v>0.0386433</v>
      </c>
      <c r="K1151" s="38" t="n">
        <f aca="false">J1151+Inputs!$C$10</f>
        <v>0.1061433</v>
      </c>
      <c r="L1151" s="37" t="n">
        <f aca="false">I1151*K1151/C1151</f>
        <v>213.740617808219</v>
      </c>
      <c r="M1151" s="37" t="n">
        <f aca="false">IF(AND(A1151&gt;=Inputs!$C$13,OR(A1151&lt;Inputs!$B$19,Inputs!$B$20=1)),I1151*Inputs!$C$11/C1151,0)</f>
        <v>40.2739726027397</v>
      </c>
    </row>
    <row r="1152" customFormat="false" ht="15" hidden="false" customHeight="false" outlineLevel="0" collapsed="false">
      <c r="A1152" s="35" t="n">
        <f aca="false">A1151+1</f>
        <v>45959</v>
      </c>
      <c r="B1152" s="35" t="n">
        <f aca="false">EOMONTH(A1152+1,0)</f>
        <v>45961</v>
      </c>
      <c r="C1152" s="36" t="n">
        <f aca="false">IF(MOD(YEAR(A1152),4)=0,366,365)</f>
        <v>365</v>
      </c>
      <c r="D1152" s="37" t="n">
        <f aca="false">Inputs!$B$9-SUMIFS(Cash_Events!$G$6:$G$20,Cash_Events!$C$6:$C$20,"rAGMF",Cash_Events!$B$6:$B$20,"&lt;="&amp;A1152)</f>
        <v>735000</v>
      </c>
      <c r="E1152" s="38" t="n">
        <f aca="false">VLOOKUP(A1152,Inputs!$A$40:$B$48,2,TRUE())</f>
        <v>0.0396676</v>
      </c>
      <c r="F1152" s="38" t="n">
        <f aca="false">E1152+Inputs!$B$10</f>
        <v>0.1071676</v>
      </c>
      <c r="G1152" s="37" t="n">
        <f aca="false">D1152*F1152/C1152</f>
        <v>215.803249315068</v>
      </c>
      <c r="H1152" s="37" t="n">
        <f aca="false">IF(AND(A1152&gt;=Inputs!$B$13,OR(A1152&lt;Inputs!$B$19,Inputs!$B$20=1)),D1152*Inputs!$B$11/C1152,0)</f>
        <v>40.2739726027397</v>
      </c>
      <c r="I1152" s="37" t="n">
        <f aca="false">Inputs!$C$9-SUMIFS(Cash_Events!$G$6:$G$20,Cash_Events!$C$6:$C$20,"FHL",Cash_Events!$B$6:$B$20,"&lt;="&amp;A1152)</f>
        <v>735000</v>
      </c>
      <c r="J1152" s="38" t="n">
        <f aca="false">VLOOKUP(A1152,Inputs!$F$40:$G$48,2,TRUE())</f>
        <v>0.0386433</v>
      </c>
      <c r="K1152" s="38" t="n">
        <f aca="false">J1152+Inputs!$C$10</f>
        <v>0.1061433</v>
      </c>
      <c r="L1152" s="37" t="n">
        <f aca="false">I1152*K1152/C1152</f>
        <v>213.740617808219</v>
      </c>
      <c r="M1152" s="37" t="n">
        <f aca="false">IF(AND(A1152&gt;=Inputs!$C$13,OR(A1152&lt;Inputs!$B$19,Inputs!$B$20=1)),I1152*Inputs!$C$11/C1152,0)</f>
        <v>40.2739726027397</v>
      </c>
    </row>
    <row r="1153" customFormat="false" ht="15" hidden="false" customHeight="false" outlineLevel="0" collapsed="false">
      <c r="A1153" s="35" t="n">
        <f aca="false">A1152+1</f>
        <v>45960</v>
      </c>
      <c r="B1153" s="35" t="n">
        <f aca="false">EOMONTH(A1153+1,0)</f>
        <v>45961</v>
      </c>
      <c r="C1153" s="36" t="n">
        <f aca="false">IF(MOD(YEAR(A1153),4)=0,366,365)</f>
        <v>365</v>
      </c>
      <c r="D1153" s="37" t="n">
        <f aca="false">Inputs!$B$9-SUMIFS(Cash_Events!$G$6:$G$20,Cash_Events!$C$6:$C$20,"rAGMF",Cash_Events!$B$6:$B$20,"&lt;="&amp;A1153)</f>
        <v>735000</v>
      </c>
      <c r="E1153" s="38" t="n">
        <f aca="false">VLOOKUP(A1153,Inputs!$A$40:$B$48,2,TRUE())</f>
        <v>0.0396676</v>
      </c>
      <c r="F1153" s="38" t="n">
        <f aca="false">E1153+Inputs!$B$10</f>
        <v>0.1071676</v>
      </c>
      <c r="G1153" s="37" t="n">
        <f aca="false">D1153*F1153/C1153</f>
        <v>215.803249315068</v>
      </c>
      <c r="H1153" s="37" t="n">
        <f aca="false">IF(AND(A1153&gt;=Inputs!$B$13,OR(A1153&lt;Inputs!$B$19,Inputs!$B$20=1)),D1153*Inputs!$B$11/C1153,0)</f>
        <v>40.2739726027397</v>
      </c>
      <c r="I1153" s="37" t="n">
        <f aca="false">Inputs!$C$9-SUMIFS(Cash_Events!$G$6:$G$20,Cash_Events!$C$6:$C$20,"FHL",Cash_Events!$B$6:$B$20,"&lt;="&amp;A1153)</f>
        <v>735000</v>
      </c>
      <c r="J1153" s="38" t="n">
        <f aca="false">VLOOKUP(A1153,Inputs!$F$40:$G$48,2,TRUE())</f>
        <v>0.0386433</v>
      </c>
      <c r="K1153" s="38" t="n">
        <f aca="false">J1153+Inputs!$C$10</f>
        <v>0.1061433</v>
      </c>
      <c r="L1153" s="37" t="n">
        <f aca="false">I1153*K1153/C1153</f>
        <v>213.740617808219</v>
      </c>
      <c r="M1153" s="37" t="n">
        <f aca="false">IF(AND(A1153&gt;=Inputs!$C$13,OR(A1153&lt;Inputs!$B$19,Inputs!$B$20=1)),I1153*Inputs!$C$11/C1153,0)</f>
        <v>40.2739726027397</v>
      </c>
    </row>
    <row r="1154" customFormat="false" ht="15" hidden="false" customHeight="false" outlineLevel="0" collapsed="false">
      <c r="A1154" s="35" t="n">
        <f aca="false">A1153+1</f>
        <v>45961</v>
      </c>
      <c r="B1154" s="35" t="n">
        <f aca="false">EOMONTH(A1154+1,0)</f>
        <v>45991</v>
      </c>
      <c r="C1154" s="36" t="n">
        <f aca="false">IF(MOD(YEAR(A1154),4)=0,366,365)</f>
        <v>365</v>
      </c>
      <c r="D1154" s="37" t="n">
        <f aca="false">Inputs!$B$9-SUMIFS(Cash_Events!$G$6:$G$20,Cash_Events!$C$6:$C$20,"rAGMF",Cash_Events!$B$6:$B$20,"&lt;="&amp;A1154)</f>
        <v>735000</v>
      </c>
      <c r="E1154" s="38" t="n">
        <f aca="false">VLOOKUP(A1154,Inputs!$A$40:$B$48,2,TRUE())</f>
        <v>0.0396676</v>
      </c>
      <c r="F1154" s="38" t="n">
        <f aca="false">E1154+Inputs!$B$10</f>
        <v>0.1071676</v>
      </c>
      <c r="G1154" s="37" t="n">
        <f aca="false">D1154*F1154/C1154</f>
        <v>215.803249315068</v>
      </c>
      <c r="H1154" s="37" t="n">
        <f aca="false">IF(AND(A1154&gt;=Inputs!$B$13,OR(A1154&lt;Inputs!$B$19,Inputs!$B$20=1)),D1154*Inputs!$B$11/C1154,0)</f>
        <v>40.2739726027397</v>
      </c>
      <c r="I1154" s="37" t="n">
        <f aca="false">Inputs!$C$9-SUMIFS(Cash_Events!$G$6:$G$20,Cash_Events!$C$6:$C$20,"FHL",Cash_Events!$B$6:$B$20,"&lt;="&amp;A1154)</f>
        <v>735000</v>
      </c>
      <c r="J1154" s="38" t="n">
        <f aca="false">VLOOKUP(A1154,Inputs!$F$40:$G$48,2,TRUE())</f>
        <v>0.0386433</v>
      </c>
      <c r="K1154" s="38" t="n">
        <f aca="false">J1154+Inputs!$C$10</f>
        <v>0.1061433</v>
      </c>
      <c r="L1154" s="37" t="n">
        <f aca="false">I1154*K1154/C1154</f>
        <v>213.740617808219</v>
      </c>
      <c r="M1154" s="37" t="n">
        <f aca="false">IF(AND(A1154&gt;=Inputs!$C$13,OR(A1154&lt;Inputs!$B$19,Inputs!$B$20=1)),I1154*Inputs!$C$11/C1154,0)</f>
        <v>40.2739726027397</v>
      </c>
    </row>
    <row r="1155" customFormat="false" ht="15" hidden="false" customHeight="false" outlineLevel="0" collapsed="false">
      <c r="A1155" s="35" t="n">
        <f aca="false">A1154+1</f>
        <v>45962</v>
      </c>
      <c r="B1155" s="35" t="n">
        <f aca="false">EOMONTH(A1155+1,0)</f>
        <v>45991</v>
      </c>
      <c r="C1155" s="36" t="n">
        <f aca="false">IF(MOD(YEAR(A1155),4)=0,366,365)</f>
        <v>365</v>
      </c>
      <c r="D1155" s="37" t="n">
        <f aca="false">Inputs!$B$9-SUMIFS(Cash_Events!$G$6:$G$20,Cash_Events!$C$6:$C$20,"rAGMF",Cash_Events!$B$6:$B$20,"&lt;="&amp;A1155)</f>
        <v>735000</v>
      </c>
      <c r="E1155" s="38" t="n">
        <f aca="false">VLOOKUP(A1155,Inputs!$A$40:$B$48,2,TRUE())</f>
        <v>0.0396676</v>
      </c>
      <c r="F1155" s="38" t="n">
        <f aca="false">E1155+Inputs!$B$10</f>
        <v>0.1071676</v>
      </c>
      <c r="G1155" s="37" t="n">
        <f aca="false">D1155*F1155/C1155</f>
        <v>215.803249315068</v>
      </c>
      <c r="H1155" s="37" t="n">
        <f aca="false">IF(AND(A1155&gt;=Inputs!$B$13,OR(A1155&lt;Inputs!$B$19,Inputs!$B$20=1)),D1155*Inputs!$B$11/C1155,0)</f>
        <v>40.2739726027397</v>
      </c>
      <c r="I1155" s="37" t="n">
        <f aca="false">Inputs!$C$9-SUMIFS(Cash_Events!$G$6:$G$20,Cash_Events!$C$6:$C$20,"FHL",Cash_Events!$B$6:$B$20,"&lt;="&amp;A1155)</f>
        <v>735000</v>
      </c>
      <c r="J1155" s="38" t="n">
        <f aca="false">VLOOKUP(A1155,Inputs!$F$40:$G$48,2,TRUE())</f>
        <v>0.0386433</v>
      </c>
      <c r="K1155" s="38" t="n">
        <f aca="false">J1155+Inputs!$C$10</f>
        <v>0.1061433</v>
      </c>
      <c r="L1155" s="37" t="n">
        <f aca="false">I1155*K1155/C1155</f>
        <v>213.740617808219</v>
      </c>
      <c r="M1155" s="37" t="n">
        <f aca="false">IF(AND(A1155&gt;=Inputs!$C$13,OR(A1155&lt;Inputs!$B$19,Inputs!$B$20=1)),I1155*Inputs!$C$11/C1155,0)</f>
        <v>40.2739726027397</v>
      </c>
    </row>
    <row r="1156" customFormat="false" ht="15" hidden="false" customHeight="false" outlineLevel="0" collapsed="false">
      <c r="A1156" s="35" t="n">
        <f aca="false">A1155+1</f>
        <v>45963</v>
      </c>
      <c r="B1156" s="35" t="n">
        <f aca="false">EOMONTH(A1156+1,0)</f>
        <v>45991</v>
      </c>
      <c r="C1156" s="36" t="n">
        <f aca="false">IF(MOD(YEAR(A1156),4)=0,366,365)</f>
        <v>365</v>
      </c>
      <c r="D1156" s="37" t="n">
        <f aca="false">Inputs!$B$9-SUMIFS(Cash_Events!$G$6:$G$20,Cash_Events!$C$6:$C$20,"rAGMF",Cash_Events!$B$6:$B$20,"&lt;="&amp;A1156)</f>
        <v>735000</v>
      </c>
      <c r="E1156" s="38" t="n">
        <f aca="false">VLOOKUP(A1156,Inputs!$A$40:$B$48,2,TRUE())</f>
        <v>0.0396676</v>
      </c>
      <c r="F1156" s="38" t="n">
        <f aca="false">E1156+Inputs!$B$10</f>
        <v>0.1071676</v>
      </c>
      <c r="G1156" s="37" t="n">
        <f aca="false">D1156*F1156/C1156</f>
        <v>215.803249315068</v>
      </c>
      <c r="H1156" s="37" t="n">
        <f aca="false">IF(AND(A1156&gt;=Inputs!$B$13,OR(A1156&lt;Inputs!$B$19,Inputs!$B$20=1)),D1156*Inputs!$B$11/C1156,0)</f>
        <v>40.2739726027397</v>
      </c>
      <c r="I1156" s="37" t="n">
        <f aca="false">Inputs!$C$9-SUMIFS(Cash_Events!$G$6:$G$20,Cash_Events!$C$6:$C$20,"FHL",Cash_Events!$B$6:$B$20,"&lt;="&amp;A1156)</f>
        <v>735000</v>
      </c>
      <c r="J1156" s="38" t="n">
        <f aca="false">VLOOKUP(A1156,Inputs!$F$40:$G$48,2,TRUE())</f>
        <v>0.0386433</v>
      </c>
      <c r="K1156" s="38" t="n">
        <f aca="false">J1156+Inputs!$C$10</f>
        <v>0.1061433</v>
      </c>
      <c r="L1156" s="37" t="n">
        <f aca="false">I1156*K1156/C1156</f>
        <v>213.740617808219</v>
      </c>
      <c r="M1156" s="37" t="n">
        <f aca="false">IF(AND(A1156&gt;=Inputs!$C$13,OR(A1156&lt;Inputs!$B$19,Inputs!$B$20=1)),I1156*Inputs!$C$11/C1156,0)</f>
        <v>40.2739726027397</v>
      </c>
    </row>
    <row r="1157" customFormat="false" ht="15" hidden="false" customHeight="false" outlineLevel="0" collapsed="false">
      <c r="A1157" s="35" t="n">
        <f aca="false">A1156+1</f>
        <v>45964</v>
      </c>
      <c r="B1157" s="35" t="n">
        <f aca="false">EOMONTH(A1157+1,0)</f>
        <v>45991</v>
      </c>
      <c r="C1157" s="36" t="n">
        <f aca="false">IF(MOD(YEAR(A1157),4)=0,366,365)</f>
        <v>365</v>
      </c>
      <c r="D1157" s="37" t="n">
        <f aca="false">Inputs!$B$9-SUMIFS(Cash_Events!$G$6:$G$20,Cash_Events!$C$6:$C$20,"rAGMF",Cash_Events!$B$6:$B$20,"&lt;="&amp;A1157)</f>
        <v>735000</v>
      </c>
      <c r="E1157" s="38" t="n">
        <f aca="false">VLOOKUP(A1157,Inputs!$A$40:$B$48,2,TRUE())</f>
        <v>0.0396676</v>
      </c>
      <c r="F1157" s="38" t="n">
        <f aca="false">E1157+Inputs!$B$10</f>
        <v>0.1071676</v>
      </c>
      <c r="G1157" s="37" t="n">
        <f aca="false">D1157*F1157/C1157</f>
        <v>215.803249315068</v>
      </c>
      <c r="H1157" s="37" t="n">
        <f aca="false">IF(AND(A1157&gt;=Inputs!$B$13,OR(A1157&lt;Inputs!$B$19,Inputs!$B$20=1)),D1157*Inputs!$B$11/C1157,0)</f>
        <v>40.2739726027397</v>
      </c>
      <c r="I1157" s="37" t="n">
        <f aca="false">Inputs!$C$9-SUMIFS(Cash_Events!$G$6:$G$20,Cash_Events!$C$6:$C$20,"FHL",Cash_Events!$B$6:$B$20,"&lt;="&amp;A1157)</f>
        <v>735000</v>
      </c>
      <c r="J1157" s="38" t="n">
        <f aca="false">VLOOKUP(A1157,Inputs!$F$40:$G$48,2,TRUE())</f>
        <v>0.0386433</v>
      </c>
      <c r="K1157" s="38" t="n">
        <f aca="false">J1157+Inputs!$C$10</f>
        <v>0.1061433</v>
      </c>
      <c r="L1157" s="37" t="n">
        <f aca="false">I1157*K1157/C1157</f>
        <v>213.740617808219</v>
      </c>
      <c r="M1157" s="37" t="n">
        <f aca="false">IF(AND(A1157&gt;=Inputs!$C$13,OR(A1157&lt;Inputs!$B$19,Inputs!$B$20=1)),I1157*Inputs!$C$11/C1157,0)</f>
        <v>40.2739726027397</v>
      </c>
    </row>
    <row r="1158" customFormat="false" ht="15" hidden="false" customHeight="false" outlineLevel="0" collapsed="false">
      <c r="A1158" s="35" t="n">
        <f aca="false">A1157+1</f>
        <v>45965</v>
      </c>
      <c r="B1158" s="35" t="n">
        <f aca="false">EOMONTH(A1158+1,0)</f>
        <v>45991</v>
      </c>
      <c r="C1158" s="36" t="n">
        <f aca="false">IF(MOD(YEAR(A1158),4)=0,366,365)</f>
        <v>365</v>
      </c>
      <c r="D1158" s="37" t="n">
        <f aca="false">Inputs!$B$9-SUMIFS(Cash_Events!$G$6:$G$20,Cash_Events!$C$6:$C$20,"rAGMF",Cash_Events!$B$6:$B$20,"&lt;="&amp;A1158)</f>
        <v>735000</v>
      </c>
      <c r="E1158" s="38" t="n">
        <f aca="false">VLOOKUP(A1158,Inputs!$A$40:$B$48,2,TRUE())</f>
        <v>0.0396676</v>
      </c>
      <c r="F1158" s="38" t="n">
        <f aca="false">E1158+Inputs!$B$10</f>
        <v>0.1071676</v>
      </c>
      <c r="G1158" s="37" t="n">
        <f aca="false">D1158*F1158/C1158</f>
        <v>215.803249315068</v>
      </c>
      <c r="H1158" s="37" t="n">
        <f aca="false">IF(AND(A1158&gt;=Inputs!$B$13,OR(A1158&lt;Inputs!$B$19,Inputs!$B$20=1)),D1158*Inputs!$B$11/C1158,0)</f>
        <v>40.2739726027397</v>
      </c>
      <c r="I1158" s="37" t="n">
        <f aca="false">Inputs!$C$9-SUMIFS(Cash_Events!$G$6:$G$20,Cash_Events!$C$6:$C$20,"FHL",Cash_Events!$B$6:$B$20,"&lt;="&amp;A1158)</f>
        <v>735000</v>
      </c>
      <c r="J1158" s="38" t="n">
        <f aca="false">VLOOKUP(A1158,Inputs!$F$40:$G$48,2,TRUE())</f>
        <v>0.0386433</v>
      </c>
      <c r="K1158" s="38" t="n">
        <f aca="false">J1158+Inputs!$C$10</f>
        <v>0.1061433</v>
      </c>
      <c r="L1158" s="37" t="n">
        <f aca="false">I1158*K1158/C1158</f>
        <v>213.740617808219</v>
      </c>
      <c r="M1158" s="37" t="n">
        <f aca="false">IF(AND(A1158&gt;=Inputs!$C$13,OR(A1158&lt;Inputs!$B$19,Inputs!$B$20=1)),I1158*Inputs!$C$11/C1158,0)</f>
        <v>40.2739726027397</v>
      </c>
    </row>
    <row r="1159" customFormat="false" ht="15" hidden="false" customHeight="false" outlineLevel="0" collapsed="false">
      <c r="A1159" s="35" t="n">
        <f aca="false">A1158+1</f>
        <v>45966</v>
      </c>
      <c r="B1159" s="35" t="n">
        <f aca="false">EOMONTH(A1159+1,0)</f>
        <v>45991</v>
      </c>
      <c r="C1159" s="36" t="n">
        <f aca="false">IF(MOD(YEAR(A1159),4)=0,366,365)</f>
        <v>365</v>
      </c>
      <c r="D1159" s="37" t="n">
        <f aca="false">Inputs!$B$9-SUMIFS(Cash_Events!$G$6:$G$20,Cash_Events!$C$6:$C$20,"rAGMF",Cash_Events!$B$6:$B$20,"&lt;="&amp;A1159)</f>
        <v>735000</v>
      </c>
      <c r="E1159" s="38" t="n">
        <f aca="false">VLOOKUP(A1159,Inputs!$A$40:$B$48,2,TRUE())</f>
        <v>0.0396676</v>
      </c>
      <c r="F1159" s="38" t="n">
        <f aca="false">E1159+Inputs!$B$10</f>
        <v>0.1071676</v>
      </c>
      <c r="G1159" s="37" t="n">
        <f aca="false">D1159*F1159/C1159</f>
        <v>215.803249315068</v>
      </c>
      <c r="H1159" s="37" t="n">
        <f aca="false">IF(AND(A1159&gt;=Inputs!$B$13,OR(A1159&lt;Inputs!$B$19,Inputs!$B$20=1)),D1159*Inputs!$B$11/C1159,0)</f>
        <v>40.2739726027397</v>
      </c>
      <c r="I1159" s="37" t="n">
        <f aca="false">Inputs!$C$9-SUMIFS(Cash_Events!$G$6:$G$20,Cash_Events!$C$6:$C$20,"FHL",Cash_Events!$B$6:$B$20,"&lt;="&amp;A1159)</f>
        <v>735000</v>
      </c>
      <c r="J1159" s="38" t="n">
        <f aca="false">VLOOKUP(A1159,Inputs!$F$40:$G$48,2,TRUE())</f>
        <v>0.0386433</v>
      </c>
      <c r="K1159" s="38" t="n">
        <f aca="false">J1159+Inputs!$C$10</f>
        <v>0.1061433</v>
      </c>
      <c r="L1159" s="37" t="n">
        <f aca="false">I1159*K1159/C1159</f>
        <v>213.740617808219</v>
      </c>
      <c r="M1159" s="37" t="n">
        <f aca="false">IF(AND(A1159&gt;=Inputs!$C$13,OR(A1159&lt;Inputs!$B$19,Inputs!$B$20=1)),I1159*Inputs!$C$11/C1159,0)</f>
        <v>40.2739726027397</v>
      </c>
    </row>
    <row r="1160" customFormat="false" ht="15" hidden="false" customHeight="false" outlineLevel="0" collapsed="false">
      <c r="A1160" s="35" t="n">
        <f aca="false">A1159+1</f>
        <v>45967</v>
      </c>
      <c r="B1160" s="35" t="n">
        <f aca="false">EOMONTH(A1160+1,0)</f>
        <v>45991</v>
      </c>
      <c r="C1160" s="36" t="n">
        <f aca="false">IF(MOD(YEAR(A1160),4)=0,366,365)</f>
        <v>365</v>
      </c>
      <c r="D1160" s="37" t="n">
        <f aca="false">Inputs!$B$9-SUMIFS(Cash_Events!$G$6:$G$20,Cash_Events!$C$6:$C$20,"rAGMF",Cash_Events!$B$6:$B$20,"&lt;="&amp;A1160)</f>
        <v>735000</v>
      </c>
      <c r="E1160" s="38" t="n">
        <f aca="false">VLOOKUP(A1160,Inputs!$A$40:$B$48,2,TRUE())</f>
        <v>0.0396676</v>
      </c>
      <c r="F1160" s="38" t="n">
        <f aca="false">E1160+Inputs!$B$10</f>
        <v>0.1071676</v>
      </c>
      <c r="G1160" s="37" t="n">
        <f aca="false">D1160*F1160/C1160</f>
        <v>215.803249315068</v>
      </c>
      <c r="H1160" s="37" t="n">
        <f aca="false">IF(AND(A1160&gt;=Inputs!$B$13,OR(A1160&lt;Inputs!$B$19,Inputs!$B$20=1)),D1160*Inputs!$B$11/C1160,0)</f>
        <v>40.2739726027397</v>
      </c>
      <c r="I1160" s="37" t="n">
        <f aca="false">Inputs!$C$9-SUMIFS(Cash_Events!$G$6:$G$20,Cash_Events!$C$6:$C$20,"FHL",Cash_Events!$B$6:$B$20,"&lt;="&amp;A1160)</f>
        <v>735000</v>
      </c>
      <c r="J1160" s="38" t="n">
        <f aca="false">VLOOKUP(A1160,Inputs!$F$40:$G$48,2,TRUE())</f>
        <v>0.0386433</v>
      </c>
      <c r="K1160" s="38" t="n">
        <f aca="false">J1160+Inputs!$C$10</f>
        <v>0.1061433</v>
      </c>
      <c r="L1160" s="37" t="n">
        <f aca="false">I1160*K1160/C1160</f>
        <v>213.740617808219</v>
      </c>
      <c r="M1160" s="37" t="n">
        <f aca="false">IF(AND(A1160&gt;=Inputs!$C$13,OR(A1160&lt;Inputs!$B$19,Inputs!$B$20=1)),I1160*Inputs!$C$11/C1160,0)</f>
        <v>40.2739726027397</v>
      </c>
    </row>
    <row r="1161" customFormat="false" ht="15" hidden="false" customHeight="false" outlineLevel="0" collapsed="false">
      <c r="A1161" s="35" t="n">
        <f aca="false">A1160+1</f>
        <v>45968</v>
      </c>
      <c r="B1161" s="35" t="n">
        <f aca="false">EOMONTH(A1161+1,0)</f>
        <v>45991</v>
      </c>
      <c r="C1161" s="36" t="n">
        <f aca="false">IF(MOD(YEAR(A1161),4)=0,366,365)</f>
        <v>365</v>
      </c>
      <c r="D1161" s="37" t="n">
        <f aca="false">Inputs!$B$9-SUMIFS(Cash_Events!$G$6:$G$20,Cash_Events!$C$6:$C$20,"rAGMF",Cash_Events!$B$6:$B$20,"&lt;="&amp;A1161)</f>
        <v>735000</v>
      </c>
      <c r="E1161" s="38" t="n">
        <f aca="false">VLOOKUP(A1161,Inputs!$A$40:$B$48,2,TRUE())</f>
        <v>0.0396676</v>
      </c>
      <c r="F1161" s="38" t="n">
        <f aca="false">E1161+Inputs!$B$10</f>
        <v>0.1071676</v>
      </c>
      <c r="G1161" s="37" t="n">
        <f aca="false">D1161*F1161/C1161</f>
        <v>215.803249315068</v>
      </c>
      <c r="H1161" s="37" t="n">
        <f aca="false">IF(AND(A1161&gt;=Inputs!$B$13,OR(A1161&lt;Inputs!$B$19,Inputs!$B$20=1)),D1161*Inputs!$B$11/C1161,0)</f>
        <v>40.2739726027397</v>
      </c>
      <c r="I1161" s="37" t="n">
        <f aca="false">Inputs!$C$9-SUMIFS(Cash_Events!$G$6:$G$20,Cash_Events!$C$6:$C$20,"FHL",Cash_Events!$B$6:$B$20,"&lt;="&amp;A1161)</f>
        <v>735000</v>
      </c>
      <c r="J1161" s="38" t="n">
        <f aca="false">VLOOKUP(A1161,Inputs!$F$40:$G$48,2,TRUE())</f>
        <v>0.0386433</v>
      </c>
      <c r="K1161" s="38" t="n">
        <f aca="false">J1161+Inputs!$C$10</f>
        <v>0.1061433</v>
      </c>
      <c r="L1161" s="37" t="n">
        <f aca="false">I1161*K1161/C1161</f>
        <v>213.740617808219</v>
      </c>
      <c r="M1161" s="37" t="n">
        <f aca="false">IF(AND(A1161&gt;=Inputs!$C$13,OR(A1161&lt;Inputs!$B$19,Inputs!$B$20=1)),I1161*Inputs!$C$11/C1161,0)</f>
        <v>40.2739726027397</v>
      </c>
    </row>
    <row r="1162" customFormat="false" ht="15" hidden="false" customHeight="false" outlineLevel="0" collapsed="false">
      <c r="A1162" s="35" t="n">
        <f aca="false">A1161+1</f>
        <v>45969</v>
      </c>
      <c r="B1162" s="35" t="n">
        <f aca="false">EOMONTH(A1162+1,0)</f>
        <v>45991</v>
      </c>
      <c r="C1162" s="36" t="n">
        <f aca="false">IF(MOD(YEAR(A1162),4)=0,366,365)</f>
        <v>365</v>
      </c>
      <c r="D1162" s="37" t="n">
        <f aca="false">Inputs!$B$9-SUMIFS(Cash_Events!$G$6:$G$20,Cash_Events!$C$6:$C$20,"rAGMF",Cash_Events!$B$6:$B$20,"&lt;="&amp;A1162)</f>
        <v>735000</v>
      </c>
      <c r="E1162" s="38" t="n">
        <f aca="false">VLOOKUP(A1162,Inputs!$A$40:$B$48,2,TRUE())</f>
        <v>0.0396676</v>
      </c>
      <c r="F1162" s="38" t="n">
        <f aca="false">E1162+Inputs!$B$10</f>
        <v>0.1071676</v>
      </c>
      <c r="G1162" s="37" t="n">
        <f aca="false">D1162*F1162/C1162</f>
        <v>215.803249315068</v>
      </c>
      <c r="H1162" s="37" t="n">
        <f aca="false">IF(AND(A1162&gt;=Inputs!$B$13,OR(A1162&lt;Inputs!$B$19,Inputs!$B$20=1)),D1162*Inputs!$B$11/C1162,0)</f>
        <v>40.2739726027397</v>
      </c>
      <c r="I1162" s="37" t="n">
        <f aca="false">Inputs!$C$9-SUMIFS(Cash_Events!$G$6:$G$20,Cash_Events!$C$6:$C$20,"FHL",Cash_Events!$B$6:$B$20,"&lt;="&amp;A1162)</f>
        <v>735000</v>
      </c>
      <c r="J1162" s="38" t="n">
        <f aca="false">VLOOKUP(A1162,Inputs!$F$40:$G$48,2,TRUE())</f>
        <v>0.0386433</v>
      </c>
      <c r="K1162" s="38" t="n">
        <f aca="false">J1162+Inputs!$C$10</f>
        <v>0.1061433</v>
      </c>
      <c r="L1162" s="37" t="n">
        <f aca="false">I1162*K1162/C1162</f>
        <v>213.740617808219</v>
      </c>
      <c r="M1162" s="37" t="n">
        <f aca="false">IF(AND(A1162&gt;=Inputs!$C$13,OR(A1162&lt;Inputs!$B$19,Inputs!$B$20=1)),I1162*Inputs!$C$11/C1162,0)</f>
        <v>40.2739726027397</v>
      </c>
    </row>
    <row r="1163" customFormat="false" ht="15" hidden="false" customHeight="false" outlineLevel="0" collapsed="false">
      <c r="A1163" s="35" t="n">
        <f aca="false">A1162+1</f>
        <v>45970</v>
      </c>
      <c r="B1163" s="35" t="n">
        <f aca="false">EOMONTH(A1163+1,0)</f>
        <v>45991</v>
      </c>
      <c r="C1163" s="36" t="n">
        <f aca="false">IF(MOD(YEAR(A1163),4)=0,366,365)</f>
        <v>365</v>
      </c>
      <c r="D1163" s="37" t="n">
        <f aca="false">Inputs!$B$9-SUMIFS(Cash_Events!$G$6:$G$20,Cash_Events!$C$6:$C$20,"rAGMF",Cash_Events!$B$6:$B$20,"&lt;="&amp;A1163)</f>
        <v>735000</v>
      </c>
      <c r="E1163" s="38" t="n">
        <f aca="false">VLOOKUP(A1163,Inputs!$A$40:$B$48,2,TRUE())</f>
        <v>0.0396676</v>
      </c>
      <c r="F1163" s="38" t="n">
        <f aca="false">E1163+Inputs!$B$10</f>
        <v>0.1071676</v>
      </c>
      <c r="G1163" s="37" t="n">
        <f aca="false">D1163*F1163/C1163</f>
        <v>215.803249315068</v>
      </c>
      <c r="H1163" s="37" t="n">
        <f aca="false">IF(AND(A1163&gt;=Inputs!$B$13,OR(A1163&lt;Inputs!$B$19,Inputs!$B$20=1)),D1163*Inputs!$B$11/C1163,0)</f>
        <v>40.2739726027397</v>
      </c>
      <c r="I1163" s="37" t="n">
        <f aca="false">Inputs!$C$9-SUMIFS(Cash_Events!$G$6:$G$20,Cash_Events!$C$6:$C$20,"FHL",Cash_Events!$B$6:$B$20,"&lt;="&amp;A1163)</f>
        <v>735000</v>
      </c>
      <c r="J1163" s="38" t="n">
        <f aca="false">VLOOKUP(A1163,Inputs!$F$40:$G$48,2,TRUE())</f>
        <v>0.0386433</v>
      </c>
      <c r="K1163" s="38" t="n">
        <f aca="false">J1163+Inputs!$C$10</f>
        <v>0.1061433</v>
      </c>
      <c r="L1163" s="37" t="n">
        <f aca="false">I1163*K1163/C1163</f>
        <v>213.740617808219</v>
      </c>
      <c r="M1163" s="37" t="n">
        <f aca="false">IF(AND(A1163&gt;=Inputs!$C$13,OR(A1163&lt;Inputs!$B$19,Inputs!$B$20=1)),I1163*Inputs!$C$11/C1163,0)</f>
        <v>40.2739726027397</v>
      </c>
    </row>
    <row r="1164" customFormat="false" ht="15" hidden="false" customHeight="false" outlineLevel="0" collapsed="false">
      <c r="A1164" s="35" t="n">
        <f aca="false">A1163+1</f>
        <v>45971</v>
      </c>
      <c r="B1164" s="35" t="n">
        <f aca="false">EOMONTH(A1164+1,0)</f>
        <v>45991</v>
      </c>
      <c r="C1164" s="36" t="n">
        <f aca="false">IF(MOD(YEAR(A1164),4)=0,366,365)</f>
        <v>365</v>
      </c>
      <c r="D1164" s="37" t="n">
        <f aca="false">Inputs!$B$9-SUMIFS(Cash_Events!$G$6:$G$20,Cash_Events!$C$6:$C$20,"rAGMF",Cash_Events!$B$6:$B$20,"&lt;="&amp;A1164)</f>
        <v>735000</v>
      </c>
      <c r="E1164" s="38" t="n">
        <f aca="false">VLOOKUP(A1164,Inputs!$A$40:$B$48,2,TRUE())</f>
        <v>0.0396676</v>
      </c>
      <c r="F1164" s="38" t="n">
        <f aca="false">E1164+Inputs!$B$10</f>
        <v>0.1071676</v>
      </c>
      <c r="G1164" s="37" t="n">
        <f aca="false">D1164*F1164/C1164</f>
        <v>215.803249315068</v>
      </c>
      <c r="H1164" s="37" t="n">
        <f aca="false">IF(AND(A1164&gt;=Inputs!$B$13,OR(A1164&lt;Inputs!$B$19,Inputs!$B$20=1)),D1164*Inputs!$B$11/C1164,0)</f>
        <v>40.2739726027397</v>
      </c>
      <c r="I1164" s="37" t="n">
        <f aca="false">Inputs!$C$9-SUMIFS(Cash_Events!$G$6:$G$20,Cash_Events!$C$6:$C$20,"FHL",Cash_Events!$B$6:$B$20,"&lt;="&amp;A1164)</f>
        <v>735000</v>
      </c>
      <c r="J1164" s="38" t="n">
        <f aca="false">VLOOKUP(A1164,Inputs!$F$40:$G$48,2,TRUE())</f>
        <v>0.0386433</v>
      </c>
      <c r="K1164" s="38" t="n">
        <f aca="false">J1164+Inputs!$C$10</f>
        <v>0.1061433</v>
      </c>
      <c r="L1164" s="37" t="n">
        <f aca="false">I1164*K1164/C1164</f>
        <v>213.740617808219</v>
      </c>
      <c r="M1164" s="37" t="n">
        <f aca="false">IF(AND(A1164&gt;=Inputs!$C$13,OR(A1164&lt;Inputs!$B$19,Inputs!$B$20=1)),I1164*Inputs!$C$11/C1164,0)</f>
        <v>40.2739726027397</v>
      </c>
    </row>
    <row r="1165" customFormat="false" ht="15" hidden="false" customHeight="false" outlineLevel="0" collapsed="false">
      <c r="A1165" s="35" t="n">
        <f aca="false">A1164+1</f>
        <v>45972</v>
      </c>
      <c r="B1165" s="35" t="n">
        <f aca="false">EOMONTH(A1165+1,0)</f>
        <v>45991</v>
      </c>
      <c r="C1165" s="36" t="n">
        <f aca="false">IF(MOD(YEAR(A1165),4)=0,366,365)</f>
        <v>365</v>
      </c>
      <c r="D1165" s="37" t="n">
        <f aca="false">Inputs!$B$9-SUMIFS(Cash_Events!$G$6:$G$20,Cash_Events!$C$6:$C$20,"rAGMF",Cash_Events!$B$6:$B$20,"&lt;="&amp;A1165)</f>
        <v>735000</v>
      </c>
      <c r="E1165" s="38" t="n">
        <f aca="false">VLOOKUP(A1165,Inputs!$A$40:$B$48,2,TRUE())</f>
        <v>0.0396676</v>
      </c>
      <c r="F1165" s="38" t="n">
        <f aca="false">E1165+Inputs!$B$10</f>
        <v>0.1071676</v>
      </c>
      <c r="G1165" s="37" t="n">
        <f aca="false">D1165*F1165/C1165</f>
        <v>215.803249315068</v>
      </c>
      <c r="H1165" s="37" t="n">
        <f aca="false">IF(AND(A1165&gt;=Inputs!$B$13,OR(A1165&lt;Inputs!$B$19,Inputs!$B$20=1)),D1165*Inputs!$B$11/C1165,0)</f>
        <v>40.2739726027397</v>
      </c>
      <c r="I1165" s="37" t="n">
        <f aca="false">Inputs!$C$9-SUMIFS(Cash_Events!$G$6:$G$20,Cash_Events!$C$6:$C$20,"FHL",Cash_Events!$B$6:$B$20,"&lt;="&amp;A1165)</f>
        <v>735000</v>
      </c>
      <c r="J1165" s="38" t="n">
        <f aca="false">VLOOKUP(A1165,Inputs!$F$40:$G$48,2,TRUE())</f>
        <v>0.0386433</v>
      </c>
      <c r="K1165" s="38" t="n">
        <f aca="false">J1165+Inputs!$C$10</f>
        <v>0.1061433</v>
      </c>
      <c r="L1165" s="37" t="n">
        <f aca="false">I1165*K1165/C1165</f>
        <v>213.740617808219</v>
      </c>
      <c r="M1165" s="37" t="n">
        <f aca="false">IF(AND(A1165&gt;=Inputs!$C$13,OR(A1165&lt;Inputs!$B$19,Inputs!$B$20=1)),I1165*Inputs!$C$11/C1165,0)</f>
        <v>40.2739726027397</v>
      </c>
    </row>
    <row r="1166" customFormat="false" ht="15" hidden="false" customHeight="false" outlineLevel="0" collapsed="false">
      <c r="A1166" s="35" t="n">
        <f aca="false">A1165+1</f>
        <v>45973</v>
      </c>
      <c r="B1166" s="35" t="n">
        <f aca="false">EOMONTH(A1166+1,0)</f>
        <v>45991</v>
      </c>
      <c r="C1166" s="36" t="n">
        <f aca="false">IF(MOD(YEAR(A1166),4)=0,366,365)</f>
        <v>365</v>
      </c>
      <c r="D1166" s="37" t="n">
        <f aca="false">Inputs!$B$9-SUMIFS(Cash_Events!$G$6:$G$20,Cash_Events!$C$6:$C$20,"rAGMF",Cash_Events!$B$6:$B$20,"&lt;="&amp;A1166)</f>
        <v>735000</v>
      </c>
      <c r="E1166" s="38" t="n">
        <f aca="false">VLOOKUP(A1166,Inputs!$A$40:$B$48,2,TRUE())</f>
        <v>0.0396676</v>
      </c>
      <c r="F1166" s="38" t="n">
        <f aca="false">E1166+Inputs!$B$10</f>
        <v>0.1071676</v>
      </c>
      <c r="G1166" s="37" t="n">
        <f aca="false">D1166*F1166/C1166</f>
        <v>215.803249315068</v>
      </c>
      <c r="H1166" s="37" t="n">
        <f aca="false">IF(AND(A1166&gt;=Inputs!$B$13,OR(A1166&lt;Inputs!$B$19,Inputs!$B$20=1)),D1166*Inputs!$B$11/C1166,0)</f>
        <v>40.2739726027397</v>
      </c>
      <c r="I1166" s="37" t="n">
        <f aca="false">Inputs!$C$9-SUMIFS(Cash_Events!$G$6:$G$20,Cash_Events!$C$6:$C$20,"FHL",Cash_Events!$B$6:$B$20,"&lt;="&amp;A1166)</f>
        <v>735000</v>
      </c>
      <c r="J1166" s="38" t="n">
        <f aca="false">VLOOKUP(A1166,Inputs!$F$40:$G$48,2,TRUE())</f>
        <v>0.0386433</v>
      </c>
      <c r="K1166" s="38" t="n">
        <f aca="false">J1166+Inputs!$C$10</f>
        <v>0.1061433</v>
      </c>
      <c r="L1166" s="37" t="n">
        <f aca="false">I1166*K1166/C1166</f>
        <v>213.740617808219</v>
      </c>
      <c r="M1166" s="37" t="n">
        <f aca="false">IF(AND(A1166&gt;=Inputs!$C$13,OR(A1166&lt;Inputs!$B$19,Inputs!$B$20=1)),I1166*Inputs!$C$11/C1166,0)</f>
        <v>40.2739726027397</v>
      </c>
    </row>
    <row r="1167" customFormat="false" ht="15" hidden="false" customHeight="false" outlineLevel="0" collapsed="false">
      <c r="A1167" s="35" t="n">
        <f aca="false">A1166+1</f>
        <v>45974</v>
      </c>
      <c r="B1167" s="35" t="n">
        <f aca="false">EOMONTH(A1167+1,0)</f>
        <v>45991</v>
      </c>
      <c r="C1167" s="36" t="n">
        <f aca="false">IF(MOD(YEAR(A1167),4)=0,366,365)</f>
        <v>365</v>
      </c>
      <c r="D1167" s="37" t="n">
        <f aca="false">Inputs!$B$9-SUMIFS(Cash_Events!$G$6:$G$20,Cash_Events!$C$6:$C$20,"rAGMF",Cash_Events!$B$6:$B$20,"&lt;="&amp;A1167)</f>
        <v>735000</v>
      </c>
      <c r="E1167" s="38" t="n">
        <f aca="false">VLOOKUP(A1167,Inputs!$A$40:$B$48,2,TRUE())</f>
        <v>0.0396676</v>
      </c>
      <c r="F1167" s="38" t="n">
        <f aca="false">E1167+Inputs!$B$10</f>
        <v>0.1071676</v>
      </c>
      <c r="G1167" s="37" t="n">
        <f aca="false">D1167*F1167/C1167</f>
        <v>215.803249315068</v>
      </c>
      <c r="H1167" s="37" t="n">
        <f aca="false">IF(AND(A1167&gt;=Inputs!$B$13,OR(A1167&lt;Inputs!$B$19,Inputs!$B$20=1)),D1167*Inputs!$B$11/C1167,0)</f>
        <v>40.2739726027397</v>
      </c>
      <c r="I1167" s="37" t="n">
        <f aca="false">Inputs!$C$9-SUMIFS(Cash_Events!$G$6:$G$20,Cash_Events!$C$6:$C$20,"FHL",Cash_Events!$B$6:$B$20,"&lt;="&amp;A1167)</f>
        <v>735000</v>
      </c>
      <c r="J1167" s="38" t="n">
        <f aca="false">VLOOKUP(A1167,Inputs!$F$40:$G$48,2,TRUE())</f>
        <v>0.0386433</v>
      </c>
      <c r="K1167" s="38" t="n">
        <f aca="false">J1167+Inputs!$C$10</f>
        <v>0.1061433</v>
      </c>
      <c r="L1167" s="37" t="n">
        <f aca="false">I1167*K1167/C1167</f>
        <v>213.740617808219</v>
      </c>
      <c r="M1167" s="37" t="n">
        <f aca="false">IF(AND(A1167&gt;=Inputs!$C$13,OR(A1167&lt;Inputs!$B$19,Inputs!$B$20=1)),I1167*Inputs!$C$11/C1167,0)</f>
        <v>40.2739726027397</v>
      </c>
    </row>
    <row r="1168" customFormat="false" ht="15" hidden="false" customHeight="false" outlineLevel="0" collapsed="false">
      <c r="A1168" s="35" t="n">
        <f aca="false">A1167+1</f>
        <v>45975</v>
      </c>
      <c r="B1168" s="35" t="n">
        <f aca="false">EOMONTH(A1168+1,0)</f>
        <v>45991</v>
      </c>
      <c r="C1168" s="36" t="n">
        <f aca="false">IF(MOD(YEAR(A1168),4)=0,366,365)</f>
        <v>365</v>
      </c>
      <c r="D1168" s="37" t="n">
        <f aca="false">Inputs!$B$9-SUMIFS(Cash_Events!$G$6:$G$20,Cash_Events!$C$6:$C$20,"rAGMF",Cash_Events!$B$6:$B$20,"&lt;="&amp;A1168)</f>
        <v>735000</v>
      </c>
      <c r="E1168" s="38" t="n">
        <f aca="false">VLOOKUP(A1168,Inputs!$A$40:$B$48,2,TRUE())</f>
        <v>0.0396676</v>
      </c>
      <c r="F1168" s="38" t="n">
        <f aca="false">E1168+Inputs!$B$10</f>
        <v>0.1071676</v>
      </c>
      <c r="G1168" s="37" t="n">
        <f aca="false">D1168*F1168/C1168</f>
        <v>215.803249315068</v>
      </c>
      <c r="H1168" s="37" t="n">
        <f aca="false">IF(AND(A1168&gt;=Inputs!$B$13,OR(A1168&lt;Inputs!$B$19,Inputs!$B$20=1)),D1168*Inputs!$B$11/C1168,0)</f>
        <v>40.2739726027397</v>
      </c>
      <c r="I1168" s="37" t="n">
        <f aca="false">Inputs!$C$9-SUMIFS(Cash_Events!$G$6:$G$20,Cash_Events!$C$6:$C$20,"FHL",Cash_Events!$B$6:$B$20,"&lt;="&amp;A1168)</f>
        <v>735000</v>
      </c>
      <c r="J1168" s="38" t="n">
        <f aca="false">VLOOKUP(A1168,Inputs!$F$40:$G$48,2,TRUE())</f>
        <v>0.0386433</v>
      </c>
      <c r="K1168" s="38" t="n">
        <f aca="false">J1168+Inputs!$C$10</f>
        <v>0.1061433</v>
      </c>
      <c r="L1168" s="37" t="n">
        <f aca="false">I1168*K1168/C1168</f>
        <v>213.740617808219</v>
      </c>
      <c r="M1168" s="37" t="n">
        <f aca="false">IF(AND(A1168&gt;=Inputs!$C$13,OR(A1168&lt;Inputs!$B$19,Inputs!$B$20=1)),I1168*Inputs!$C$11/C1168,0)</f>
        <v>40.2739726027397</v>
      </c>
    </row>
    <row r="1169" customFormat="false" ht="15" hidden="false" customHeight="false" outlineLevel="0" collapsed="false">
      <c r="A1169" s="35" t="n">
        <f aca="false">A1168+1</f>
        <v>45976</v>
      </c>
      <c r="B1169" s="35" t="n">
        <f aca="false">EOMONTH(A1169+1,0)</f>
        <v>45991</v>
      </c>
      <c r="C1169" s="36" t="n">
        <f aca="false">IF(MOD(YEAR(A1169),4)=0,366,365)</f>
        <v>365</v>
      </c>
      <c r="D1169" s="37" t="n">
        <f aca="false">Inputs!$B$9-SUMIFS(Cash_Events!$G$6:$G$20,Cash_Events!$C$6:$C$20,"rAGMF",Cash_Events!$B$6:$B$20,"&lt;="&amp;A1169)</f>
        <v>735000</v>
      </c>
      <c r="E1169" s="38" t="n">
        <f aca="false">VLOOKUP(A1169,Inputs!$A$40:$B$48,2,TRUE())</f>
        <v>0.0396676</v>
      </c>
      <c r="F1169" s="38" t="n">
        <f aca="false">E1169+Inputs!$B$10</f>
        <v>0.1071676</v>
      </c>
      <c r="G1169" s="37" t="n">
        <f aca="false">D1169*F1169/C1169</f>
        <v>215.803249315068</v>
      </c>
      <c r="H1169" s="37" t="n">
        <f aca="false">IF(AND(A1169&gt;=Inputs!$B$13,OR(A1169&lt;Inputs!$B$19,Inputs!$B$20=1)),D1169*Inputs!$B$11/C1169,0)</f>
        <v>40.2739726027397</v>
      </c>
      <c r="I1169" s="37" t="n">
        <f aca="false">Inputs!$C$9-SUMIFS(Cash_Events!$G$6:$G$20,Cash_Events!$C$6:$C$20,"FHL",Cash_Events!$B$6:$B$20,"&lt;="&amp;A1169)</f>
        <v>735000</v>
      </c>
      <c r="J1169" s="38" t="n">
        <f aca="false">VLOOKUP(A1169,Inputs!$F$40:$G$48,2,TRUE())</f>
        <v>0.0386433</v>
      </c>
      <c r="K1169" s="38" t="n">
        <f aca="false">J1169+Inputs!$C$10</f>
        <v>0.1061433</v>
      </c>
      <c r="L1169" s="37" t="n">
        <f aca="false">I1169*K1169/C1169</f>
        <v>213.740617808219</v>
      </c>
      <c r="M1169" s="37" t="n">
        <f aca="false">IF(AND(A1169&gt;=Inputs!$C$13,OR(A1169&lt;Inputs!$B$19,Inputs!$B$20=1)),I1169*Inputs!$C$11/C1169,0)</f>
        <v>40.2739726027397</v>
      </c>
    </row>
    <row r="1170" customFormat="false" ht="15" hidden="false" customHeight="false" outlineLevel="0" collapsed="false">
      <c r="A1170" s="35" t="n">
        <f aca="false">A1169+1</f>
        <v>45977</v>
      </c>
      <c r="B1170" s="35" t="n">
        <f aca="false">EOMONTH(A1170+1,0)</f>
        <v>45991</v>
      </c>
      <c r="C1170" s="36" t="n">
        <f aca="false">IF(MOD(YEAR(A1170),4)=0,366,365)</f>
        <v>365</v>
      </c>
      <c r="D1170" s="37" t="n">
        <f aca="false">Inputs!$B$9-SUMIFS(Cash_Events!$G$6:$G$20,Cash_Events!$C$6:$C$20,"rAGMF",Cash_Events!$B$6:$B$20,"&lt;="&amp;A1170)</f>
        <v>735000</v>
      </c>
      <c r="E1170" s="38" t="n">
        <f aca="false">VLOOKUP(A1170,Inputs!$A$40:$B$48,2,TRUE())</f>
        <v>0.0396676</v>
      </c>
      <c r="F1170" s="38" t="n">
        <f aca="false">E1170+Inputs!$B$10</f>
        <v>0.1071676</v>
      </c>
      <c r="G1170" s="37" t="n">
        <f aca="false">D1170*F1170/C1170</f>
        <v>215.803249315068</v>
      </c>
      <c r="H1170" s="37" t="n">
        <f aca="false">IF(AND(A1170&gt;=Inputs!$B$13,OR(A1170&lt;Inputs!$B$19,Inputs!$B$20=1)),D1170*Inputs!$B$11/C1170,0)</f>
        <v>40.2739726027397</v>
      </c>
      <c r="I1170" s="37" t="n">
        <f aca="false">Inputs!$C$9-SUMIFS(Cash_Events!$G$6:$G$20,Cash_Events!$C$6:$C$20,"FHL",Cash_Events!$B$6:$B$20,"&lt;="&amp;A1170)</f>
        <v>735000</v>
      </c>
      <c r="J1170" s="38" t="n">
        <f aca="false">VLOOKUP(A1170,Inputs!$F$40:$G$48,2,TRUE())</f>
        <v>0.0386433</v>
      </c>
      <c r="K1170" s="38" t="n">
        <f aca="false">J1170+Inputs!$C$10</f>
        <v>0.1061433</v>
      </c>
      <c r="L1170" s="37" t="n">
        <f aca="false">I1170*K1170/C1170</f>
        <v>213.740617808219</v>
      </c>
      <c r="M1170" s="37" t="n">
        <f aca="false">IF(AND(A1170&gt;=Inputs!$C$13,OR(A1170&lt;Inputs!$B$19,Inputs!$B$20=1)),I1170*Inputs!$C$11/C1170,0)</f>
        <v>40.2739726027397</v>
      </c>
    </row>
    <row r="1171" customFormat="false" ht="15" hidden="false" customHeight="false" outlineLevel="0" collapsed="false">
      <c r="A1171" s="35" t="n">
        <f aca="false">A1170+1</f>
        <v>45978</v>
      </c>
      <c r="B1171" s="35" t="n">
        <f aca="false">EOMONTH(A1171+1,0)</f>
        <v>45991</v>
      </c>
      <c r="C1171" s="36" t="n">
        <f aca="false">IF(MOD(YEAR(A1171),4)=0,366,365)</f>
        <v>365</v>
      </c>
      <c r="D1171" s="37" t="n">
        <f aca="false">Inputs!$B$9-SUMIFS(Cash_Events!$G$6:$G$20,Cash_Events!$C$6:$C$20,"rAGMF",Cash_Events!$B$6:$B$20,"&lt;="&amp;A1171)</f>
        <v>735000</v>
      </c>
      <c r="E1171" s="38" t="n">
        <f aca="false">VLOOKUP(A1171,Inputs!$A$40:$B$48,2,TRUE())</f>
        <v>0.0396676</v>
      </c>
      <c r="F1171" s="38" t="n">
        <f aca="false">E1171+Inputs!$B$10</f>
        <v>0.1071676</v>
      </c>
      <c r="G1171" s="37" t="n">
        <f aca="false">D1171*F1171/C1171</f>
        <v>215.803249315068</v>
      </c>
      <c r="H1171" s="37" t="n">
        <f aca="false">IF(AND(A1171&gt;=Inputs!$B$13,OR(A1171&lt;Inputs!$B$19,Inputs!$B$20=1)),D1171*Inputs!$B$11/C1171,0)</f>
        <v>40.2739726027397</v>
      </c>
      <c r="I1171" s="37" t="n">
        <f aca="false">Inputs!$C$9-SUMIFS(Cash_Events!$G$6:$G$20,Cash_Events!$C$6:$C$20,"FHL",Cash_Events!$B$6:$B$20,"&lt;="&amp;A1171)</f>
        <v>735000</v>
      </c>
      <c r="J1171" s="38" t="n">
        <f aca="false">VLOOKUP(A1171,Inputs!$F$40:$G$48,2,TRUE())</f>
        <v>0.0386433</v>
      </c>
      <c r="K1171" s="38" t="n">
        <f aca="false">J1171+Inputs!$C$10</f>
        <v>0.1061433</v>
      </c>
      <c r="L1171" s="37" t="n">
        <f aca="false">I1171*K1171/C1171</f>
        <v>213.740617808219</v>
      </c>
      <c r="M1171" s="37" t="n">
        <f aca="false">IF(AND(A1171&gt;=Inputs!$C$13,OR(A1171&lt;Inputs!$B$19,Inputs!$B$20=1)),I1171*Inputs!$C$11/C1171,0)</f>
        <v>40.2739726027397</v>
      </c>
    </row>
    <row r="1172" customFormat="false" ht="15" hidden="false" customHeight="false" outlineLevel="0" collapsed="false">
      <c r="A1172" s="35" t="n">
        <f aca="false">A1171+1</f>
        <v>45979</v>
      </c>
      <c r="B1172" s="35" t="n">
        <f aca="false">EOMONTH(A1172+1,0)</f>
        <v>45991</v>
      </c>
      <c r="C1172" s="36" t="n">
        <f aca="false">IF(MOD(YEAR(A1172),4)=0,366,365)</f>
        <v>365</v>
      </c>
      <c r="D1172" s="37" t="n">
        <f aca="false">Inputs!$B$9-SUMIFS(Cash_Events!$G$6:$G$20,Cash_Events!$C$6:$C$20,"rAGMF",Cash_Events!$B$6:$B$20,"&lt;="&amp;A1172)</f>
        <v>735000</v>
      </c>
      <c r="E1172" s="38" t="n">
        <f aca="false">VLOOKUP(A1172,Inputs!$A$40:$B$48,2,TRUE())</f>
        <v>0.0396676</v>
      </c>
      <c r="F1172" s="38" t="n">
        <f aca="false">E1172+Inputs!$B$10</f>
        <v>0.1071676</v>
      </c>
      <c r="G1172" s="37" t="n">
        <f aca="false">D1172*F1172/C1172</f>
        <v>215.803249315068</v>
      </c>
      <c r="H1172" s="37" t="n">
        <f aca="false">IF(AND(A1172&gt;=Inputs!$B$13,OR(A1172&lt;Inputs!$B$19,Inputs!$B$20=1)),D1172*Inputs!$B$11/C1172,0)</f>
        <v>40.2739726027397</v>
      </c>
      <c r="I1172" s="37" t="n">
        <f aca="false">Inputs!$C$9-SUMIFS(Cash_Events!$G$6:$G$20,Cash_Events!$C$6:$C$20,"FHL",Cash_Events!$B$6:$B$20,"&lt;="&amp;A1172)</f>
        <v>735000</v>
      </c>
      <c r="J1172" s="38" t="n">
        <f aca="false">VLOOKUP(A1172,Inputs!$F$40:$G$48,2,TRUE())</f>
        <v>0.0386433</v>
      </c>
      <c r="K1172" s="38" t="n">
        <f aca="false">J1172+Inputs!$C$10</f>
        <v>0.1061433</v>
      </c>
      <c r="L1172" s="37" t="n">
        <f aca="false">I1172*K1172/C1172</f>
        <v>213.740617808219</v>
      </c>
      <c r="M1172" s="37" t="n">
        <f aca="false">IF(AND(A1172&gt;=Inputs!$C$13,OR(A1172&lt;Inputs!$B$19,Inputs!$B$20=1)),I1172*Inputs!$C$11/C1172,0)</f>
        <v>40.2739726027397</v>
      </c>
    </row>
    <row r="1173" customFormat="false" ht="15" hidden="false" customHeight="false" outlineLevel="0" collapsed="false">
      <c r="A1173" s="35" t="n">
        <f aca="false">A1172+1</f>
        <v>45980</v>
      </c>
      <c r="B1173" s="35" t="n">
        <f aca="false">EOMONTH(A1173+1,0)</f>
        <v>45991</v>
      </c>
      <c r="C1173" s="36" t="n">
        <f aca="false">IF(MOD(YEAR(A1173),4)=0,366,365)</f>
        <v>365</v>
      </c>
      <c r="D1173" s="37" t="n">
        <f aca="false">Inputs!$B$9-SUMIFS(Cash_Events!$G$6:$G$20,Cash_Events!$C$6:$C$20,"rAGMF",Cash_Events!$B$6:$B$20,"&lt;="&amp;A1173)</f>
        <v>735000</v>
      </c>
      <c r="E1173" s="38" t="n">
        <f aca="false">VLOOKUP(A1173,Inputs!$A$40:$B$48,2,TRUE())</f>
        <v>0.0396676</v>
      </c>
      <c r="F1173" s="38" t="n">
        <f aca="false">E1173+Inputs!$B$10</f>
        <v>0.1071676</v>
      </c>
      <c r="G1173" s="37" t="n">
        <f aca="false">D1173*F1173/C1173</f>
        <v>215.803249315068</v>
      </c>
      <c r="H1173" s="37" t="n">
        <f aca="false">IF(AND(A1173&gt;=Inputs!$B$13,OR(A1173&lt;Inputs!$B$19,Inputs!$B$20=1)),D1173*Inputs!$B$11/C1173,0)</f>
        <v>40.2739726027397</v>
      </c>
      <c r="I1173" s="37" t="n">
        <f aca="false">Inputs!$C$9-SUMIFS(Cash_Events!$G$6:$G$20,Cash_Events!$C$6:$C$20,"FHL",Cash_Events!$B$6:$B$20,"&lt;="&amp;A1173)</f>
        <v>735000</v>
      </c>
      <c r="J1173" s="38" t="n">
        <f aca="false">VLOOKUP(A1173,Inputs!$F$40:$G$48,2,TRUE())</f>
        <v>0.0386433</v>
      </c>
      <c r="K1173" s="38" t="n">
        <f aca="false">J1173+Inputs!$C$10</f>
        <v>0.1061433</v>
      </c>
      <c r="L1173" s="37" t="n">
        <f aca="false">I1173*K1173/C1173</f>
        <v>213.740617808219</v>
      </c>
      <c r="M1173" s="37" t="n">
        <f aca="false">IF(AND(A1173&gt;=Inputs!$C$13,OR(A1173&lt;Inputs!$B$19,Inputs!$B$20=1)),I1173*Inputs!$C$11/C1173,0)</f>
        <v>40.2739726027397</v>
      </c>
    </row>
    <row r="1174" customFormat="false" ht="15" hidden="false" customHeight="false" outlineLevel="0" collapsed="false">
      <c r="A1174" s="35" t="n">
        <f aca="false">A1173+1</f>
        <v>45981</v>
      </c>
      <c r="B1174" s="35" t="n">
        <f aca="false">EOMONTH(A1174+1,0)</f>
        <v>45991</v>
      </c>
      <c r="C1174" s="36" t="n">
        <f aca="false">IF(MOD(YEAR(A1174),4)=0,366,365)</f>
        <v>365</v>
      </c>
      <c r="D1174" s="37" t="n">
        <f aca="false">Inputs!$B$9-SUMIFS(Cash_Events!$G$6:$G$20,Cash_Events!$C$6:$C$20,"rAGMF",Cash_Events!$B$6:$B$20,"&lt;="&amp;A1174)</f>
        <v>735000</v>
      </c>
      <c r="E1174" s="38" t="n">
        <f aca="false">VLOOKUP(A1174,Inputs!$A$40:$B$48,2,TRUE())</f>
        <v>0.0396676</v>
      </c>
      <c r="F1174" s="38" t="n">
        <f aca="false">E1174+Inputs!$B$10</f>
        <v>0.1071676</v>
      </c>
      <c r="G1174" s="37" t="n">
        <f aca="false">D1174*F1174/C1174</f>
        <v>215.803249315068</v>
      </c>
      <c r="H1174" s="37" t="n">
        <f aca="false">IF(AND(A1174&gt;=Inputs!$B$13,OR(A1174&lt;Inputs!$B$19,Inputs!$B$20=1)),D1174*Inputs!$B$11/C1174,0)</f>
        <v>40.2739726027397</v>
      </c>
      <c r="I1174" s="37" t="n">
        <f aca="false">Inputs!$C$9-SUMIFS(Cash_Events!$G$6:$G$20,Cash_Events!$C$6:$C$20,"FHL",Cash_Events!$B$6:$B$20,"&lt;="&amp;A1174)</f>
        <v>735000</v>
      </c>
      <c r="J1174" s="38" t="n">
        <f aca="false">VLOOKUP(A1174,Inputs!$F$40:$G$48,2,TRUE())</f>
        <v>0.0386433</v>
      </c>
      <c r="K1174" s="38" t="n">
        <f aca="false">J1174+Inputs!$C$10</f>
        <v>0.1061433</v>
      </c>
      <c r="L1174" s="37" t="n">
        <f aca="false">I1174*K1174/C1174</f>
        <v>213.740617808219</v>
      </c>
      <c r="M1174" s="37" t="n">
        <f aca="false">IF(AND(A1174&gt;=Inputs!$C$13,OR(A1174&lt;Inputs!$B$19,Inputs!$B$20=1)),I1174*Inputs!$C$11/C1174,0)</f>
        <v>40.2739726027397</v>
      </c>
    </row>
    <row r="1175" customFormat="false" ht="15" hidden="false" customHeight="false" outlineLevel="0" collapsed="false">
      <c r="A1175" s="35" t="n">
        <f aca="false">A1174+1</f>
        <v>45982</v>
      </c>
      <c r="B1175" s="35" t="n">
        <f aca="false">EOMONTH(A1175+1,0)</f>
        <v>45991</v>
      </c>
      <c r="C1175" s="36" t="n">
        <f aca="false">IF(MOD(YEAR(A1175),4)=0,366,365)</f>
        <v>365</v>
      </c>
      <c r="D1175" s="37" t="n">
        <f aca="false">Inputs!$B$9-SUMIFS(Cash_Events!$G$6:$G$20,Cash_Events!$C$6:$C$20,"rAGMF",Cash_Events!$B$6:$B$20,"&lt;="&amp;A1175)</f>
        <v>735000</v>
      </c>
      <c r="E1175" s="38" t="n">
        <f aca="false">VLOOKUP(A1175,Inputs!$A$40:$B$48,2,TRUE())</f>
        <v>0.0396676</v>
      </c>
      <c r="F1175" s="38" t="n">
        <f aca="false">E1175+Inputs!$B$10</f>
        <v>0.1071676</v>
      </c>
      <c r="G1175" s="37" t="n">
        <f aca="false">D1175*F1175/C1175</f>
        <v>215.803249315068</v>
      </c>
      <c r="H1175" s="37" t="n">
        <f aca="false">IF(AND(A1175&gt;=Inputs!$B$13,OR(A1175&lt;Inputs!$B$19,Inputs!$B$20=1)),D1175*Inputs!$B$11/C1175,0)</f>
        <v>40.2739726027397</v>
      </c>
      <c r="I1175" s="37" t="n">
        <f aca="false">Inputs!$C$9-SUMIFS(Cash_Events!$G$6:$G$20,Cash_Events!$C$6:$C$20,"FHL",Cash_Events!$B$6:$B$20,"&lt;="&amp;A1175)</f>
        <v>735000</v>
      </c>
      <c r="J1175" s="38" t="n">
        <f aca="false">VLOOKUP(A1175,Inputs!$F$40:$G$48,2,TRUE())</f>
        <v>0.0386433</v>
      </c>
      <c r="K1175" s="38" t="n">
        <f aca="false">J1175+Inputs!$C$10</f>
        <v>0.1061433</v>
      </c>
      <c r="L1175" s="37" t="n">
        <f aca="false">I1175*K1175/C1175</f>
        <v>213.740617808219</v>
      </c>
      <c r="M1175" s="37" t="n">
        <f aca="false">IF(AND(A1175&gt;=Inputs!$C$13,OR(A1175&lt;Inputs!$B$19,Inputs!$B$20=1)),I1175*Inputs!$C$11/C1175,0)</f>
        <v>40.2739726027397</v>
      </c>
    </row>
    <row r="1176" customFormat="false" ht="15" hidden="false" customHeight="false" outlineLevel="0" collapsed="false">
      <c r="A1176" s="35" t="n">
        <f aca="false">A1175+1</f>
        <v>45983</v>
      </c>
      <c r="B1176" s="35" t="n">
        <f aca="false">EOMONTH(A1176+1,0)</f>
        <v>45991</v>
      </c>
      <c r="C1176" s="36" t="n">
        <f aca="false">IF(MOD(YEAR(A1176),4)=0,366,365)</f>
        <v>365</v>
      </c>
      <c r="D1176" s="37" t="n">
        <f aca="false">Inputs!$B$9-SUMIFS(Cash_Events!$G$6:$G$20,Cash_Events!$C$6:$C$20,"rAGMF",Cash_Events!$B$6:$B$20,"&lt;="&amp;A1176)</f>
        <v>735000</v>
      </c>
      <c r="E1176" s="38" t="n">
        <f aca="false">VLOOKUP(A1176,Inputs!$A$40:$B$48,2,TRUE())</f>
        <v>0.0396676</v>
      </c>
      <c r="F1176" s="38" t="n">
        <f aca="false">E1176+Inputs!$B$10</f>
        <v>0.1071676</v>
      </c>
      <c r="G1176" s="37" t="n">
        <f aca="false">D1176*F1176/C1176</f>
        <v>215.803249315068</v>
      </c>
      <c r="H1176" s="37" t="n">
        <f aca="false">IF(AND(A1176&gt;=Inputs!$B$13,OR(A1176&lt;Inputs!$B$19,Inputs!$B$20=1)),D1176*Inputs!$B$11/C1176,0)</f>
        <v>40.2739726027397</v>
      </c>
      <c r="I1176" s="37" t="n">
        <f aca="false">Inputs!$C$9-SUMIFS(Cash_Events!$G$6:$G$20,Cash_Events!$C$6:$C$20,"FHL",Cash_Events!$B$6:$B$20,"&lt;="&amp;A1176)</f>
        <v>735000</v>
      </c>
      <c r="J1176" s="38" t="n">
        <f aca="false">VLOOKUP(A1176,Inputs!$F$40:$G$48,2,TRUE())</f>
        <v>0.0386433</v>
      </c>
      <c r="K1176" s="38" t="n">
        <f aca="false">J1176+Inputs!$C$10</f>
        <v>0.1061433</v>
      </c>
      <c r="L1176" s="37" t="n">
        <f aca="false">I1176*K1176/C1176</f>
        <v>213.740617808219</v>
      </c>
      <c r="M1176" s="37" t="n">
        <f aca="false">IF(AND(A1176&gt;=Inputs!$C$13,OR(A1176&lt;Inputs!$B$19,Inputs!$B$20=1)),I1176*Inputs!$C$11/C1176,0)</f>
        <v>40.2739726027397</v>
      </c>
    </row>
    <row r="1177" customFormat="false" ht="15" hidden="false" customHeight="false" outlineLevel="0" collapsed="false">
      <c r="A1177" s="35" t="n">
        <f aca="false">A1176+1</f>
        <v>45984</v>
      </c>
      <c r="B1177" s="35" t="n">
        <f aca="false">EOMONTH(A1177+1,0)</f>
        <v>45991</v>
      </c>
      <c r="C1177" s="36" t="n">
        <f aca="false">IF(MOD(YEAR(A1177),4)=0,366,365)</f>
        <v>365</v>
      </c>
      <c r="D1177" s="37" t="n">
        <f aca="false">Inputs!$B$9-SUMIFS(Cash_Events!$G$6:$G$20,Cash_Events!$C$6:$C$20,"rAGMF",Cash_Events!$B$6:$B$20,"&lt;="&amp;A1177)</f>
        <v>735000</v>
      </c>
      <c r="E1177" s="38" t="n">
        <f aca="false">VLOOKUP(A1177,Inputs!$A$40:$B$48,2,TRUE())</f>
        <v>0.0396676</v>
      </c>
      <c r="F1177" s="38" t="n">
        <f aca="false">E1177+Inputs!$B$10</f>
        <v>0.1071676</v>
      </c>
      <c r="G1177" s="37" t="n">
        <f aca="false">D1177*F1177/C1177</f>
        <v>215.803249315068</v>
      </c>
      <c r="H1177" s="37" t="n">
        <f aca="false">IF(AND(A1177&gt;=Inputs!$B$13,OR(A1177&lt;Inputs!$B$19,Inputs!$B$20=1)),D1177*Inputs!$B$11/C1177,0)</f>
        <v>40.2739726027397</v>
      </c>
      <c r="I1177" s="37" t="n">
        <f aca="false">Inputs!$C$9-SUMIFS(Cash_Events!$G$6:$G$20,Cash_Events!$C$6:$C$20,"FHL",Cash_Events!$B$6:$B$20,"&lt;="&amp;A1177)</f>
        <v>735000</v>
      </c>
      <c r="J1177" s="38" t="n">
        <f aca="false">VLOOKUP(A1177,Inputs!$F$40:$G$48,2,TRUE())</f>
        <v>0.0386433</v>
      </c>
      <c r="K1177" s="38" t="n">
        <f aca="false">J1177+Inputs!$C$10</f>
        <v>0.1061433</v>
      </c>
      <c r="L1177" s="37" t="n">
        <f aca="false">I1177*K1177/C1177</f>
        <v>213.740617808219</v>
      </c>
      <c r="M1177" s="37" t="n">
        <f aca="false">IF(AND(A1177&gt;=Inputs!$C$13,OR(A1177&lt;Inputs!$B$19,Inputs!$B$20=1)),I1177*Inputs!$C$11/C1177,0)</f>
        <v>40.2739726027397</v>
      </c>
    </row>
    <row r="1178" customFormat="false" ht="15" hidden="false" customHeight="false" outlineLevel="0" collapsed="false">
      <c r="A1178" s="35" t="n">
        <f aca="false">A1177+1</f>
        <v>45985</v>
      </c>
      <c r="B1178" s="35" t="n">
        <f aca="false">EOMONTH(A1178+1,0)</f>
        <v>45991</v>
      </c>
      <c r="C1178" s="36" t="n">
        <f aca="false">IF(MOD(YEAR(A1178),4)=0,366,365)</f>
        <v>365</v>
      </c>
      <c r="D1178" s="37" t="n">
        <f aca="false">Inputs!$B$9-SUMIFS(Cash_Events!$G$6:$G$20,Cash_Events!$C$6:$C$20,"rAGMF",Cash_Events!$B$6:$B$20,"&lt;="&amp;A1178)</f>
        <v>735000</v>
      </c>
      <c r="E1178" s="38" t="n">
        <f aca="false">VLOOKUP(A1178,Inputs!$A$40:$B$48,2,TRUE())</f>
        <v>0.0396676</v>
      </c>
      <c r="F1178" s="38" t="n">
        <f aca="false">E1178+Inputs!$B$10</f>
        <v>0.1071676</v>
      </c>
      <c r="G1178" s="37" t="n">
        <f aca="false">D1178*F1178/C1178</f>
        <v>215.803249315068</v>
      </c>
      <c r="H1178" s="37" t="n">
        <f aca="false">IF(AND(A1178&gt;=Inputs!$B$13,OR(A1178&lt;Inputs!$B$19,Inputs!$B$20=1)),D1178*Inputs!$B$11/C1178,0)</f>
        <v>40.2739726027397</v>
      </c>
      <c r="I1178" s="37" t="n">
        <f aca="false">Inputs!$C$9-SUMIFS(Cash_Events!$G$6:$G$20,Cash_Events!$C$6:$C$20,"FHL",Cash_Events!$B$6:$B$20,"&lt;="&amp;A1178)</f>
        <v>735000</v>
      </c>
      <c r="J1178" s="38" t="n">
        <f aca="false">VLOOKUP(A1178,Inputs!$F$40:$G$48,2,TRUE())</f>
        <v>0.0386433</v>
      </c>
      <c r="K1178" s="38" t="n">
        <f aca="false">J1178+Inputs!$C$10</f>
        <v>0.1061433</v>
      </c>
      <c r="L1178" s="37" t="n">
        <f aca="false">I1178*K1178/C1178</f>
        <v>213.740617808219</v>
      </c>
      <c r="M1178" s="37" t="n">
        <f aca="false">IF(AND(A1178&gt;=Inputs!$C$13,OR(A1178&lt;Inputs!$B$19,Inputs!$B$20=1)),I1178*Inputs!$C$11/C1178,0)</f>
        <v>40.2739726027397</v>
      </c>
    </row>
    <row r="1179" customFormat="false" ht="15" hidden="false" customHeight="false" outlineLevel="0" collapsed="false">
      <c r="A1179" s="35" t="n">
        <f aca="false">A1178+1</f>
        <v>45986</v>
      </c>
      <c r="B1179" s="35" t="n">
        <f aca="false">EOMONTH(A1179+1,0)</f>
        <v>45991</v>
      </c>
      <c r="C1179" s="36" t="n">
        <f aca="false">IF(MOD(YEAR(A1179),4)=0,366,365)</f>
        <v>365</v>
      </c>
      <c r="D1179" s="37" t="n">
        <f aca="false">Inputs!$B$9-SUMIFS(Cash_Events!$G$6:$G$20,Cash_Events!$C$6:$C$20,"rAGMF",Cash_Events!$B$6:$B$20,"&lt;="&amp;A1179)</f>
        <v>735000</v>
      </c>
      <c r="E1179" s="38" t="n">
        <f aca="false">VLOOKUP(A1179,Inputs!$A$40:$B$48,2,TRUE())</f>
        <v>0.0396676</v>
      </c>
      <c r="F1179" s="38" t="n">
        <f aca="false">E1179+Inputs!$B$10</f>
        <v>0.1071676</v>
      </c>
      <c r="G1179" s="37" t="n">
        <f aca="false">D1179*F1179/C1179</f>
        <v>215.803249315068</v>
      </c>
      <c r="H1179" s="37" t="n">
        <f aca="false">IF(AND(A1179&gt;=Inputs!$B$13,OR(A1179&lt;Inputs!$B$19,Inputs!$B$20=1)),D1179*Inputs!$B$11/C1179,0)</f>
        <v>40.2739726027397</v>
      </c>
      <c r="I1179" s="37" t="n">
        <f aca="false">Inputs!$C$9-SUMIFS(Cash_Events!$G$6:$G$20,Cash_Events!$C$6:$C$20,"FHL",Cash_Events!$B$6:$B$20,"&lt;="&amp;A1179)</f>
        <v>735000</v>
      </c>
      <c r="J1179" s="38" t="n">
        <f aca="false">VLOOKUP(A1179,Inputs!$F$40:$G$48,2,TRUE())</f>
        <v>0.0386433</v>
      </c>
      <c r="K1179" s="38" t="n">
        <f aca="false">J1179+Inputs!$C$10</f>
        <v>0.1061433</v>
      </c>
      <c r="L1179" s="37" t="n">
        <f aca="false">I1179*K1179/C1179</f>
        <v>213.740617808219</v>
      </c>
      <c r="M1179" s="37" t="n">
        <f aca="false">IF(AND(A1179&gt;=Inputs!$C$13,OR(A1179&lt;Inputs!$B$19,Inputs!$B$20=1)),I1179*Inputs!$C$11/C1179,0)</f>
        <v>40.2739726027397</v>
      </c>
    </row>
    <row r="1180" customFormat="false" ht="15" hidden="false" customHeight="false" outlineLevel="0" collapsed="false">
      <c r="A1180" s="35" t="n">
        <f aca="false">A1179+1</f>
        <v>45987</v>
      </c>
      <c r="B1180" s="35" t="n">
        <f aca="false">EOMONTH(A1180+1,0)</f>
        <v>45991</v>
      </c>
      <c r="C1180" s="36" t="n">
        <f aca="false">IF(MOD(YEAR(A1180),4)=0,366,365)</f>
        <v>365</v>
      </c>
      <c r="D1180" s="37" t="n">
        <f aca="false">Inputs!$B$9-SUMIFS(Cash_Events!$G$6:$G$20,Cash_Events!$C$6:$C$20,"rAGMF",Cash_Events!$B$6:$B$20,"&lt;="&amp;A1180)</f>
        <v>735000</v>
      </c>
      <c r="E1180" s="38" t="n">
        <f aca="false">VLOOKUP(A1180,Inputs!$A$40:$B$48,2,TRUE())</f>
        <v>0.0396676</v>
      </c>
      <c r="F1180" s="38" t="n">
        <f aca="false">E1180+Inputs!$B$10</f>
        <v>0.1071676</v>
      </c>
      <c r="G1180" s="37" t="n">
        <f aca="false">D1180*F1180/C1180</f>
        <v>215.803249315068</v>
      </c>
      <c r="H1180" s="37" t="n">
        <f aca="false">IF(AND(A1180&gt;=Inputs!$B$13,OR(A1180&lt;Inputs!$B$19,Inputs!$B$20=1)),D1180*Inputs!$B$11/C1180,0)</f>
        <v>40.2739726027397</v>
      </c>
      <c r="I1180" s="37" t="n">
        <f aca="false">Inputs!$C$9-SUMIFS(Cash_Events!$G$6:$G$20,Cash_Events!$C$6:$C$20,"FHL",Cash_Events!$B$6:$B$20,"&lt;="&amp;A1180)</f>
        <v>735000</v>
      </c>
      <c r="J1180" s="38" t="n">
        <f aca="false">VLOOKUP(A1180,Inputs!$F$40:$G$48,2,TRUE())</f>
        <v>0.0386433</v>
      </c>
      <c r="K1180" s="38" t="n">
        <f aca="false">J1180+Inputs!$C$10</f>
        <v>0.1061433</v>
      </c>
      <c r="L1180" s="37" t="n">
        <f aca="false">I1180*K1180/C1180</f>
        <v>213.740617808219</v>
      </c>
      <c r="M1180" s="37" t="n">
        <f aca="false">IF(AND(A1180&gt;=Inputs!$C$13,OR(A1180&lt;Inputs!$B$19,Inputs!$B$20=1)),I1180*Inputs!$C$11/C1180,0)</f>
        <v>40.2739726027397</v>
      </c>
    </row>
    <row r="1181" customFormat="false" ht="15" hidden="false" customHeight="false" outlineLevel="0" collapsed="false">
      <c r="A1181" s="35" t="n">
        <f aca="false">A1180+1</f>
        <v>45988</v>
      </c>
      <c r="B1181" s="35" t="n">
        <f aca="false">EOMONTH(A1181+1,0)</f>
        <v>45991</v>
      </c>
      <c r="C1181" s="36" t="n">
        <f aca="false">IF(MOD(YEAR(A1181),4)=0,366,365)</f>
        <v>365</v>
      </c>
      <c r="D1181" s="37" t="n">
        <f aca="false">Inputs!$B$9-SUMIFS(Cash_Events!$G$6:$G$20,Cash_Events!$C$6:$C$20,"rAGMF",Cash_Events!$B$6:$B$20,"&lt;="&amp;A1181)</f>
        <v>735000</v>
      </c>
      <c r="E1181" s="38" t="n">
        <f aca="false">VLOOKUP(A1181,Inputs!$A$40:$B$48,2,TRUE())</f>
        <v>0.0396676</v>
      </c>
      <c r="F1181" s="38" t="n">
        <f aca="false">E1181+Inputs!$B$10</f>
        <v>0.1071676</v>
      </c>
      <c r="G1181" s="37" t="n">
        <f aca="false">D1181*F1181/C1181</f>
        <v>215.803249315068</v>
      </c>
      <c r="H1181" s="37" t="n">
        <f aca="false">IF(AND(A1181&gt;=Inputs!$B$13,OR(A1181&lt;Inputs!$B$19,Inputs!$B$20=1)),D1181*Inputs!$B$11/C1181,0)</f>
        <v>40.2739726027397</v>
      </c>
      <c r="I1181" s="37" t="n">
        <f aca="false">Inputs!$C$9-SUMIFS(Cash_Events!$G$6:$G$20,Cash_Events!$C$6:$C$20,"FHL",Cash_Events!$B$6:$B$20,"&lt;="&amp;A1181)</f>
        <v>735000</v>
      </c>
      <c r="J1181" s="38" t="n">
        <f aca="false">VLOOKUP(A1181,Inputs!$F$40:$G$48,2,TRUE())</f>
        <v>0.0386433</v>
      </c>
      <c r="K1181" s="38" t="n">
        <f aca="false">J1181+Inputs!$C$10</f>
        <v>0.1061433</v>
      </c>
      <c r="L1181" s="37" t="n">
        <f aca="false">I1181*K1181/C1181</f>
        <v>213.740617808219</v>
      </c>
      <c r="M1181" s="37" t="n">
        <f aca="false">IF(AND(A1181&gt;=Inputs!$C$13,OR(A1181&lt;Inputs!$B$19,Inputs!$B$20=1)),I1181*Inputs!$C$11/C1181,0)</f>
        <v>40.2739726027397</v>
      </c>
    </row>
    <row r="1182" customFormat="false" ht="15" hidden="false" customHeight="false" outlineLevel="0" collapsed="false">
      <c r="A1182" s="35" t="n">
        <f aca="false">A1181+1</f>
        <v>45989</v>
      </c>
      <c r="B1182" s="35" t="n">
        <f aca="false">EOMONTH(A1182+1,0)</f>
        <v>45991</v>
      </c>
      <c r="C1182" s="36" t="n">
        <f aca="false">IF(MOD(YEAR(A1182),4)=0,366,365)</f>
        <v>365</v>
      </c>
      <c r="D1182" s="37" t="n">
        <f aca="false">Inputs!$B$9-SUMIFS(Cash_Events!$G$6:$G$20,Cash_Events!$C$6:$C$20,"rAGMF",Cash_Events!$B$6:$B$20,"&lt;="&amp;A1182)</f>
        <v>735000</v>
      </c>
      <c r="E1182" s="38" t="n">
        <f aca="false">VLOOKUP(A1182,Inputs!$A$40:$B$48,2,TRUE())</f>
        <v>0.0396676</v>
      </c>
      <c r="F1182" s="38" t="n">
        <f aca="false">E1182+Inputs!$B$10</f>
        <v>0.1071676</v>
      </c>
      <c r="G1182" s="37" t="n">
        <f aca="false">D1182*F1182/C1182</f>
        <v>215.803249315068</v>
      </c>
      <c r="H1182" s="37" t="n">
        <f aca="false">IF(AND(A1182&gt;=Inputs!$B$13,OR(A1182&lt;Inputs!$B$19,Inputs!$B$20=1)),D1182*Inputs!$B$11/C1182,0)</f>
        <v>40.2739726027397</v>
      </c>
      <c r="I1182" s="37" t="n">
        <f aca="false">Inputs!$C$9-SUMIFS(Cash_Events!$G$6:$G$20,Cash_Events!$C$6:$C$20,"FHL",Cash_Events!$B$6:$B$20,"&lt;="&amp;A1182)</f>
        <v>735000</v>
      </c>
      <c r="J1182" s="38" t="n">
        <f aca="false">VLOOKUP(A1182,Inputs!$F$40:$G$48,2,TRUE())</f>
        <v>0.0386433</v>
      </c>
      <c r="K1182" s="38" t="n">
        <f aca="false">J1182+Inputs!$C$10</f>
        <v>0.1061433</v>
      </c>
      <c r="L1182" s="37" t="n">
        <f aca="false">I1182*K1182/C1182</f>
        <v>213.740617808219</v>
      </c>
      <c r="M1182" s="37" t="n">
        <f aca="false">IF(AND(A1182&gt;=Inputs!$C$13,OR(A1182&lt;Inputs!$B$19,Inputs!$B$20=1)),I1182*Inputs!$C$11/C1182,0)</f>
        <v>40.2739726027397</v>
      </c>
    </row>
    <row r="1183" customFormat="false" ht="15" hidden="false" customHeight="false" outlineLevel="0" collapsed="false">
      <c r="A1183" s="35" t="n">
        <f aca="false">A1182+1</f>
        <v>45990</v>
      </c>
      <c r="B1183" s="35" t="n">
        <f aca="false">EOMONTH(A1183+1,0)</f>
        <v>45991</v>
      </c>
      <c r="C1183" s="36" t="n">
        <f aca="false">IF(MOD(YEAR(A1183),4)=0,366,365)</f>
        <v>365</v>
      </c>
      <c r="D1183" s="37" t="n">
        <f aca="false">Inputs!$B$9-SUMIFS(Cash_Events!$G$6:$G$20,Cash_Events!$C$6:$C$20,"rAGMF",Cash_Events!$B$6:$B$20,"&lt;="&amp;A1183)</f>
        <v>735000</v>
      </c>
      <c r="E1183" s="38" t="n">
        <f aca="false">VLOOKUP(A1183,Inputs!$A$40:$B$48,2,TRUE())</f>
        <v>0.0396676</v>
      </c>
      <c r="F1183" s="38" t="n">
        <f aca="false">E1183+Inputs!$B$10</f>
        <v>0.1071676</v>
      </c>
      <c r="G1183" s="37" t="n">
        <f aca="false">D1183*F1183/C1183</f>
        <v>215.803249315068</v>
      </c>
      <c r="H1183" s="37" t="n">
        <f aca="false">IF(AND(A1183&gt;=Inputs!$B$13,OR(A1183&lt;Inputs!$B$19,Inputs!$B$20=1)),D1183*Inputs!$B$11/C1183,0)</f>
        <v>40.2739726027397</v>
      </c>
      <c r="I1183" s="37" t="n">
        <f aca="false">Inputs!$C$9-SUMIFS(Cash_Events!$G$6:$G$20,Cash_Events!$C$6:$C$20,"FHL",Cash_Events!$B$6:$B$20,"&lt;="&amp;A1183)</f>
        <v>735000</v>
      </c>
      <c r="J1183" s="38" t="n">
        <f aca="false">VLOOKUP(A1183,Inputs!$F$40:$G$48,2,TRUE())</f>
        <v>0.0386433</v>
      </c>
      <c r="K1183" s="38" t="n">
        <f aca="false">J1183+Inputs!$C$10</f>
        <v>0.1061433</v>
      </c>
      <c r="L1183" s="37" t="n">
        <f aca="false">I1183*K1183/C1183</f>
        <v>213.740617808219</v>
      </c>
      <c r="M1183" s="37" t="n">
        <f aca="false">IF(AND(A1183&gt;=Inputs!$C$13,OR(A1183&lt;Inputs!$B$19,Inputs!$B$20=1)),I1183*Inputs!$C$11/C1183,0)</f>
        <v>40.2739726027397</v>
      </c>
    </row>
    <row r="1184" customFormat="false" ht="15" hidden="false" customHeight="false" outlineLevel="0" collapsed="false">
      <c r="A1184" s="35" t="n">
        <f aca="false">A1183+1</f>
        <v>45991</v>
      </c>
      <c r="B1184" s="35" t="n">
        <f aca="false">EOMONTH(A1184+1,0)</f>
        <v>46022</v>
      </c>
      <c r="C1184" s="36" t="n">
        <f aca="false">IF(MOD(YEAR(A1184),4)=0,366,365)</f>
        <v>365</v>
      </c>
      <c r="D1184" s="37" t="n">
        <f aca="false">Inputs!$B$9-SUMIFS(Cash_Events!$G$6:$G$20,Cash_Events!$C$6:$C$20,"rAGMF",Cash_Events!$B$6:$B$20,"&lt;="&amp;A1184)</f>
        <v>735000</v>
      </c>
      <c r="E1184" s="38" t="n">
        <f aca="false">VLOOKUP(A1184,Inputs!$A$40:$B$48,2,TRUE())</f>
        <v>0.0396676</v>
      </c>
      <c r="F1184" s="38" t="n">
        <f aca="false">E1184+Inputs!$B$10</f>
        <v>0.1071676</v>
      </c>
      <c r="G1184" s="37" t="n">
        <f aca="false">D1184*F1184/C1184</f>
        <v>215.803249315068</v>
      </c>
      <c r="H1184" s="37" t="n">
        <f aca="false">IF(AND(A1184&gt;=Inputs!$B$13,OR(A1184&lt;Inputs!$B$19,Inputs!$B$20=1)),D1184*Inputs!$B$11/C1184,0)</f>
        <v>40.2739726027397</v>
      </c>
      <c r="I1184" s="37" t="n">
        <f aca="false">Inputs!$C$9-SUMIFS(Cash_Events!$G$6:$G$20,Cash_Events!$C$6:$C$20,"FHL",Cash_Events!$B$6:$B$20,"&lt;="&amp;A1184)</f>
        <v>735000</v>
      </c>
      <c r="J1184" s="38" t="n">
        <f aca="false">VLOOKUP(A1184,Inputs!$F$40:$G$48,2,TRUE())</f>
        <v>0.0386433</v>
      </c>
      <c r="K1184" s="38" t="n">
        <f aca="false">J1184+Inputs!$C$10</f>
        <v>0.1061433</v>
      </c>
      <c r="L1184" s="37" t="n">
        <f aca="false">I1184*K1184/C1184</f>
        <v>213.740617808219</v>
      </c>
      <c r="M1184" s="37" t="n">
        <f aca="false">IF(AND(A1184&gt;=Inputs!$C$13,OR(A1184&lt;Inputs!$B$19,Inputs!$B$20=1)),I1184*Inputs!$C$11/C1184,0)</f>
        <v>40.2739726027397</v>
      </c>
    </row>
    <row r="1185" customFormat="false" ht="15" hidden="false" customHeight="false" outlineLevel="0" collapsed="false">
      <c r="A1185" s="35" t="n">
        <f aca="false">A1184+1</f>
        <v>45992</v>
      </c>
      <c r="B1185" s="35" t="n">
        <f aca="false">EOMONTH(A1185+1,0)</f>
        <v>46022</v>
      </c>
      <c r="C1185" s="36" t="n">
        <f aca="false">IF(MOD(YEAR(A1185),4)=0,366,365)</f>
        <v>365</v>
      </c>
      <c r="D1185" s="37" t="n">
        <f aca="false">Inputs!$B$9-SUMIFS(Cash_Events!$G$6:$G$20,Cash_Events!$C$6:$C$20,"rAGMF",Cash_Events!$B$6:$B$20,"&lt;="&amp;A1185)</f>
        <v>735000</v>
      </c>
      <c r="E1185" s="38" t="n">
        <f aca="false">VLOOKUP(A1185,Inputs!$A$40:$B$48,2,TRUE())</f>
        <v>0.0396676</v>
      </c>
      <c r="F1185" s="38" t="n">
        <f aca="false">E1185+Inputs!$B$10</f>
        <v>0.1071676</v>
      </c>
      <c r="G1185" s="37" t="n">
        <f aca="false">D1185*F1185/C1185</f>
        <v>215.803249315068</v>
      </c>
      <c r="H1185" s="37" t="n">
        <f aca="false">IF(AND(A1185&gt;=Inputs!$B$13,OR(A1185&lt;Inputs!$B$19,Inputs!$B$20=1)),D1185*Inputs!$B$11/C1185,0)</f>
        <v>40.2739726027397</v>
      </c>
      <c r="I1185" s="37" t="n">
        <f aca="false">Inputs!$C$9-SUMIFS(Cash_Events!$G$6:$G$20,Cash_Events!$C$6:$C$20,"FHL",Cash_Events!$B$6:$B$20,"&lt;="&amp;A1185)</f>
        <v>735000</v>
      </c>
      <c r="J1185" s="38" t="n">
        <f aca="false">VLOOKUP(A1185,Inputs!$F$40:$G$48,2,TRUE())</f>
        <v>0.0386433</v>
      </c>
      <c r="K1185" s="38" t="n">
        <f aca="false">J1185+Inputs!$C$10</f>
        <v>0.1061433</v>
      </c>
      <c r="L1185" s="37" t="n">
        <f aca="false">I1185*K1185/C1185</f>
        <v>213.740617808219</v>
      </c>
      <c r="M1185" s="37" t="n">
        <f aca="false">IF(AND(A1185&gt;=Inputs!$C$13,OR(A1185&lt;Inputs!$B$19,Inputs!$B$20=1)),I1185*Inputs!$C$11/C1185,0)</f>
        <v>40.2739726027397</v>
      </c>
    </row>
    <row r="1186" customFormat="false" ht="15" hidden="false" customHeight="false" outlineLevel="0" collapsed="false">
      <c r="A1186" s="35" t="n">
        <f aca="false">A1185+1</f>
        <v>45993</v>
      </c>
      <c r="B1186" s="35" t="n">
        <f aca="false">EOMONTH(A1186+1,0)</f>
        <v>46022</v>
      </c>
      <c r="C1186" s="36" t="n">
        <f aca="false">IF(MOD(YEAR(A1186),4)=0,366,365)</f>
        <v>365</v>
      </c>
      <c r="D1186" s="37" t="n">
        <f aca="false">Inputs!$B$9-SUMIFS(Cash_Events!$G$6:$G$20,Cash_Events!$C$6:$C$20,"rAGMF",Cash_Events!$B$6:$B$20,"&lt;="&amp;A1186)</f>
        <v>735000</v>
      </c>
      <c r="E1186" s="38" t="n">
        <f aca="false">VLOOKUP(A1186,Inputs!$A$40:$B$48,2,TRUE())</f>
        <v>0.0396676</v>
      </c>
      <c r="F1186" s="38" t="n">
        <f aca="false">E1186+Inputs!$B$10</f>
        <v>0.1071676</v>
      </c>
      <c r="G1186" s="37" t="n">
        <f aca="false">D1186*F1186/C1186</f>
        <v>215.803249315068</v>
      </c>
      <c r="H1186" s="37" t="n">
        <f aca="false">IF(AND(A1186&gt;=Inputs!$B$13,OR(A1186&lt;Inputs!$B$19,Inputs!$B$20=1)),D1186*Inputs!$B$11/C1186,0)</f>
        <v>40.2739726027397</v>
      </c>
      <c r="I1186" s="37" t="n">
        <f aca="false">Inputs!$C$9-SUMIFS(Cash_Events!$G$6:$G$20,Cash_Events!$C$6:$C$20,"FHL",Cash_Events!$B$6:$B$20,"&lt;="&amp;A1186)</f>
        <v>735000</v>
      </c>
      <c r="J1186" s="38" t="n">
        <f aca="false">VLOOKUP(A1186,Inputs!$F$40:$G$48,2,TRUE())</f>
        <v>0.0386433</v>
      </c>
      <c r="K1186" s="38" t="n">
        <f aca="false">J1186+Inputs!$C$10</f>
        <v>0.1061433</v>
      </c>
      <c r="L1186" s="37" t="n">
        <f aca="false">I1186*K1186/C1186</f>
        <v>213.740617808219</v>
      </c>
      <c r="M1186" s="37" t="n">
        <f aca="false">IF(AND(A1186&gt;=Inputs!$C$13,OR(A1186&lt;Inputs!$B$19,Inputs!$B$20=1)),I1186*Inputs!$C$11/C1186,0)</f>
        <v>40.2739726027397</v>
      </c>
    </row>
    <row r="1187" customFormat="false" ht="15" hidden="false" customHeight="false" outlineLevel="0" collapsed="false">
      <c r="A1187" s="35" t="n">
        <f aca="false">A1186+1</f>
        <v>45994</v>
      </c>
      <c r="B1187" s="35" t="n">
        <f aca="false">EOMONTH(A1187+1,0)</f>
        <v>46022</v>
      </c>
      <c r="C1187" s="36" t="n">
        <f aca="false">IF(MOD(YEAR(A1187),4)=0,366,365)</f>
        <v>365</v>
      </c>
      <c r="D1187" s="37" t="n">
        <f aca="false">Inputs!$B$9-SUMIFS(Cash_Events!$G$6:$G$20,Cash_Events!$C$6:$C$20,"rAGMF",Cash_Events!$B$6:$B$20,"&lt;="&amp;A1187)</f>
        <v>735000</v>
      </c>
      <c r="E1187" s="38" t="n">
        <f aca="false">VLOOKUP(A1187,Inputs!$A$40:$B$48,2,TRUE())</f>
        <v>0.0396676</v>
      </c>
      <c r="F1187" s="38" t="n">
        <f aca="false">E1187+Inputs!$B$10</f>
        <v>0.1071676</v>
      </c>
      <c r="G1187" s="37" t="n">
        <f aca="false">D1187*F1187/C1187</f>
        <v>215.803249315068</v>
      </c>
      <c r="H1187" s="37" t="n">
        <f aca="false">IF(AND(A1187&gt;=Inputs!$B$13,OR(A1187&lt;Inputs!$B$19,Inputs!$B$20=1)),D1187*Inputs!$B$11/C1187,0)</f>
        <v>40.2739726027397</v>
      </c>
      <c r="I1187" s="37" t="n">
        <f aca="false">Inputs!$C$9-SUMIFS(Cash_Events!$G$6:$G$20,Cash_Events!$C$6:$C$20,"FHL",Cash_Events!$B$6:$B$20,"&lt;="&amp;A1187)</f>
        <v>735000</v>
      </c>
      <c r="J1187" s="38" t="n">
        <f aca="false">VLOOKUP(A1187,Inputs!$F$40:$G$48,2,TRUE())</f>
        <v>0.0386433</v>
      </c>
      <c r="K1187" s="38" t="n">
        <f aca="false">J1187+Inputs!$C$10</f>
        <v>0.1061433</v>
      </c>
      <c r="L1187" s="37" t="n">
        <f aca="false">I1187*K1187/C1187</f>
        <v>213.740617808219</v>
      </c>
      <c r="M1187" s="37" t="n">
        <f aca="false">IF(AND(A1187&gt;=Inputs!$C$13,OR(A1187&lt;Inputs!$B$19,Inputs!$B$20=1)),I1187*Inputs!$C$11/C1187,0)</f>
        <v>40.2739726027397</v>
      </c>
    </row>
    <row r="1188" customFormat="false" ht="15" hidden="false" customHeight="false" outlineLevel="0" collapsed="false">
      <c r="A1188" s="35" t="n">
        <f aca="false">A1187+1</f>
        <v>45995</v>
      </c>
      <c r="B1188" s="35" t="n">
        <f aca="false">EOMONTH(A1188+1,0)</f>
        <v>46022</v>
      </c>
      <c r="C1188" s="36" t="n">
        <f aca="false">IF(MOD(YEAR(A1188),4)=0,366,365)</f>
        <v>365</v>
      </c>
      <c r="D1188" s="37" t="n">
        <f aca="false">Inputs!$B$9-SUMIFS(Cash_Events!$G$6:$G$20,Cash_Events!$C$6:$C$20,"rAGMF",Cash_Events!$B$6:$B$20,"&lt;="&amp;A1188)</f>
        <v>735000</v>
      </c>
      <c r="E1188" s="38" t="n">
        <f aca="false">VLOOKUP(A1188,Inputs!$A$40:$B$48,2,TRUE())</f>
        <v>0.0396676</v>
      </c>
      <c r="F1188" s="38" t="n">
        <f aca="false">E1188+Inputs!$B$10</f>
        <v>0.1071676</v>
      </c>
      <c r="G1188" s="37" t="n">
        <f aca="false">D1188*F1188/C1188</f>
        <v>215.803249315068</v>
      </c>
      <c r="H1188" s="37" t="n">
        <f aca="false">IF(AND(A1188&gt;=Inputs!$B$13,OR(A1188&lt;Inputs!$B$19,Inputs!$B$20=1)),D1188*Inputs!$B$11/C1188,0)</f>
        <v>40.2739726027397</v>
      </c>
      <c r="I1188" s="37" t="n">
        <f aca="false">Inputs!$C$9-SUMIFS(Cash_Events!$G$6:$G$20,Cash_Events!$C$6:$C$20,"FHL",Cash_Events!$B$6:$B$20,"&lt;="&amp;A1188)</f>
        <v>735000</v>
      </c>
      <c r="J1188" s="38" t="n">
        <f aca="false">VLOOKUP(A1188,Inputs!$F$40:$G$48,2,TRUE())</f>
        <v>0.0386433</v>
      </c>
      <c r="K1188" s="38" t="n">
        <f aca="false">J1188+Inputs!$C$10</f>
        <v>0.1061433</v>
      </c>
      <c r="L1188" s="37" t="n">
        <f aca="false">I1188*K1188/C1188</f>
        <v>213.740617808219</v>
      </c>
      <c r="M1188" s="37" t="n">
        <f aca="false">IF(AND(A1188&gt;=Inputs!$C$13,OR(A1188&lt;Inputs!$B$19,Inputs!$B$20=1)),I1188*Inputs!$C$11/C1188,0)</f>
        <v>40.2739726027397</v>
      </c>
    </row>
    <row r="1189" customFormat="false" ht="15" hidden="false" customHeight="false" outlineLevel="0" collapsed="false">
      <c r="A1189" s="35" t="n">
        <f aca="false">A1188+1</f>
        <v>45996</v>
      </c>
      <c r="B1189" s="35" t="n">
        <f aca="false">EOMONTH(A1189+1,0)</f>
        <v>46022</v>
      </c>
      <c r="C1189" s="36" t="n">
        <f aca="false">IF(MOD(YEAR(A1189),4)=0,366,365)</f>
        <v>365</v>
      </c>
      <c r="D1189" s="37" t="n">
        <f aca="false">Inputs!$B$9-SUMIFS(Cash_Events!$G$6:$G$20,Cash_Events!$C$6:$C$20,"rAGMF",Cash_Events!$B$6:$B$20,"&lt;="&amp;A1189)</f>
        <v>735000</v>
      </c>
      <c r="E1189" s="38" t="n">
        <f aca="false">VLOOKUP(A1189,Inputs!$A$40:$B$48,2,TRUE())</f>
        <v>0.0396676</v>
      </c>
      <c r="F1189" s="38" t="n">
        <f aca="false">E1189+Inputs!$B$10</f>
        <v>0.1071676</v>
      </c>
      <c r="G1189" s="37" t="n">
        <f aca="false">D1189*F1189/C1189</f>
        <v>215.803249315068</v>
      </c>
      <c r="H1189" s="37" t="n">
        <f aca="false">IF(AND(A1189&gt;=Inputs!$B$13,OR(A1189&lt;Inputs!$B$19,Inputs!$B$20=1)),D1189*Inputs!$B$11/C1189,0)</f>
        <v>40.2739726027397</v>
      </c>
      <c r="I1189" s="37" t="n">
        <f aca="false">Inputs!$C$9-SUMIFS(Cash_Events!$G$6:$G$20,Cash_Events!$C$6:$C$20,"FHL",Cash_Events!$B$6:$B$20,"&lt;="&amp;A1189)</f>
        <v>735000</v>
      </c>
      <c r="J1189" s="38" t="n">
        <f aca="false">VLOOKUP(A1189,Inputs!$F$40:$G$48,2,TRUE())</f>
        <v>0.0386433</v>
      </c>
      <c r="K1189" s="38" t="n">
        <f aca="false">J1189+Inputs!$C$10</f>
        <v>0.1061433</v>
      </c>
      <c r="L1189" s="37" t="n">
        <f aca="false">I1189*K1189/C1189</f>
        <v>213.740617808219</v>
      </c>
      <c r="M1189" s="37" t="n">
        <f aca="false">IF(AND(A1189&gt;=Inputs!$C$13,OR(A1189&lt;Inputs!$B$19,Inputs!$B$20=1)),I1189*Inputs!$C$11/C1189,0)</f>
        <v>40.2739726027397</v>
      </c>
    </row>
    <row r="1190" customFormat="false" ht="15" hidden="false" customHeight="false" outlineLevel="0" collapsed="false">
      <c r="A1190" s="35" t="n">
        <f aca="false">A1189+1</f>
        <v>45997</v>
      </c>
      <c r="B1190" s="35" t="n">
        <f aca="false">EOMONTH(A1190+1,0)</f>
        <v>46022</v>
      </c>
      <c r="C1190" s="36" t="n">
        <f aca="false">IF(MOD(YEAR(A1190),4)=0,366,365)</f>
        <v>365</v>
      </c>
      <c r="D1190" s="37" t="n">
        <f aca="false">Inputs!$B$9-SUMIFS(Cash_Events!$G$6:$G$20,Cash_Events!$C$6:$C$20,"rAGMF",Cash_Events!$B$6:$B$20,"&lt;="&amp;A1190)</f>
        <v>735000</v>
      </c>
      <c r="E1190" s="38" t="n">
        <f aca="false">VLOOKUP(A1190,Inputs!$A$40:$B$48,2,TRUE())</f>
        <v>0.0396676</v>
      </c>
      <c r="F1190" s="38" t="n">
        <f aca="false">E1190+Inputs!$B$10</f>
        <v>0.1071676</v>
      </c>
      <c r="G1190" s="37" t="n">
        <f aca="false">D1190*F1190/C1190</f>
        <v>215.803249315068</v>
      </c>
      <c r="H1190" s="37" t="n">
        <f aca="false">IF(AND(A1190&gt;=Inputs!$B$13,OR(A1190&lt;Inputs!$B$19,Inputs!$B$20=1)),D1190*Inputs!$B$11/C1190,0)</f>
        <v>40.2739726027397</v>
      </c>
      <c r="I1190" s="37" t="n">
        <f aca="false">Inputs!$C$9-SUMIFS(Cash_Events!$G$6:$G$20,Cash_Events!$C$6:$C$20,"FHL",Cash_Events!$B$6:$B$20,"&lt;="&amp;A1190)</f>
        <v>735000</v>
      </c>
      <c r="J1190" s="38" t="n">
        <f aca="false">VLOOKUP(A1190,Inputs!$F$40:$G$48,2,TRUE())</f>
        <v>0.0386433</v>
      </c>
      <c r="K1190" s="38" t="n">
        <f aca="false">J1190+Inputs!$C$10</f>
        <v>0.1061433</v>
      </c>
      <c r="L1190" s="37" t="n">
        <f aca="false">I1190*K1190/C1190</f>
        <v>213.740617808219</v>
      </c>
      <c r="M1190" s="37" t="n">
        <f aca="false">IF(AND(A1190&gt;=Inputs!$C$13,OR(A1190&lt;Inputs!$B$19,Inputs!$B$20=1)),I1190*Inputs!$C$11/C1190,0)</f>
        <v>40.2739726027397</v>
      </c>
    </row>
    <row r="1191" customFormat="false" ht="15" hidden="false" customHeight="false" outlineLevel="0" collapsed="false">
      <c r="A1191" s="35" t="n">
        <f aca="false">A1190+1</f>
        <v>45998</v>
      </c>
      <c r="B1191" s="35" t="n">
        <f aca="false">EOMONTH(A1191+1,0)</f>
        <v>46022</v>
      </c>
      <c r="C1191" s="36" t="n">
        <f aca="false">IF(MOD(YEAR(A1191),4)=0,366,365)</f>
        <v>365</v>
      </c>
      <c r="D1191" s="37" t="n">
        <f aca="false">Inputs!$B$9-SUMIFS(Cash_Events!$G$6:$G$20,Cash_Events!$C$6:$C$20,"rAGMF",Cash_Events!$B$6:$B$20,"&lt;="&amp;A1191)</f>
        <v>735000</v>
      </c>
      <c r="E1191" s="38" t="n">
        <f aca="false">VLOOKUP(A1191,Inputs!$A$40:$B$48,2,TRUE())</f>
        <v>0.0396676</v>
      </c>
      <c r="F1191" s="38" t="n">
        <f aca="false">E1191+Inputs!$B$10</f>
        <v>0.1071676</v>
      </c>
      <c r="G1191" s="37" t="n">
        <f aca="false">D1191*F1191/C1191</f>
        <v>215.803249315068</v>
      </c>
      <c r="H1191" s="37" t="n">
        <f aca="false">IF(AND(A1191&gt;=Inputs!$B$13,OR(A1191&lt;Inputs!$B$19,Inputs!$B$20=1)),D1191*Inputs!$B$11/C1191,0)</f>
        <v>40.2739726027397</v>
      </c>
      <c r="I1191" s="37" t="n">
        <f aca="false">Inputs!$C$9-SUMIFS(Cash_Events!$G$6:$G$20,Cash_Events!$C$6:$C$20,"FHL",Cash_Events!$B$6:$B$20,"&lt;="&amp;A1191)</f>
        <v>735000</v>
      </c>
      <c r="J1191" s="38" t="n">
        <f aca="false">VLOOKUP(A1191,Inputs!$F$40:$G$48,2,TRUE())</f>
        <v>0.0386433</v>
      </c>
      <c r="K1191" s="38" t="n">
        <f aca="false">J1191+Inputs!$C$10</f>
        <v>0.1061433</v>
      </c>
      <c r="L1191" s="37" t="n">
        <f aca="false">I1191*K1191/C1191</f>
        <v>213.740617808219</v>
      </c>
      <c r="M1191" s="37" t="n">
        <f aca="false">IF(AND(A1191&gt;=Inputs!$C$13,OR(A1191&lt;Inputs!$B$19,Inputs!$B$20=1)),I1191*Inputs!$C$11/C1191,0)</f>
        <v>40.2739726027397</v>
      </c>
    </row>
    <row r="1192" customFormat="false" ht="15" hidden="false" customHeight="false" outlineLevel="0" collapsed="false">
      <c r="A1192" s="35" t="n">
        <f aca="false">A1191+1</f>
        <v>45999</v>
      </c>
      <c r="B1192" s="35" t="n">
        <f aca="false">EOMONTH(A1192+1,0)</f>
        <v>46022</v>
      </c>
      <c r="C1192" s="36" t="n">
        <f aca="false">IF(MOD(YEAR(A1192),4)=0,366,365)</f>
        <v>365</v>
      </c>
      <c r="D1192" s="37" t="n">
        <f aca="false">Inputs!$B$9-SUMIFS(Cash_Events!$G$6:$G$20,Cash_Events!$C$6:$C$20,"rAGMF",Cash_Events!$B$6:$B$20,"&lt;="&amp;A1192)</f>
        <v>735000</v>
      </c>
      <c r="E1192" s="38" t="n">
        <f aca="false">VLOOKUP(A1192,Inputs!$A$40:$B$48,2,TRUE())</f>
        <v>0.0396676</v>
      </c>
      <c r="F1192" s="38" t="n">
        <f aca="false">E1192+Inputs!$B$10</f>
        <v>0.1071676</v>
      </c>
      <c r="G1192" s="37" t="n">
        <f aca="false">D1192*F1192/C1192</f>
        <v>215.803249315068</v>
      </c>
      <c r="H1192" s="37" t="n">
        <f aca="false">IF(AND(A1192&gt;=Inputs!$B$13,OR(A1192&lt;Inputs!$B$19,Inputs!$B$20=1)),D1192*Inputs!$B$11/C1192,0)</f>
        <v>40.2739726027397</v>
      </c>
      <c r="I1192" s="37" t="n">
        <f aca="false">Inputs!$C$9-SUMIFS(Cash_Events!$G$6:$G$20,Cash_Events!$C$6:$C$20,"FHL",Cash_Events!$B$6:$B$20,"&lt;="&amp;A1192)</f>
        <v>735000</v>
      </c>
      <c r="J1192" s="38" t="n">
        <f aca="false">VLOOKUP(A1192,Inputs!$F$40:$G$48,2,TRUE())</f>
        <v>0.0386433</v>
      </c>
      <c r="K1192" s="38" t="n">
        <f aca="false">J1192+Inputs!$C$10</f>
        <v>0.1061433</v>
      </c>
      <c r="L1192" s="37" t="n">
        <f aca="false">I1192*K1192/C1192</f>
        <v>213.740617808219</v>
      </c>
      <c r="M1192" s="37" t="n">
        <f aca="false">IF(AND(A1192&gt;=Inputs!$C$13,OR(A1192&lt;Inputs!$B$19,Inputs!$B$20=1)),I1192*Inputs!$C$11/C1192,0)</f>
        <v>40.2739726027397</v>
      </c>
    </row>
    <row r="1193" customFormat="false" ht="15" hidden="false" customHeight="false" outlineLevel="0" collapsed="false">
      <c r="A1193" s="35" t="n">
        <f aca="false">A1192+1</f>
        <v>46000</v>
      </c>
      <c r="B1193" s="35" t="n">
        <f aca="false">EOMONTH(A1193+1,0)</f>
        <v>46022</v>
      </c>
      <c r="C1193" s="36" t="n">
        <f aca="false">IF(MOD(YEAR(A1193),4)=0,366,365)</f>
        <v>365</v>
      </c>
      <c r="D1193" s="37" t="n">
        <f aca="false">Inputs!$B$9-SUMIFS(Cash_Events!$G$6:$G$20,Cash_Events!$C$6:$C$20,"rAGMF",Cash_Events!$B$6:$B$20,"&lt;="&amp;A1193)</f>
        <v>735000</v>
      </c>
      <c r="E1193" s="38" t="n">
        <f aca="false">VLOOKUP(A1193,Inputs!$A$40:$B$48,2,TRUE())</f>
        <v>0.0396676</v>
      </c>
      <c r="F1193" s="38" t="n">
        <f aca="false">E1193+Inputs!$B$10</f>
        <v>0.1071676</v>
      </c>
      <c r="G1193" s="37" t="n">
        <f aca="false">D1193*F1193/C1193</f>
        <v>215.803249315068</v>
      </c>
      <c r="H1193" s="37" t="n">
        <f aca="false">IF(AND(A1193&gt;=Inputs!$B$13,OR(A1193&lt;Inputs!$B$19,Inputs!$B$20=1)),D1193*Inputs!$B$11/C1193,0)</f>
        <v>40.2739726027397</v>
      </c>
      <c r="I1193" s="37" t="n">
        <f aca="false">Inputs!$C$9-SUMIFS(Cash_Events!$G$6:$G$20,Cash_Events!$C$6:$C$20,"FHL",Cash_Events!$B$6:$B$20,"&lt;="&amp;A1193)</f>
        <v>735000</v>
      </c>
      <c r="J1193" s="38" t="n">
        <f aca="false">VLOOKUP(A1193,Inputs!$F$40:$G$48,2,TRUE())</f>
        <v>0.0386433</v>
      </c>
      <c r="K1193" s="38" t="n">
        <f aca="false">J1193+Inputs!$C$10</f>
        <v>0.1061433</v>
      </c>
      <c r="L1193" s="37" t="n">
        <f aca="false">I1193*K1193/C1193</f>
        <v>213.740617808219</v>
      </c>
      <c r="M1193" s="37" t="n">
        <f aca="false">IF(AND(A1193&gt;=Inputs!$C$13,OR(A1193&lt;Inputs!$B$19,Inputs!$B$20=1)),I1193*Inputs!$C$11/C1193,0)</f>
        <v>40.2739726027397</v>
      </c>
    </row>
    <row r="1194" customFormat="false" ht="15" hidden="false" customHeight="false" outlineLevel="0" collapsed="false">
      <c r="A1194" s="35" t="n">
        <f aca="false">A1193+1</f>
        <v>46001</v>
      </c>
      <c r="B1194" s="35" t="n">
        <f aca="false">EOMONTH(A1194+1,0)</f>
        <v>46022</v>
      </c>
      <c r="C1194" s="36" t="n">
        <f aca="false">IF(MOD(YEAR(A1194),4)=0,366,365)</f>
        <v>365</v>
      </c>
      <c r="D1194" s="37" t="n">
        <f aca="false">Inputs!$B$9-SUMIFS(Cash_Events!$G$6:$G$20,Cash_Events!$C$6:$C$20,"rAGMF",Cash_Events!$B$6:$B$20,"&lt;="&amp;A1194)</f>
        <v>735000</v>
      </c>
      <c r="E1194" s="38" t="n">
        <f aca="false">VLOOKUP(A1194,Inputs!$A$40:$B$48,2,TRUE())</f>
        <v>0.0396676</v>
      </c>
      <c r="F1194" s="38" t="n">
        <f aca="false">E1194+Inputs!$B$10</f>
        <v>0.1071676</v>
      </c>
      <c r="G1194" s="37" t="n">
        <f aca="false">D1194*F1194/C1194</f>
        <v>215.803249315068</v>
      </c>
      <c r="H1194" s="37" t="n">
        <f aca="false">IF(AND(A1194&gt;=Inputs!$B$13,OR(A1194&lt;Inputs!$B$19,Inputs!$B$20=1)),D1194*Inputs!$B$11/C1194,0)</f>
        <v>40.2739726027397</v>
      </c>
      <c r="I1194" s="37" t="n">
        <f aca="false">Inputs!$C$9-SUMIFS(Cash_Events!$G$6:$G$20,Cash_Events!$C$6:$C$20,"FHL",Cash_Events!$B$6:$B$20,"&lt;="&amp;A1194)</f>
        <v>735000</v>
      </c>
      <c r="J1194" s="38" t="n">
        <f aca="false">VLOOKUP(A1194,Inputs!$F$40:$G$48,2,TRUE())</f>
        <v>0.0386433</v>
      </c>
      <c r="K1194" s="38" t="n">
        <f aca="false">J1194+Inputs!$C$10</f>
        <v>0.1061433</v>
      </c>
      <c r="L1194" s="37" t="n">
        <f aca="false">I1194*K1194/C1194</f>
        <v>213.740617808219</v>
      </c>
      <c r="M1194" s="37" t="n">
        <f aca="false">IF(AND(A1194&gt;=Inputs!$C$13,OR(A1194&lt;Inputs!$B$19,Inputs!$B$20=1)),I1194*Inputs!$C$11/C1194,0)</f>
        <v>40.2739726027397</v>
      </c>
    </row>
    <row r="1195" customFormat="false" ht="15" hidden="false" customHeight="false" outlineLevel="0" collapsed="false">
      <c r="A1195" s="35" t="n">
        <f aca="false">A1194+1</f>
        <v>46002</v>
      </c>
      <c r="B1195" s="35" t="n">
        <f aca="false">EOMONTH(A1195+1,0)</f>
        <v>46022</v>
      </c>
      <c r="C1195" s="36" t="n">
        <f aca="false">IF(MOD(YEAR(A1195),4)=0,366,365)</f>
        <v>365</v>
      </c>
      <c r="D1195" s="37" t="n">
        <f aca="false">Inputs!$B$9-SUMIFS(Cash_Events!$G$6:$G$20,Cash_Events!$C$6:$C$20,"rAGMF",Cash_Events!$B$6:$B$20,"&lt;="&amp;A1195)</f>
        <v>735000</v>
      </c>
      <c r="E1195" s="38" t="n">
        <f aca="false">VLOOKUP(A1195,Inputs!$A$40:$B$48,2,TRUE())</f>
        <v>0.0396676</v>
      </c>
      <c r="F1195" s="38" t="n">
        <f aca="false">E1195+Inputs!$B$10</f>
        <v>0.1071676</v>
      </c>
      <c r="G1195" s="37" t="n">
        <f aca="false">D1195*F1195/C1195</f>
        <v>215.803249315068</v>
      </c>
      <c r="H1195" s="37" t="n">
        <f aca="false">IF(AND(A1195&gt;=Inputs!$B$13,OR(A1195&lt;Inputs!$B$19,Inputs!$B$20=1)),D1195*Inputs!$B$11/C1195,0)</f>
        <v>40.2739726027397</v>
      </c>
      <c r="I1195" s="37" t="n">
        <f aca="false">Inputs!$C$9-SUMIFS(Cash_Events!$G$6:$G$20,Cash_Events!$C$6:$C$20,"FHL",Cash_Events!$B$6:$B$20,"&lt;="&amp;A1195)</f>
        <v>735000</v>
      </c>
      <c r="J1195" s="38" t="n">
        <f aca="false">VLOOKUP(A1195,Inputs!$F$40:$G$48,2,TRUE())</f>
        <v>0.0386433</v>
      </c>
      <c r="K1195" s="38" t="n">
        <f aca="false">J1195+Inputs!$C$10</f>
        <v>0.1061433</v>
      </c>
      <c r="L1195" s="37" t="n">
        <f aca="false">I1195*K1195/C1195</f>
        <v>213.740617808219</v>
      </c>
      <c r="M1195" s="37" t="n">
        <f aca="false">IF(AND(A1195&gt;=Inputs!$C$13,OR(A1195&lt;Inputs!$B$19,Inputs!$B$20=1)),I1195*Inputs!$C$11/C1195,0)</f>
        <v>40.2739726027397</v>
      </c>
    </row>
    <row r="1196" customFormat="false" ht="15" hidden="false" customHeight="false" outlineLevel="0" collapsed="false">
      <c r="A1196" s="35" t="n">
        <f aca="false">A1195+1</f>
        <v>46003</v>
      </c>
      <c r="B1196" s="35" t="n">
        <f aca="false">EOMONTH(A1196+1,0)</f>
        <v>46022</v>
      </c>
      <c r="C1196" s="36" t="n">
        <f aca="false">IF(MOD(YEAR(A1196),4)=0,366,365)</f>
        <v>365</v>
      </c>
      <c r="D1196" s="37" t="n">
        <f aca="false">Inputs!$B$9-SUMIFS(Cash_Events!$G$6:$G$20,Cash_Events!$C$6:$C$20,"rAGMF",Cash_Events!$B$6:$B$20,"&lt;="&amp;A1196)</f>
        <v>735000</v>
      </c>
      <c r="E1196" s="38" t="n">
        <f aca="false">VLOOKUP(A1196,Inputs!$A$40:$B$48,2,TRUE())</f>
        <v>0.0396676</v>
      </c>
      <c r="F1196" s="38" t="n">
        <f aca="false">E1196+Inputs!$B$10</f>
        <v>0.1071676</v>
      </c>
      <c r="G1196" s="37" t="n">
        <f aca="false">D1196*F1196/C1196</f>
        <v>215.803249315068</v>
      </c>
      <c r="H1196" s="37" t="n">
        <f aca="false">IF(AND(A1196&gt;=Inputs!$B$13,OR(A1196&lt;Inputs!$B$19,Inputs!$B$20=1)),D1196*Inputs!$B$11/C1196,0)</f>
        <v>40.2739726027397</v>
      </c>
      <c r="I1196" s="37" t="n">
        <f aca="false">Inputs!$C$9-SUMIFS(Cash_Events!$G$6:$G$20,Cash_Events!$C$6:$C$20,"FHL",Cash_Events!$B$6:$B$20,"&lt;="&amp;A1196)</f>
        <v>735000</v>
      </c>
      <c r="J1196" s="38" t="n">
        <f aca="false">VLOOKUP(A1196,Inputs!$F$40:$G$48,2,TRUE())</f>
        <v>0.0386433</v>
      </c>
      <c r="K1196" s="38" t="n">
        <f aca="false">J1196+Inputs!$C$10</f>
        <v>0.1061433</v>
      </c>
      <c r="L1196" s="37" t="n">
        <f aca="false">I1196*K1196/C1196</f>
        <v>213.740617808219</v>
      </c>
      <c r="M1196" s="37" t="n">
        <f aca="false">IF(AND(A1196&gt;=Inputs!$C$13,OR(A1196&lt;Inputs!$B$19,Inputs!$B$20=1)),I1196*Inputs!$C$11/C1196,0)</f>
        <v>40.2739726027397</v>
      </c>
    </row>
    <row r="1197" customFormat="false" ht="15" hidden="false" customHeight="false" outlineLevel="0" collapsed="false">
      <c r="A1197" s="35" t="n">
        <f aca="false">A1196+1</f>
        <v>46004</v>
      </c>
      <c r="B1197" s="35" t="n">
        <f aca="false">EOMONTH(A1197+1,0)</f>
        <v>46022</v>
      </c>
      <c r="C1197" s="36" t="n">
        <f aca="false">IF(MOD(YEAR(A1197),4)=0,366,365)</f>
        <v>365</v>
      </c>
      <c r="D1197" s="37" t="n">
        <f aca="false">Inputs!$B$9-SUMIFS(Cash_Events!$G$6:$G$20,Cash_Events!$C$6:$C$20,"rAGMF",Cash_Events!$B$6:$B$20,"&lt;="&amp;A1197)</f>
        <v>735000</v>
      </c>
      <c r="E1197" s="38" t="n">
        <f aca="false">VLOOKUP(A1197,Inputs!$A$40:$B$48,2,TRUE())</f>
        <v>0.0396676</v>
      </c>
      <c r="F1197" s="38" t="n">
        <f aca="false">E1197+Inputs!$B$10</f>
        <v>0.1071676</v>
      </c>
      <c r="G1197" s="37" t="n">
        <f aca="false">D1197*F1197/C1197</f>
        <v>215.803249315068</v>
      </c>
      <c r="H1197" s="37" t="n">
        <f aca="false">IF(AND(A1197&gt;=Inputs!$B$13,OR(A1197&lt;Inputs!$B$19,Inputs!$B$20=1)),D1197*Inputs!$B$11/C1197,0)</f>
        <v>40.2739726027397</v>
      </c>
      <c r="I1197" s="37" t="n">
        <f aca="false">Inputs!$C$9-SUMIFS(Cash_Events!$G$6:$G$20,Cash_Events!$C$6:$C$20,"FHL",Cash_Events!$B$6:$B$20,"&lt;="&amp;A1197)</f>
        <v>735000</v>
      </c>
      <c r="J1197" s="38" t="n">
        <f aca="false">VLOOKUP(A1197,Inputs!$F$40:$G$48,2,TRUE())</f>
        <v>0.0386433</v>
      </c>
      <c r="K1197" s="38" t="n">
        <f aca="false">J1197+Inputs!$C$10</f>
        <v>0.1061433</v>
      </c>
      <c r="L1197" s="37" t="n">
        <f aca="false">I1197*K1197/C1197</f>
        <v>213.740617808219</v>
      </c>
      <c r="M1197" s="37" t="n">
        <f aca="false">IF(AND(A1197&gt;=Inputs!$C$13,OR(A1197&lt;Inputs!$B$19,Inputs!$B$20=1)),I1197*Inputs!$C$11/C1197,0)</f>
        <v>40.2739726027397</v>
      </c>
    </row>
    <row r="1198" customFormat="false" ht="15" hidden="false" customHeight="false" outlineLevel="0" collapsed="false">
      <c r="A1198" s="35" t="n">
        <f aca="false">A1197+1</f>
        <v>46005</v>
      </c>
      <c r="B1198" s="35" t="n">
        <f aca="false">EOMONTH(A1198+1,0)</f>
        <v>46022</v>
      </c>
      <c r="C1198" s="36" t="n">
        <f aca="false">IF(MOD(YEAR(A1198),4)=0,366,365)</f>
        <v>365</v>
      </c>
      <c r="D1198" s="37" t="n">
        <f aca="false">Inputs!$B$9-SUMIFS(Cash_Events!$G$6:$G$20,Cash_Events!$C$6:$C$20,"rAGMF",Cash_Events!$B$6:$B$20,"&lt;="&amp;A1198)</f>
        <v>735000</v>
      </c>
      <c r="E1198" s="38" t="n">
        <f aca="false">VLOOKUP(A1198,Inputs!$A$40:$B$48,2,TRUE())</f>
        <v>0.0396676</v>
      </c>
      <c r="F1198" s="38" t="n">
        <f aca="false">E1198+Inputs!$B$10</f>
        <v>0.1071676</v>
      </c>
      <c r="G1198" s="37" t="n">
        <f aca="false">D1198*F1198/C1198</f>
        <v>215.803249315068</v>
      </c>
      <c r="H1198" s="37" t="n">
        <f aca="false">IF(AND(A1198&gt;=Inputs!$B$13,OR(A1198&lt;Inputs!$B$19,Inputs!$B$20=1)),D1198*Inputs!$B$11/C1198,0)</f>
        <v>40.2739726027397</v>
      </c>
      <c r="I1198" s="37" t="n">
        <f aca="false">Inputs!$C$9-SUMIFS(Cash_Events!$G$6:$G$20,Cash_Events!$C$6:$C$20,"FHL",Cash_Events!$B$6:$B$20,"&lt;="&amp;A1198)</f>
        <v>735000</v>
      </c>
      <c r="J1198" s="38" t="n">
        <f aca="false">VLOOKUP(A1198,Inputs!$F$40:$G$48,2,TRUE())</f>
        <v>0.0386433</v>
      </c>
      <c r="K1198" s="38" t="n">
        <f aca="false">J1198+Inputs!$C$10</f>
        <v>0.1061433</v>
      </c>
      <c r="L1198" s="37" t="n">
        <f aca="false">I1198*K1198/C1198</f>
        <v>213.740617808219</v>
      </c>
      <c r="M1198" s="37" t="n">
        <f aca="false">IF(AND(A1198&gt;=Inputs!$C$13,OR(A1198&lt;Inputs!$B$19,Inputs!$B$20=1)),I1198*Inputs!$C$11/C1198,0)</f>
        <v>40.2739726027397</v>
      </c>
    </row>
    <row r="1199" customFormat="false" ht="15" hidden="false" customHeight="false" outlineLevel="0" collapsed="false">
      <c r="A1199" s="35" t="n">
        <f aca="false">A1198+1</f>
        <v>46006</v>
      </c>
      <c r="B1199" s="35" t="n">
        <f aca="false">EOMONTH(A1199+1,0)</f>
        <v>46022</v>
      </c>
      <c r="C1199" s="36" t="n">
        <f aca="false">IF(MOD(YEAR(A1199),4)=0,366,365)</f>
        <v>365</v>
      </c>
      <c r="D1199" s="37" t="n">
        <f aca="false">Inputs!$B$9-SUMIFS(Cash_Events!$G$6:$G$20,Cash_Events!$C$6:$C$20,"rAGMF",Cash_Events!$B$6:$B$20,"&lt;="&amp;A1199)</f>
        <v>735000</v>
      </c>
      <c r="E1199" s="38" t="n">
        <f aca="false">VLOOKUP(A1199,Inputs!$A$40:$B$48,2,TRUE())</f>
        <v>0.0396676</v>
      </c>
      <c r="F1199" s="38" t="n">
        <f aca="false">E1199+Inputs!$B$10</f>
        <v>0.1071676</v>
      </c>
      <c r="G1199" s="37" t="n">
        <f aca="false">D1199*F1199/C1199</f>
        <v>215.803249315068</v>
      </c>
      <c r="H1199" s="37" t="n">
        <f aca="false">IF(AND(A1199&gt;=Inputs!$B$13,OR(A1199&lt;Inputs!$B$19,Inputs!$B$20=1)),D1199*Inputs!$B$11/C1199,0)</f>
        <v>40.2739726027397</v>
      </c>
      <c r="I1199" s="37" t="n">
        <f aca="false">Inputs!$C$9-SUMIFS(Cash_Events!$G$6:$G$20,Cash_Events!$C$6:$C$20,"FHL",Cash_Events!$B$6:$B$20,"&lt;="&amp;A1199)</f>
        <v>735000</v>
      </c>
      <c r="J1199" s="38" t="n">
        <f aca="false">VLOOKUP(A1199,Inputs!$F$40:$G$48,2,TRUE())</f>
        <v>0.0386433</v>
      </c>
      <c r="K1199" s="38" t="n">
        <f aca="false">J1199+Inputs!$C$10</f>
        <v>0.1061433</v>
      </c>
      <c r="L1199" s="37" t="n">
        <f aca="false">I1199*K1199/C1199</f>
        <v>213.740617808219</v>
      </c>
      <c r="M1199" s="37" t="n">
        <f aca="false">IF(AND(A1199&gt;=Inputs!$C$13,OR(A1199&lt;Inputs!$B$19,Inputs!$B$20=1)),I1199*Inputs!$C$11/C1199,0)</f>
        <v>40.2739726027397</v>
      </c>
    </row>
    <row r="1200" customFormat="false" ht="15" hidden="false" customHeight="false" outlineLevel="0" collapsed="false">
      <c r="A1200" s="35" t="n">
        <f aca="false">A1199+1</f>
        <v>46007</v>
      </c>
      <c r="B1200" s="35" t="n">
        <f aca="false">EOMONTH(A1200+1,0)</f>
        <v>46022</v>
      </c>
      <c r="C1200" s="36" t="n">
        <f aca="false">IF(MOD(YEAR(A1200),4)=0,366,365)</f>
        <v>365</v>
      </c>
      <c r="D1200" s="37" t="n">
        <f aca="false">Inputs!$B$9-SUMIFS(Cash_Events!$G$6:$G$20,Cash_Events!$C$6:$C$20,"rAGMF",Cash_Events!$B$6:$B$20,"&lt;="&amp;A1200)</f>
        <v>735000</v>
      </c>
      <c r="E1200" s="38" t="n">
        <f aca="false">VLOOKUP(A1200,Inputs!$A$40:$B$48,2,TRUE())</f>
        <v>0.0396676</v>
      </c>
      <c r="F1200" s="38" t="n">
        <f aca="false">E1200+Inputs!$B$10</f>
        <v>0.1071676</v>
      </c>
      <c r="G1200" s="37" t="n">
        <f aca="false">D1200*F1200/C1200</f>
        <v>215.803249315068</v>
      </c>
      <c r="H1200" s="37" t="n">
        <f aca="false">IF(AND(A1200&gt;=Inputs!$B$13,OR(A1200&lt;Inputs!$B$19,Inputs!$B$20=1)),D1200*Inputs!$B$11/C1200,0)</f>
        <v>40.2739726027397</v>
      </c>
      <c r="I1200" s="37" t="n">
        <f aca="false">Inputs!$C$9-SUMIFS(Cash_Events!$G$6:$G$20,Cash_Events!$C$6:$C$20,"FHL",Cash_Events!$B$6:$B$20,"&lt;="&amp;A1200)</f>
        <v>735000</v>
      </c>
      <c r="J1200" s="38" t="n">
        <f aca="false">VLOOKUP(A1200,Inputs!$F$40:$G$48,2,TRUE())</f>
        <v>0.0386433</v>
      </c>
      <c r="K1200" s="38" t="n">
        <f aca="false">J1200+Inputs!$C$10</f>
        <v>0.1061433</v>
      </c>
      <c r="L1200" s="37" t="n">
        <f aca="false">I1200*K1200/C1200</f>
        <v>213.740617808219</v>
      </c>
      <c r="M1200" s="37" t="n">
        <f aca="false">IF(AND(A1200&gt;=Inputs!$C$13,OR(A1200&lt;Inputs!$B$19,Inputs!$B$20=1)),I1200*Inputs!$C$11/C1200,0)</f>
        <v>40.2739726027397</v>
      </c>
    </row>
    <row r="1201" customFormat="false" ht="15" hidden="false" customHeight="false" outlineLevel="0" collapsed="false">
      <c r="A1201" s="35" t="n">
        <f aca="false">A1200+1</f>
        <v>46008</v>
      </c>
      <c r="B1201" s="35" t="n">
        <f aca="false">EOMONTH(A1201+1,0)</f>
        <v>46022</v>
      </c>
      <c r="C1201" s="36" t="n">
        <f aca="false">IF(MOD(YEAR(A1201),4)=0,366,365)</f>
        <v>365</v>
      </c>
      <c r="D1201" s="37" t="n">
        <f aca="false">Inputs!$B$9-SUMIFS(Cash_Events!$G$6:$G$20,Cash_Events!$C$6:$C$20,"rAGMF",Cash_Events!$B$6:$B$20,"&lt;="&amp;A1201)</f>
        <v>735000</v>
      </c>
      <c r="E1201" s="38" t="n">
        <f aca="false">VLOOKUP(A1201,Inputs!$A$40:$B$48,2,TRUE())</f>
        <v>0.0396676</v>
      </c>
      <c r="F1201" s="38" t="n">
        <f aca="false">E1201+Inputs!$B$10</f>
        <v>0.1071676</v>
      </c>
      <c r="G1201" s="37" t="n">
        <f aca="false">D1201*F1201/C1201</f>
        <v>215.803249315068</v>
      </c>
      <c r="H1201" s="37" t="n">
        <f aca="false">IF(AND(A1201&gt;=Inputs!$B$13,OR(A1201&lt;Inputs!$B$19,Inputs!$B$20=1)),D1201*Inputs!$B$11/C1201,0)</f>
        <v>40.2739726027397</v>
      </c>
      <c r="I1201" s="37" t="n">
        <f aca="false">Inputs!$C$9-SUMIFS(Cash_Events!$G$6:$G$20,Cash_Events!$C$6:$C$20,"FHL",Cash_Events!$B$6:$B$20,"&lt;="&amp;A1201)</f>
        <v>735000</v>
      </c>
      <c r="J1201" s="38" t="n">
        <f aca="false">VLOOKUP(A1201,Inputs!$F$40:$G$48,2,TRUE())</f>
        <v>0.0386433</v>
      </c>
      <c r="K1201" s="38" t="n">
        <f aca="false">J1201+Inputs!$C$10</f>
        <v>0.1061433</v>
      </c>
      <c r="L1201" s="37" t="n">
        <f aca="false">I1201*K1201/C1201</f>
        <v>213.740617808219</v>
      </c>
      <c r="M1201" s="37" t="n">
        <f aca="false">IF(AND(A1201&gt;=Inputs!$C$13,OR(A1201&lt;Inputs!$B$19,Inputs!$B$20=1)),I1201*Inputs!$C$11/C1201,0)</f>
        <v>40.2739726027397</v>
      </c>
    </row>
    <row r="1202" customFormat="false" ht="15" hidden="false" customHeight="false" outlineLevel="0" collapsed="false">
      <c r="A1202" s="35" t="n">
        <f aca="false">A1201+1</f>
        <v>46009</v>
      </c>
      <c r="B1202" s="35" t="n">
        <f aca="false">EOMONTH(A1202+1,0)</f>
        <v>46022</v>
      </c>
      <c r="C1202" s="36" t="n">
        <f aca="false">IF(MOD(YEAR(A1202),4)=0,366,365)</f>
        <v>365</v>
      </c>
      <c r="D1202" s="37" t="n">
        <f aca="false">Inputs!$B$9-SUMIFS(Cash_Events!$G$6:$G$20,Cash_Events!$C$6:$C$20,"rAGMF",Cash_Events!$B$6:$B$20,"&lt;="&amp;A1202)</f>
        <v>735000</v>
      </c>
      <c r="E1202" s="38" t="n">
        <f aca="false">VLOOKUP(A1202,Inputs!$A$40:$B$48,2,TRUE())</f>
        <v>0.0396676</v>
      </c>
      <c r="F1202" s="38" t="n">
        <f aca="false">E1202+Inputs!$B$10</f>
        <v>0.1071676</v>
      </c>
      <c r="G1202" s="37" t="n">
        <f aca="false">D1202*F1202/C1202</f>
        <v>215.803249315068</v>
      </c>
      <c r="H1202" s="37" t="n">
        <f aca="false">IF(AND(A1202&gt;=Inputs!$B$13,OR(A1202&lt;Inputs!$B$19,Inputs!$B$20=1)),D1202*Inputs!$B$11/C1202,0)</f>
        <v>40.2739726027397</v>
      </c>
      <c r="I1202" s="37" t="n">
        <f aca="false">Inputs!$C$9-SUMIFS(Cash_Events!$G$6:$G$20,Cash_Events!$C$6:$C$20,"FHL",Cash_Events!$B$6:$B$20,"&lt;="&amp;A1202)</f>
        <v>735000</v>
      </c>
      <c r="J1202" s="38" t="n">
        <f aca="false">VLOOKUP(A1202,Inputs!$F$40:$G$48,2,TRUE())</f>
        <v>0.0386433</v>
      </c>
      <c r="K1202" s="38" t="n">
        <f aca="false">J1202+Inputs!$C$10</f>
        <v>0.1061433</v>
      </c>
      <c r="L1202" s="37" t="n">
        <f aca="false">I1202*K1202/C1202</f>
        <v>213.740617808219</v>
      </c>
      <c r="M1202" s="37" t="n">
        <f aca="false">IF(AND(A1202&gt;=Inputs!$C$13,OR(A1202&lt;Inputs!$B$19,Inputs!$B$20=1)),I1202*Inputs!$C$11/C1202,0)</f>
        <v>40.2739726027397</v>
      </c>
    </row>
    <row r="1203" customFormat="false" ht="15" hidden="false" customHeight="false" outlineLevel="0" collapsed="false">
      <c r="A1203" s="35" t="n">
        <f aca="false">A1202+1</f>
        <v>46010</v>
      </c>
      <c r="B1203" s="35" t="n">
        <f aca="false">EOMONTH(A1203+1,0)</f>
        <v>46022</v>
      </c>
      <c r="C1203" s="36" t="n">
        <f aca="false">IF(MOD(YEAR(A1203),4)=0,366,365)</f>
        <v>365</v>
      </c>
      <c r="D1203" s="37" t="n">
        <f aca="false">Inputs!$B$9-SUMIFS(Cash_Events!$G$6:$G$20,Cash_Events!$C$6:$C$20,"rAGMF",Cash_Events!$B$6:$B$20,"&lt;="&amp;A1203)</f>
        <v>735000</v>
      </c>
      <c r="E1203" s="38" t="n">
        <f aca="false">VLOOKUP(A1203,Inputs!$A$40:$B$48,2,TRUE())</f>
        <v>0.0396676</v>
      </c>
      <c r="F1203" s="38" t="n">
        <f aca="false">E1203+Inputs!$B$10</f>
        <v>0.1071676</v>
      </c>
      <c r="G1203" s="37" t="n">
        <f aca="false">D1203*F1203/C1203</f>
        <v>215.803249315068</v>
      </c>
      <c r="H1203" s="37" t="n">
        <f aca="false">IF(AND(A1203&gt;=Inputs!$B$13,OR(A1203&lt;Inputs!$B$19,Inputs!$B$20=1)),D1203*Inputs!$B$11/C1203,0)</f>
        <v>40.2739726027397</v>
      </c>
      <c r="I1203" s="37" t="n">
        <f aca="false">Inputs!$C$9-SUMIFS(Cash_Events!$G$6:$G$20,Cash_Events!$C$6:$C$20,"FHL",Cash_Events!$B$6:$B$20,"&lt;="&amp;A1203)</f>
        <v>735000</v>
      </c>
      <c r="J1203" s="38" t="n">
        <f aca="false">VLOOKUP(A1203,Inputs!$F$40:$G$48,2,TRUE())</f>
        <v>0.0386433</v>
      </c>
      <c r="K1203" s="38" t="n">
        <f aca="false">J1203+Inputs!$C$10</f>
        <v>0.1061433</v>
      </c>
      <c r="L1203" s="37" t="n">
        <f aca="false">I1203*K1203/C1203</f>
        <v>213.740617808219</v>
      </c>
      <c r="M1203" s="37" t="n">
        <f aca="false">IF(AND(A1203&gt;=Inputs!$C$13,OR(A1203&lt;Inputs!$B$19,Inputs!$B$20=1)),I1203*Inputs!$C$11/C1203,0)</f>
        <v>40.2739726027397</v>
      </c>
    </row>
    <row r="1204" customFormat="false" ht="15" hidden="false" customHeight="false" outlineLevel="0" collapsed="false">
      <c r="A1204" s="35" t="n">
        <f aca="false">A1203+1</f>
        <v>46011</v>
      </c>
      <c r="B1204" s="35" t="n">
        <f aca="false">EOMONTH(A1204+1,0)</f>
        <v>46022</v>
      </c>
      <c r="C1204" s="36" t="n">
        <f aca="false">IF(MOD(YEAR(A1204),4)=0,366,365)</f>
        <v>365</v>
      </c>
      <c r="D1204" s="37" t="n">
        <f aca="false">Inputs!$B$9-SUMIFS(Cash_Events!$G$6:$G$20,Cash_Events!$C$6:$C$20,"rAGMF",Cash_Events!$B$6:$B$20,"&lt;="&amp;A1204)</f>
        <v>735000</v>
      </c>
      <c r="E1204" s="38" t="n">
        <f aca="false">VLOOKUP(A1204,Inputs!$A$40:$B$48,2,TRUE())</f>
        <v>0.0396676</v>
      </c>
      <c r="F1204" s="38" t="n">
        <f aca="false">E1204+Inputs!$B$10</f>
        <v>0.1071676</v>
      </c>
      <c r="G1204" s="37" t="n">
        <f aca="false">D1204*F1204/C1204</f>
        <v>215.803249315068</v>
      </c>
      <c r="H1204" s="37" t="n">
        <f aca="false">IF(AND(A1204&gt;=Inputs!$B$13,OR(A1204&lt;Inputs!$B$19,Inputs!$B$20=1)),D1204*Inputs!$B$11/C1204,0)</f>
        <v>40.2739726027397</v>
      </c>
      <c r="I1204" s="37" t="n">
        <f aca="false">Inputs!$C$9-SUMIFS(Cash_Events!$G$6:$G$20,Cash_Events!$C$6:$C$20,"FHL",Cash_Events!$B$6:$B$20,"&lt;="&amp;A1204)</f>
        <v>735000</v>
      </c>
      <c r="J1204" s="38" t="n">
        <f aca="false">VLOOKUP(A1204,Inputs!$F$40:$G$48,2,TRUE())</f>
        <v>0.0386433</v>
      </c>
      <c r="K1204" s="38" t="n">
        <f aca="false">J1204+Inputs!$C$10</f>
        <v>0.1061433</v>
      </c>
      <c r="L1204" s="37" t="n">
        <f aca="false">I1204*K1204/C1204</f>
        <v>213.740617808219</v>
      </c>
      <c r="M1204" s="37" t="n">
        <f aca="false">IF(AND(A1204&gt;=Inputs!$C$13,OR(A1204&lt;Inputs!$B$19,Inputs!$B$20=1)),I1204*Inputs!$C$11/C1204,0)</f>
        <v>40.2739726027397</v>
      </c>
    </row>
    <row r="1205" customFormat="false" ht="15" hidden="false" customHeight="false" outlineLevel="0" collapsed="false">
      <c r="A1205" s="35" t="n">
        <f aca="false">A1204+1</f>
        <v>46012</v>
      </c>
      <c r="B1205" s="35" t="n">
        <f aca="false">EOMONTH(A1205+1,0)</f>
        <v>46022</v>
      </c>
      <c r="C1205" s="36" t="n">
        <f aca="false">IF(MOD(YEAR(A1205),4)=0,366,365)</f>
        <v>365</v>
      </c>
      <c r="D1205" s="37" t="n">
        <f aca="false">Inputs!$B$9-SUMIFS(Cash_Events!$G$6:$G$20,Cash_Events!$C$6:$C$20,"rAGMF",Cash_Events!$B$6:$B$20,"&lt;="&amp;A1205)</f>
        <v>735000</v>
      </c>
      <c r="E1205" s="38" t="n">
        <f aca="false">VLOOKUP(A1205,Inputs!$A$40:$B$48,2,TRUE())</f>
        <v>0.0396676</v>
      </c>
      <c r="F1205" s="38" t="n">
        <f aca="false">E1205+Inputs!$B$10</f>
        <v>0.1071676</v>
      </c>
      <c r="G1205" s="37" t="n">
        <f aca="false">D1205*F1205/C1205</f>
        <v>215.803249315068</v>
      </c>
      <c r="H1205" s="37" t="n">
        <f aca="false">IF(AND(A1205&gt;=Inputs!$B$13,OR(A1205&lt;Inputs!$B$19,Inputs!$B$20=1)),D1205*Inputs!$B$11/C1205,0)</f>
        <v>40.2739726027397</v>
      </c>
      <c r="I1205" s="37" t="n">
        <f aca="false">Inputs!$C$9-SUMIFS(Cash_Events!$G$6:$G$20,Cash_Events!$C$6:$C$20,"FHL",Cash_Events!$B$6:$B$20,"&lt;="&amp;A1205)</f>
        <v>735000</v>
      </c>
      <c r="J1205" s="38" t="n">
        <f aca="false">VLOOKUP(A1205,Inputs!$F$40:$G$48,2,TRUE())</f>
        <v>0.0386433</v>
      </c>
      <c r="K1205" s="38" t="n">
        <f aca="false">J1205+Inputs!$C$10</f>
        <v>0.1061433</v>
      </c>
      <c r="L1205" s="37" t="n">
        <f aca="false">I1205*K1205/C1205</f>
        <v>213.740617808219</v>
      </c>
      <c r="M1205" s="37" t="n">
        <f aca="false">IF(AND(A1205&gt;=Inputs!$C$13,OR(A1205&lt;Inputs!$B$19,Inputs!$B$20=1)),I1205*Inputs!$C$11/C1205,0)</f>
        <v>40.2739726027397</v>
      </c>
    </row>
    <row r="1206" customFormat="false" ht="15" hidden="false" customHeight="false" outlineLevel="0" collapsed="false">
      <c r="A1206" s="35" t="n">
        <f aca="false">A1205+1</f>
        <v>46013</v>
      </c>
      <c r="B1206" s="35" t="n">
        <f aca="false">EOMONTH(A1206+1,0)</f>
        <v>46022</v>
      </c>
      <c r="C1206" s="36" t="n">
        <f aca="false">IF(MOD(YEAR(A1206),4)=0,366,365)</f>
        <v>365</v>
      </c>
      <c r="D1206" s="37" t="n">
        <f aca="false">Inputs!$B$9-SUMIFS(Cash_Events!$G$6:$G$20,Cash_Events!$C$6:$C$20,"rAGMF",Cash_Events!$B$6:$B$20,"&lt;="&amp;A1206)</f>
        <v>735000</v>
      </c>
      <c r="E1206" s="38" t="n">
        <f aca="false">VLOOKUP(A1206,Inputs!$A$40:$B$48,2,TRUE())</f>
        <v>0.0396676</v>
      </c>
      <c r="F1206" s="38" t="n">
        <f aca="false">E1206+Inputs!$B$10</f>
        <v>0.1071676</v>
      </c>
      <c r="G1206" s="37" t="n">
        <f aca="false">D1206*F1206/C1206</f>
        <v>215.803249315068</v>
      </c>
      <c r="H1206" s="37" t="n">
        <f aca="false">IF(AND(A1206&gt;=Inputs!$B$13,OR(A1206&lt;Inputs!$B$19,Inputs!$B$20=1)),D1206*Inputs!$B$11/C1206,0)</f>
        <v>40.2739726027397</v>
      </c>
      <c r="I1206" s="37" t="n">
        <f aca="false">Inputs!$C$9-SUMIFS(Cash_Events!$G$6:$G$20,Cash_Events!$C$6:$C$20,"FHL",Cash_Events!$B$6:$B$20,"&lt;="&amp;A1206)</f>
        <v>735000</v>
      </c>
      <c r="J1206" s="38" t="n">
        <f aca="false">VLOOKUP(A1206,Inputs!$F$40:$G$48,2,TRUE())</f>
        <v>0.0386433</v>
      </c>
      <c r="K1206" s="38" t="n">
        <f aca="false">J1206+Inputs!$C$10</f>
        <v>0.1061433</v>
      </c>
      <c r="L1206" s="37" t="n">
        <f aca="false">I1206*K1206/C1206</f>
        <v>213.740617808219</v>
      </c>
      <c r="M1206" s="37" t="n">
        <f aca="false">IF(AND(A1206&gt;=Inputs!$C$13,OR(A1206&lt;Inputs!$B$19,Inputs!$B$20=1)),I1206*Inputs!$C$11/C1206,0)</f>
        <v>40.2739726027397</v>
      </c>
    </row>
    <row r="1207" customFormat="false" ht="15" hidden="false" customHeight="false" outlineLevel="0" collapsed="false">
      <c r="A1207" s="35" t="n">
        <f aca="false">A1206+1</f>
        <v>46014</v>
      </c>
      <c r="B1207" s="35" t="n">
        <f aca="false">EOMONTH(A1207+1,0)</f>
        <v>46022</v>
      </c>
      <c r="C1207" s="36" t="n">
        <f aca="false">IF(MOD(YEAR(A1207),4)=0,366,365)</f>
        <v>365</v>
      </c>
      <c r="D1207" s="37" t="n">
        <f aca="false">Inputs!$B$9-SUMIFS(Cash_Events!$G$6:$G$20,Cash_Events!$C$6:$C$20,"rAGMF",Cash_Events!$B$6:$B$20,"&lt;="&amp;A1207)</f>
        <v>735000</v>
      </c>
      <c r="E1207" s="38" t="n">
        <f aca="false">VLOOKUP(A1207,Inputs!$A$40:$B$48,2,TRUE())</f>
        <v>0.0396676</v>
      </c>
      <c r="F1207" s="38" t="n">
        <f aca="false">E1207+Inputs!$B$10</f>
        <v>0.1071676</v>
      </c>
      <c r="G1207" s="37" t="n">
        <f aca="false">D1207*F1207/C1207</f>
        <v>215.803249315068</v>
      </c>
      <c r="H1207" s="37" t="n">
        <f aca="false">IF(AND(A1207&gt;=Inputs!$B$13,OR(A1207&lt;Inputs!$B$19,Inputs!$B$20=1)),D1207*Inputs!$B$11/C1207,0)</f>
        <v>40.2739726027397</v>
      </c>
      <c r="I1207" s="37" t="n">
        <f aca="false">Inputs!$C$9-SUMIFS(Cash_Events!$G$6:$G$20,Cash_Events!$C$6:$C$20,"FHL",Cash_Events!$B$6:$B$20,"&lt;="&amp;A1207)</f>
        <v>735000</v>
      </c>
      <c r="J1207" s="38" t="n">
        <f aca="false">VLOOKUP(A1207,Inputs!$F$40:$G$48,2,TRUE())</f>
        <v>0.0386433</v>
      </c>
      <c r="K1207" s="38" t="n">
        <f aca="false">J1207+Inputs!$C$10</f>
        <v>0.1061433</v>
      </c>
      <c r="L1207" s="37" t="n">
        <f aca="false">I1207*K1207/C1207</f>
        <v>213.740617808219</v>
      </c>
      <c r="M1207" s="37" t="n">
        <f aca="false">IF(AND(A1207&gt;=Inputs!$C$13,OR(A1207&lt;Inputs!$B$19,Inputs!$B$20=1)),I1207*Inputs!$C$11/C1207,0)</f>
        <v>40.2739726027397</v>
      </c>
    </row>
    <row r="1208" customFormat="false" ht="15" hidden="false" customHeight="false" outlineLevel="0" collapsed="false">
      <c r="A1208" s="35" t="n">
        <f aca="false">A1207+1</f>
        <v>46015</v>
      </c>
      <c r="B1208" s="35" t="n">
        <f aca="false">EOMONTH(A1208+1,0)</f>
        <v>46022</v>
      </c>
      <c r="C1208" s="36" t="n">
        <f aca="false">IF(MOD(YEAR(A1208),4)=0,366,365)</f>
        <v>365</v>
      </c>
      <c r="D1208" s="37" t="n">
        <f aca="false">Inputs!$B$9-SUMIFS(Cash_Events!$G$6:$G$20,Cash_Events!$C$6:$C$20,"rAGMF",Cash_Events!$B$6:$B$20,"&lt;="&amp;A1208)</f>
        <v>735000</v>
      </c>
      <c r="E1208" s="38" t="n">
        <f aca="false">VLOOKUP(A1208,Inputs!$A$40:$B$48,2,TRUE())</f>
        <v>0.0396676</v>
      </c>
      <c r="F1208" s="38" t="n">
        <f aca="false">E1208+Inputs!$B$10</f>
        <v>0.1071676</v>
      </c>
      <c r="G1208" s="37" t="n">
        <f aca="false">D1208*F1208/C1208</f>
        <v>215.803249315068</v>
      </c>
      <c r="H1208" s="37" t="n">
        <f aca="false">IF(AND(A1208&gt;=Inputs!$B$13,OR(A1208&lt;Inputs!$B$19,Inputs!$B$20=1)),D1208*Inputs!$B$11/C1208,0)</f>
        <v>40.2739726027397</v>
      </c>
      <c r="I1208" s="37" t="n">
        <f aca="false">Inputs!$C$9-SUMIFS(Cash_Events!$G$6:$G$20,Cash_Events!$C$6:$C$20,"FHL",Cash_Events!$B$6:$B$20,"&lt;="&amp;A1208)</f>
        <v>735000</v>
      </c>
      <c r="J1208" s="38" t="n">
        <f aca="false">VLOOKUP(A1208,Inputs!$F$40:$G$48,2,TRUE())</f>
        <v>0.0386433</v>
      </c>
      <c r="K1208" s="38" t="n">
        <f aca="false">J1208+Inputs!$C$10</f>
        <v>0.1061433</v>
      </c>
      <c r="L1208" s="37" t="n">
        <f aca="false">I1208*K1208/C1208</f>
        <v>213.740617808219</v>
      </c>
      <c r="M1208" s="37" t="n">
        <f aca="false">IF(AND(A1208&gt;=Inputs!$C$13,OR(A1208&lt;Inputs!$B$19,Inputs!$B$20=1)),I1208*Inputs!$C$11/C1208,0)</f>
        <v>40.2739726027397</v>
      </c>
    </row>
    <row r="1209" customFormat="false" ht="15" hidden="false" customHeight="false" outlineLevel="0" collapsed="false">
      <c r="A1209" s="35" t="n">
        <f aca="false">A1208+1</f>
        <v>46016</v>
      </c>
      <c r="B1209" s="35" t="n">
        <f aca="false">EOMONTH(A1209+1,0)</f>
        <v>46022</v>
      </c>
      <c r="C1209" s="36" t="n">
        <f aca="false">IF(MOD(YEAR(A1209),4)=0,366,365)</f>
        <v>365</v>
      </c>
      <c r="D1209" s="37" t="n">
        <f aca="false">Inputs!$B$9-SUMIFS(Cash_Events!$G$6:$G$20,Cash_Events!$C$6:$C$20,"rAGMF",Cash_Events!$B$6:$B$20,"&lt;="&amp;A1209)</f>
        <v>735000</v>
      </c>
      <c r="E1209" s="38" t="n">
        <f aca="false">VLOOKUP(A1209,Inputs!$A$40:$B$48,2,TRUE())</f>
        <v>0.0396676</v>
      </c>
      <c r="F1209" s="38" t="n">
        <f aca="false">E1209+Inputs!$B$10</f>
        <v>0.1071676</v>
      </c>
      <c r="G1209" s="37" t="n">
        <f aca="false">D1209*F1209/C1209</f>
        <v>215.803249315068</v>
      </c>
      <c r="H1209" s="37" t="n">
        <f aca="false">IF(AND(A1209&gt;=Inputs!$B$13,OR(A1209&lt;Inputs!$B$19,Inputs!$B$20=1)),D1209*Inputs!$B$11/C1209,0)</f>
        <v>40.2739726027397</v>
      </c>
      <c r="I1209" s="37" t="n">
        <f aca="false">Inputs!$C$9-SUMIFS(Cash_Events!$G$6:$G$20,Cash_Events!$C$6:$C$20,"FHL",Cash_Events!$B$6:$B$20,"&lt;="&amp;A1209)</f>
        <v>735000</v>
      </c>
      <c r="J1209" s="38" t="n">
        <f aca="false">VLOOKUP(A1209,Inputs!$F$40:$G$48,2,TRUE())</f>
        <v>0.0386433</v>
      </c>
      <c r="K1209" s="38" t="n">
        <f aca="false">J1209+Inputs!$C$10</f>
        <v>0.1061433</v>
      </c>
      <c r="L1209" s="37" t="n">
        <f aca="false">I1209*K1209/C1209</f>
        <v>213.740617808219</v>
      </c>
      <c r="M1209" s="37" t="n">
        <f aca="false">IF(AND(A1209&gt;=Inputs!$C$13,OR(A1209&lt;Inputs!$B$19,Inputs!$B$20=1)),I1209*Inputs!$C$11/C1209,0)</f>
        <v>40.2739726027397</v>
      </c>
    </row>
    <row r="1210" customFormat="false" ht="15" hidden="false" customHeight="false" outlineLevel="0" collapsed="false">
      <c r="A1210" s="35" t="n">
        <f aca="false">A1209+1</f>
        <v>46017</v>
      </c>
      <c r="B1210" s="35" t="n">
        <f aca="false">EOMONTH(A1210+1,0)</f>
        <v>46022</v>
      </c>
      <c r="C1210" s="36" t="n">
        <f aca="false">IF(MOD(YEAR(A1210),4)=0,366,365)</f>
        <v>365</v>
      </c>
      <c r="D1210" s="37" t="n">
        <f aca="false">Inputs!$B$9-SUMIFS(Cash_Events!$G$6:$G$20,Cash_Events!$C$6:$C$20,"rAGMF",Cash_Events!$B$6:$B$20,"&lt;="&amp;A1210)</f>
        <v>735000</v>
      </c>
      <c r="E1210" s="38" t="n">
        <f aca="false">VLOOKUP(A1210,Inputs!$A$40:$B$48,2,TRUE())</f>
        <v>0.0396676</v>
      </c>
      <c r="F1210" s="38" t="n">
        <f aca="false">E1210+Inputs!$B$10</f>
        <v>0.1071676</v>
      </c>
      <c r="G1210" s="37" t="n">
        <f aca="false">D1210*F1210/C1210</f>
        <v>215.803249315068</v>
      </c>
      <c r="H1210" s="37" t="n">
        <f aca="false">IF(AND(A1210&gt;=Inputs!$B$13,OR(A1210&lt;Inputs!$B$19,Inputs!$B$20=1)),D1210*Inputs!$B$11/C1210,0)</f>
        <v>40.2739726027397</v>
      </c>
      <c r="I1210" s="37" t="n">
        <f aca="false">Inputs!$C$9-SUMIFS(Cash_Events!$G$6:$G$20,Cash_Events!$C$6:$C$20,"FHL",Cash_Events!$B$6:$B$20,"&lt;="&amp;A1210)</f>
        <v>735000</v>
      </c>
      <c r="J1210" s="38" t="n">
        <f aca="false">VLOOKUP(A1210,Inputs!$F$40:$G$48,2,TRUE())</f>
        <v>0.0386433</v>
      </c>
      <c r="K1210" s="38" t="n">
        <f aca="false">J1210+Inputs!$C$10</f>
        <v>0.1061433</v>
      </c>
      <c r="L1210" s="37" t="n">
        <f aca="false">I1210*K1210/C1210</f>
        <v>213.740617808219</v>
      </c>
      <c r="M1210" s="37" t="n">
        <f aca="false">IF(AND(A1210&gt;=Inputs!$C$13,OR(A1210&lt;Inputs!$B$19,Inputs!$B$20=1)),I1210*Inputs!$C$11/C1210,0)</f>
        <v>40.2739726027397</v>
      </c>
    </row>
    <row r="1211" customFormat="false" ht="15" hidden="false" customHeight="false" outlineLevel="0" collapsed="false">
      <c r="A1211" s="35" t="n">
        <f aca="false">A1210+1</f>
        <v>46018</v>
      </c>
      <c r="B1211" s="35" t="n">
        <f aca="false">EOMONTH(A1211+1,0)</f>
        <v>46022</v>
      </c>
      <c r="C1211" s="36" t="n">
        <f aca="false">IF(MOD(YEAR(A1211),4)=0,366,365)</f>
        <v>365</v>
      </c>
      <c r="D1211" s="37" t="n">
        <f aca="false">Inputs!$B$9-SUMIFS(Cash_Events!$G$6:$G$20,Cash_Events!$C$6:$C$20,"rAGMF",Cash_Events!$B$6:$B$20,"&lt;="&amp;A1211)</f>
        <v>735000</v>
      </c>
      <c r="E1211" s="38" t="n">
        <f aca="false">VLOOKUP(A1211,Inputs!$A$40:$B$48,2,TRUE())</f>
        <v>0.0396676</v>
      </c>
      <c r="F1211" s="38" t="n">
        <f aca="false">E1211+Inputs!$B$10</f>
        <v>0.1071676</v>
      </c>
      <c r="G1211" s="37" t="n">
        <f aca="false">D1211*F1211/C1211</f>
        <v>215.803249315068</v>
      </c>
      <c r="H1211" s="37" t="n">
        <f aca="false">IF(AND(A1211&gt;=Inputs!$B$13,OR(A1211&lt;Inputs!$B$19,Inputs!$B$20=1)),D1211*Inputs!$B$11/C1211,0)</f>
        <v>40.2739726027397</v>
      </c>
      <c r="I1211" s="37" t="n">
        <f aca="false">Inputs!$C$9-SUMIFS(Cash_Events!$G$6:$G$20,Cash_Events!$C$6:$C$20,"FHL",Cash_Events!$B$6:$B$20,"&lt;="&amp;A1211)</f>
        <v>735000</v>
      </c>
      <c r="J1211" s="38" t="n">
        <f aca="false">VLOOKUP(A1211,Inputs!$F$40:$G$48,2,TRUE())</f>
        <v>0.0386433</v>
      </c>
      <c r="K1211" s="38" t="n">
        <f aca="false">J1211+Inputs!$C$10</f>
        <v>0.1061433</v>
      </c>
      <c r="L1211" s="37" t="n">
        <f aca="false">I1211*K1211/C1211</f>
        <v>213.740617808219</v>
      </c>
      <c r="M1211" s="37" t="n">
        <f aca="false">IF(AND(A1211&gt;=Inputs!$C$13,OR(A1211&lt;Inputs!$B$19,Inputs!$B$20=1)),I1211*Inputs!$C$11/C1211,0)</f>
        <v>40.2739726027397</v>
      </c>
    </row>
    <row r="1212" customFormat="false" ht="15" hidden="false" customHeight="false" outlineLevel="0" collapsed="false">
      <c r="A1212" s="35" t="n">
        <f aca="false">A1211+1</f>
        <v>46019</v>
      </c>
      <c r="B1212" s="35" t="n">
        <f aca="false">EOMONTH(A1212+1,0)</f>
        <v>46022</v>
      </c>
      <c r="C1212" s="36" t="n">
        <f aca="false">IF(MOD(YEAR(A1212),4)=0,366,365)</f>
        <v>365</v>
      </c>
      <c r="D1212" s="37" t="n">
        <f aca="false">Inputs!$B$9-SUMIFS(Cash_Events!$G$6:$G$20,Cash_Events!$C$6:$C$20,"rAGMF",Cash_Events!$B$6:$B$20,"&lt;="&amp;A1212)</f>
        <v>735000</v>
      </c>
      <c r="E1212" s="38" t="n">
        <f aca="false">VLOOKUP(A1212,Inputs!$A$40:$B$48,2,TRUE())</f>
        <v>0.0396676</v>
      </c>
      <c r="F1212" s="38" t="n">
        <f aca="false">E1212+Inputs!$B$10</f>
        <v>0.1071676</v>
      </c>
      <c r="G1212" s="37" t="n">
        <f aca="false">D1212*F1212/C1212</f>
        <v>215.803249315068</v>
      </c>
      <c r="H1212" s="37" t="n">
        <f aca="false">IF(AND(A1212&gt;=Inputs!$B$13,OR(A1212&lt;Inputs!$B$19,Inputs!$B$20=1)),D1212*Inputs!$B$11/C1212,0)</f>
        <v>40.2739726027397</v>
      </c>
      <c r="I1212" s="37" t="n">
        <f aca="false">Inputs!$C$9-SUMIFS(Cash_Events!$G$6:$G$20,Cash_Events!$C$6:$C$20,"FHL",Cash_Events!$B$6:$B$20,"&lt;="&amp;A1212)</f>
        <v>735000</v>
      </c>
      <c r="J1212" s="38" t="n">
        <f aca="false">VLOOKUP(A1212,Inputs!$F$40:$G$48,2,TRUE())</f>
        <v>0.0386433</v>
      </c>
      <c r="K1212" s="38" t="n">
        <f aca="false">J1212+Inputs!$C$10</f>
        <v>0.1061433</v>
      </c>
      <c r="L1212" s="37" t="n">
        <f aca="false">I1212*K1212/C1212</f>
        <v>213.740617808219</v>
      </c>
      <c r="M1212" s="37" t="n">
        <f aca="false">IF(AND(A1212&gt;=Inputs!$C$13,OR(A1212&lt;Inputs!$B$19,Inputs!$B$20=1)),I1212*Inputs!$C$11/C1212,0)</f>
        <v>40.2739726027397</v>
      </c>
    </row>
    <row r="1213" customFormat="false" ht="15" hidden="false" customHeight="false" outlineLevel="0" collapsed="false">
      <c r="A1213" s="35" t="n">
        <f aca="false">A1212+1</f>
        <v>46020</v>
      </c>
      <c r="B1213" s="35" t="n">
        <f aca="false">EOMONTH(A1213+1,0)</f>
        <v>46022</v>
      </c>
      <c r="C1213" s="36" t="n">
        <f aca="false">IF(MOD(YEAR(A1213),4)=0,366,365)</f>
        <v>365</v>
      </c>
      <c r="D1213" s="37" t="n">
        <f aca="false">Inputs!$B$9-SUMIFS(Cash_Events!$G$6:$G$20,Cash_Events!$C$6:$C$20,"rAGMF",Cash_Events!$B$6:$B$20,"&lt;="&amp;A1213)</f>
        <v>735000</v>
      </c>
      <c r="E1213" s="38" t="n">
        <f aca="false">VLOOKUP(A1213,Inputs!$A$40:$B$48,2,TRUE())</f>
        <v>0.0396676</v>
      </c>
      <c r="F1213" s="38" t="n">
        <f aca="false">E1213+Inputs!$B$10</f>
        <v>0.1071676</v>
      </c>
      <c r="G1213" s="37" t="n">
        <f aca="false">D1213*F1213/C1213</f>
        <v>215.803249315068</v>
      </c>
      <c r="H1213" s="37" t="n">
        <f aca="false">IF(AND(A1213&gt;=Inputs!$B$13,OR(A1213&lt;Inputs!$B$19,Inputs!$B$20=1)),D1213*Inputs!$B$11/C1213,0)</f>
        <v>40.2739726027397</v>
      </c>
      <c r="I1213" s="37" t="n">
        <f aca="false">Inputs!$C$9-SUMIFS(Cash_Events!$G$6:$G$20,Cash_Events!$C$6:$C$20,"FHL",Cash_Events!$B$6:$B$20,"&lt;="&amp;A1213)</f>
        <v>735000</v>
      </c>
      <c r="J1213" s="38" t="n">
        <f aca="false">VLOOKUP(A1213,Inputs!$F$40:$G$48,2,TRUE())</f>
        <v>0.0386433</v>
      </c>
      <c r="K1213" s="38" t="n">
        <f aca="false">J1213+Inputs!$C$10</f>
        <v>0.1061433</v>
      </c>
      <c r="L1213" s="37" t="n">
        <f aca="false">I1213*K1213/C1213</f>
        <v>213.740617808219</v>
      </c>
      <c r="M1213" s="37" t="n">
        <f aca="false">IF(AND(A1213&gt;=Inputs!$C$13,OR(A1213&lt;Inputs!$B$19,Inputs!$B$20=1)),I1213*Inputs!$C$11/C1213,0)</f>
        <v>40.2739726027397</v>
      </c>
    </row>
    <row r="1214" customFormat="false" ht="15" hidden="false" customHeight="false" outlineLevel="0" collapsed="false">
      <c r="A1214" s="35" t="n">
        <f aca="false">A1213+1</f>
        <v>46021</v>
      </c>
      <c r="B1214" s="35" t="n">
        <f aca="false">EOMONTH(A1214+1,0)</f>
        <v>46022</v>
      </c>
      <c r="C1214" s="36" t="n">
        <f aca="false">IF(MOD(YEAR(A1214),4)=0,366,365)</f>
        <v>365</v>
      </c>
      <c r="D1214" s="37" t="n">
        <f aca="false">Inputs!$B$9-SUMIFS(Cash_Events!$G$6:$G$20,Cash_Events!$C$6:$C$20,"rAGMF",Cash_Events!$B$6:$B$20,"&lt;="&amp;A1214)</f>
        <v>735000</v>
      </c>
      <c r="E1214" s="38" t="n">
        <f aca="false">VLOOKUP(A1214,Inputs!$A$40:$B$48,2,TRUE())</f>
        <v>0.0396676</v>
      </c>
      <c r="F1214" s="38" t="n">
        <f aca="false">E1214+Inputs!$B$10</f>
        <v>0.1071676</v>
      </c>
      <c r="G1214" s="37" t="n">
        <f aca="false">D1214*F1214/C1214</f>
        <v>215.803249315068</v>
      </c>
      <c r="H1214" s="37" t="n">
        <f aca="false">IF(AND(A1214&gt;=Inputs!$B$13,OR(A1214&lt;Inputs!$B$19,Inputs!$B$20=1)),D1214*Inputs!$B$11/C1214,0)</f>
        <v>40.2739726027397</v>
      </c>
      <c r="I1214" s="37" t="n">
        <f aca="false">Inputs!$C$9-SUMIFS(Cash_Events!$G$6:$G$20,Cash_Events!$C$6:$C$20,"FHL",Cash_Events!$B$6:$B$20,"&lt;="&amp;A1214)</f>
        <v>735000</v>
      </c>
      <c r="J1214" s="38" t="n">
        <f aca="false">VLOOKUP(A1214,Inputs!$F$40:$G$48,2,TRUE())</f>
        <v>0.0386433</v>
      </c>
      <c r="K1214" s="38" t="n">
        <f aca="false">J1214+Inputs!$C$10</f>
        <v>0.1061433</v>
      </c>
      <c r="L1214" s="37" t="n">
        <f aca="false">I1214*K1214/C1214</f>
        <v>213.740617808219</v>
      </c>
      <c r="M1214" s="37" t="n">
        <f aca="false">IF(AND(A1214&gt;=Inputs!$C$13,OR(A1214&lt;Inputs!$B$19,Inputs!$B$20=1)),I1214*Inputs!$C$11/C1214,0)</f>
        <v>40.2739726027397</v>
      </c>
    </row>
    <row r="1215" customFormat="false" ht="15" hidden="false" customHeight="false" outlineLevel="0" collapsed="false">
      <c r="A1215" s="35" t="n">
        <f aca="false">A1214+1</f>
        <v>46022</v>
      </c>
      <c r="B1215" s="35" t="n">
        <f aca="false">EOMONTH(A1215+1,0)</f>
        <v>46053</v>
      </c>
      <c r="C1215" s="36" t="n">
        <f aca="false">IF(MOD(YEAR(A1215),4)=0,366,365)</f>
        <v>365</v>
      </c>
      <c r="D1215" s="37" t="n">
        <f aca="false">Inputs!$B$9-SUMIFS(Cash_Events!$G$6:$G$20,Cash_Events!$C$6:$C$20,"rAGMF",Cash_Events!$B$6:$B$20,"&lt;="&amp;A1215)</f>
        <v>735000</v>
      </c>
      <c r="E1215" s="38" t="n">
        <f aca="false">VLOOKUP(A1215,Inputs!$A$40:$B$48,2,TRUE())</f>
        <v>0.0396676</v>
      </c>
      <c r="F1215" s="38" t="n">
        <f aca="false">E1215+Inputs!$B$10</f>
        <v>0.1071676</v>
      </c>
      <c r="G1215" s="37" t="n">
        <f aca="false">D1215*F1215/C1215</f>
        <v>215.803249315068</v>
      </c>
      <c r="H1215" s="37" t="n">
        <f aca="false">IF(AND(A1215&gt;=Inputs!$B$13,OR(A1215&lt;Inputs!$B$19,Inputs!$B$20=1)),D1215*Inputs!$B$11/C1215,0)</f>
        <v>40.2739726027397</v>
      </c>
      <c r="I1215" s="37" t="n">
        <f aca="false">Inputs!$C$9-SUMIFS(Cash_Events!$G$6:$G$20,Cash_Events!$C$6:$C$20,"FHL",Cash_Events!$B$6:$B$20,"&lt;="&amp;A1215)</f>
        <v>735000</v>
      </c>
      <c r="J1215" s="38" t="n">
        <f aca="false">VLOOKUP(A1215,Inputs!$F$40:$G$48,2,TRUE())</f>
        <v>0.0386433</v>
      </c>
      <c r="K1215" s="38" t="n">
        <f aca="false">J1215+Inputs!$C$10</f>
        <v>0.1061433</v>
      </c>
      <c r="L1215" s="37" t="n">
        <f aca="false">I1215*K1215/C1215</f>
        <v>213.740617808219</v>
      </c>
      <c r="M1215" s="37" t="n">
        <f aca="false">IF(AND(A1215&gt;=Inputs!$C$13,OR(A1215&lt;Inputs!$B$19,Inputs!$B$20=1)),I1215*Inputs!$C$11/C1215,0)</f>
        <v>40.2739726027397</v>
      </c>
    </row>
    <row r="1216" customFormat="false" ht="15" hidden="false" customHeight="false" outlineLevel="0" collapsed="false">
      <c r="A1216" s="35" t="n">
        <f aca="false">A1215+1</f>
        <v>46023</v>
      </c>
      <c r="B1216" s="35" t="n">
        <f aca="false">EOMONTH(A1216+1,0)</f>
        <v>46053</v>
      </c>
      <c r="C1216" s="36" t="n">
        <f aca="false">IF(MOD(YEAR(A1216),4)=0,366,365)</f>
        <v>365</v>
      </c>
      <c r="D1216" s="37" t="n">
        <f aca="false">Inputs!$B$9-SUMIFS(Cash_Events!$G$6:$G$20,Cash_Events!$C$6:$C$20,"rAGMF",Cash_Events!$B$6:$B$20,"&lt;="&amp;A1216)</f>
        <v>735000</v>
      </c>
      <c r="E1216" s="38" t="n">
        <f aca="false">VLOOKUP(A1216,Inputs!$A$40:$B$48,2,TRUE())</f>
        <v>0.0396676</v>
      </c>
      <c r="F1216" s="38" t="n">
        <f aca="false">E1216+Inputs!$B$10</f>
        <v>0.1071676</v>
      </c>
      <c r="G1216" s="37" t="n">
        <f aca="false">D1216*F1216/C1216</f>
        <v>215.803249315068</v>
      </c>
      <c r="H1216" s="37" t="n">
        <f aca="false">IF(AND(A1216&gt;=Inputs!$B$13,OR(A1216&lt;Inputs!$B$19,Inputs!$B$20=1)),D1216*Inputs!$B$11/C1216,0)</f>
        <v>40.2739726027397</v>
      </c>
      <c r="I1216" s="37" t="n">
        <f aca="false">Inputs!$C$9-SUMIFS(Cash_Events!$G$6:$G$20,Cash_Events!$C$6:$C$20,"FHL",Cash_Events!$B$6:$B$20,"&lt;="&amp;A1216)</f>
        <v>735000</v>
      </c>
      <c r="J1216" s="38" t="n">
        <f aca="false">VLOOKUP(A1216,Inputs!$F$40:$G$48,2,TRUE())</f>
        <v>0.0386433</v>
      </c>
      <c r="K1216" s="38" t="n">
        <f aca="false">J1216+Inputs!$C$10</f>
        <v>0.1061433</v>
      </c>
      <c r="L1216" s="37" t="n">
        <f aca="false">I1216*K1216/C1216</f>
        <v>213.740617808219</v>
      </c>
      <c r="M1216" s="37" t="n">
        <f aca="false">IF(AND(A1216&gt;=Inputs!$C$13,OR(A1216&lt;Inputs!$B$19,Inputs!$B$20=1)),I1216*Inputs!$C$11/C1216,0)</f>
        <v>40.2739726027397</v>
      </c>
    </row>
    <row r="1217" customFormat="false" ht="15" hidden="false" customHeight="false" outlineLevel="0" collapsed="false">
      <c r="A1217" s="35" t="n">
        <f aca="false">A1216+1</f>
        <v>46024</v>
      </c>
      <c r="B1217" s="35" t="n">
        <f aca="false">EOMONTH(A1217+1,0)</f>
        <v>46053</v>
      </c>
      <c r="C1217" s="36" t="n">
        <f aca="false">IF(MOD(YEAR(A1217),4)=0,366,365)</f>
        <v>365</v>
      </c>
      <c r="D1217" s="37" t="n">
        <f aca="false">Inputs!$B$9-SUMIFS(Cash_Events!$G$6:$G$20,Cash_Events!$C$6:$C$20,"rAGMF",Cash_Events!$B$6:$B$20,"&lt;="&amp;A1217)</f>
        <v>735000</v>
      </c>
      <c r="E1217" s="38" t="n">
        <f aca="false">VLOOKUP(A1217,Inputs!$A$40:$B$48,2,TRUE())</f>
        <v>0.0396676</v>
      </c>
      <c r="F1217" s="38" t="n">
        <f aca="false">E1217+Inputs!$B$10</f>
        <v>0.1071676</v>
      </c>
      <c r="G1217" s="37" t="n">
        <f aca="false">D1217*F1217/C1217</f>
        <v>215.803249315068</v>
      </c>
      <c r="H1217" s="37" t="n">
        <f aca="false">IF(AND(A1217&gt;=Inputs!$B$13,OR(A1217&lt;Inputs!$B$19,Inputs!$B$20=1)),D1217*Inputs!$B$11/C1217,0)</f>
        <v>40.2739726027397</v>
      </c>
      <c r="I1217" s="37" t="n">
        <f aca="false">Inputs!$C$9-SUMIFS(Cash_Events!$G$6:$G$20,Cash_Events!$C$6:$C$20,"FHL",Cash_Events!$B$6:$B$20,"&lt;="&amp;A1217)</f>
        <v>735000</v>
      </c>
      <c r="J1217" s="38" t="n">
        <f aca="false">VLOOKUP(A1217,Inputs!$F$40:$G$48,2,TRUE())</f>
        <v>0.0386433</v>
      </c>
      <c r="K1217" s="38" t="n">
        <f aca="false">J1217+Inputs!$C$10</f>
        <v>0.1061433</v>
      </c>
      <c r="L1217" s="37" t="n">
        <f aca="false">I1217*K1217/C1217</f>
        <v>213.740617808219</v>
      </c>
      <c r="M1217" s="37" t="n">
        <f aca="false">IF(AND(A1217&gt;=Inputs!$C$13,OR(A1217&lt;Inputs!$B$19,Inputs!$B$20=1)),I1217*Inputs!$C$11/C1217,0)</f>
        <v>40.2739726027397</v>
      </c>
    </row>
    <row r="1218" customFormat="false" ht="15" hidden="false" customHeight="false" outlineLevel="0" collapsed="false">
      <c r="A1218" s="35" t="n">
        <f aca="false">A1217+1</f>
        <v>46025</v>
      </c>
      <c r="B1218" s="35" t="n">
        <f aca="false">EOMONTH(A1218+1,0)</f>
        <v>46053</v>
      </c>
      <c r="C1218" s="36" t="n">
        <f aca="false">IF(MOD(YEAR(A1218),4)=0,366,365)</f>
        <v>365</v>
      </c>
      <c r="D1218" s="37" t="n">
        <f aca="false">Inputs!$B$9-SUMIFS(Cash_Events!$G$6:$G$20,Cash_Events!$C$6:$C$20,"rAGMF",Cash_Events!$B$6:$B$20,"&lt;="&amp;A1218)</f>
        <v>735000</v>
      </c>
      <c r="E1218" s="38" t="n">
        <f aca="false">VLOOKUP(A1218,Inputs!$A$40:$B$48,2,TRUE())</f>
        <v>0.0396676</v>
      </c>
      <c r="F1218" s="38" t="n">
        <f aca="false">E1218+Inputs!$B$10</f>
        <v>0.1071676</v>
      </c>
      <c r="G1218" s="37" t="n">
        <f aca="false">D1218*F1218/C1218</f>
        <v>215.803249315068</v>
      </c>
      <c r="H1218" s="37" t="n">
        <f aca="false">IF(AND(A1218&gt;=Inputs!$B$13,OR(A1218&lt;Inputs!$B$19,Inputs!$B$20=1)),D1218*Inputs!$B$11/C1218,0)</f>
        <v>40.2739726027397</v>
      </c>
      <c r="I1218" s="37" t="n">
        <f aca="false">Inputs!$C$9-SUMIFS(Cash_Events!$G$6:$G$20,Cash_Events!$C$6:$C$20,"FHL",Cash_Events!$B$6:$B$20,"&lt;="&amp;A1218)</f>
        <v>735000</v>
      </c>
      <c r="J1218" s="38" t="n">
        <f aca="false">VLOOKUP(A1218,Inputs!$F$40:$G$48,2,TRUE())</f>
        <v>0.0386433</v>
      </c>
      <c r="K1218" s="38" t="n">
        <f aca="false">J1218+Inputs!$C$10</f>
        <v>0.1061433</v>
      </c>
      <c r="L1218" s="37" t="n">
        <f aca="false">I1218*K1218/C1218</f>
        <v>213.740617808219</v>
      </c>
      <c r="M1218" s="37" t="n">
        <f aca="false">IF(AND(A1218&gt;=Inputs!$C$13,OR(A1218&lt;Inputs!$B$19,Inputs!$B$20=1)),I1218*Inputs!$C$11/C1218,0)</f>
        <v>40.2739726027397</v>
      </c>
    </row>
    <row r="1219" customFormat="false" ht="15" hidden="false" customHeight="false" outlineLevel="0" collapsed="false">
      <c r="A1219" s="35" t="n">
        <f aca="false">A1218+1</f>
        <v>46026</v>
      </c>
      <c r="B1219" s="35" t="n">
        <f aca="false">EOMONTH(A1219+1,0)</f>
        <v>46053</v>
      </c>
      <c r="C1219" s="36" t="n">
        <f aca="false">IF(MOD(YEAR(A1219),4)=0,366,365)</f>
        <v>365</v>
      </c>
      <c r="D1219" s="37" t="n">
        <f aca="false">Inputs!$B$9-SUMIFS(Cash_Events!$G$6:$G$20,Cash_Events!$C$6:$C$20,"rAGMF",Cash_Events!$B$6:$B$20,"&lt;="&amp;A1219)</f>
        <v>735000</v>
      </c>
      <c r="E1219" s="38" t="n">
        <f aca="false">VLOOKUP(A1219,Inputs!$A$40:$B$48,2,TRUE())</f>
        <v>0.0396676</v>
      </c>
      <c r="F1219" s="38" t="n">
        <f aca="false">E1219+Inputs!$B$10</f>
        <v>0.1071676</v>
      </c>
      <c r="G1219" s="37" t="n">
        <f aca="false">D1219*F1219/C1219</f>
        <v>215.803249315068</v>
      </c>
      <c r="H1219" s="37" t="n">
        <f aca="false">IF(AND(A1219&gt;=Inputs!$B$13,OR(A1219&lt;Inputs!$B$19,Inputs!$B$20=1)),D1219*Inputs!$B$11/C1219,0)</f>
        <v>40.2739726027397</v>
      </c>
      <c r="I1219" s="37" t="n">
        <f aca="false">Inputs!$C$9-SUMIFS(Cash_Events!$G$6:$G$20,Cash_Events!$C$6:$C$20,"FHL",Cash_Events!$B$6:$B$20,"&lt;="&amp;A1219)</f>
        <v>735000</v>
      </c>
      <c r="J1219" s="38" t="n">
        <f aca="false">VLOOKUP(A1219,Inputs!$F$40:$G$48,2,TRUE())</f>
        <v>0.0386433</v>
      </c>
      <c r="K1219" s="38" t="n">
        <f aca="false">J1219+Inputs!$C$10</f>
        <v>0.1061433</v>
      </c>
      <c r="L1219" s="37" t="n">
        <f aca="false">I1219*K1219/C1219</f>
        <v>213.740617808219</v>
      </c>
      <c r="M1219" s="37" t="n">
        <f aca="false">IF(AND(A1219&gt;=Inputs!$C$13,OR(A1219&lt;Inputs!$B$19,Inputs!$B$20=1)),I1219*Inputs!$C$11/C1219,0)</f>
        <v>40.2739726027397</v>
      </c>
    </row>
    <row r="1220" customFormat="false" ht="15" hidden="false" customHeight="false" outlineLevel="0" collapsed="false">
      <c r="A1220" s="35" t="n">
        <f aca="false">A1219+1</f>
        <v>46027</v>
      </c>
      <c r="B1220" s="35" t="n">
        <f aca="false">EOMONTH(A1220+1,0)</f>
        <v>46053</v>
      </c>
      <c r="C1220" s="36" t="n">
        <f aca="false">IF(MOD(YEAR(A1220),4)=0,366,365)</f>
        <v>365</v>
      </c>
      <c r="D1220" s="37" t="n">
        <f aca="false">Inputs!$B$9-SUMIFS(Cash_Events!$G$6:$G$20,Cash_Events!$C$6:$C$20,"rAGMF",Cash_Events!$B$6:$B$20,"&lt;="&amp;A1220)</f>
        <v>735000</v>
      </c>
      <c r="E1220" s="38" t="n">
        <f aca="false">VLOOKUP(A1220,Inputs!$A$40:$B$48,2,TRUE())</f>
        <v>0.0396676</v>
      </c>
      <c r="F1220" s="38" t="n">
        <f aca="false">E1220+Inputs!$B$10</f>
        <v>0.1071676</v>
      </c>
      <c r="G1220" s="37" t="n">
        <f aca="false">D1220*F1220/C1220</f>
        <v>215.803249315068</v>
      </c>
      <c r="H1220" s="37" t="n">
        <f aca="false">IF(AND(A1220&gt;=Inputs!$B$13,OR(A1220&lt;Inputs!$B$19,Inputs!$B$20=1)),D1220*Inputs!$B$11/C1220,0)</f>
        <v>40.2739726027397</v>
      </c>
      <c r="I1220" s="37" t="n">
        <f aca="false">Inputs!$C$9-SUMIFS(Cash_Events!$G$6:$G$20,Cash_Events!$C$6:$C$20,"FHL",Cash_Events!$B$6:$B$20,"&lt;="&amp;A1220)</f>
        <v>735000</v>
      </c>
      <c r="J1220" s="38" t="n">
        <f aca="false">VLOOKUP(A1220,Inputs!$F$40:$G$48,2,TRUE())</f>
        <v>0.0386433</v>
      </c>
      <c r="K1220" s="38" t="n">
        <f aca="false">J1220+Inputs!$C$10</f>
        <v>0.1061433</v>
      </c>
      <c r="L1220" s="37" t="n">
        <f aca="false">I1220*K1220/C1220</f>
        <v>213.740617808219</v>
      </c>
      <c r="M1220" s="37" t="n">
        <f aca="false">IF(AND(A1220&gt;=Inputs!$C$13,OR(A1220&lt;Inputs!$B$19,Inputs!$B$20=1)),I1220*Inputs!$C$11/C1220,0)</f>
        <v>40.2739726027397</v>
      </c>
    </row>
    <row r="1221" customFormat="false" ht="15" hidden="false" customHeight="false" outlineLevel="0" collapsed="false">
      <c r="A1221" s="35" t="n">
        <f aca="false">A1220+1</f>
        <v>46028</v>
      </c>
      <c r="B1221" s="35" t="n">
        <f aca="false">EOMONTH(A1221+1,0)</f>
        <v>46053</v>
      </c>
      <c r="C1221" s="36" t="n">
        <f aca="false">IF(MOD(YEAR(A1221),4)=0,366,365)</f>
        <v>365</v>
      </c>
      <c r="D1221" s="37" t="n">
        <f aca="false">Inputs!$B$9-SUMIFS(Cash_Events!$G$6:$G$20,Cash_Events!$C$6:$C$20,"rAGMF",Cash_Events!$B$6:$B$20,"&lt;="&amp;A1221)</f>
        <v>735000</v>
      </c>
      <c r="E1221" s="38" t="n">
        <f aca="false">VLOOKUP(A1221,Inputs!$A$40:$B$48,2,TRUE())</f>
        <v>0.0396676</v>
      </c>
      <c r="F1221" s="38" t="n">
        <f aca="false">E1221+Inputs!$B$10</f>
        <v>0.1071676</v>
      </c>
      <c r="G1221" s="37" t="n">
        <f aca="false">D1221*F1221/C1221</f>
        <v>215.803249315068</v>
      </c>
      <c r="H1221" s="37" t="n">
        <f aca="false">IF(AND(A1221&gt;=Inputs!$B$13,OR(A1221&lt;Inputs!$B$19,Inputs!$B$20=1)),D1221*Inputs!$B$11/C1221,0)</f>
        <v>40.2739726027397</v>
      </c>
      <c r="I1221" s="37" t="n">
        <f aca="false">Inputs!$C$9-SUMIFS(Cash_Events!$G$6:$G$20,Cash_Events!$C$6:$C$20,"FHL",Cash_Events!$B$6:$B$20,"&lt;="&amp;A1221)</f>
        <v>735000</v>
      </c>
      <c r="J1221" s="38" t="n">
        <f aca="false">VLOOKUP(A1221,Inputs!$F$40:$G$48,2,TRUE())</f>
        <v>0.0386433</v>
      </c>
      <c r="K1221" s="38" t="n">
        <f aca="false">J1221+Inputs!$C$10</f>
        <v>0.1061433</v>
      </c>
      <c r="L1221" s="37" t="n">
        <f aca="false">I1221*K1221/C1221</f>
        <v>213.740617808219</v>
      </c>
      <c r="M1221" s="37" t="n">
        <f aca="false">IF(AND(A1221&gt;=Inputs!$C$13,OR(A1221&lt;Inputs!$B$19,Inputs!$B$20=1)),I1221*Inputs!$C$11/C1221,0)</f>
        <v>40.2739726027397</v>
      </c>
    </row>
    <row r="1222" customFormat="false" ht="15" hidden="false" customHeight="false" outlineLevel="0" collapsed="false">
      <c r="A1222" s="35" t="n">
        <f aca="false">A1221+1</f>
        <v>46029</v>
      </c>
      <c r="B1222" s="35" t="n">
        <f aca="false">EOMONTH(A1222+1,0)</f>
        <v>46053</v>
      </c>
      <c r="C1222" s="36" t="n">
        <f aca="false">IF(MOD(YEAR(A1222),4)=0,366,365)</f>
        <v>365</v>
      </c>
      <c r="D1222" s="37" t="n">
        <f aca="false">Inputs!$B$9-SUMIFS(Cash_Events!$G$6:$G$20,Cash_Events!$C$6:$C$20,"rAGMF",Cash_Events!$B$6:$B$20,"&lt;="&amp;A1222)</f>
        <v>735000</v>
      </c>
      <c r="E1222" s="38" t="n">
        <f aca="false">VLOOKUP(A1222,Inputs!$A$40:$B$48,2,TRUE())</f>
        <v>0.0396676</v>
      </c>
      <c r="F1222" s="38" t="n">
        <f aca="false">E1222+Inputs!$B$10</f>
        <v>0.1071676</v>
      </c>
      <c r="G1222" s="37" t="n">
        <f aca="false">D1222*F1222/C1222</f>
        <v>215.803249315068</v>
      </c>
      <c r="H1222" s="37" t="n">
        <f aca="false">IF(AND(A1222&gt;=Inputs!$B$13,OR(A1222&lt;Inputs!$B$19,Inputs!$B$20=1)),D1222*Inputs!$B$11/C1222,0)</f>
        <v>40.2739726027397</v>
      </c>
      <c r="I1222" s="37" t="n">
        <f aca="false">Inputs!$C$9-SUMIFS(Cash_Events!$G$6:$G$20,Cash_Events!$C$6:$C$20,"FHL",Cash_Events!$B$6:$B$20,"&lt;="&amp;A1222)</f>
        <v>735000</v>
      </c>
      <c r="J1222" s="38" t="n">
        <f aca="false">VLOOKUP(A1222,Inputs!$F$40:$G$48,2,TRUE())</f>
        <v>0.0386433</v>
      </c>
      <c r="K1222" s="38" t="n">
        <f aca="false">J1222+Inputs!$C$10</f>
        <v>0.1061433</v>
      </c>
      <c r="L1222" s="37" t="n">
        <f aca="false">I1222*K1222/C1222</f>
        <v>213.740617808219</v>
      </c>
      <c r="M1222" s="37" t="n">
        <f aca="false">IF(AND(A1222&gt;=Inputs!$C$13,OR(A1222&lt;Inputs!$B$19,Inputs!$B$20=1)),I1222*Inputs!$C$11/C1222,0)</f>
        <v>40.2739726027397</v>
      </c>
    </row>
    <row r="1223" customFormat="false" ht="15" hidden="false" customHeight="false" outlineLevel="0" collapsed="false">
      <c r="A1223" s="35" t="n">
        <f aca="false">A1222+1</f>
        <v>46030</v>
      </c>
      <c r="B1223" s="35" t="n">
        <f aca="false">EOMONTH(A1223+1,0)</f>
        <v>46053</v>
      </c>
      <c r="C1223" s="36" t="n">
        <f aca="false">IF(MOD(YEAR(A1223),4)=0,366,365)</f>
        <v>365</v>
      </c>
      <c r="D1223" s="37" t="n">
        <f aca="false">Inputs!$B$9-SUMIFS(Cash_Events!$G$6:$G$20,Cash_Events!$C$6:$C$20,"rAGMF",Cash_Events!$B$6:$B$20,"&lt;="&amp;A1223)</f>
        <v>735000</v>
      </c>
      <c r="E1223" s="38" t="n">
        <f aca="false">VLOOKUP(A1223,Inputs!$A$40:$B$48,2,TRUE())</f>
        <v>0.0396676</v>
      </c>
      <c r="F1223" s="38" t="n">
        <f aca="false">E1223+Inputs!$B$10</f>
        <v>0.1071676</v>
      </c>
      <c r="G1223" s="37" t="n">
        <f aca="false">D1223*F1223/C1223</f>
        <v>215.803249315068</v>
      </c>
      <c r="H1223" s="37" t="n">
        <f aca="false">IF(AND(A1223&gt;=Inputs!$B$13,OR(A1223&lt;Inputs!$B$19,Inputs!$B$20=1)),D1223*Inputs!$B$11/C1223,0)</f>
        <v>40.2739726027397</v>
      </c>
      <c r="I1223" s="37" t="n">
        <f aca="false">Inputs!$C$9-SUMIFS(Cash_Events!$G$6:$G$20,Cash_Events!$C$6:$C$20,"FHL",Cash_Events!$B$6:$B$20,"&lt;="&amp;A1223)</f>
        <v>735000</v>
      </c>
      <c r="J1223" s="38" t="n">
        <f aca="false">VLOOKUP(A1223,Inputs!$F$40:$G$48,2,TRUE())</f>
        <v>0.0386433</v>
      </c>
      <c r="K1223" s="38" t="n">
        <f aca="false">J1223+Inputs!$C$10</f>
        <v>0.1061433</v>
      </c>
      <c r="L1223" s="37" t="n">
        <f aca="false">I1223*K1223/C1223</f>
        <v>213.740617808219</v>
      </c>
      <c r="M1223" s="37" t="n">
        <f aca="false">IF(AND(A1223&gt;=Inputs!$C$13,OR(A1223&lt;Inputs!$B$19,Inputs!$B$20=1)),I1223*Inputs!$C$11/C1223,0)</f>
        <v>40.2739726027397</v>
      </c>
    </row>
    <row r="1224" customFormat="false" ht="15" hidden="false" customHeight="false" outlineLevel="0" collapsed="false">
      <c r="A1224" s="35" t="n">
        <f aca="false">A1223+1</f>
        <v>46031</v>
      </c>
      <c r="B1224" s="35" t="n">
        <f aca="false">EOMONTH(A1224+1,0)</f>
        <v>46053</v>
      </c>
      <c r="C1224" s="36" t="n">
        <f aca="false">IF(MOD(YEAR(A1224),4)=0,366,365)</f>
        <v>365</v>
      </c>
      <c r="D1224" s="37" t="n">
        <f aca="false">Inputs!$B$9-SUMIFS(Cash_Events!$G$6:$G$20,Cash_Events!$C$6:$C$20,"rAGMF",Cash_Events!$B$6:$B$20,"&lt;="&amp;A1224)</f>
        <v>735000</v>
      </c>
      <c r="E1224" s="38" t="n">
        <f aca="false">VLOOKUP(A1224,Inputs!$A$40:$B$48,2,TRUE())</f>
        <v>0.0396676</v>
      </c>
      <c r="F1224" s="38" t="n">
        <f aca="false">E1224+Inputs!$B$10</f>
        <v>0.1071676</v>
      </c>
      <c r="G1224" s="37" t="n">
        <f aca="false">D1224*F1224/C1224</f>
        <v>215.803249315068</v>
      </c>
      <c r="H1224" s="37" t="n">
        <f aca="false">IF(AND(A1224&gt;=Inputs!$B$13,OR(A1224&lt;Inputs!$B$19,Inputs!$B$20=1)),D1224*Inputs!$B$11/C1224,0)</f>
        <v>40.2739726027397</v>
      </c>
      <c r="I1224" s="37" t="n">
        <f aca="false">Inputs!$C$9-SUMIFS(Cash_Events!$G$6:$G$20,Cash_Events!$C$6:$C$20,"FHL",Cash_Events!$B$6:$B$20,"&lt;="&amp;A1224)</f>
        <v>735000</v>
      </c>
      <c r="J1224" s="38" t="n">
        <f aca="false">VLOOKUP(A1224,Inputs!$F$40:$G$48,2,TRUE())</f>
        <v>0.0386433</v>
      </c>
      <c r="K1224" s="38" t="n">
        <f aca="false">J1224+Inputs!$C$10</f>
        <v>0.1061433</v>
      </c>
      <c r="L1224" s="37" t="n">
        <f aca="false">I1224*K1224/C1224</f>
        <v>213.740617808219</v>
      </c>
      <c r="M1224" s="37" t="n">
        <f aca="false">IF(AND(A1224&gt;=Inputs!$C$13,OR(A1224&lt;Inputs!$B$19,Inputs!$B$20=1)),I1224*Inputs!$C$11/C1224,0)</f>
        <v>40.2739726027397</v>
      </c>
    </row>
    <row r="1225" customFormat="false" ht="15" hidden="false" customHeight="false" outlineLevel="0" collapsed="false">
      <c r="A1225" s="35" t="n">
        <f aca="false">A1224+1</f>
        <v>46032</v>
      </c>
      <c r="B1225" s="35" t="n">
        <f aca="false">EOMONTH(A1225+1,0)</f>
        <v>46053</v>
      </c>
      <c r="C1225" s="36" t="n">
        <f aca="false">IF(MOD(YEAR(A1225),4)=0,366,365)</f>
        <v>365</v>
      </c>
      <c r="D1225" s="37" t="n">
        <f aca="false">Inputs!$B$9-SUMIFS(Cash_Events!$G$6:$G$20,Cash_Events!$C$6:$C$20,"rAGMF",Cash_Events!$B$6:$B$20,"&lt;="&amp;A1225)</f>
        <v>735000</v>
      </c>
      <c r="E1225" s="38" t="n">
        <f aca="false">VLOOKUP(A1225,Inputs!$A$40:$B$48,2,TRUE())</f>
        <v>0.0396676</v>
      </c>
      <c r="F1225" s="38" t="n">
        <f aca="false">E1225+Inputs!$B$10</f>
        <v>0.1071676</v>
      </c>
      <c r="G1225" s="37" t="n">
        <f aca="false">D1225*F1225/C1225</f>
        <v>215.803249315068</v>
      </c>
      <c r="H1225" s="37" t="n">
        <f aca="false">IF(AND(A1225&gt;=Inputs!$B$13,OR(A1225&lt;Inputs!$B$19,Inputs!$B$20=1)),D1225*Inputs!$B$11/C1225,0)</f>
        <v>40.2739726027397</v>
      </c>
      <c r="I1225" s="37" t="n">
        <f aca="false">Inputs!$C$9-SUMIFS(Cash_Events!$G$6:$G$20,Cash_Events!$C$6:$C$20,"FHL",Cash_Events!$B$6:$B$20,"&lt;="&amp;A1225)</f>
        <v>735000</v>
      </c>
      <c r="J1225" s="38" t="n">
        <f aca="false">VLOOKUP(A1225,Inputs!$F$40:$G$48,2,TRUE())</f>
        <v>0.0386433</v>
      </c>
      <c r="K1225" s="38" t="n">
        <f aca="false">J1225+Inputs!$C$10</f>
        <v>0.1061433</v>
      </c>
      <c r="L1225" s="37" t="n">
        <f aca="false">I1225*K1225/C1225</f>
        <v>213.740617808219</v>
      </c>
      <c r="M1225" s="37" t="n">
        <f aca="false">IF(AND(A1225&gt;=Inputs!$C$13,OR(A1225&lt;Inputs!$B$19,Inputs!$B$20=1)),I1225*Inputs!$C$11/C1225,0)</f>
        <v>40.2739726027397</v>
      </c>
    </row>
    <row r="1226" customFormat="false" ht="15" hidden="false" customHeight="false" outlineLevel="0" collapsed="false">
      <c r="A1226" s="35" t="n">
        <f aca="false">A1225+1</f>
        <v>46033</v>
      </c>
      <c r="B1226" s="35" t="n">
        <f aca="false">EOMONTH(A1226+1,0)</f>
        <v>46053</v>
      </c>
      <c r="C1226" s="36" t="n">
        <f aca="false">IF(MOD(YEAR(A1226),4)=0,366,365)</f>
        <v>365</v>
      </c>
      <c r="D1226" s="37" t="n">
        <f aca="false">Inputs!$B$9-SUMIFS(Cash_Events!$G$6:$G$20,Cash_Events!$C$6:$C$20,"rAGMF",Cash_Events!$B$6:$B$20,"&lt;="&amp;A1226)</f>
        <v>735000</v>
      </c>
      <c r="E1226" s="38" t="n">
        <f aca="false">VLOOKUP(A1226,Inputs!$A$40:$B$48,2,TRUE())</f>
        <v>0.0396676</v>
      </c>
      <c r="F1226" s="38" t="n">
        <f aca="false">E1226+Inputs!$B$10</f>
        <v>0.1071676</v>
      </c>
      <c r="G1226" s="37" t="n">
        <f aca="false">D1226*F1226/C1226</f>
        <v>215.803249315068</v>
      </c>
      <c r="H1226" s="37" t="n">
        <f aca="false">IF(AND(A1226&gt;=Inputs!$B$13,OR(A1226&lt;Inputs!$B$19,Inputs!$B$20=1)),D1226*Inputs!$B$11/C1226,0)</f>
        <v>40.2739726027397</v>
      </c>
      <c r="I1226" s="37" t="n">
        <f aca="false">Inputs!$C$9-SUMIFS(Cash_Events!$G$6:$G$20,Cash_Events!$C$6:$C$20,"FHL",Cash_Events!$B$6:$B$20,"&lt;="&amp;A1226)</f>
        <v>735000</v>
      </c>
      <c r="J1226" s="38" t="n">
        <f aca="false">VLOOKUP(A1226,Inputs!$F$40:$G$48,2,TRUE())</f>
        <v>0.0386433</v>
      </c>
      <c r="K1226" s="38" t="n">
        <f aca="false">J1226+Inputs!$C$10</f>
        <v>0.1061433</v>
      </c>
      <c r="L1226" s="37" t="n">
        <f aca="false">I1226*K1226/C1226</f>
        <v>213.740617808219</v>
      </c>
      <c r="M1226" s="37" t="n">
        <f aca="false">IF(AND(A1226&gt;=Inputs!$C$13,OR(A1226&lt;Inputs!$B$19,Inputs!$B$20=1)),I1226*Inputs!$C$11/C1226,0)</f>
        <v>40.2739726027397</v>
      </c>
    </row>
    <row r="1227" customFormat="false" ht="15" hidden="false" customHeight="false" outlineLevel="0" collapsed="false">
      <c r="A1227" s="35" t="n">
        <f aca="false">A1226+1</f>
        <v>46034</v>
      </c>
      <c r="B1227" s="35" t="n">
        <f aca="false">EOMONTH(A1227+1,0)</f>
        <v>46053</v>
      </c>
      <c r="C1227" s="36" t="n">
        <f aca="false">IF(MOD(YEAR(A1227),4)=0,366,365)</f>
        <v>365</v>
      </c>
      <c r="D1227" s="37" t="n">
        <f aca="false">Inputs!$B$9-SUMIFS(Cash_Events!$G$6:$G$20,Cash_Events!$C$6:$C$20,"rAGMF",Cash_Events!$B$6:$B$20,"&lt;="&amp;A1227)</f>
        <v>735000</v>
      </c>
      <c r="E1227" s="38" t="n">
        <f aca="false">VLOOKUP(A1227,Inputs!$A$40:$B$48,2,TRUE())</f>
        <v>0.0396676</v>
      </c>
      <c r="F1227" s="38" t="n">
        <f aca="false">E1227+Inputs!$B$10</f>
        <v>0.1071676</v>
      </c>
      <c r="G1227" s="37" t="n">
        <f aca="false">D1227*F1227/C1227</f>
        <v>215.803249315068</v>
      </c>
      <c r="H1227" s="37" t="n">
        <f aca="false">IF(AND(A1227&gt;=Inputs!$B$13,OR(A1227&lt;Inputs!$B$19,Inputs!$B$20=1)),D1227*Inputs!$B$11/C1227,0)</f>
        <v>40.2739726027397</v>
      </c>
      <c r="I1227" s="37" t="n">
        <f aca="false">Inputs!$C$9-SUMIFS(Cash_Events!$G$6:$G$20,Cash_Events!$C$6:$C$20,"FHL",Cash_Events!$B$6:$B$20,"&lt;="&amp;A1227)</f>
        <v>735000</v>
      </c>
      <c r="J1227" s="38" t="n">
        <f aca="false">VLOOKUP(A1227,Inputs!$F$40:$G$48,2,TRUE())</f>
        <v>0.0386433</v>
      </c>
      <c r="K1227" s="38" t="n">
        <f aca="false">J1227+Inputs!$C$10</f>
        <v>0.1061433</v>
      </c>
      <c r="L1227" s="37" t="n">
        <f aca="false">I1227*K1227/C1227</f>
        <v>213.740617808219</v>
      </c>
      <c r="M1227" s="37" t="n">
        <f aca="false">IF(AND(A1227&gt;=Inputs!$C$13,OR(A1227&lt;Inputs!$B$19,Inputs!$B$20=1)),I1227*Inputs!$C$11/C1227,0)</f>
        <v>40.2739726027397</v>
      </c>
    </row>
    <row r="1228" customFormat="false" ht="15" hidden="false" customHeight="false" outlineLevel="0" collapsed="false">
      <c r="A1228" s="35" t="n">
        <f aca="false">A1227+1</f>
        <v>46035</v>
      </c>
      <c r="B1228" s="35" t="n">
        <f aca="false">EOMONTH(A1228+1,0)</f>
        <v>46053</v>
      </c>
      <c r="C1228" s="36" t="n">
        <f aca="false">IF(MOD(YEAR(A1228),4)=0,366,365)</f>
        <v>365</v>
      </c>
      <c r="D1228" s="37" t="n">
        <f aca="false">Inputs!$B$9-SUMIFS(Cash_Events!$G$6:$G$20,Cash_Events!$C$6:$C$20,"rAGMF",Cash_Events!$B$6:$B$20,"&lt;="&amp;A1228)</f>
        <v>735000</v>
      </c>
      <c r="E1228" s="38" t="n">
        <f aca="false">VLOOKUP(A1228,Inputs!$A$40:$B$48,2,TRUE())</f>
        <v>0.0396676</v>
      </c>
      <c r="F1228" s="38" t="n">
        <f aca="false">E1228+Inputs!$B$10</f>
        <v>0.1071676</v>
      </c>
      <c r="G1228" s="37" t="n">
        <f aca="false">D1228*F1228/C1228</f>
        <v>215.803249315068</v>
      </c>
      <c r="H1228" s="37" t="n">
        <f aca="false">IF(AND(A1228&gt;=Inputs!$B$13,OR(A1228&lt;Inputs!$B$19,Inputs!$B$20=1)),D1228*Inputs!$B$11/C1228,0)</f>
        <v>40.2739726027397</v>
      </c>
      <c r="I1228" s="37" t="n">
        <f aca="false">Inputs!$C$9-SUMIFS(Cash_Events!$G$6:$G$20,Cash_Events!$C$6:$C$20,"FHL",Cash_Events!$B$6:$B$20,"&lt;="&amp;A1228)</f>
        <v>735000</v>
      </c>
      <c r="J1228" s="38" t="n">
        <f aca="false">VLOOKUP(A1228,Inputs!$F$40:$G$48,2,TRUE())</f>
        <v>0.0386433</v>
      </c>
      <c r="K1228" s="38" t="n">
        <f aca="false">J1228+Inputs!$C$10</f>
        <v>0.1061433</v>
      </c>
      <c r="L1228" s="37" t="n">
        <f aca="false">I1228*K1228/C1228</f>
        <v>213.740617808219</v>
      </c>
      <c r="M1228" s="37" t="n">
        <f aca="false">IF(AND(A1228&gt;=Inputs!$C$13,OR(A1228&lt;Inputs!$B$19,Inputs!$B$20=1)),I1228*Inputs!$C$11/C1228,0)</f>
        <v>40.2739726027397</v>
      </c>
    </row>
    <row r="1229" customFormat="false" ht="15" hidden="false" customHeight="false" outlineLevel="0" collapsed="false">
      <c r="A1229" s="35" t="n">
        <f aca="false">A1228+1</f>
        <v>46036</v>
      </c>
      <c r="B1229" s="35" t="n">
        <f aca="false">EOMONTH(A1229+1,0)</f>
        <v>46053</v>
      </c>
      <c r="C1229" s="36" t="n">
        <f aca="false">IF(MOD(YEAR(A1229),4)=0,366,365)</f>
        <v>365</v>
      </c>
      <c r="D1229" s="37" t="n">
        <f aca="false">Inputs!$B$9-SUMIFS(Cash_Events!$G$6:$G$20,Cash_Events!$C$6:$C$20,"rAGMF",Cash_Events!$B$6:$B$20,"&lt;="&amp;A1229)</f>
        <v>735000</v>
      </c>
      <c r="E1229" s="38" t="n">
        <f aca="false">VLOOKUP(A1229,Inputs!$A$40:$B$48,2,TRUE())</f>
        <v>0.0396676</v>
      </c>
      <c r="F1229" s="38" t="n">
        <f aca="false">E1229+Inputs!$B$10</f>
        <v>0.1071676</v>
      </c>
      <c r="G1229" s="37" t="n">
        <f aca="false">D1229*F1229/C1229</f>
        <v>215.803249315068</v>
      </c>
      <c r="H1229" s="37" t="n">
        <f aca="false">IF(AND(A1229&gt;=Inputs!$B$13,OR(A1229&lt;Inputs!$B$19,Inputs!$B$20=1)),D1229*Inputs!$B$11/C1229,0)</f>
        <v>40.2739726027397</v>
      </c>
      <c r="I1229" s="37" t="n">
        <f aca="false">Inputs!$C$9-SUMIFS(Cash_Events!$G$6:$G$20,Cash_Events!$C$6:$C$20,"FHL",Cash_Events!$B$6:$B$20,"&lt;="&amp;A1229)</f>
        <v>735000</v>
      </c>
      <c r="J1229" s="38" t="n">
        <f aca="false">VLOOKUP(A1229,Inputs!$F$40:$G$48,2,TRUE())</f>
        <v>0.0386433</v>
      </c>
      <c r="K1229" s="38" t="n">
        <f aca="false">J1229+Inputs!$C$10</f>
        <v>0.1061433</v>
      </c>
      <c r="L1229" s="37" t="n">
        <f aca="false">I1229*K1229/C1229</f>
        <v>213.740617808219</v>
      </c>
      <c r="M1229" s="37" t="n">
        <f aca="false">IF(AND(A1229&gt;=Inputs!$C$13,OR(A1229&lt;Inputs!$B$19,Inputs!$B$20=1)),I1229*Inputs!$C$11/C1229,0)</f>
        <v>40.2739726027397</v>
      </c>
    </row>
    <row r="1230" customFormat="false" ht="15" hidden="false" customHeight="false" outlineLevel="0" collapsed="false">
      <c r="A1230" s="35" t="n">
        <f aca="false">A1229+1</f>
        <v>46037</v>
      </c>
      <c r="B1230" s="35" t="n">
        <f aca="false">EOMONTH(A1230+1,0)</f>
        <v>46053</v>
      </c>
      <c r="C1230" s="36" t="n">
        <f aca="false">IF(MOD(YEAR(A1230),4)=0,366,365)</f>
        <v>365</v>
      </c>
      <c r="D1230" s="37" t="n">
        <f aca="false">Inputs!$B$9-SUMIFS(Cash_Events!$G$6:$G$20,Cash_Events!$C$6:$C$20,"rAGMF",Cash_Events!$B$6:$B$20,"&lt;="&amp;A1230)</f>
        <v>735000</v>
      </c>
      <c r="E1230" s="38" t="n">
        <f aca="false">VLOOKUP(A1230,Inputs!$A$40:$B$48,2,TRUE())</f>
        <v>0.0396676</v>
      </c>
      <c r="F1230" s="38" t="n">
        <f aca="false">E1230+Inputs!$B$10</f>
        <v>0.1071676</v>
      </c>
      <c r="G1230" s="37" t="n">
        <f aca="false">D1230*F1230/C1230</f>
        <v>215.803249315068</v>
      </c>
      <c r="H1230" s="37" t="n">
        <f aca="false">IF(AND(A1230&gt;=Inputs!$B$13,OR(A1230&lt;Inputs!$B$19,Inputs!$B$20=1)),D1230*Inputs!$B$11/C1230,0)</f>
        <v>40.2739726027397</v>
      </c>
      <c r="I1230" s="37" t="n">
        <f aca="false">Inputs!$C$9-SUMIFS(Cash_Events!$G$6:$G$20,Cash_Events!$C$6:$C$20,"FHL",Cash_Events!$B$6:$B$20,"&lt;="&amp;A1230)</f>
        <v>735000</v>
      </c>
      <c r="J1230" s="38" t="n">
        <f aca="false">VLOOKUP(A1230,Inputs!$F$40:$G$48,2,TRUE())</f>
        <v>0.0386433</v>
      </c>
      <c r="K1230" s="38" t="n">
        <f aca="false">J1230+Inputs!$C$10</f>
        <v>0.1061433</v>
      </c>
      <c r="L1230" s="37" t="n">
        <f aca="false">I1230*K1230/C1230</f>
        <v>213.740617808219</v>
      </c>
      <c r="M1230" s="37" t="n">
        <f aca="false">IF(AND(A1230&gt;=Inputs!$C$13,OR(A1230&lt;Inputs!$B$19,Inputs!$B$20=1)),I1230*Inputs!$C$11/C1230,0)</f>
        <v>40.2739726027397</v>
      </c>
    </row>
    <row r="1231" customFormat="false" ht="15" hidden="false" customHeight="false" outlineLevel="0" collapsed="false">
      <c r="A1231" s="35" t="n">
        <f aca="false">A1230+1</f>
        <v>46038</v>
      </c>
      <c r="B1231" s="35" t="n">
        <f aca="false">EOMONTH(A1231+1,0)</f>
        <v>46053</v>
      </c>
      <c r="C1231" s="36" t="n">
        <f aca="false">IF(MOD(YEAR(A1231),4)=0,366,365)</f>
        <v>365</v>
      </c>
      <c r="D1231" s="37" t="n">
        <f aca="false">Inputs!$B$9-SUMIFS(Cash_Events!$G$6:$G$20,Cash_Events!$C$6:$C$20,"rAGMF",Cash_Events!$B$6:$B$20,"&lt;="&amp;A1231)</f>
        <v>735000</v>
      </c>
      <c r="E1231" s="38" t="n">
        <f aca="false">VLOOKUP(A1231,Inputs!$A$40:$B$48,2,TRUE())</f>
        <v>0.0396676</v>
      </c>
      <c r="F1231" s="38" t="n">
        <f aca="false">E1231+Inputs!$B$10</f>
        <v>0.1071676</v>
      </c>
      <c r="G1231" s="37" t="n">
        <f aca="false">D1231*F1231/C1231</f>
        <v>215.803249315068</v>
      </c>
      <c r="H1231" s="37" t="n">
        <f aca="false">IF(AND(A1231&gt;=Inputs!$B$13,OR(A1231&lt;Inputs!$B$19,Inputs!$B$20=1)),D1231*Inputs!$B$11/C1231,0)</f>
        <v>40.2739726027397</v>
      </c>
      <c r="I1231" s="37" t="n">
        <f aca="false">Inputs!$C$9-SUMIFS(Cash_Events!$G$6:$G$20,Cash_Events!$C$6:$C$20,"FHL",Cash_Events!$B$6:$B$20,"&lt;="&amp;A1231)</f>
        <v>735000</v>
      </c>
      <c r="J1231" s="38" t="n">
        <f aca="false">VLOOKUP(A1231,Inputs!$F$40:$G$48,2,TRUE())</f>
        <v>0.0386433</v>
      </c>
      <c r="K1231" s="38" t="n">
        <f aca="false">J1231+Inputs!$C$10</f>
        <v>0.1061433</v>
      </c>
      <c r="L1231" s="37" t="n">
        <f aca="false">I1231*K1231/C1231</f>
        <v>213.740617808219</v>
      </c>
      <c r="M1231" s="37" t="n">
        <f aca="false">IF(AND(A1231&gt;=Inputs!$C$13,OR(A1231&lt;Inputs!$B$19,Inputs!$B$20=1)),I1231*Inputs!$C$11/C1231,0)</f>
        <v>40.2739726027397</v>
      </c>
    </row>
    <row r="1232" customFormat="false" ht="15" hidden="false" customHeight="false" outlineLevel="0" collapsed="false">
      <c r="A1232" s="35" t="n">
        <f aca="false">A1231+1</f>
        <v>46039</v>
      </c>
      <c r="B1232" s="35" t="n">
        <f aca="false">EOMONTH(A1232+1,0)</f>
        <v>46053</v>
      </c>
      <c r="C1232" s="36" t="n">
        <f aca="false">IF(MOD(YEAR(A1232),4)=0,366,365)</f>
        <v>365</v>
      </c>
      <c r="D1232" s="37" t="n">
        <f aca="false">Inputs!$B$9-SUMIFS(Cash_Events!$G$6:$G$20,Cash_Events!$C$6:$C$20,"rAGMF",Cash_Events!$B$6:$B$20,"&lt;="&amp;A1232)</f>
        <v>735000</v>
      </c>
      <c r="E1232" s="38" t="n">
        <f aca="false">VLOOKUP(A1232,Inputs!$A$40:$B$48,2,TRUE())</f>
        <v>0.0396676</v>
      </c>
      <c r="F1232" s="38" t="n">
        <f aca="false">E1232+Inputs!$B$10</f>
        <v>0.1071676</v>
      </c>
      <c r="G1232" s="37" t="n">
        <f aca="false">D1232*F1232/C1232</f>
        <v>215.803249315068</v>
      </c>
      <c r="H1232" s="37" t="n">
        <f aca="false">IF(AND(A1232&gt;=Inputs!$B$13,OR(A1232&lt;Inputs!$B$19,Inputs!$B$20=1)),D1232*Inputs!$B$11/C1232,0)</f>
        <v>40.2739726027397</v>
      </c>
      <c r="I1232" s="37" t="n">
        <f aca="false">Inputs!$C$9-SUMIFS(Cash_Events!$G$6:$G$20,Cash_Events!$C$6:$C$20,"FHL",Cash_Events!$B$6:$B$20,"&lt;="&amp;A1232)</f>
        <v>735000</v>
      </c>
      <c r="J1232" s="38" t="n">
        <f aca="false">VLOOKUP(A1232,Inputs!$F$40:$G$48,2,TRUE())</f>
        <v>0.0386433</v>
      </c>
      <c r="K1232" s="38" t="n">
        <f aca="false">J1232+Inputs!$C$10</f>
        <v>0.1061433</v>
      </c>
      <c r="L1232" s="37" t="n">
        <f aca="false">I1232*K1232/C1232</f>
        <v>213.740617808219</v>
      </c>
      <c r="M1232" s="37" t="n">
        <f aca="false">IF(AND(A1232&gt;=Inputs!$C$13,OR(A1232&lt;Inputs!$B$19,Inputs!$B$20=1)),I1232*Inputs!$C$11/C1232,0)</f>
        <v>40.2739726027397</v>
      </c>
    </row>
    <row r="1233" customFormat="false" ht="15" hidden="false" customHeight="false" outlineLevel="0" collapsed="false">
      <c r="A1233" s="35" t="n">
        <f aca="false">A1232+1</f>
        <v>46040</v>
      </c>
      <c r="B1233" s="35" t="n">
        <f aca="false">EOMONTH(A1233+1,0)</f>
        <v>46053</v>
      </c>
      <c r="C1233" s="36" t="n">
        <f aca="false">IF(MOD(YEAR(A1233),4)=0,366,365)</f>
        <v>365</v>
      </c>
      <c r="D1233" s="37" t="n">
        <f aca="false">Inputs!$B$9-SUMIFS(Cash_Events!$G$6:$G$20,Cash_Events!$C$6:$C$20,"rAGMF",Cash_Events!$B$6:$B$20,"&lt;="&amp;A1233)</f>
        <v>735000</v>
      </c>
      <c r="E1233" s="38" t="n">
        <f aca="false">VLOOKUP(A1233,Inputs!$A$40:$B$48,2,TRUE())</f>
        <v>0.0396676</v>
      </c>
      <c r="F1233" s="38" t="n">
        <f aca="false">E1233+Inputs!$B$10</f>
        <v>0.1071676</v>
      </c>
      <c r="G1233" s="37" t="n">
        <f aca="false">D1233*F1233/C1233</f>
        <v>215.803249315068</v>
      </c>
      <c r="H1233" s="37" t="n">
        <f aca="false">IF(AND(A1233&gt;=Inputs!$B$13,OR(A1233&lt;Inputs!$B$19,Inputs!$B$20=1)),D1233*Inputs!$B$11/C1233,0)</f>
        <v>40.2739726027397</v>
      </c>
      <c r="I1233" s="37" t="n">
        <f aca="false">Inputs!$C$9-SUMIFS(Cash_Events!$G$6:$G$20,Cash_Events!$C$6:$C$20,"FHL",Cash_Events!$B$6:$B$20,"&lt;="&amp;A1233)</f>
        <v>735000</v>
      </c>
      <c r="J1233" s="38" t="n">
        <f aca="false">VLOOKUP(A1233,Inputs!$F$40:$G$48,2,TRUE())</f>
        <v>0.0386433</v>
      </c>
      <c r="K1233" s="38" t="n">
        <f aca="false">J1233+Inputs!$C$10</f>
        <v>0.1061433</v>
      </c>
      <c r="L1233" s="37" t="n">
        <f aca="false">I1233*K1233/C1233</f>
        <v>213.740617808219</v>
      </c>
      <c r="M1233" s="37" t="n">
        <f aca="false">IF(AND(A1233&gt;=Inputs!$C$13,OR(A1233&lt;Inputs!$B$19,Inputs!$B$20=1)),I1233*Inputs!$C$11/C1233,0)</f>
        <v>40.2739726027397</v>
      </c>
    </row>
    <row r="1234" customFormat="false" ht="15" hidden="false" customHeight="false" outlineLevel="0" collapsed="false">
      <c r="A1234" s="35" t="n">
        <f aca="false">A1233+1</f>
        <v>46041</v>
      </c>
      <c r="B1234" s="35" t="n">
        <f aca="false">EOMONTH(A1234+1,0)</f>
        <v>46053</v>
      </c>
      <c r="C1234" s="36" t="n">
        <f aca="false">IF(MOD(YEAR(A1234),4)=0,366,365)</f>
        <v>365</v>
      </c>
      <c r="D1234" s="37" t="n">
        <f aca="false">Inputs!$B$9-SUMIFS(Cash_Events!$G$6:$G$20,Cash_Events!$C$6:$C$20,"rAGMF",Cash_Events!$B$6:$B$20,"&lt;="&amp;A1234)</f>
        <v>735000</v>
      </c>
      <c r="E1234" s="38" t="n">
        <f aca="false">VLOOKUP(A1234,Inputs!$A$40:$B$48,2,TRUE())</f>
        <v>0.0396676</v>
      </c>
      <c r="F1234" s="38" t="n">
        <f aca="false">E1234+Inputs!$B$10</f>
        <v>0.1071676</v>
      </c>
      <c r="G1234" s="37" t="n">
        <f aca="false">D1234*F1234/C1234</f>
        <v>215.803249315068</v>
      </c>
      <c r="H1234" s="37" t="n">
        <f aca="false">IF(AND(A1234&gt;=Inputs!$B$13,OR(A1234&lt;Inputs!$B$19,Inputs!$B$20=1)),D1234*Inputs!$B$11/C1234,0)</f>
        <v>40.2739726027397</v>
      </c>
      <c r="I1234" s="37" t="n">
        <f aca="false">Inputs!$C$9-SUMIFS(Cash_Events!$G$6:$G$20,Cash_Events!$C$6:$C$20,"FHL",Cash_Events!$B$6:$B$20,"&lt;="&amp;A1234)</f>
        <v>735000</v>
      </c>
      <c r="J1234" s="38" t="n">
        <f aca="false">VLOOKUP(A1234,Inputs!$F$40:$G$48,2,TRUE())</f>
        <v>0.0386433</v>
      </c>
      <c r="K1234" s="38" t="n">
        <f aca="false">J1234+Inputs!$C$10</f>
        <v>0.1061433</v>
      </c>
      <c r="L1234" s="37" t="n">
        <f aca="false">I1234*K1234/C1234</f>
        <v>213.740617808219</v>
      </c>
      <c r="M1234" s="37" t="n">
        <f aca="false">IF(AND(A1234&gt;=Inputs!$C$13,OR(A1234&lt;Inputs!$B$19,Inputs!$B$20=1)),I1234*Inputs!$C$11/C1234,0)</f>
        <v>40.2739726027397</v>
      </c>
    </row>
    <row r="1235" customFormat="false" ht="15" hidden="false" customHeight="false" outlineLevel="0" collapsed="false">
      <c r="A1235" s="35" t="n">
        <f aca="false">A1234+1</f>
        <v>46042</v>
      </c>
      <c r="B1235" s="35" t="n">
        <f aca="false">EOMONTH(A1235+1,0)</f>
        <v>46053</v>
      </c>
      <c r="C1235" s="36" t="n">
        <f aca="false">IF(MOD(YEAR(A1235),4)=0,366,365)</f>
        <v>365</v>
      </c>
      <c r="D1235" s="37" t="n">
        <f aca="false">Inputs!$B$9-SUMIFS(Cash_Events!$G$6:$G$20,Cash_Events!$C$6:$C$20,"rAGMF",Cash_Events!$B$6:$B$20,"&lt;="&amp;A1235)</f>
        <v>735000</v>
      </c>
      <c r="E1235" s="38" t="n">
        <f aca="false">VLOOKUP(A1235,Inputs!$A$40:$B$48,2,TRUE())</f>
        <v>0.0396676</v>
      </c>
      <c r="F1235" s="38" t="n">
        <f aca="false">E1235+Inputs!$B$10</f>
        <v>0.1071676</v>
      </c>
      <c r="G1235" s="37" t="n">
        <f aca="false">D1235*F1235/C1235</f>
        <v>215.803249315068</v>
      </c>
      <c r="H1235" s="37" t="n">
        <f aca="false">IF(AND(A1235&gt;=Inputs!$B$13,OR(A1235&lt;Inputs!$B$19,Inputs!$B$20=1)),D1235*Inputs!$B$11/C1235,0)</f>
        <v>40.2739726027397</v>
      </c>
      <c r="I1235" s="37" t="n">
        <f aca="false">Inputs!$C$9-SUMIFS(Cash_Events!$G$6:$G$20,Cash_Events!$C$6:$C$20,"FHL",Cash_Events!$B$6:$B$20,"&lt;="&amp;A1235)</f>
        <v>735000</v>
      </c>
      <c r="J1235" s="38" t="n">
        <f aca="false">VLOOKUP(A1235,Inputs!$F$40:$G$48,2,TRUE())</f>
        <v>0.0386433</v>
      </c>
      <c r="K1235" s="38" t="n">
        <f aca="false">J1235+Inputs!$C$10</f>
        <v>0.1061433</v>
      </c>
      <c r="L1235" s="37" t="n">
        <f aca="false">I1235*K1235/C1235</f>
        <v>213.740617808219</v>
      </c>
      <c r="M1235" s="37" t="n">
        <f aca="false">IF(AND(A1235&gt;=Inputs!$C$13,OR(A1235&lt;Inputs!$B$19,Inputs!$B$20=1)),I1235*Inputs!$C$11/C1235,0)</f>
        <v>40.2739726027397</v>
      </c>
    </row>
    <row r="1236" customFormat="false" ht="15" hidden="false" customHeight="false" outlineLevel="0" collapsed="false">
      <c r="A1236" s="35" t="n">
        <f aca="false">A1235+1</f>
        <v>46043</v>
      </c>
      <c r="B1236" s="35" t="n">
        <f aca="false">EOMONTH(A1236+1,0)</f>
        <v>46053</v>
      </c>
      <c r="C1236" s="36" t="n">
        <f aca="false">IF(MOD(YEAR(A1236),4)=0,366,365)</f>
        <v>365</v>
      </c>
      <c r="D1236" s="37" t="n">
        <f aca="false">Inputs!$B$9-SUMIFS(Cash_Events!$G$6:$G$20,Cash_Events!$C$6:$C$20,"rAGMF",Cash_Events!$B$6:$B$20,"&lt;="&amp;A1236)</f>
        <v>735000</v>
      </c>
      <c r="E1236" s="38" t="n">
        <f aca="false">VLOOKUP(A1236,Inputs!$A$40:$B$48,2,TRUE())</f>
        <v>0.0396676</v>
      </c>
      <c r="F1236" s="38" t="n">
        <f aca="false">E1236+Inputs!$B$10</f>
        <v>0.1071676</v>
      </c>
      <c r="G1236" s="37" t="n">
        <f aca="false">D1236*F1236/C1236</f>
        <v>215.803249315068</v>
      </c>
      <c r="H1236" s="37" t="n">
        <f aca="false">IF(AND(A1236&gt;=Inputs!$B$13,OR(A1236&lt;Inputs!$B$19,Inputs!$B$20=1)),D1236*Inputs!$B$11/C1236,0)</f>
        <v>40.2739726027397</v>
      </c>
      <c r="I1236" s="37" t="n">
        <f aca="false">Inputs!$C$9-SUMIFS(Cash_Events!$G$6:$G$20,Cash_Events!$C$6:$C$20,"FHL",Cash_Events!$B$6:$B$20,"&lt;="&amp;A1236)</f>
        <v>735000</v>
      </c>
      <c r="J1236" s="38" t="n">
        <f aca="false">VLOOKUP(A1236,Inputs!$F$40:$G$48,2,TRUE())</f>
        <v>0.0386433</v>
      </c>
      <c r="K1236" s="38" t="n">
        <f aca="false">J1236+Inputs!$C$10</f>
        <v>0.1061433</v>
      </c>
      <c r="L1236" s="37" t="n">
        <f aca="false">I1236*K1236/C1236</f>
        <v>213.740617808219</v>
      </c>
      <c r="M1236" s="37" t="n">
        <f aca="false">IF(AND(A1236&gt;=Inputs!$C$13,OR(A1236&lt;Inputs!$B$19,Inputs!$B$20=1)),I1236*Inputs!$C$11/C1236,0)</f>
        <v>40.2739726027397</v>
      </c>
    </row>
    <row r="1237" customFormat="false" ht="15" hidden="false" customHeight="false" outlineLevel="0" collapsed="false">
      <c r="A1237" s="35" t="n">
        <f aca="false">A1236+1</f>
        <v>46044</v>
      </c>
      <c r="B1237" s="35" t="n">
        <f aca="false">EOMONTH(A1237+1,0)</f>
        <v>46053</v>
      </c>
      <c r="C1237" s="36" t="n">
        <f aca="false">IF(MOD(YEAR(A1237),4)=0,366,365)</f>
        <v>365</v>
      </c>
      <c r="D1237" s="37" t="n">
        <f aca="false">Inputs!$B$9-SUMIFS(Cash_Events!$G$6:$G$20,Cash_Events!$C$6:$C$20,"rAGMF",Cash_Events!$B$6:$B$20,"&lt;="&amp;A1237)</f>
        <v>735000</v>
      </c>
      <c r="E1237" s="38" t="n">
        <f aca="false">VLOOKUP(A1237,Inputs!$A$40:$B$48,2,TRUE())</f>
        <v>0.0396676</v>
      </c>
      <c r="F1237" s="38" t="n">
        <f aca="false">E1237+Inputs!$B$10</f>
        <v>0.1071676</v>
      </c>
      <c r="G1237" s="37" t="n">
        <f aca="false">D1237*F1237/C1237</f>
        <v>215.803249315068</v>
      </c>
      <c r="H1237" s="37" t="n">
        <f aca="false">IF(AND(A1237&gt;=Inputs!$B$13,OR(A1237&lt;Inputs!$B$19,Inputs!$B$20=1)),D1237*Inputs!$B$11/C1237,0)</f>
        <v>40.2739726027397</v>
      </c>
      <c r="I1237" s="37" t="n">
        <f aca="false">Inputs!$C$9-SUMIFS(Cash_Events!$G$6:$G$20,Cash_Events!$C$6:$C$20,"FHL",Cash_Events!$B$6:$B$20,"&lt;="&amp;A1237)</f>
        <v>735000</v>
      </c>
      <c r="J1237" s="38" t="n">
        <f aca="false">VLOOKUP(A1237,Inputs!$F$40:$G$48,2,TRUE())</f>
        <v>0.0386433</v>
      </c>
      <c r="K1237" s="38" t="n">
        <f aca="false">J1237+Inputs!$C$10</f>
        <v>0.1061433</v>
      </c>
      <c r="L1237" s="37" t="n">
        <f aca="false">I1237*K1237/C1237</f>
        <v>213.740617808219</v>
      </c>
      <c r="M1237" s="37" t="n">
        <f aca="false">IF(AND(A1237&gt;=Inputs!$C$13,OR(A1237&lt;Inputs!$B$19,Inputs!$B$20=1)),I1237*Inputs!$C$11/C1237,0)</f>
        <v>40.2739726027397</v>
      </c>
    </row>
    <row r="1238" customFormat="false" ht="15" hidden="false" customHeight="false" outlineLevel="0" collapsed="false">
      <c r="A1238" s="35" t="n">
        <f aca="false">A1237+1</f>
        <v>46045</v>
      </c>
      <c r="B1238" s="35" t="n">
        <f aca="false">EOMONTH(A1238+1,0)</f>
        <v>46053</v>
      </c>
      <c r="C1238" s="36" t="n">
        <f aca="false">IF(MOD(YEAR(A1238),4)=0,366,365)</f>
        <v>365</v>
      </c>
      <c r="D1238" s="37" t="n">
        <f aca="false">Inputs!$B$9-SUMIFS(Cash_Events!$G$6:$G$20,Cash_Events!$C$6:$C$20,"rAGMF",Cash_Events!$B$6:$B$20,"&lt;="&amp;A1238)</f>
        <v>735000</v>
      </c>
      <c r="E1238" s="38" t="n">
        <f aca="false">VLOOKUP(A1238,Inputs!$A$40:$B$48,2,TRUE())</f>
        <v>0.0396676</v>
      </c>
      <c r="F1238" s="38" t="n">
        <f aca="false">E1238+Inputs!$B$10</f>
        <v>0.1071676</v>
      </c>
      <c r="G1238" s="37" t="n">
        <f aca="false">D1238*F1238/C1238</f>
        <v>215.803249315068</v>
      </c>
      <c r="H1238" s="37" t="n">
        <f aca="false">IF(AND(A1238&gt;=Inputs!$B$13,OR(A1238&lt;Inputs!$B$19,Inputs!$B$20=1)),D1238*Inputs!$B$11/C1238,0)</f>
        <v>40.2739726027397</v>
      </c>
      <c r="I1238" s="37" t="n">
        <f aca="false">Inputs!$C$9-SUMIFS(Cash_Events!$G$6:$G$20,Cash_Events!$C$6:$C$20,"FHL",Cash_Events!$B$6:$B$20,"&lt;="&amp;A1238)</f>
        <v>735000</v>
      </c>
      <c r="J1238" s="38" t="n">
        <f aca="false">VLOOKUP(A1238,Inputs!$F$40:$G$48,2,TRUE())</f>
        <v>0.0386433</v>
      </c>
      <c r="K1238" s="38" t="n">
        <f aca="false">J1238+Inputs!$C$10</f>
        <v>0.1061433</v>
      </c>
      <c r="L1238" s="37" t="n">
        <f aca="false">I1238*K1238/C1238</f>
        <v>213.740617808219</v>
      </c>
      <c r="M1238" s="37" t="n">
        <f aca="false">IF(AND(A1238&gt;=Inputs!$C$13,OR(A1238&lt;Inputs!$B$19,Inputs!$B$20=1)),I1238*Inputs!$C$11/C1238,0)</f>
        <v>40.2739726027397</v>
      </c>
    </row>
    <row r="1239" customFormat="false" ht="15" hidden="false" customHeight="false" outlineLevel="0" collapsed="false">
      <c r="A1239" s="35" t="n">
        <f aca="false">A1238+1</f>
        <v>46046</v>
      </c>
      <c r="B1239" s="35" t="n">
        <f aca="false">EOMONTH(A1239+1,0)</f>
        <v>46053</v>
      </c>
      <c r="C1239" s="36" t="n">
        <f aca="false">IF(MOD(YEAR(A1239),4)=0,366,365)</f>
        <v>365</v>
      </c>
      <c r="D1239" s="37" t="n">
        <f aca="false">Inputs!$B$9-SUMIFS(Cash_Events!$G$6:$G$20,Cash_Events!$C$6:$C$20,"rAGMF",Cash_Events!$B$6:$B$20,"&lt;="&amp;A1239)</f>
        <v>735000</v>
      </c>
      <c r="E1239" s="38" t="n">
        <f aca="false">VLOOKUP(A1239,Inputs!$A$40:$B$48,2,TRUE())</f>
        <v>0.0396676</v>
      </c>
      <c r="F1239" s="38" t="n">
        <f aca="false">E1239+Inputs!$B$10</f>
        <v>0.1071676</v>
      </c>
      <c r="G1239" s="37" t="n">
        <f aca="false">D1239*F1239/C1239</f>
        <v>215.803249315068</v>
      </c>
      <c r="H1239" s="37" t="n">
        <f aca="false">IF(AND(A1239&gt;=Inputs!$B$13,OR(A1239&lt;Inputs!$B$19,Inputs!$B$20=1)),D1239*Inputs!$B$11/C1239,0)</f>
        <v>40.2739726027397</v>
      </c>
      <c r="I1239" s="37" t="n">
        <f aca="false">Inputs!$C$9-SUMIFS(Cash_Events!$G$6:$G$20,Cash_Events!$C$6:$C$20,"FHL",Cash_Events!$B$6:$B$20,"&lt;="&amp;A1239)</f>
        <v>735000</v>
      </c>
      <c r="J1239" s="38" t="n">
        <f aca="false">VLOOKUP(A1239,Inputs!$F$40:$G$48,2,TRUE())</f>
        <v>0.0386433</v>
      </c>
      <c r="K1239" s="38" t="n">
        <f aca="false">J1239+Inputs!$C$10</f>
        <v>0.1061433</v>
      </c>
      <c r="L1239" s="37" t="n">
        <f aca="false">I1239*K1239/C1239</f>
        <v>213.740617808219</v>
      </c>
      <c r="M1239" s="37" t="n">
        <f aca="false">IF(AND(A1239&gt;=Inputs!$C$13,OR(A1239&lt;Inputs!$B$19,Inputs!$B$20=1)),I1239*Inputs!$C$11/C1239,0)</f>
        <v>40.2739726027397</v>
      </c>
    </row>
    <row r="1240" customFormat="false" ht="15" hidden="false" customHeight="false" outlineLevel="0" collapsed="false">
      <c r="A1240" s="35" t="n">
        <f aca="false">A1239+1</f>
        <v>46047</v>
      </c>
      <c r="B1240" s="35" t="n">
        <f aca="false">EOMONTH(A1240+1,0)</f>
        <v>46053</v>
      </c>
      <c r="C1240" s="36" t="n">
        <f aca="false">IF(MOD(YEAR(A1240),4)=0,366,365)</f>
        <v>365</v>
      </c>
      <c r="D1240" s="37" t="n">
        <f aca="false">Inputs!$B$9-SUMIFS(Cash_Events!$G$6:$G$20,Cash_Events!$C$6:$C$20,"rAGMF",Cash_Events!$B$6:$B$20,"&lt;="&amp;A1240)</f>
        <v>735000</v>
      </c>
      <c r="E1240" s="38" t="n">
        <f aca="false">VLOOKUP(A1240,Inputs!$A$40:$B$48,2,TRUE())</f>
        <v>0.0396676</v>
      </c>
      <c r="F1240" s="38" t="n">
        <f aca="false">E1240+Inputs!$B$10</f>
        <v>0.1071676</v>
      </c>
      <c r="G1240" s="37" t="n">
        <f aca="false">D1240*F1240/C1240</f>
        <v>215.803249315068</v>
      </c>
      <c r="H1240" s="37" t="n">
        <f aca="false">IF(AND(A1240&gt;=Inputs!$B$13,OR(A1240&lt;Inputs!$B$19,Inputs!$B$20=1)),D1240*Inputs!$B$11/C1240,0)</f>
        <v>40.2739726027397</v>
      </c>
      <c r="I1240" s="37" t="n">
        <f aca="false">Inputs!$C$9-SUMIFS(Cash_Events!$G$6:$G$20,Cash_Events!$C$6:$C$20,"FHL",Cash_Events!$B$6:$B$20,"&lt;="&amp;A1240)</f>
        <v>735000</v>
      </c>
      <c r="J1240" s="38" t="n">
        <f aca="false">VLOOKUP(A1240,Inputs!$F$40:$G$48,2,TRUE())</f>
        <v>0.0386433</v>
      </c>
      <c r="K1240" s="38" t="n">
        <f aca="false">J1240+Inputs!$C$10</f>
        <v>0.1061433</v>
      </c>
      <c r="L1240" s="37" t="n">
        <f aca="false">I1240*K1240/C1240</f>
        <v>213.740617808219</v>
      </c>
      <c r="M1240" s="37" t="n">
        <f aca="false">IF(AND(A1240&gt;=Inputs!$C$13,OR(A1240&lt;Inputs!$B$19,Inputs!$B$20=1)),I1240*Inputs!$C$11/C1240,0)</f>
        <v>40.2739726027397</v>
      </c>
    </row>
    <row r="1241" customFormat="false" ht="15" hidden="false" customHeight="false" outlineLevel="0" collapsed="false">
      <c r="A1241" s="35" t="n">
        <f aca="false">A1240+1</f>
        <v>46048</v>
      </c>
      <c r="B1241" s="35" t="n">
        <f aca="false">EOMONTH(A1241+1,0)</f>
        <v>46053</v>
      </c>
      <c r="C1241" s="36" t="n">
        <f aca="false">IF(MOD(YEAR(A1241),4)=0,366,365)</f>
        <v>365</v>
      </c>
      <c r="D1241" s="37" t="n">
        <f aca="false">Inputs!$B$9-SUMIFS(Cash_Events!$G$6:$G$20,Cash_Events!$C$6:$C$20,"rAGMF",Cash_Events!$B$6:$B$20,"&lt;="&amp;A1241)</f>
        <v>735000</v>
      </c>
      <c r="E1241" s="38" t="n">
        <f aca="false">VLOOKUP(A1241,Inputs!$A$40:$B$48,2,TRUE())</f>
        <v>0.0396676</v>
      </c>
      <c r="F1241" s="38" t="n">
        <f aca="false">E1241+Inputs!$B$10</f>
        <v>0.1071676</v>
      </c>
      <c r="G1241" s="37" t="n">
        <f aca="false">D1241*F1241/C1241</f>
        <v>215.803249315068</v>
      </c>
      <c r="H1241" s="37" t="n">
        <f aca="false">IF(AND(A1241&gt;=Inputs!$B$13,OR(A1241&lt;Inputs!$B$19,Inputs!$B$20=1)),D1241*Inputs!$B$11/C1241,0)</f>
        <v>40.2739726027397</v>
      </c>
      <c r="I1241" s="37" t="n">
        <f aca="false">Inputs!$C$9-SUMIFS(Cash_Events!$G$6:$G$20,Cash_Events!$C$6:$C$20,"FHL",Cash_Events!$B$6:$B$20,"&lt;="&amp;A1241)</f>
        <v>735000</v>
      </c>
      <c r="J1241" s="38" t="n">
        <f aca="false">VLOOKUP(A1241,Inputs!$F$40:$G$48,2,TRUE())</f>
        <v>0.0386433</v>
      </c>
      <c r="K1241" s="38" t="n">
        <f aca="false">J1241+Inputs!$C$10</f>
        <v>0.1061433</v>
      </c>
      <c r="L1241" s="37" t="n">
        <f aca="false">I1241*K1241/C1241</f>
        <v>213.740617808219</v>
      </c>
      <c r="M1241" s="37" t="n">
        <f aca="false">IF(AND(A1241&gt;=Inputs!$C$13,OR(A1241&lt;Inputs!$B$19,Inputs!$B$20=1)),I1241*Inputs!$C$11/C1241,0)</f>
        <v>40.2739726027397</v>
      </c>
    </row>
    <row r="1242" customFormat="false" ht="15" hidden="false" customHeight="false" outlineLevel="0" collapsed="false">
      <c r="A1242" s="35" t="n">
        <f aca="false">A1241+1</f>
        <v>46049</v>
      </c>
      <c r="B1242" s="35" t="n">
        <f aca="false">EOMONTH(A1242+1,0)</f>
        <v>46053</v>
      </c>
      <c r="C1242" s="36" t="n">
        <f aca="false">IF(MOD(YEAR(A1242),4)=0,366,365)</f>
        <v>365</v>
      </c>
      <c r="D1242" s="37" t="n">
        <f aca="false">Inputs!$B$9-SUMIFS(Cash_Events!$G$6:$G$20,Cash_Events!$C$6:$C$20,"rAGMF",Cash_Events!$B$6:$B$20,"&lt;="&amp;A1242)</f>
        <v>735000</v>
      </c>
      <c r="E1242" s="38" t="n">
        <f aca="false">VLOOKUP(A1242,Inputs!$A$40:$B$48,2,TRUE())</f>
        <v>0.0396676</v>
      </c>
      <c r="F1242" s="38" t="n">
        <f aca="false">E1242+Inputs!$B$10</f>
        <v>0.1071676</v>
      </c>
      <c r="G1242" s="37" t="n">
        <f aca="false">D1242*F1242/C1242</f>
        <v>215.803249315068</v>
      </c>
      <c r="H1242" s="37" t="n">
        <f aca="false">IF(AND(A1242&gt;=Inputs!$B$13,OR(A1242&lt;Inputs!$B$19,Inputs!$B$20=1)),D1242*Inputs!$B$11/C1242,0)</f>
        <v>40.2739726027397</v>
      </c>
      <c r="I1242" s="37" t="n">
        <f aca="false">Inputs!$C$9-SUMIFS(Cash_Events!$G$6:$G$20,Cash_Events!$C$6:$C$20,"FHL",Cash_Events!$B$6:$B$20,"&lt;="&amp;A1242)</f>
        <v>735000</v>
      </c>
      <c r="J1242" s="38" t="n">
        <f aca="false">VLOOKUP(A1242,Inputs!$F$40:$G$48,2,TRUE())</f>
        <v>0.0386433</v>
      </c>
      <c r="K1242" s="38" t="n">
        <f aca="false">J1242+Inputs!$C$10</f>
        <v>0.1061433</v>
      </c>
      <c r="L1242" s="37" t="n">
        <f aca="false">I1242*K1242/C1242</f>
        <v>213.740617808219</v>
      </c>
      <c r="M1242" s="37" t="n">
        <f aca="false">IF(AND(A1242&gt;=Inputs!$C$13,OR(A1242&lt;Inputs!$B$19,Inputs!$B$20=1)),I1242*Inputs!$C$11/C1242,0)</f>
        <v>40.2739726027397</v>
      </c>
    </row>
    <row r="1243" customFormat="false" ht="15" hidden="false" customHeight="false" outlineLevel="0" collapsed="false">
      <c r="A1243" s="35" t="n">
        <f aca="false">A1242+1</f>
        <v>46050</v>
      </c>
      <c r="B1243" s="35" t="n">
        <f aca="false">EOMONTH(A1243+1,0)</f>
        <v>46053</v>
      </c>
      <c r="C1243" s="36" t="n">
        <f aca="false">IF(MOD(YEAR(A1243),4)=0,366,365)</f>
        <v>365</v>
      </c>
      <c r="D1243" s="37" t="n">
        <f aca="false">Inputs!$B$9-SUMIFS(Cash_Events!$G$6:$G$20,Cash_Events!$C$6:$C$20,"rAGMF",Cash_Events!$B$6:$B$20,"&lt;="&amp;A1243)</f>
        <v>735000</v>
      </c>
      <c r="E1243" s="38" t="n">
        <f aca="false">VLOOKUP(A1243,Inputs!$A$40:$B$48,2,TRUE())</f>
        <v>0.0396676</v>
      </c>
      <c r="F1243" s="38" t="n">
        <f aca="false">E1243+Inputs!$B$10</f>
        <v>0.1071676</v>
      </c>
      <c r="G1243" s="37" t="n">
        <f aca="false">D1243*F1243/C1243</f>
        <v>215.803249315068</v>
      </c>
      <c r="H1243" s="37" t="n">
        <f aca="false">IF(AND(A1243&gt;=Inputs!$B$13,OR(A1243&lt;Inputs!$B$19,Inputs!$B$20=1)),D1243*Inputs!$B$11/C1243,0)</f>
        <v>40.2739726027397</v>
      </c>
      <c r="I1243" s="37" t="n">
        <f aca="false">Inputs!$C$9-SUMIFS(Cash_Events!$G$6:$G$20,Cash_Events!$C$6:$C$20,"FHL",Cash_Events!$B$6:$B$20,"&lt;="&amp;A1243)</f>
        <v>735000</v>
      </c>
      <c r="J1243" s="38" t="n">
        <f aca="false">VLOOKUP(A1243,Inputs!$F$40:$G$48,2,TRUE())</f>
        <v>0.0386433</v>
      </c>
      <c r="K1243" s="38" t="n">
        <f aca="false">J1243+Inputs!$C$10</f>
        <v>0.1061433</v>
      </c>
      <c r="L1243" s="37" t="n">
        <f aca="false">I1243*K1243/C1243</f>
        <v>213.740617808219</v>
      </c>
      <c r="M1243" s="37" t="n">
        <f aca="false">IF(AND(A1243&gt;=Inputs!$C$13,OR(A1243&lt;Inputs!$B$19,Inputs!$B$20=1)),I1243*Inputs!$C$11/C1243,0)</f>
        <v>40.2739726027397</v>
      </c>
    </row>
    <row r="1244" customFormat="false" ht="15" hidden="false" customHeight="false" outlineLevel="0" collapsed="false">
      <c r="A1244" s="35" t="n">
        <f aca="false">A1243+1</f>
        <v>46051</v>
      </c>
      <c r="B1244" s="35" t="n">
        <f aca="false">EOMONTH(A1244+1,0)</f>
        <v>46053</v>
      </c>
      <c r="C1244" s="36" t="n">
        <f aca="false">IF(MOD(YEAR(A1244),4)=0,366,365)</f>
        <v>365</v>
      </c>
      <c r="D1244" s="37" t="n">
        <f aca="false">Inputs!$B$9-SUMIFS(Cash_Events!$G$6:$G$20,Cash_Events!$C$6:$C$20,"rAGMF",Cash_Events!$B$6:$B$20,"&lt;="&amp;A1244)</f>
        <v>735000</v>
      </c>
      <c r="E1244" s="38" t="n">
        <f aca="false">VLOOKUP(A1244,Inputs!$A$40:$B$48,2,TRUE())</f>
        <v>0.0396676</v>
      </c>
      <c r="F1244" s="38" t="n">
        <f aca="false">E1244+Inputs!$B$10</f>
        <v>0.1071676</v>
      </c>
      <c r="G1244" s="37" t="n">
        <f aca="false">D1244*F1244/C1244</f>
        <v>215.803249315068</v>
      </c>
      <c r="H1244" s="37" t="n">
        <f aca="false">IF(AND(A1244&gt;=Inputs!$B$13,OR(A1244&lt;Inputs!$B$19,Inputs!$B$20=1)),D1244*Inputs!$B$11/C1244,0)</f>
        <v>40.2739726027397</v>
      </c>
      <c r="I1244" s="37" t="n">
        <f aca="false">Inputs!$C$9-SUMIFS(Cash_Events!$G$6:$G$20,Cash_Events!$C$6:$C$20,"FHL",Cash_Events!$B$6:$B$20,"&lt;="&amp;A1244)</f>
        <v>735000</v>
      </c>
      <c r="J1244" s="38" t="n">
        <f aca="false">VLOOKUP(A1244,Inputs!$F$40:$G$48,2,TRUE())</f>
        <v>0.0386433</v>
      </c>
      <c r="K1244" s="38" t="n">
        <f aca="false">J1244+Inputs!$C$10</f>
        <v>0.1061433</v>
      </c>
      <c r="L1244" s="37" t="n">
        <f aca="false">I1244*K1244/C1244</f>
        <v>213.740617808219</v>
      </c>
      <c r="M1244" s="37" t="n">
        <f aca="false">IF(AND(A1244&gt;=Inputs!$C$13,OR(A1244&lt;Inputs!$B$19,Inputs!$B$20=1)),I1244*Inputs!$C$11/C1244,0)</f>
        <v>40.2739726027397</v>
      </c>
    </row>
    <row r="1245" customFormat="false" ht="15" hidden="false" customHeight="false" outlineLevel="0" collapsed="false">
      <c r="A1245" s="35" t="n">
        <f aca="false">A1244+1</f>
        <v>46052</v>
      </c>
      <c r="B1245" s="35" t="n">
        <f aca="false">EOMONTH(A1245+1,0)</f>
        <v>46053</v>
      </c>
      <c r="C1245" s="36" t="n">
        <f aca="false">IF(MOD(YEAR(A1245),4)=0,366,365)</f>
        <v>365</v>
      </c>
      <c r="D1245" s="37" t="n">
        <f aca="false">Inputs!$B$9-SUMIFS(Cash_Events!$G$6:$G$20,Cash_Events!$C$6:$C$20,"rAGMF",Cash_Events!$B$6:$B$20,"&lt;="&amp;A1245)</f>
        <v>735000</v>
      </c>
      <c r="E1245" s="38" t="n">
        <f aca="false">VLOOKUP(A1245,Inputs!$A$40:$B$48,2,TRUE())</f>
        <v>0.0396676</v>
      </c>
      <c r="F1245" s="38" t="n">
        <f aca="false">E1245+Inputs!$B$10</f>
        <v>0.1071676</v>
      </c>
      <c r="G1245" s="37" t="n">
        <f aca="false">D1245*F1245/C1245</f>
        <v>215.803249315068</v>
      </c>
      <c r="H1245" s="37" t="n">
        <f aca="false">IF(AND(A1245&gt;=Inputs!$B$13,OR(A1245&lt;Inputs!$B$19,Inputs!$B$20=1)),D1245*Inputs!$B$11/C1245,0)</f>
        <v>40.2739726027397</v>
      </c>
      <c r="I1245" s="37" t="n">
        <f aca="false">Inputs!$C$9-SUMIFS(Cash_Events!$G$6:$G$20,Cash_Events!$C$6:$C$20,"FHL",Cash_Events!$B$6:$B$20,"&lt;="&amp;A1245)</f>
        <v>735000</v>
      </c>
      <c r="J1245" s="38" t="n">
        <f aca="false">VLOOKUP(A1245,Inputs!$F$40:$G$48,2,TRUE())</f>
        <v>0.0386433</v>
      </c>
      <c r="K1245" s="38" t="n">
        <f aca="false">J1245+Inputs!$C$10</f>
        <v>0.1061433</v>
      </c>
      <c r="L1245" s="37" t="n">
        <f aca="false">I1245*K1245/C1245</f>
        <v>213.740617808219</v>
      </c>
      <c r="M1245" s="37" t="n">
        <f aca="false">IF(AND(A1245&gt;=Inputs!$C$13,OR(A1245&lt;Inputs!$B$19,Inputs!$B$20=1)),I1245*Inputs!$C$11/C1245,0)</f>
        <v>40.2739726027397</v>
      </c>
    </row>
    <row r="1246" customFormat="false" ht="15" hidden="false" customHeight="false" outlineLevel="0" collapsed="false">
      <c r="A1246" s="35" t="n">
        <f aca="false">A1245+1</f>
        <v>46053</v>
      </c>
      <c r="B1246" s="35" t="n">
        <f aca="false">EOMONTH(A1246+1,0)</f>
        <v>46081</v>
      </c>
      <c r="C1246" s="36" t="n">
        <f aca="false">IF(MOD(YEAR(A1246),4)=0,366,365)</f>
        <v>365</v>
      </c>
      <c r="D1246" s="37" t="n">
        <f aca="false">Inputs!$B$9-SUMIFS(Cash_Events!$G$6:$G$20,Cash_Events!$C$6:$C$20,"rAGMF",Cash_Events!$B$6:$B$20,"&lt;="&amp;A1246)</f>
        <v>735000</v>
      </c>
      <c r="E1246" s="38" t="n">
        <f aca="false">VLOOKUP(A1246,Inputs!$A$40:$B$48,2,TRUE())</f>
        <v>0.0396676</v>
      </c>
      <c r="F1246" s="38" t="n">
        <f aca="false">E1246+Inputs!$B$10</f>
        <v>0.1071676</v>
      </c>
      <c r="G1246" s="37" t="n">
        <f aca="false">D1246*F1246/C1246</f>
        <v>215.803249315068</v>
      </c>
      <c r="H1246" s="37" t="n">
        <f aca="false">IF(AND(A1246&gt;=Inputs!$B$13,OR(A1246&lt;Inputs!$B$19,Inputs!$B$20=1)),D1246*Inputs!$B$11/C1246,0)</f>
        <v>40.2739726027397</v>
      </c>
      <c r="I1246" s="37" t="n">
        <f aca="false">Inputs!$C$9-SUMIFS(Cash_Events!$G$6:$G$20,Cash_Events!$C$6:$C$20,"FHL",Cash_Events!$B$6:$B$20,"&lt;="&amp;A1246)</f>
        <v>735000</v>
      </c>
      <c r="J1246" s="38" t="n">
        <f aca="false">VLOOKUP(A1246,Inputs!$F$40:$G$48,2,TRUE())</f>
        <v>0.0386433</v>
      </c>
      <c r="K1246" s="38" t="n">
        <f aca="false">J1246+Inputs!$C$10</f>
        <v>0.1061433</v>
      </c>
      <c r="L1246" s="37" t="n">
        <f aca="false">I1246*K1246/C1246</f>
        <v>213.740617808219</v>
      </c>
      <c r="M1246" s="37" t="n">
        <f aca="false">IF(AND(A1246&gt;=Inputs!$C$13,OR(A1246&lt;Inputs!$B$19,Inputs!$B$20=1)),I1246*Inputs!$C$11/C1246,0)</f>
        <v>40.2739726027397</v>
      </c>
    </row>
    <row r="1247" customFormat="false" ht="15" hidden="false" customHeight="false" outlineLevel="0" collapsed="false">
      <c r="A1247" s="35" t="n">
        <f aca="false">A1246+1</f>
        <v>46054</v>
      </c>
      <c r="B1247" s="35" t="n">
        <f aca="false">EOMONTH(A1247+1,0)</f>
        <v>46081</v>
      </c>
      <c r="C1247" s="36" t="n">
        <f aca="false">IF(MOD(YEAR(A1247),4)=0,366,365)</f>
        <v>365</v>
      </c>
      <c r="D1247" s="37" t="n">
        <f aca="false">Inputs!$B$9-SUMIFS(Cash_Events!$G$6:$G$20,Cash_Events!$C$6:$C$20,"rAGMF",Cash_Events!$B$6:$B$20,"&lt;="&amp;A1247)</f>
        <v>735000</v>
      </c>
      <c r="E1247" s="38" t="n">
        <f aca="false">VLOOKUP(A1247,Inputs!$A$40:$B$48,2,TRUE())</f>
        <v>0.0396676</v>
      </c>
      <c r="F1247" s="38" t="n">
        <f aca="false">E1247+Inputs!$B$10</f>
        <v>0.1071676</v>
      </c>
      <c r="G1247" s="37" t="n">
        <f aca="false">D1247*F1247/C1247</f>
        <v>215.803249315068</v>
      </c>
      <c r="H1247" s="37" t="n">
        <f aca="false">IF(AND(A1247&gt;=Inputs!$B$13,OR(A1247&lt;Inputs!$B$19,Inputs!$B$20=1)),D1247*Inputs!$B$11/C1247,0)</f>
        <v>40.2739726027397</v>
      </c>
      <c r="I1247" s="37" t="n">
        <f aca="false">Inputs!$C$9-SUMIFS(Cash_Events!$G$6:$G$20,Cash_Events!$C$6:$C$20,"FHL",Cash_Events!$B$6:$B$20,"&lt;="&amp;A1247)</f>
        <v>735000</v>
      </c>
      <c r="J1247" s="38" t="n">
        <f aca="false">VLOOKUP(A1247,Inputs!$F$40:$G$48,2,TRUE())</f>
        <v>0.0386433</v>
      </c>
      <c r="K1247" s="38" t="n">
        <f aca="false">J1247+Inputs!$C$10</f>
        <v>0.1061433</v>
      </c>
      <c r="L1247" s="37" t="n">
        <f aca="false">I1247*K1247/C1247</f>
        <v>213.740617808219</v>
      </c>
      <c r="M1247" s="37" t="n">
        <f aca="false">IF(AND(A1247&gt;=Inputs!$C$13,OR(A1247&lt;Inputs!$B$19,Inputs!$B$20=1)),I1247*Inputs!$C$11/C1247,0)</f>
        <v>40.2739726027397</v>
      </c>
    </row>
    <row r="1248" customFormat="false" ht="15" hidden="false" customHeight="false" outlineLevel="0" collapsed="false">
      <c r="A1248" s="35" t="n">
        <f aca="false">A1247+1</f>
        <v>46055</v>
      </c>
      <c r="B1248" s="35" t="n">
        <f aca="false">EOMONTH(A1248+1,0)</f>
        <v>46081</v>
      </c>
      <c r="C1248" s="36" t="n">
        <f aca="false">IF(MOD(YEAR(A1248),4)=0,366,365)</f>
        <v>365</v>
      </c>
      <c r="D1248" s="37" t="n">
        <f aca="false">Inputs!$B$9-SUMIFS(Cash_Events!$G$6:$G$20,Cash_Events!$C$6:$C$20,"rAGMF",Cash_Events!$B$6:$B$20,"&lt;="&amp;A1248)</f>
        <v>735000</v>
      </c>
      <c r="E1248" s="38" t="n">
        <f aca="false">VLOOKUP(A1248,Inputs!$A$40:$B$48,2,TRUE())</f>
        <v>0.0396676</v>
      </c>
      <c r="F1248" s="38" t="n">
        <f aca="false">E1248+Inputs!$B$10</f>
        <v>0.1071676</v>
      </c>
      <c r="G1248" s="37" t="n">
        <f aca="false">D1248*F1248/C1248</f>
        <v>215.803249315068</v>
      </c>
      <c r="H1248" s="37" t="n">
        <f aca="false">IF(AND(A1248&gt;=Inputs!$B$13,OR(A1248&lt;Inputs!$B$19,Inputs!$B$20=1)),D1248*Inputs!$B$11/C1248,0)</f>
        <v>40.2739726027397</v>
      </c>
      <c r="I1248" s="37" t="n">
        <f aca="false">Inputs!$C$9-SUMIFS(Cash_Events!$G$6:$G$20,Cash_Events!$C$6:$C$20,"FHL",Cash_Events!$B$6:$B$20,"&lt;="&amp;A1248)</f>
        <v>735000</v>
      </c>
      <c r="J1248" s="38" t="n">
        <f aca="false">VLOOKUP(A1248,Inputs!$F$40:$G$48,2,TRUE())</f>
        <v>0.0386433</v>
      </c>
      <c r="K1248" s="38" t="n">
        <f aca="false">J1248+Inputs!$C$10</f>
        <v>0.1061433</v>
      </c>
      <c r="L1248" s="37" t="n">
        <f aca="false">I1248*K1248/C1248</f>
        <v>213.740617808219</v>
      </c>
      <c r="M1248" s="37" t="n">
        <f aca="false">IF(AND(A1248&gt;=Inputs!$C$13,OR(A1248&lt;Inputs!$B$19,Inputs!$B$20=1)),I1248*Inputs!$C$11/C1248,0)</f>
        <v>40.2739726027397</v>
      </c>
    </row>
    <row r="1249" customFormat="false" ht="15" hidden="false" customHeight="false" outlineLevel="0" collapsed="false">
      <c r="A1249" s="35" t="n">
        <f aca="false">A1248+1</f>
        <v>46056</v>
      </c>
      <c r="B1249" s="35" t="n">
        <f aca="false">EOMONTH(A1249+1,0)</f>
        <v>46081</v>
      </c>
      <c r="C1249" s="36" t="n">
        <f aca="false">IF(MOD(YEAR(A1249),4)=0,366,365)</f>
        <v>365</v>
      </c>
      <c r="D1249" s="37" t="n">
        <f aca="false">Inputs!$B$9-SUMIFS(Cash_Events!$G$6:$G$20,Cash_Events!$C$6:$C$20,"rAGMF",Cash_Events!$B$6:$B$20,"&lt;="&amp;A1249)</f>
        <v>735000</v>
      </c>
      <c r="E1249" s="38" t="n">
        <f aca="false">VLOOKUP(A1249,Inputs!$A$40:$B$48,2,TRUE())</f>
        <v>0.0396676</v>
      </c>
      <c r="F1249" s="38" t="n">
        <f aca="false">E1249+Inputs!$B$10</f>
        <v>0.1071676</v>
      </c>
      <c r="G1249" s="37" t="n">
        <f aca="false">D1249*F1249/C1249</f>
        <v>215.803249315068</v>
      </c>
      <c r="H1249" s="37" t="n">
        <f aca="false">IF(AND(A1249&gt;=Inputs!$B$13,OR(A1249&lt;Inputs!$B$19,Inputs!$B$20=1)),D1249*Inputs!$B$11/C1249,0)</f>
        <v>40.2739726027397</v>
      </c>
      <c r="I1249" s="37" t="n">
        <f aca="false">Inputs!$C$9-SUMIFS(Cash_Events!$G$6:$G$20,Cash_Events!$C$6:$C$20,"FHL",Cash_Events!$B$6:$B$20,"&lt;="&amp;A1249)</f>
        <v>735000</v>
      </c>
      <c r="J1249" s="38" t="n">
        <f aca="false">VLOOKUP(A1249,Inputs!$F$40:$G$48,2,TRUE())</f>
        <v>0.0386433</v>
      </c>
      <c r="K1249" s="38" t="n">
        <f aca="false">J1249+Inputs!$C$10</f>
        <v>0.1061433</v>
      </c>
      <c r="L1249" s="37" t="n">
        <f aca="false">I1249*K1249/C1249</f>
        <v>213.740617808219</v>
      </c>
      <c r="M1249" s="37" t="n">
        <f aca="false">IF(AND(A1249&gt;=Inputs!$C$13,OR(A1249&lt;Inputs!$B$19,Inputs!$B$20=1)),I1249*Inputs!$C$11/C1249,0)</f>
        <v>40.2739726027397</v>
      </c>
    </row>
    <row r="1250" customFormat="false" ht="15" hidden="false" customHeight="false" outlineLevel="0" collapsed="false">
      <c r="A1250" s="35" t="n">
        <f aca="false">A1249+1</f>
        <v>46057</v>
      </c>
      <c r="B1250" s="35" t="n">
        <f aca="false">EOMONTH(A1250+1,0)</f>
        <v>46081</v>
      </c>
      <c r="C1250" s="36" t="n">
        <f aca="false">IF(MOD(YEAR(A1250),4)=0,366,365)</f>
        <v>365</v>
      </c>
      <c r="D1250" s="37" t="n">
        <f aca="false">Inputs!$B$9-SUMIFS(Cash_Events!$G$6:$G$20,Cash_Events!$C$6:$C$20,"rAGMF",Cash_Events!$B$6:$B$20,"&lt;="&amp;A1250)</f>
        <v>735000</v>
      </c>
      <c r="E1250" s="38" t="n">
        <f aca="false">VLOOKUP(A1250,Inputs!$A$40:$B$48,2,TRUE())</f>
        <v>0.0396676</v>
      </c>
      <c r="F1250" s="38" t="n">
        <f aca="false">E1250+Inputs!$B$10</f>
        <v>0.1071676</v>
      </c>
      <c r="G1250" s="37" t="n">
        <f aca="false">D1250*F1250/C1250</f>
        <v>215.803249315068</v>
      </c>
      <c r="H1250" s="37" t="n">
        <f aca="false">IF(AND(A1250&gt;=Inputs!$B$13,OR(A1250&lt;Inputs!$B$19,Inputs!$B$20=1)),D1250*Inputs!$B$11/C1250,0)</f>
        <v>40.2739726027397</v>
      </c>
      <c r="I1250" s="37" t="n">
        <f aca="false">Inputs!$C$9-SUMIFS(Cash_Events!$G$6:$G$20,Cash_Events!$C$6:$C$20,"FHL",Cash_Events!$B$6:$B$20,"&lt;="&amp;A1250)</f>
        <v>735000</v>
      </c>
      <c r="J1250" s="38" t="n">
        <f aca="false">VLOOKUP(A1250,Inputs!$F$40:$G$48,2,TRUE())</f>
        <v>0.0386433</v>
      </c>
      <c r="K1250" s="38" t="n">
        <f aca="false">J1250+Inputs!$C$10</f>
        <v>0.1061433</v>
      </c>
      <c r="L1250" s="37" t="n">
        <f aca="false">I1250*K1250/C1250</f>
        <v>213.740617808219</v>
      </c>
      <c r="M1250" s="37" t="n">
        <f aca="false">IF(AND(A1250&gt;=Inputs!$C$13,OR(A1250&lt;Inputs!$B$19,Inputs!$B$20=1)),I1250*Inputs!$C$11/C1250,0)</f>
        <v>40.2739726027397</v>
      </c>
    </row>
    <row r="1251" customFormat="false" ht="15" hidden="false" customHeight="false" outlineLevel="0" collapsed="false">
      <c r="A1251" s="35" t="n">
        <f aca="false">A1250+1</f>
        <v>46058</v>
      </c>
      <c r="B1251" s="35" t="n">
        <f aca="false">EOMONTH(A1251+1,0)</f>
        <v>46081</v>
      </c>
      <c r="C1251" s="36" t="n">
        <f aca="false">IF(MOD(YEAR(A1251),4)=0,366,365)</f>
        <v>365</v>
      </c>
      <c r="D1251" s="37" t="n">
        <f aca="false">Inputs!$B$9-SUMIFS(Cash_Events!$G$6:$G$20,Cash_Events!$C$6:$C$20,"rAGMF",Cash_Events!$B$6:$B$20,"&lt;="&amp;A1251)</f>
        <v>735000</v>
      </c>
      <c r="E1251" s="38" t="n">
        <f aca="false">VLOOKUP(A1251,Inputs!$A$40:$B$48,2,TRUE())</f>
        <v>0.0396676</v>
      </c>
      <c r="F1251" s="38" t="n">
        <f aca="false">E1251+Inputs!$B$10</f>
        <v>0.1071676</v>
      </c>
      <c r="G1251" s="37" t="n">
        <f aca="false">D1251*F1251/C1251</f>
        <v>215.803249315068</v>
      </c>
      <c r="H1251" s="37" t="n">
        <f aca="false">IF(AND(A1251&gt;=Inputs!$B$13,OR(A1251&lt;Inputs!$B$19,Inputs!$B$20=1)),D1251*Inputs!$B$11/C1251,0)</f>
        <v>40.2739726027397</v>
      </c>
      <c r="I1251" s="37" t="n">
        <f aca="false">Inputs!$C$9-SUMIFS(Cash_Events!$G$6:$G$20,Cash_Events!$C$6:$C$20,"FHL",Cash_Events!$B$6:$B$20,"&lt;="&amp;A1251)</f>
        <v>735000</v>
      </c>
      <c r="J1251" s="38" t="n">
        <f aca="false">VLOOKUP(A1251,Inputs!$F$40:$G$48,2,TRUE())</f>
        <v>0.0386433</v>
      </c>
      <c r="K1251" s="38" t="n">
        <f aca="false">J1251+Inputs!$C$10</f>
        <v>0.1061433</v>
      </c>
      <c r="L1251" s="37" t="n">
        <f aca="false">I1251*K1251/C1251</f>
        <v>213.740617808219</v>
      </c>
      <c r="M1251" s="37" t="n">
        <f aca="false">IF(AND(A1251&gt;=Inputs!$C$13,OR(A1251&lt;Inputs!$B$19,Inputs!$B$20=1)),I1251*Inputs!$C$11/C1251,0)</f>
        <v>40.2739726027397</v>
      </c>
    </row>
    <row r="1252" customFormat="false" ht="15" hidden="false" customHeight="false" outlineLevel="0" collapsed="false">
      <c r="A1252" s="35" t="n">
        <f aca="false">A1251+1</f>
        <v>46059</v>
      </c>
      <c r="B1252" s="35" t="n">
        <f aca="false">EOMONTH(A1252+1,0)</f>
        <v>46081</v>
      </c>
      <c r="C1252" s="36" t="n">
        <f aca="false">IF(MOD(YEAR(A1252),4)=0,366,365)</f>
        <v>365</v>
      </c>
      <c r="D1252" s="37" t="n">
        <f aca="false">Inputs!$B$9-SUMIFS(Cash_Events!$G$6:$G$20,Cash_Events!$C$6:$C$20,"rAGMF",Cash_Events!$B$6:$B$20,"&lt;="&amp;A1252)</f>
        <v>735000</v>
      </c>
      <c r="E1252" s="38" t="n">
        <f aca="false">VLOOKUP(A1252,Inputs!$A$40:$B$48,2,TRUE())</f>
        <v>0.0396676</v>
      </c>
      <c r="F1252" s="38" t="n">
        <f aca="false">E1252+Inputs!$B$10</f>
        <v>0.1071676</v>
      </c>
      <c r="G1252" s="37" t="n">
        <f aca="false">D1252*F1252/C1252</f>
        <v>215.803249315068</v>
      </c>
      <c r="H1252" s="37" t="n">
        <f aca="false">IF(AND(A1252&gt;=Inputs!$B$13,OR(A1252&lt;Inputs!$B$19,Inputs!$B$20=1)),D1252*Inputs!$B$11/C1252,0)</f>
        <v>40.2739726027397</v>
      </c>
      <c r="I1252" s="37" t="n">
        <f aca="false">Inputs!$C$9-SUMIFS(Cash_Events!$G$6:$G$20,Cash_Events!$C$6:$C$20,"FHL",Cash_Events!$B$6:$B$20,"&lt;="&amp;A1252)</f>
        <v>735000</v>
      </c>
      <c r="J1252" s="38" t="n">
        <f aca="false">VLOOKUP(A1252,Inputs!$F$40:$G$48,2,TRUE())</f>
        <v>0.0386433</v>
      </c>
      <c r="K1252" s="38" t="n">
        <f aca="false">J1252+Inputs!$C$10</f>
        <v>0.1061433</v>
      </c>
      <c r="L1252" s="37" t="n">
        <f aca="false">I1252*K1252/C1252</f>
        <v>213.740617808219</v>
      </c>
      <c r="M1252" s="37" t="n">
        <f aca="false">IF(AND(A1252&gt;=Inputs!$C$13,OR(A1252&lt;Inputs!$B$19,Inputs!$B$20=1)),I1252*Inputs!$C$11/C1252,0)</f>
        <v>40.2739726027397</v>
      </c>
    </row>
    <row r="1253" customFormat="false" ht="15" hidden="false" customHeight="false" outlineLevel="0" collapsed="false">
      <c r="A1253" s="35" t="n">
        <f aca="false">A1252+1</f>
        <v>46060</v>
      </c>
      <c r="B1253" s="35" t="n">
        <f aca="false">EOMONTH(A1253+1,0)</f>
        <v>46081</v>
      </c>
      <c r="C1253" s="36" t="n">
        <f aca="false">IF(MOD(YEAR(A1253),4)=0,366,365)</f>
        <v>365</v>
      </c>
      <c r="D1253" s="37" t="n">
        <f aca="false">Inputs!$B$9-SUMIFS(Cash_Events!$G$6:$G$20,Cash_Events!$C$6:$C$20,"rAGMF",Cash_Events!$B$6:$B$20,"&lt;="&amp;A1253)</f>
        <v>735000</v>
      </c>
      <c r="E1253" s="38" t="n">
        <f aca="false">VLOOKUP(A1253,Inputs!$A$40:$B$48,2,TRUE())</f>
        <v>0.0396676</v>
      </c>
      <c r="F1253" s="38" t="n">
        <f aca="false">E1253+Inputs!$B$10</f>
        <v>0.1071676</v>
      </c>
      <c r="G1253" s="37" t="n">
        <f aca="false">D1253*F1253/C1253</f>
        <v>215.803249315068</v>
      </c>
      <c r="H1253" s="37" t="n">
        <f aca="false">IF(AND(A1253&gt;=Inputs!$B$13,OR(A1253&lt;Inputs!$B$19,Inputs!$B$20=1)),D1253*Inputs!$B$11/C1253,0)</f>
        <v>40.2739726027397</v>
      </c>
      <c r="I1253" s="37" t="n">
        <f aca="false">Inputs!$C$9-SUMIFS(Cash_Events!$G$6:$G$20,Cash_Events!$C$6:$C$20,"FHL",Cash_Events!$B$6:$B$20,"&lt;="&amp;A1253)</f>
        <v>735000</v>
      </c>
      <c r="J1253" s="38" t="n">
        <f aca="false">VLOOKUP(A1253,Inputs!$F$40:$G$48,2,TRUE())</f>
        <v>0.0386433</v>
      </c>
      <c r="K1253" s="38" t="n">
        <f aca="false">J1253+Inputs!$C$10</f>
        <v>0.1061433</v>
      </c>
      <c r="L1253" s="37" t="n">
        <f aca="false">I1253*K1253/C1253</f>
        <v>213.740617808219</v>
      </c>
      <c r="M1253" s="37" t="n">
        <f aca="false">IF(AND(A1253&gt;=Inputs!$C$13,OR(A1253&lt;Inputs!$B$19,Inputs!$B$20=1)),I1253*Inputs!$C$11/C1253,0)</f>
        <v>40.2739726027397</v>
      </c>
    </row>
    <row r="1254" customFormat="false" ht="15" hidden="false" customHeight="false" outlineLevel="0" collapsed="false">
      <c r="A1254" s="35" t="n">
        <f aca="false">A1253+1</f>
        <v>46061</v>
      </c>
      <c r="B1254" s="35" t="n">
        <f aca="false">EOMONTH(A1254+1,0)</f>
        <v>46081</v>
      </c>
      <c r="C1254" s="36" t="n">
        <f aca="false">IF(MOD(YEAR(A1254),4)=0,366,365)</f>
        <v>365</v>
      </c>
      <c r="D1254" s="37" t="n">
        <f aca="false">Inputs!$B$9-SUMIFS(Cash_Events!$G$6:$G$20,Cash_Events!$C$6:$C$20,"rAGMF",Cash_Events!$B$6:$B$20,"&lt;="&amp;A1254)</f>
        <v>735000</v>
      </c>
      <c r="E1254" s="38" t="n">
        <f aca="false">VLOOKUP(A1254,Inputs!$A$40:$B$48,2,TRUE())</f>
        <v>0.0396676</v>
      </c>
      <c r="F1254" s="38" t="n">
        <f aca="false">E1254+Inputs!$B$10</f>
        <v>0.1071676</v>
      </c>
      <c r="G1254" s="37" t="n">
        <f aca="false">D1254*F1254/C1254</f>
        <v>215.803249315068</v>
      </c>
      <c r="H1254" s="37" t="n">
        <f aca="false">IF(AND(A1254&gt;=Inputs!$B$13,OR(A1254&lt;Inputs!$B$19,Inputs!$B$20=1)),D1254*Inputs!$B$11/C1254,0)</f>
        <v>40.2739726027397</v>
      </c>
      <c r="I1254" s="37" t="n">
        <f aca="false">Inputs!$C$9-SUMIFS(Cash_Events!$G$6:$G$20,Cash_Events!$C$6:$C$20,"FHL",Cash_Events!$B$6:$B$20,"&lt;="&amp;A1254)</f>
        <v>735000</v>
      </c>
      <c r="J1254" s="38" t="n">
        <f aca="false">VLOOKUP(A1254,Inputs!$F$40:$G$48,2,TRUE())</f>
        <v>0.0386433</v>
      </c>
      <c r="K1254" s="38" t="n">
        <f aca="false">J1254+Inputs!$C$10</f>
        <v>0.1061433</v>
      </c>
      <c r="L1254" s="37" t="n">
        <f aca="false">I1254*K1254/C1254</f>
        <v>213.740617808219</v>
      </c>
      <c r="M1254" s="37" t="n">
        <f aca="false">IF(AND(A1254&gt;=Inputs!$C$13,OR(A1254&lt;Inputs!$B$19,Inputs!$B$20=1)),I1254*Inputs!$C$11/C1254,0)</f>
        <v>40.2739726027397</v>
      </c>
    </row>
    <row r="1255" customFormat="false" ht="15" hidden="false" customHeight="false" outlineLevel="0" collapsed="false">
      <c r="A1255" s="35" t="n">
        <f aca="false">A1254+1</f>
        <v>46062</v>
      </c>
      <c r="B1255" s="35" t="n">
        <f aca="false">EOMONTH(A1255+1,0)</f>
        <v>46081</v>
      </c>
      <c r="C1255" s="36" t="n">
        <f aca="false">IF(MOD(YEAR(A1255),4)=0,366,365)</f>
        <v>365</v>
      </c>
      <c r="D1255" s="37" t="n">
        <f aca="false">Inputs!$B$9-SUMIFS(Cash_Events!$G$6:$G$20,Cash_Events!$C$6:$C$20,"rAGMF",Cash_Events!$B$6:$B$20,"&lt;="&amp;A1255)</f>
        <v>735000</v>
      </c>
      <c r="E1255" s="38" t="n">
        <f aca="false">VLOOKUP(A1255,Inputs!$A$40:$B$48,2,TRUE())</f>
        <v>0.0396676</v>
      </c>
      <c r="F1255" s="38" t="n">
        <f aca="false">E1255+Inputs!$B$10</f>
        <v>0.1071676</v>
      </c>
      <c r="G1255" s="37" t="n">
        <f aca="false">D1255*F1255/C1255</f>
        <v>215.803249315068</v>
      </c>
      <c r="H1255" s="37" t="n">
        <f aca="false">IF(AND(A1255&gt;=Inputs!$B$13,OR(A1255&lt;Inputs!$B$19,Inputs!$B$20=1)),D1255*Inputs!$B$11/C1255,0)</f>
        <v>40.2739726027397</v>
      </c>
      <c r="I1255" s="37" t="n">
        <f aca="false">Inputs!$C$9-SUMIFS(Cash_Events!$G$6:$G$20,Cash_Events!$C$6:$C$20,"FHL",Cash_Events!$B$6:$B$20,"&lt;="&amp;A1255)</f>
        <v>735000</v>
      </c>
      <c r="J1255" s="38" t="n">
        <f aca="false">VLOOKUP(A1255,Inputs!$F$40:$G$48,2,TRUE())</f>
        <v>0.0386433</v>
      </c>
      <c r="K1255" s="38" t="n">
        <f aca="false">J1255+Inputs!$C$10</f>
        <v>0.1061433</v>
      </c>
      <c r="L1255" s="37" t="n">
        <f aca="false">I1255*K1255/C1255</f>
        <v>213.740617808219</v>
      </c>
      <c r="M1255" s="37" t="n">
        <f aca="false">IF(AND(A1255&gt;=Inputs!$C$13,OR(A1255&lt;Inputs!$B$19,Inputs!$B$20=1)),I1255*Inputs!$C$11/C1255,0)</f>
        <v>40.2739726027397</v>
      </c>
    </row>
    <row r="1256" customFormat="false" ht="15" hidden="false" customHeight="false" outlineLevel="0" collapsed="false">
      <c r="A1256" s="35" t="n">
        <f aca="false">A1255+1</f>
        <v>46063</v>
      </c>
      <c r="B1256" s="35" t="n">
        <f aca="false">EOMONTH(A1256+1,0)</f>
        <v>46081</v>
      </c>
      <c r="C1256" s="36" t="n">
        <f aca="false">IF(MOD(YEAR(A1256),4)=0,366,365)</f>
        <v>365</v>
      </c>
      <c r="D1256" s="37" t="n">
        <f aca="false">Inputs!$B$9-SUMIFS(Cash_Events!$G$6:$G$20,Cash_Events!$C$6:$C$20,"rAGMF",Cash_Events!$B$6:$B$20,"&lt;="&amp;A1256)</f>
        <v>735000</v>
      </c>
      <c r="E1256" s="38" t="n">
        <f aca="false">VLOOKUP(A1256,Inputs!$A$40:$B$48,2,TRUE())</f>
        <v>0.0396676</v>
      </c>
      <c r="F1256" s="38" t="n">
        <f aca="false">E1256+Inputs!$B$10</f>
        <v>0.1071676</v>
      </c>
      <c r="G1256" s="37" t="n">
        <f aca="false">D1256*F1256/C1256</f>
        <v>215.803249315068</v>
      </c>
      <c r="H1256" s="37" t="n">
        <f aca="false">IF(AND(A1256&gt;=Inputs!$B$13,OR(A1256&lt;Inputs!$B$19,Inputs!$B$20=1)),D1256*Inputs!$B$11/C1256,0)</f>
        <v>40.2739726027397</v>
      </c>
      <c r="I1256" s="37" t="n">
        <f aca="false">Inputs!$C$9-SUMIFS(Cash_Events!$G$6:$G$20,Cash_Events!$C$6:$C$20,"FHL",Cash_Events!$B$6:$B$20,"&lt;="&amp;A1256)</f>
        <v>735000</v>
      </c>
      <c r="J1256" s="38" t="n">
        <f aca="false">VLOOKUP(A1256,Inputs!$F$40:$G$48,2,TRUE())</f>
        <v>0.0386433</v>
      </c>
      <c r="K1256" s="38" t="n">
        <f aca="false">J1256+Inputs!$C$10</f>
        <v>0.1061433</v>
      </c>
      <c r="L1256" s="37" t="n">
        <f aca="false">I1256*K1256/C1256</f>
        <v>213.740617808219</v>
      </c>
      <c r="M1256" s="37" t="n">
        <f aca="false">IF(AND(A1256&gt;=Inputs!$C$13,OR(A1256&lt;Inputs!$B$19,Inputs!$B$20=1)),I1256*Inputs!$C$11/C1256,0)</f>
        <v>40.2739726027397</v>
      </c>
    </row>
    <row r="1257" customFormat="false" ht="15" hidden="false" customHeight="false" outlineLevel="0" collapsed="false">
      <c r="A1257" s="35" t="n">
        <f aca="false">A1256+1</f>
        <v>46064</v>
      </c>
      <c r="B1257" s="35" t="n">
        <f aca="false">EOMONTH(A1257+1,0)</f>
        <v>46081</v>
      </c>
      <c r="C1257" s="36" t="n">
        <f aca="false">IF(MOD(YEAR(A1257),4)=0,366,365)</f>
        <v>365</v>
      </c>
      <c r="D1257" s="37" t="n">
        <f aca="false">Inputs!$B$9-SUMIFS(Cash_Events!$G$6:$G$20,Cash_Events!$C$6:$C$20,"rAGMF",Cash_Events!$B$6:$B$20,"&lt;="&amp;A1257)</f>
        <v>735000</v>
      </c>
      <c r="E1257" s="38" t="n">
        <f aca="false">VLOOKUP(A1257,Inputs!$A$40:$B$48,2,TRUE())</f>
        <v>0.0396676</v>
      </c>
      <c r="F1257" s="38" t="n">
        <f aca="false">E1257+Inputs!$B$10</f>
        <v>0.1071676</v>
      </c>
      <c r="G1257" s="37" t="n">
        <f aca="false">D1257*F1257/C1257</f>
        <v>215.803249315068</v>
      </c>
      <c r="H1257" s="37" t="n">
        <f aca="false">IF(AND(A1257&gt;=Inputs!$B$13,OR(A1257&lt;Inputs!$B$19,Inputs!$B$20=1)),D1257*Inputs!$B$11/C1257,0)</f>
        <v>40.2739726027397</v>
      </c>
      <c r="I1257" s="37" t="n">
        <f aca="false">Inputs!$C$9-SUMIFS(Cash_Events!$G$6:$G$20,Cash_Events!$C$6:$C$20,"FHL",Cash_Events!$B$6:$B$20,"&lt;="&amp;A1257)</f>
        <v>735000</v>
      </c>
      <c r="J1257" s="38" t="n">
        <f aca="false">VLOOKUP(A1257,Inputs!$F$40:$G$48,2,TRUE())</f>
        <v>0.0386433</v>
      </c>
      <c r="K1257" s="38" t="n">
        <f aca="false">J1257+Inputs!$C$10</f>
        <v>0.1061433</v>
      </c>
      <c r="L1257" s="37" t="n">
        <f aca="false">I1257*K1257/C1257</f>
        <v>213.740617808219</v>
      </c>
      <c r="M1257" s="37" t="n">
        <f aca="false">IF(AND(A1257&gt;=Inputs!$C$13,OR(A1257&lt;Inputs!$B$19,Inputs!$B$20=1)),I1257*Inputs!$C$11/C1257,0)</f>
        <v>40.2739726027397</v>
      </c>
    </row>
    <row r="1258" customFormat="false" ht="15" hidden="false" customHeight="false" outlineLevel="0" collapsed="false">
      <c r="A1258" s="35" t="n">
        <f aca="false">A1257+1</f>
        <v>46065</v>
      </c>
      <c r="B1258" s="35" t="n">
        <f aca="false">EOMONTH(A1258+1,0)</f>
        <v>46081</v>
      </c>
      <c r="C1258" s="36" t="n">
        <f aca="false">IF(MOD(YEAR(A1258),4)=0,366,365)</f>
        <v>365</v>
      </c>
      <c r="D1258" s="37" t="n">
        <f aca="false">Inputs!$B$9-SUMIFS(Cash_Events!$G$6:$G$20,Cash_Events!$C$6:$C$20,"rAGMF",Cash_Events!$B$6:$B$20,"&lt;="&amp;A1258)</f>
        <v>735000</v>
      </c>
      <c r="E1258" s="38" t="n">
        <f aca="false">VLOOKUP(A1258,Inputs!$A$40:$B$48,2,TRUE())</f>
        <v>0.0396676</v>
      </c>
      <c r="F1258" s="38" t="n">
        <f aca="false">E1258+Inputs!$B$10</f>
        <v>0.1071676</v>
      </c>
      <c r="G1258" s="37" t="n">
        <f aca="false">D1258*F1258/C1258</f>
        <v>215.803249315068</v>
      </c>
      <c r="H1258" s="37" t="n">
        <f aca="false">IF(AND(A1258&gt;=Inputs!$B$13,OR(A1258&lt;Inputs!$B$19,Inputs!$B$20=1)),D1258*Inputs!$B$11/C1258,0)</f>
        <v>40.2739726027397</v>
      </c>
      <c r="I1258" s="37" t="n">
        <f aca="false">Inputs!$C$9-SUMIFS(Cash_Events!$G$6:$G$20,Cash_Events!$C$6:$C$20,"FHL",Cash_Events!$B$6:$B$20,"&lt;="&amp;A1258)</f>
        <v>735000</v>
      </c>
      <c r="J1258" s="38" t="n">
        <f aca="false">VLOOKUP(A1258,Inputs!$F$40:$G$48,2,TRUE())</f>
        <v>0.0386433</v>
      </c>
      <c r="K1258" s="38" t="n">
        <f aca="false">J1258+Inputs!$C$10</f>
        <v>0.1061433</v>
      </c>
      <c r="L1258" s="37" t="n">
        <f aca="false">I1258*K1258/C1258</f>
        <v>213.740617808219</v>
      </c>
      <c r="M1258" s="37" t="n">
        <f aca="false">IF(AND(A1258&gt;=Inputs!$C$13,OR(A1258&lt;Inputs!$B$19,Inputs!$B$20=1)),I1258*Inputs!$C$11/C1258,0)</f>
        <v>40.2739726027397</v>
      </c>
    </row>
    <row r="1259" customFormat="false" ht="15" hidden="false" customHeight="false" outlineLevel="0" collapsed="false">
      <c r="A1259" s="35" t="n">
        <f aca="false">A1258+1</f>
        <v>46066</v>
      </c>
      <c r="B1259" s="35" t="n">
        <f aca="false">EOMONTH(A1259+1,0)</f>
        <v>46081</v>
      </c>
      <c r="C1259" s="36" t="n">
        <f aca="false">IF(MOD(YEAR(A1259),4)=0,366,365)</f>
        <v>365</v>
      </c>
      <c r="D1259" s="37" t="n">
        <f aca="false">Inputs!$B$9-SUMIFS(Cash_Events!$G$6:$G$20,Cash_Events!$C$6:$C$20,"rAGMF",Cash_Events!$B$6:$B$20,"&lt;="&amp;A1259)</f>
        <v>735000</v>
      </c>
      <c r="E1259" s="38" t="n">
        <f aca="false">VLOOKUP(A1259,Inputs!$A$40:$B$48,2,TRUE())</f>
        <v>0.0396676</v>
      </c>
      <c r="F1259" s="38" t="n">
        <f aca="false">E1259+Inputs!$B$10</f>
        <v>0.1071676</v>
      </c>
      <c r="G1259" s="37" t="n">
        <f aca="false">D1259*F1259/C1259</f>
        <v>215.803249315068</v>
      </c>
      <c r="H1259" s="37" t="n">
        <f aca="false">IF(AND(A1259&gt;=Inputs!$B$13,OR(A1259&lt;Inputs!$B$19,Inputs!$B$20=1)),D1259*Inputs!$B$11/C1259,0)</f>
        <v>40.2739726027397</v>
      </c>
      <c r="I1259" s="37" t="n">
        <f aca="false">Inputs!$C$9-SUMIFS(Cash_Events!$G$6:$G$20,Cash_Events!$C$6:$C$20,"FHL",Cash_Events!$B$6:$B$20,"&lt;="&amp;A1259)</f>
        <v>735000</v>
      </c>
      <c r="J1259" s="38" t="n">
        <f aca="false">VLOOKUP(A1259,Inputs!$F$40:$G$48,2,TRUE())</f>
        <v>0.0386433</v>
      </c>
      <c r="K1259" s="38" t="n">
        <f aca="false">J1259+Inputs!$C$10</f>
        <v>0.1061433</v>
      </c>
      <c r="L1259" s="37" t="n">
        <f aca="false">I1259*K1259/C1259</f>
        <v>213.740617808219</v>
      </c>
      <c r="M1259" s="37" t="n">
        <f aca="false">IF(AND(A1259&gt;=Inputs!$C$13,OR(A1259&lt;Inputs!$B$19,Inputs!$B$20=1)),I1259*Inputs!$C$11/C1259,0)</f>
        <v>40.2739726027397</v>
      </c>
    </row>
    <row r="1260" customFormat="false" ht="15" hidden="false" customHeight="false" outlineLevel="0" collapsed="false">
      <c r="A1260" s="35" t="n">
        <f aca="false">A1259+1</f>
        <v>46067</v>
      </c>
      <c r="B1260" s="35" t="n">
        <f aca="false">EOMONTH(A1260+1,0)</f>
        <v>46081</v>
      </c>
      <c r="C1260" s="36" t="n">
        <f aca="false">IF(MOD(YEAR(A1260),4)=0,366,365)</f>
        <v>365</v>
      </c>
      <c r="D1260" s="37" t="n">
        <f aca="false">Inputs!$B$9-SUMIFS(Cash_Events!$G$6:$G$20,Cash_Events!$C$6:$C$20,"rAGMF",Cash_Events!$B$6:$B$20,"&lt;="&amp;A1260)</f>
        <v>735000</v>
      </c>
      <c r="E1260" s="38" t="n">
        <f aca="false">VLOOKUP(A1260,Inputs!$A$40:$B$48,2,TRUE())</f>
        <v>0.0396676</v>
      </c>
      <c r="F1260" s="38" t="n">
        <f aca="false">E1260+Inputs!$B$10</f>
        <v>0.1071676</v>
      </c>
      <c r="G1260" s="37" t="n">
        <f aca="false">D1260*F1260/C1260</f>
        <v>215.803249315068</v>
      </c>
      <c r="H1260" s="37" t="n">
        <f aca="false">IF(AND(A1260&gt;=Inputs!$B$13,OR(A1260&lt;Inputs!$B$19,Inputs!$B$20=1)),D1260*Inputs!$B$11/C1260,0)</f>
        <v>40.2739726027397</v>
      </c>
      <c r="I1260" s="37" t="n">
        <f aca="false">Inputs!$C$9-SUMIFS(Cash_Events!$G$6:$G$20,Cash_Events!$C$6:$C$20,"FHL",Cash_Events!$B$6:$B$20,"&lt;="&amp;A1260)</f>
        <v>735000</v>
      </c>
      <c r="J1260" s="38" t="n">
        <f aca="false">VLOOKUP(A1260,Inputs!$F$40:$G$48,2,TRUE())</f>
        <v>0.0386433</v>
      </c>
      <c r="K1260" s="38" t="n">
        <f aca="false">J1260+Inputs!$C$10</f>
        <v>0.1061433</v>
      </c>
      <c r="L1260" s="37" t="n">
        <f aca="false">I1260*K1260/C1260</f>
        <v>213.740617808219</v>
      </c>
      <c r="M1260" s="37" t="n">
        <f aca="false">IF(AND(A1260&gt;=Inputs!$C$13,OR(A1260&lt;Inputs!$B$19,Inputs!$B$20=1)),I1260*Inputs!$C$11/C1260,0)</f>
        <v>40.2739726027397</v>
      </c>
    </row>
    <row r="1261" customFormat="false" ht="15" hidden="false" customHeight="false" outlineLevel="0" collapsed="false">
      <c r="A1261" s="35" t="n">
        <f aca="false">A1260+1</f>
        <v>46068</v>
      </c>
      <c r="B1261" s="35" t="n">
        <f aca="false">EOMONTH(A1261+1,0)</f>
        <v>46081</v>
      </c>
      <c r="C1261" s="36" t="n">
        <f aca="false">IF(MOD(YEAR(A1261),4)=0,366,365)</f>
        <v>365</v>
      </c>
      <c r="D1261" s="37" t="n">
        <f aca="false">Inputs!$B$9-SUMIFS(Cash_Events!$G$6:$G$20,Cash_Events!$C$6:$C$20,"rAGMF",Cash_Events!$B$6:$B$20,"&lt;="&amp;A1261)</f>
        <v>735000</v>
      </c>
      <c r="E1261" s="38" t="n">
        <f aca="false">VLOOKUP(A1261,Inputs!$A$40:$B$48,2,TRUE())</f>
        <v>0.0396676</v>
      </c>
      <c r="F1261" s="38" t="n">
        <f aca="false">E1261+Inputs!$B$10</f>
        <v>0.1071676</v>
      </c>
      <c r="G1261" s="37" t="n">
        <f aca="false">D1261*F1261/C1261</f>
        <v>215.803249315068</v>
      </c>
      <c r="H1261" s="37" t="n">
        <f aca="false">IF(AND(A1261&gt;=Inputs!$B$13,OR(A1261&lt;Inputs!$B$19,Inputs!$B$20=1)),D1261*Inputs!$B$11/C1261,0)</f>
        <v>40.2739726027397</v>
      </c>
      <c r="I1261" s="37" t="n">
        <f aca="false">Inputs!$C$9-SUMIFS(Cash_Events!$G$6:$G$20,Cash_Events!$C$6:$C$20,"FHL",Cash_Events!$B$6:$B$20,"&lt;="&amp;A1261)</f>
        <v>735000</v>
      </c>
      <c r="J1261" s="38" t="n">
        <f aca="false">VLOOKUP(A1261,Inputs!$F$40:$G$48,2,TRUE())</f>
        <v>0.0386433</v>
      </c>
      <c r="K1261" s="38" t="n">
        <f aca="false">J1261+Inputs!$C$10</f>
        <v>0.1061433</v>
      </c>
      <c r="L1261" s="37" t="n">
        <f aca="false">I1261*K1261/C1261</f>
        <v>213.740617808219</v>
      </c>
      <c r="M1261" s="37" t="n">
        <f aca="false">IF(AND(A1261&gt;=Inputs!$C$13,OR(A1261&lt;Inputs!$B$19,Inputs!$B$20=1)),I1261*Inputs!$C$11/C1261,0)</f>
        <v>40.2739726027397</v>
      </c>
    </row>
    <row r="1262" customFormat="false" ht="15" hidden="false" customHeight="false" outlineLevel="0" collapsed="false">
      <c r="A1262" s="35" t="n">
        <f aca="false">A1261+1</f>
        <v>46069</v>
      </c>
      <c r="B1262" s="35" t="n">
        <f aca="false">EOMONTH(A1262+1,0)</f>
        <v>46081</v>
      </c>
      <c r="C1262" s="36" t="n">
        <f aca="false">IF(MOD(YEAR(A1262),4)=0,366,365)</f>
        <v>365</v>
      </c>
      <c r="D1262" s="37" t="n">
        <f aca="false">Inputs!$B$9-SUMIFS(Cash_Events!$G$6:$G$20,Cash_Events!$C$6:$C$20,"rAGMF",Cash_Events!$B$6:$B$20,"&lt;="&amp;A1262)</f>
        <v>735000</v>
      </c>
      <c r="E1262" s="38" t="n">
        <f aca="false">VLOOKUP(A1262,Inputs!$A$40:$B$48,2,TRUE())</f>
        <v>0.0396676</v>
      </c>
      <c r="F1262" s="38" t="n">
        <f aca="false">E1262+Inputs!$B$10</f>
        <v>0.1071676</v>
      </c>
      <c r="G1262" s="37" t="n">
        <f aca="false">D1262*F1262/C1262</f>
        <v>215.803249315068</v>
      </c>
      <c r="H1262" s="37" t="n">
        <f aca="false">IF(AND(A1262&gt;=Inputs!$B$13,OR(A1262&lt;Inputs!$B$19,Inputs!$B$20=1)),D1262*Inputs!$B$11/C1262,0)</f>
        <v>40.2739726027397</v>
      </c>
      <c r="I1262" s="37" t="n">
        <f aca="false">Inputs!$C$9-SUMIFS(Cash_Events!$G$6:$G$20,Cash_Events!$C$6:$C$20,"FHL",Cash_Events!$B$6:$B$20,"&lt;="&amp;A1262)</f>
        <v>735000</v>
      </c>
      <c r="J1262" s="38" t="n">
        <f aca="false">VLOOKUP(A1262,Inputs!$F$40:$G$48,2,TRUE())</f>
        <v>0.0386433</v>
      </c>
      <c r="K1262" s="38" t="n">
        <f aca="false">J1262+Inputs!$C$10</f>
        <v>0.1061433</v>
      </c>
      <c r="L1262" s="37" t="n">
        <f aca="false">I1262*K1262/C1262</f>
        <v>213.740617808219</v>
      </c>
      <c r="M1262" s="37" t="n">
        <f aca="false">IF(AND(A1262&gt;=Inputs!$C$13,OR(A1262&lt;Inputs!$B$19,Inputs!$B$20=1)),I1262*Inputs!$C$11/C1262,0)</f>
        <v>40.2739726027397</v>
      </c>
    </row>
    <row r="1263" customFormat="false" ht="15" hidden="false" customHeight="false" outlineLevel="0" collapsed="false">
      <c r="A1263" s="35" t="n">
        <f aca="false">A1262+1</f>
        <v>46070</v>
      </c>
      <c r="B1263" s="35" t="n">
        <f aca="false">EOMONTH(A1263+1,0)</f>
        <v>46081</v>
      </c>
      <c r="C1263" s="36" t="n">
        <f aca="false">IF(MOD(YEAR(A1263),4)=0,366,365)</f>
        <v>365</v>
      </c>
      <c r="D1263" s="37" t="n">
        <f aca="false">Inputs!$B$9-SUMIFS(Cash_Events!$G$6:$G$20,Cash_Events!$C$6:$C$20,"rAGMF",Cash_Events!$B$6:$B$20,"&lt;="&amp;A1263)</f>
        <v>735000</v>
      </c>
      <c r="E1263" s="38" t="n">
        <f aca="false">VLOOKUP(A1263,Inputs!$A$40:$B$48,2,TRUE())</f>
        <v>0.0396676</v>
      </c>
      <c r="F1263" s="38" t="n">
        <f aca="false">E1263+Inputs!$B$10</f>
        <v>0.1071676</v>
      </c>
      <c r="G1263" s="37" t="n">
        <f aca="false">D1263*F1263/C1263</f>
        <v>215.803249315068</v>
      </c>
      <c r="H1263" s="37" t="n">
        <f aca="false">IF(AND(A1263&gt;=Inputs!$B$13,OR(A1263&lt;Inputs!$B$19,Inputs!$B$20=1)),D1263*Inputs!$B$11/C1263,0)</f>
        <v>40.2739726027397</v>
      </c>
      <c r="I1263" s="37" t="n">
        <f aca="false">Inputs!$C$9-SUMIFS(Cash_Events!$G$6:$G$20,Cash_Events!$C$6:$C$20,"FHL",Cash_Events!$B$6:$B$20,"&lt;="&amp;A1263)</f>
        <v>735000</v>
      </c>
      <c r="J1263" s="38" t="n">
        <f aca="false">VLOOKUP(A1263,Inputs!$F$40:$G$48,2,TRUE())</f>
        <v>0.0386433</v>
      </c>
      <c r="K1263" s="38" t="n">
        <f aca="false">J1263+Inputs!$C$10</f>
        <v>0.1061433</v>
      </c>
      <c r="L1263" s="37" t="n">
        <f aca="false">I1263*K1263/C1263</f>
        <v>213.740617808219</v>
      </c>
      <c r="M1263" s="37" t="n">
        <f aca="false">IF(AND(A1263&gt;=Inputs!$C$13,OR(A1263&lt;Inputs!$B$19,Inputs!$B$20=1)),I1263*Inputs!$C$11/C1263,0)</f>
        <v>40.2739726027397</v>
      </c>
    </row>
    <row r="1264" customFormat="false" ht="15" hidden="false" customHeight="false" outlineLevel="0" collapsed="false">
      <c r="A1264" s="35" t="n">
        <f aca="false">A1263+1</f>
        <v>46071</v>
      </c>
      <c r="B1264" s="35" t="n">
        <f aca="false">EOMONTH(A1264+1,0)</f>
        <v>46081</v>
      </c>
      <c r="C1264" s="36" t="n">
        <f aca="false">IF(MOD(YEAR(A1264),4)=0,366,365)</f>
        <v>365</v>
      </c>
      <c r="D1264" s="37" t="n">
        <f aca="false">Inputs!$B$9-SUMIFS(Cash_Events!$G$6:$G$20,Cash_Events!$C$6:$C$20,"rAGMF",Cash_Events!$B$6:$B$20,"&lt;="&amp;A1264)</f>
        <v>735000</v>
      </c>
      <c r="E1264" s="38" t="n">
        <f aca="false">VLOOKUP(A1264,Inputs!$A$40:$B$48,2,TRUE())</f>
        <v>0.0396676</v>
      </c>
      <c r="F1264" s="38" t="n">
        <f aca="false">E1264+Inputs!$B$10</f>
        <v>0.1071676</v>
      </c>
      <c r="G1264" s="37" t="n">
        <f aca="false">D1264*F1264/C1264</f>
        <v>215.803249315068</v>
      </c>
      <c r="H1264" s="37" t="n">
        <f aca="false">IF(AND(A1264&gt;=Inputs!$B$13,OR(A1264&lt;Inputs!$B$19,Inputs!$B$20=1)),D1264*Inputs!$B$11/C1264,0)</f>
        <v>40.2739726027397</v>
      </c>
      <c r="I1264" s="37" t="n">
        <f aca="false">Inputs!$C$9-SUMIFS(Cash_Events!$G$6:$G$20,Cash_Events!$C$6:$C$20,"FHL",Cash_Events!$B$6:$B$20,"&lt;="&amp;A1264)</f>
        <v>735000</v>
      </c>
      <c r="J1264" s="38" t="n">
        <f aca="false">VLOOKUP(A1264,Inputs!$F$40:$G$48,2,TRUE())</f>
        <v>0.0386433</v>
      </c>
      <c r="K1264" s="38" t="n">
        <f aca="false">J1264+Inputs!$C$10</f>
        <v>0.1061433</v>
      </c>
      <c r="L1264" s="37" t="n">
        <f aca="false">I1264*K1264/C1264</f>
        <v>213.740617808219</v>
      </c>
      <c r="M1264" s="37" t="n">
        <f aca="false">IF(AND(A1264&gt;=Inputs!$C$13,OR(A1264&lt;Inputs!$B$19,Inputs!$B$20=1)),I1264*Inputs!$C$11/C1264,0)</f>
        <v>40.2739726027397</v>
      </c>
    </row>
    <row r="1265" customFormat="false" ht="15" hidden="false" customHeight="false" outlineLevel="0" collapsed="false">
      <c r="A1265" s="35" t="n">
        <f aca="false">A1264+1</f>
        <v>46072</v>
      </c>
      <c r="B1265" s="35" t="n">
        <f aca="false">EOMONTH(A1265+1,0)</f>
        <v>46081</v>
      </c>
      <c r="C1265" s="36" t="n">
        <f aca="false">IF(MOD(YEAR(A1265),4)=0,366,365)</f>
        <v>365</v>
      </c>
      <c r="D1265" s="37" t="n">
        <f aca="false">Inputs!$B$9-SUMIFS(Cash_Events!$G$6:$G$20,Cash_Events!$C$6:$C$20,"rAGMF",Cash_Events!$B$6:$B$20,"&lt;="&amp;A1265)</f>
        <v>735000</v>
      </c>
      <c r="E1265" s="38" t="n">
        <f aca="false">VLOOKUP(A1265,Inputs!$A$40:$B$48,2,TRUE())</f>
        <v>0.0396676</v>
      </c>
      <c r="F1265" s="38" t="n">
        <f aca="false">E1265+Inputs!$B$10</f>
        <v>0.1071676</v>
      </c>
      <c r="G1265" s="37" t="n">
        <f aca="false">D1265*F1265/C1265</f>
        <v>215.803249315068</v>
      </c>
      <c r="H1265" s="37" t="n">
        <f aca="false">IF(AND(A1265&gt;=Inputs!$B$13,OR(A1265&lt;Inputs!$B$19,Inputs!$B$20=1)),D1265*Inputs!$B$11/C1265,0)</f>
        <v>40.2739726027397</v>
      </c>
      <c r="I1265" s="37" t="n">
        <f aca="false">Inputs!$C$9-SUMIFS(Cash_Events!$G$6:$G$20,Cash_Events!$C$6:$C$20,"FHL",Cash_Events!$B$6:$B$20,"&lt;="&amp;A1265)</f>
        <v>735000</v>
      </c>
      <c r="J1265" s="38" t="n">
        <f aca="false">VLOOKUP(A1265,Inputs!$F$40:$G$48,2,TRUE())</f>
        <v>0.0386433</v>
      </c>
      <c r="K1265" s="38" t="n">
        <f aca="false">J1265+Inputs!$C$10</f>
        <v>0.1061433</v>
      </c>
      <c r="L1265" s="37" t="n">
        <f aca="false">I1265*K1265/C1265</f>
        <v>213.740617808219</v>
      </c>
      <c r="M1265" s="37" t="n">
        <f aca="false">IF(AND(A1265&gt;=Inputs!$C$13,OR(A1265&lt;Inputs!$B$19,Inputs!$B$20=1)),I1265*Inputs!$C$11/C1265,0)</f>
        <v>40.2739726027397</v>
      </c>
    </row>
    <row r="1266" customFormat="false" ht="15" hidden="false" customHeight="false" outlineLevel="0" collapsed="false">
      <c r="A1266" s="35" t="n">
        <f aca="false">A1265+1</f>
        <v>46073</v>
      </c>
      <c r="B1266" s="35" t="n">
        <f aca="false">EOMONTH(A1266+1,0)</f>
        <v>46081</v>
      </c>
      <c r="C1266" s="36" t="n">
        <f aca="false">IF(MOD(YEAR(A1266),4)=0,366,365)</f>
        <v>365</v>
      </c>
      <c r="D1266" s="37" t="n">
        <f aca="false">Inputs!$B$9-SUMIFS(Cash_Events!$G$6:$G$20,Cash_Events!$C$6:$C$20,"rAGMF",Cash_Events!$B$6:$B$20,"&lt;="&amp;A1266)</f>
        <v>735000</v>
      </c>
      <c r="E1266" s="38" t="n">
        <f aca="false">VLOOKUP(A1266,Inputs!$A$40:$B$48,2,TRUE())</f>
        <v>0.0396676</v>
      </c>
      <c r="F1266" s="38" t="n">
        <f aca="false">E1266+Inputs!$B$10</f>
        <v>0.1071676</v>
      </c>
      <c r="G1266" s="37" t="n">
        <f aca="false">D1266*F1266/C1266</f>
        <v>215.803249315068</v>
      </c>
      <c r="H1266" s="37" t="n">
        <f aca="false">IF(AND(A1266&gt;=Inputs!$B$13,OR(A1266&lt;Inputs!$B$19,Inputs!$B$20=1)),D1266*Inputs!$B$11/C1266,0)</f>
        <v>40.2739726027397</v>
      </c>
      <c r="I1266" s="37" t="n">
        <f aca="false">Inputs!$C$9-SUMIFS(Cash_Events!$G$6:$G$20,Cash_Events!$C$6:$C$20,"FHL",Cash_Events!$B$6:$B$20,"&lt;="&amp;A1266)</f>
        <v>735000</v>
      </c>
      <c r="J1266" s="38" t="n">
        <f aca="false">VLOOKUP(A1266,Inputs!$F$40:$G$48,2,TRUE())</f>
        <v>0.0386433</v>
      </c>
      <c r="K1266" s="38" t="n">
        <f aca="false">J1266+Inputs!$C$10</f>
        <v>0.1061433</v>
      </c>
      <c r="L1266" s="37" t="n">
        <f aca="false">I1266*K1266/C1266</f>
        <v>213.740617808219</v>
      </c>
      <c r="M1266" s="37" t="n">
        <f aca="false">IF(AND(A1266&gt;=Inputs!$C$13,OR(A1266&lt;Inputs!$B$19,Inputs!$B$20=1)),I1266*Inputs!$C$11/C1266,0)</f>
        <v>40.2739726027397</v>
      </c>
    </row>
    <row r="1267" customFormat="false" ht="15" hidden="false" customHeight="false" outlineLevel="0" collapsed="false">
      <c r="A1267" s="35" t="n">
        <f aca="false">A1266+1</f>
        <v>46074</v>
      </c>
      <c r="B1267" s="35" t="n">
        <f aca="false">EOMONTH(A1267+1,0)</f>
        <v>46081</v>
      </c>
      <c r="C1267" s="36" t="n">
        <f aca="false">IF(MOD(YEAR(A1267),4)=0,366,365)</f>
        <v>365</v>
      </c>
      <c r="D1267" s="37" t="n">
        <f aca="false">Inputs!$B$9-SUMIFS(Cash_Events!$G$6:$G$20,Cash_Events!$C$6:$C$20,"rAGMF",Cash_Events!$B$6:$B$20,"&lt;="&amp;A1267)</f>
        <v>735000</v>
      </c>
      <c r="E1267" s="38" t="n">
        <f aca="false">VLOOKUP(A1267,Inputs!$A$40:$B$48,2,TRUE())</f>
        <v>0.0396676</v>
      </c>
      <c r="F1267" s="38" t="n">
        <f aca="false">E1267+Inputs!$B$10</f>
        <v>0.1071676</v>
      </c>
      <c r="G1267" s="37" t="n">
        <f aca="false">D1267*F1267/C1267</f>
        <v>215.803249315068</v>
      </c>
      <c r="H1267" s="37" t="n">
        <f aca="false">IF(AND(A1267&gt;=Inputs!$B$13,OR(A1267&lt;Inputs!$B$19,Inputs!$B$20=1)),D1267*Inputs!$B$11/C1267,0)</f>
        <v>40.2739726027397</v>
      </c>
      <c r="I1267" s="37" t="n">
        <f aca="false">Inputs!$C$9-SUMIFS(Cash_Events!$G$6:$G$20,Cash_Events!$C$6:$C$20,"FHL",Cash_Events!$B$6:$B$20,"&lt;="&amp;A1267)</f>
        <v>735000</v>
      </c>
      <c r="J1267" s="38" t="n">
        <f aca="false">VLOOKUP(A1267,Inputs!$F$40:$G$48,2,TRUE())</f>
        <v>0.0386433</v>
      </c>
      <c r="K1267" s="38" t="n">
        <f aca="false">J1267+Inputs!$C$10</f>
        <v>0.1061433</v>
      </c>
      <c r="L1267" s="37" t="n">
        <f aca="false">I1267*K1267/C1267</f>
        <v>213.740617808219</v>
      </c>
      <c r="M1267" s="37" t="n">
        <f aca="false">IF(AND(A1267&gt;=Inputs!$C$13,OR(A1267&lt;Inputs!$B$19,Inputs!$B$20=1)),I1267*Inputs!$C$11/C1267,0)</f>
        <v>40.2739726027397</v>
      </c>
    </row>
    <row r="1268" customFormat="false" ht="15" hidden="false" customHeight="false" outlineLevel="0" collapsed="false">
      <c r="A1268" s="35" t="n">
        <f aca="false">A1267+1</f>
        <v>46075</v>
      </c>
      <c r="B1268" s="35" t="n">
        <f aca="false">EOMONTH(A1268+1,0)</f>
        <v>46081</v>
      </c>
      <c r="C1268" s="36" t="n">
        <f aca="false">IF(MOD(YEAR(A1268),4)=0,366,365)</f>
        <v>365</v>
      </c>
      <c r="D1268" s="37" t="n">
        <f aca="false">Inputs!$B$9-SUMIFS(Cash_Events!$G$6:$G$20,Cash_Events!$C$6:$C$20,"rAGMF",Cash_Events!$B$6:$B$20,"&lt;="&amp;A1268)</f>
        <v>735000</v>
      </c>
      <c r="E1268" s="38" t="n">
        <f aca="false">VLOOKUP(A1268,Inputs!$A$40:$B$48,2,TRUE())</f>
        <v>0.0396676</v>
      </c>
      <c r="F1268" s="38" t="n">
        <f aca="false">E1268+Inputs!$B$10</f>
        <v>0.1071676</v>
      </c>
      <c r="G1268" s="37" t="n">
        <f aca="false">D1268*F1268/C1268</f>
        <v>215.803249315068</v>
      </c>
      <c r="H1268" s="37" t="n">
        <f aca="false">IF(AND(A1268&gt;=Inputs!$B$13,OR(A1268&lt;Inputs!$B$19,Inputs!$B$20=1)),D1268*Inputs!$B$11/C1268,0)</f>
        <v>40.2739726027397</v>
      </c>
      <c r="I1268" s="37" t="n">
        <f aca="false">Inputs!$C$9-SUMIFS(Cash_Events!$G$6:$G$20,Cash_Events!$C$6:$C$20,"FHL",Cash_Events!$B$6:$B$20,"&lt;="&amp;A1268)</f>
        <v>735000</v>
      </c>
      <c r="J1268" s="38" t="n">
        <f aca="false">VLOOKUP(A1268,Inputs!$F$40:$G$48,2,TRUE())</f>
        <v>0.0386433</v>
      </c>
      <c r="K1268" s="38" t="n">
        <f aca="false">J1268+Inputs!$C$10</f>
        <v>0.1061433</v>
      </c>
      <c r="L1268" s="37" t="n">
        <f aca="false">I1268*K1268/C1268</f>
        <v>213.740617808219</v>
      </c>
      <c r="M1268" s="37" t="n">
        <f aca="false">IF(AND(A1268&gt;=Inputs!$C$13,OR(A1268&lt;Inputs!$B$19,Inputs!$B$20=1)),I1268*Inputs!$C$11/C1268,0)</f>
        <v>40.2739726027397</v>
      </c>
    </row>
    <row r="1269" customFormat="false" ht="15" hidden="false" customHeight="false" outlineLevel="0" collapsed="false">
      <c r="A1269" s="35" t="n">
        <f aca="false">A1268+1</f>
        <v>46076</v>
      </c>
      <c r="B1269" s="35" t="n">
        <f aca="false">EOMONTH(A1269+1,0)</f>
        <v>46081</v>
      </c>
      <c r="C1269" s="36" t="n">
        <f aca="false">IF(MOD(YEAR(A1269),4)=0,366,365)</f>
        <v>365</v>
      </c>
      <c r="D1269" s="37" t="n">
        <f aca="false">Inputs!$B$9-SUMIFS(Cash_Events!$G$6:$G$20,Cash_Events!$C$6:$C$20,"rAGMF",Cash_Events!$B$6:$B$20,"&lt;="&amp;A1269)</f>
        <v>735000</v>
      </c>
      <c r="E1269" s="38" t="n">
        <f aca="false">VLOOKUP(A1269,Inputs!$A$40:$B$48,2,TRUE())</f>
        <v>0.0396676</v>
      </c>
      <c r="F1269" s="38" t="n">
        <f aca="false">E1269+Inputs!$B$10</f>
        <v>0.1071676</v>
      </c>
      <c r="G1269" s="37" t="n">
        <f aca="false">D1269*F1269/C1269</f>
        <v>215.803249315068</v>
      </c>
      <c r="H1269" s="37" t="n">
        <f aca="false">IF(AND(A1269&gt;=Inputs!$B$13,OR(A1269&lt;Inputs!$B$19,Inputs!$B$20=1)),D1269*Inputs!$B$11/C1269,0)</f>
        <v>40.2739726027397</v>
      </c>
      <c r="I1269" s="37" t="n">
        <f aca="false">Inputs!$C$9-SUMIFS(Cash_Events!$G$6:$G$20,Cash_Events!$C$6:$C$20,"FHL",Cash_Events!$B$6:$B$20,"&lt;="&amp;A1269)</f>
        <v>735000</v>
      </c>
      <c r="J1269" s="38" t="n">
        <f aca="false">VLOOKUP(A1269,Inputs!$F$40:$G$48,2,TRUE())</f>
        <v>0.0386433</v>
      </c>
      <c r="K1269" s="38" t="n">
        <f aca="false">J1269+Inputs!$C$10</f>
        <v>0.1061433</v>
      </c>
      <c r="L1269" s="37" t="n">
        <f aca="false">I1269*K1269/C1269</f>
        <v>213.740617808219</v>
      </c>
      <c r="M1269" s="37" t="n">
        <f aca="false">IF(AND(A1269&gt;=Inputs!$C$13,OR(A1269&lt;Inputs!$B$19,Inputs!$B$20=1)),I1269*Inputs!$C$11/C1269,0)</f>
        <v>40.2739726027397</v>
      </c>
    </row>
    <row r="1270" customFormat="false" ht="15" hidden="false" customHeight="false" outlineLevel="0" collapsed="false">
      <c r="A1270" s="35" t="n">
        <f aca="false">A1269+1</f>
        <v>46077</v>
      </c>
      <c r="B1270" s="35" t="n">
        <f aca="false">EOMONTH(A1270+1,0)</f>
        <v>46081</v>
      </c>
      <c r="C1270" s="36" t="n">
        <f aca="false">IF(MOD(YEAR(A1270),4)=0,366,365)</f>
        <v>365</v>
      </c>
      <c r="D1270" s="37" t="n">
        <f aca="false">Inputs!$B$9-SUMIFS(Cash_Events!$G$6:$G$20,Cash_Events!$C$6:$C$20,"rAGMF",Cash_Events!$B$6:$B$20,"&lt;="&amp;A1270)</f>
        <v>735000</v>
      </c>
      <c r="E1270" s="38" t="n">
        <f aca="false">VLOOKUP(A1270,Inputs!$A$40:$B$48,2,TRUE())</f>
        <v>0.0396676</v>
      </c>
      <c r="F1270" s="38" t="n">
        <f aca="false">E1270+Inputs!$B$10</f>
        <v>0.1071676</v>
      </c>
      <c r="G1270" s="37" t="n">
        <f aca="false">D1270*F1270/C1270</f>
        <v>215.803249315068</v>
      </c>
      <c r="H1270" s="37" t="n">
        <f aca="false">IF(AND(A1270&gt;=Inputs!$B$13,OR(A1270&lt;Inputs!$B$19,Inputs!$B$20=1)),D1270*Inputs!$B$11/C1270,0)</f>
        <v>40.2739726027397</v>
      </c>
      <c r="I1270" s="37" t="n">
        <f aca="false">Inputs!$C$9-SUMIFS(Cash_Events!$G$6:$G$20,Cash_Events!$C$6:$C$20,"FHL",Cash_Events!$B$6:$B$20,"&lt;="&amp;A1270)</f>
        <v>735000</v>
      </c>
      <c r="J1270" s="38" t="n">
        <f aca="false">VLOOKUP(A1270,Inputs!$F$40:$G$48,2,TRUE())</f>
        <v>0.0386433</v>
      </c>
      <c r="K1270" s="38" t="n">
        <f aca="false">J1270+Inputs!$C$10</f>
        <v>0.1061433</v>
      </c>
      <c r="L1270" s="37" t="n">
        <f aca="false">I1270*K1270/C1270</f>
        <v>213.740617808219</v>
      </c>
      <c r="M1270" s="37" t="n">
        <f aca="false">IF(AND(A1270&gt;=Inputs!$C$13,OR(A1270&lt;Inputs!$B$19,Inputs!$B$20=1)),I1270*Inputs!$C$11/C1270,0)</f>
        <v>40.2739726027397</v>
      </c>
    </row>
    <row r="1271" customFormat="false" ht="15" hidden="false" customHeight="false" outlineLevel="0" collapsed="false">
      <c r="A1271" s="35" t="n">
        <f aca="false">A1270+1</f>
        <v>46078</v>
      </c>
      <c r="B1271" s="35" t="n">
        <f aca="false">EOMONTH(A1271+1,0)</f>
        <v>46081</v>
      </c>
      <c r="C1271" s="36" t="n">
        <f aca="false">IF(MOD(YEAR(A1271),4)=0,366,365)</f>
        <v>365</v>
      </c>
      <c r="D1271" s="37" t="n">
        <f aca="false">Inputs!$B$9-SUMIFS(Cash_Events!$G$6:$G$20,Cash_Events!$C$6:$C$20,"rAGMF",Cash_Events!$B$6:$B$20,"&lt;="&amp;A1271)</f>
        <v>735000</v>
      </c>
      <c r="E1271" s="38" t="n">
        <f aca="false">VLOOKUP(A1271,Inputs!$A$40:$B$48,2,TRUE())</f>
        <v>0.0396676</v>
      </c>
      <c r="F1271" s="38" t="n">
        <f aca="false">E1271+Inputs!$B$10</f>
        <v>0.1071676</v>
      </c>
      <c r="G1271" s="37" t="n">
        <f aca="false">D1271*F1271/C1271</f>
        <v>215.803249315068</v>
      </c>
      <c r="H1271" s="37" t="n">
        <f aca="false">IF(AND(A1271&gt;=Inputs!$B$13,OR(A1271&lt;Inputs!$B$19,Inputs!$B$20=1)),D1271*Inputs!$B$11/C1271,0)</f>
        <v>40.2739726027397</v>
      </c>
      <c r="I1271" s="37" t="n">
        <f aca="false">Inputs!$C$9-SUMIFS(Cash_Events!$G$6:$G$20,Cash_Events!$C$6:$C$20,"FHL",Cash_Events!$B$6:$B$20,"&lt;="&amp;A1271)</f>
        <v>735000</v>
      </c>
      <c r="J1271" s="38" t="n">
        <f aca="false">VLOOKUP(A1271,Inputs!$F$40:$G$48,2,TRUE())</f>
        <v>0.0386433</v>
      </c>
      <c r="K1271" s="38" t="n">
        <f aca="false">J1271+Inputs!$C$10</f>
        <v>0.1061433</v>
      </c>
      <c r="L1271" s="37" t="n">
        <f aca="false">I1271*K1271/C1271</f>
        <v>213.740617808219</v>
      </c>
      <c r="M1271" s="37" t="n">
        <f aca="false">IF(AND(A1271&gt;=Inputs!$C$13,OR(A1271&lt;Inputs!$B$19,Inputs!$B$20=1)),I1271*Inputs!$C$11/C1271,0)</f>
        <v>40.2739726027397</v>
      </c>
    </row>
    <row r="1272" customFormat="false" ht="15" hidden="false" customHeight="false" outlineLevel="0" collapsed="false">
      <c r="A1272" s="35" t="n">
        <f aca="false">A1271+1</f>
        <v>46079</v>
      </c>
      <c r="B1272" s="35" t="n">
        <f aca="false">EOMONTH(A1272+1,0)</f>
        <v>46081</v>
      </c>
      <c r="C1272" s="36" t="n">
        <f aca="false">IF(MOD(YEAR(A1272),4)=0,366,365)</f>
        <v>365</v>
      </c>
      <c r="D1272" s="37" t="n">
        <f aca="false">Inputs!$B$9-SUMIFS(Cash_Events!$G$6:$G$20,Cash_Events!$C$6:$C$20,"rAGMF",Cash_Events!$B$6:$B$20,"&lt;="&amp;A1272)</f>
        <v>735000</v>
      </c>
      <c r="E1272" s="38" t="n">
        <f aca="false">VLOOKUP(A1272,Inputs!$A$40:$B$48,2,TRUE())</f>
        <v>0.0396676</v>
      </c>
      <c r="F1272" s="38" t="n">
        <f aca="false">E1272+Inputs!$B$10</f>
        <v>0.1071676</v>
      </c>
      <c r="G1272" s="37" t="n">
        <f aca="false">D1272*F1272/C1272</f>
        <v>215.803249315068</v>
      </c>
      <c r="H1272" s="37" t="n">
        <f aca="false">IF(AND(A1272&gt;=Inputs!$B$13,OR(A1272&lt;Inputs!$B$19,Inputs!$B$20=1)),D1272*Inputs!$B$11/C1272,0)</f>
        <v>40.2739726027397</v>
      </c>
      <c r="I1272" s="37" t="n">
        <f aca="false">Inputs!$C$9-SUMIFS(Cash_Events!$G$6:$G$20,Cash_Events!$C$6:$C$20,"FHL",Cash_Events!$B$6:$B$20,"&lt;="&amp;A1272)</f>
        <v>735000</v>
      </c>
      <c r="J1272" s="38" t="n">
        <f aca="false">VLOOKUP(A1272,Inputs!$F$40:$G$48,2,TRUE())</f>
        <v>0.0386433</v>
      </c>
      <c r="K1272" s="38" t="n">
        <f aca="false">J1272+Inputs!$C$10</f>
        <v>0.1061433</v>
      </c>
      <c r="L1272" s="37" t="n">
        <f aca="false">I1272*K1272/C1272</f>
        <v>213.740617808219</v>
      </c>
      <c r="M1272" s="37" t="n">
        <f aca="false">IF(AND(A1272&gt;=Inputs!$C$13,OR(A1272&lt;Inputs!$B$19,Inputs!$B$20=1)),I1272*Inputs!$C$11/C1272,0)</f>
        <v>40.2739726027397</v>
      </c>
    </row>
    <row r="1273" customFormat="false" ht="15" hidden="false" customHeight="false" outlineLevel="0" collapsed="false">
      <c r="A1273" s="35" t="n">
        <f aca="false">A1272+1</f>
        <v>46080</v>
      </c>
      <c r="B1273" s="35" t="n">
        <f aca="false">EOMONTH(A1273+1,0)</f>
        <v>46081</v>
      </c>
      <c r="C1273" s="36" t="n">
        <f aca="false">IF(MOD(YEAR(A1273),4)=0,366,365)</f>
        <v>365</v>
      </c>
      <c r="D1273" s="37" t="n">
        <f aca="false">Inputs!$B$9-SUMIFS(Cash_Events!$G$6:$G$20,Cash_Events!$C$6:$C$20,"rAGMF",Cash_Events!$B$6:$B$20,"&lt;="&amp;A1273)</f>
        <v>735000</v>
      </c>
      <c r="E1273" s="38" t="n">
        <f aca="false">VLOOKUP(A1273,Inputs!$A$40:$B$48,2,TRUE())</f>
        <v>0.0396676</v>
      </c>
      <c r="F1273" s="38" t="n">
        <f aca="false">E1273+Inputs!$B$10</f>
        <v>0.1071676</v>
      </c>
      <c r="G1273" s="37" t="n">
        <f aca="false">D1273*F1273/C1273</f>
        <v>215.803249315068</v>
      </c>
      <c r="H1273" s="37" t="n">
        <f aca="false">IF(AND(A1273&gt;=Inputs!$B$13,OR(A1273&lt;Inputs!$B$19,Inputs!$B$20=1)),D1273*Inputs!$B$11/C1273,0)</f>
        <v>40.2739726027397</v>
      </c>
      <c r="I1273" s="37" t="n">
        <f aca="false">Inputs!$C$9-SUMIFS(Cash_Events!$G$6:$G$20,Cash_Events!$C$6:$C$20,"FHL",Cash_Events!$B$6:$B$20,"&lt;="&amp;A1273)</f>
        <v>735000</v>
      </c>
      <c r="J1273" s="38" t="n">
        <f aca="false">VLOOKUP(A1273,Inputs!$F$40:$G$48,2,TRUE())</f>
        <v>0.0386433</v>
      </c>
      <c r="K1273" s="38" t="n">
        <f aca="false">J1273+Inputs!$C$10</f>
        <v>0.1061433</v>
      </c>
      <c r="L1273" s="37" t="n">
        <f aca="false">I1273*K1273/C1273</f>
        <v>213.740617808219</v>
      </c>
      <c r="M1273" s="37" t="n">
        <f aca="false">IF(AND(A1273&gt;=Inputs!$C$13,OR(A1273&lt;Inputs!$B$19,Inputs!$B$20=1)),I1273*Inputs!$C$11/C1273,0)</f>
        <v>40.2739726027397</v>
      </c>
    </row>
    <row r="1274" customFormat="false" ht="15" hidden="false" customHeight="false" outlineLevel="0" collapsed="false">
      <c r="A1274" s="35" t="n">
        <f aca="false">A1273+1</f>
        <v>46081</v>
      </c>
      <c r="B1274" s="35" t="n">
        <f aca="false">EOMONTH(A1274+1,0)</f>
        <v>46112</v>
      </c>
      <c r="C1274" s="36" t="n">
        <f aca="false">IF(MOD(YEAR(A1274),4)=0,366,365)</f>
        <v>365</v>
      </c>
      <c r="D1274" s="37" t="n">
        <f aca="false">Inputs!$B$9-SUMIFS(Cash_Events!$G$6:$G$20,Cash_Events!$C$6:$C$20,"rAGMF",Cash_Events!$B$6:$B$20,"&lt;="&amp;A1274)</f>
        <v>735000</v>
      </c>
      <c r="E1274" s="38" t="n">
        <f aca="false">VLOOKUP(A1274,Inputs!$A$40:$B$48,2,TRUE())</f>
        <v>0.0396676</v>
      </c>
      <c r="F1274" s="38" t="n">
        <f aca="false">E1274+Inputs!$B$10</f>
        <v>0.1071676</v>
      </c>
      <c r="G1274" s="37" t="n">
        <f aca="false">D1274*F1274/C1274</f>
        <v>215.803249315068</v>
      </c>
      <c r="H1274" s="37" t="n">
        <f aca="false">IF(AND(A1274&gt;=Inputs!$B$13,OR(A1274&lt;Inputs!$B$19,Inputs!$B$20=1)),D1274*Inputs!$B$11/C1274,0)</f>
        <v>40.2739726027397</v>
      </c>
      <c r="I1274" s="37" t="n">
        <f aca="false">Inputs!$C$9-SUMIFS(Cash_Events!$G$6:$G$20,Cash_Events!$C$6:$C$20,"FHL",Cash_Events!$B$6:$B$20,"&lt;="&amp;A1274)</f>
        <v>735000</v>
      </c>
      <c r="J1274" s="38" t="n">
        <f aca="false">VLOOKUP(A1274,Inputs!$F$40:$G$48,2,TRUE())</f>
        <v>0.0386433</v>
      </c>
      <c r="K1274" s="38" t="n">
        <f aca="false">J1274+Inputs!$C$10</f>
        <v>0.1061433</v>
      </c>
      <c r="L1274" s="37" t="n">
        <f aca="false">I1274*K1274/C1274</f>
        <v>213.740617808219</v>
      </c>
      <c r="M1274" s="37" t="n">
        <f aca="false">IF(AND(A1274&gt;=Inputs!$C$13,OR(A1274&lt;Inputs!$B$19,Inputs!$B$20=1)),I1274*Inputs!$C$11/C1274,0)</f>
        <v>40.2739726027397</v>
      </c>
    </row>
    <row r="1275" customFormat="false" ht="15" hidden="false" customHeight="false" outlineLevel="0" collapsed="false">
      <c r="A1275" s="35" t="n">
        <f aca="false">A1274+1</f>
        <v>46082</v>
      </c>
      <c r="B1275" s="35" t="n">
        <f aca="false">EOMONTH(A1275+1,0)</f>
        <v>46112</v>
      </c>
      <c r="C1275" s="36" t="n">
        <f aca="false">IF(MOD(YEAR(A1275),4)=0,366,365)</f>
        <v>365</v>
      </c>
      <c r="D1275" s="37" t="n">
        <f aca="false">Inputs!$B$9-SUMIFS(Cash_Events!$G$6:$G$20,Cash_Events!$C$6:$C$20,"rAGMF",Cash_Events!$B$6:$B$20,"&lt;="&amp;A1275)</f>
        <v>735000</v>
      </c>
      <c r="E1275" s="38" t="n">
        <f aca="false">VLOOKUP(A1275,Inputs!$A$40:$B$48,2,TRUE())</f>
        <v>0.0396676</v>
      </c>
      <c r="F1275" s="38" t="n">
        <f aca="false">E1275+Inputs!$B$10</f>
        <v>0.1071676</v>
      </c>
      <c r="G1275" s="37" t="n">
        <f aca="false">D1275*F1275/C1275</f>
        <v>215.803249315068</v>
      </c>
      <c r="H1275" s="37" t="n">
        <f aca="false">IF(AND(A1275&gt;=Inputs!$B$13,OR(A1275&lt;Inputs!$B$19,Inputs!$B$20=1)),D1275*Inputs!$B$11/C1275,0)</f>
        <v>40.2739726027397</v>
      </c>
      <c r="I1275" s="37" t="n">
        <f aca="false">Inputs!$C$9-SUMIFS(Cash_Events!$G$6:$G$20,Cash_Events!$C$6:$C$20,"FHL",Cash_Events!$B$6:$B$20,"&lt;="&amp;A1275)</f>
        <v>735000</v>
      </c>
      <c r="J1275" s="38" t="n">
        <f aca="false">VLOOKUP(A1275,Inputs!$F$40:$G$48,2,TRUE())</f>
        <v>0.0386433</v>
      </c>
      <c r="K1275" s="38" t="n">
        <f aca="false">J1275+Inputs!$C$10</f>
        <v>0.1061433</v>
      </c>
      <c r="L1275" s="37" t="n">
        <f aca="false">I1275*K1275/C1275</f>
        <v>213.740617808219</v>
      </c>
      <c r="M1275" s="37" t="n">
        <f aca="false">IF(AND(A1275&gt;=Inputs!$C$13,OR(A1275&lt;Inputs!$B$19,Inputs!$B$20=1)),I1275*Inputs!$C$11/C1275,0)</f>
        <v>40.2739726027397</v>
      </c>
    </row>
    <row r="1276" customFormat="false" ht="15" hidden="false" customHeight="false" outlineLevel="0" collapsed="false">
      <c r="A1276" s="35" t="n">
        <f aca="false">A1275+1</f>
        <v>46083</v>
      </c>
      <c r="B1276" s="35" t="n">
        <f aca="false">EOMONTH(A1276+1,0)</f>
        <v>46112</v>
      </c>
      <c r="C1276" s="36" t="n">
        <f aca="false">IF(MOD(YEAR(A1276),4)=0,366,365)</f>
        <v>365</v>
      </c>
      <c r="D1276" s="37" t="n">
        <f aca="false">Inputs!$B$9-SUMIFS(Cash_Events!$G$6:$G$20,Cash_Events!$C$6:$C$20,"rAGMF",Cash_Events!$B$6:$B$20,"&lt;="&amp;A1276)</f>
        <v>735000</v>
      </c>
      <c r="E1276" s="38" t="n">
        <f aca="false">VLOOKUP(A1276,Inputs!$A$40:$B$48,2,TRUE())</f>
        <v>0.0396676</v>
      </c>
      <c r="F1276" s="38" t="n">
        <f aca="false">E1276+Inputs!$B$10</f>
        <v>0.1071676</v>
      </c>
      <c r="G1276" s="37" t="n">
        <f aca="false">D1276*F1276/C1276</f>
        <v>215.803249315068</v>
      </c>
      <c r="H1276" s="37" t="n">
        <f aca="false">IF(AND(A1276&gt;=Inputs!$B$13,OR(A1276&lt;Inputs!$B$19,Inputs!$B$20=1)),D1276*Inputs!$B$11/C1276,0)</f>
        <v>40.2739726027397</v>
      </c>
      <c r="I1276" s="37" t="n">
        <f aca="false">Inputs!$C$9-SUMIFS(Cash_Events!$G$6:$G$20,Cash_Events!$C$6:$C$20,"FHL",Cash_Events!$B$6:$B$20,"&lt;="&amp;A1276)</f>
        <v>735000</v>
      </c>
      <c r="J1276" s="38" t="n">
        <f aca="false">VLOOKUP(A1276,Inputs!$F$40:$G$48,2,TRUE())</f>
        <v>0.0386433</v>
      </c>
      <c r="K1276" s="38" t="n">
        <f aca="false">J1276+Inputs!$C$10</f>
        <v>0.1061433</v>
      </c>
      <c r="L1276" s="37" t="n">
        <f aca="false">I1276*K1276/C1276</f>
        <v>213.740617808219</v>
      </c>
      <c r="M1276" s="37" t="n">
        <f aca="false">IF(AND(A1276&gt;=Inputs!$C$13,OR(A1276&lt;Inputs!$B$19,Inputs!$B$20=1)),I1276*Inputs!$C$11/C1276,0)</f>
        <v>40.2739726027397</v>
      </c>
    </row>
    <row r="1277" customFormat="false" ht="15" hidden="false" customHeight="false" outlineLevel="0" collapsed="false">
      <c r="A1277" s="35" t="n">
        <f aca="false">A1276+1</f>
        <v>46084</v>
      </c>
      <c r="B1277" s="35" t="n">
        <f aca="false">EOMONTH(A1277+1,0)</f>
        <v>46112</v>
      </c>
      <c r="C1277" s="36" t="n">
        <f aca="false">IF(MOD(YEAR(A1277),4)=0,366,365)</f>
        <v>365</v>
      </c>
      <c r="D1277" s="37" t="n">
        <f aca="false">Inputs!$B$9-SUMIFS(Cash_Events!$G$6:$G$20,Cash_Events!$C$6:$C$20,"rAGMF",Cash_Events!$B$6:$B$20,"&lt;="&amp;A1277)</f>
        <v>735000</v>
      </c>
      <c r="E1277" s="38" t="n">
        <f aca="false">VLOOKUP(A1277,Inputs!$A$40:$B$48,2,TRUE())</f>
        <v>0.0396676</v>
      </c>
      <c r="F1277" s="38" t="n">
        <f aca="false">E1277+Inputs!$B$10</f>
        <v>0.1071676</v>
      </c>
      <c r="G1277" s="37" t="n">
        <f aca="false">D1277*F1277/C1277</f>
        <v>215.803249315068</v>
      </c>
      <c r="H1277" s="37" t="n">
        <f aca="false">IF(AND(A1277&gt;=Inputs!$B$13,OR(A1277&lt;Inputs!$B$19,Inputs!$B$20=1)),D1277*Inputs!$B$11/C1277,0)</f>
        <v>40.2739726027397</v>
      </c>
      <c r="I1277" s="37" t="n">
        <f aca="false">Inputs!$C$9-SUMIFS(Cash_Events!$G$6:$G$20,Cash_Events!$C$6:$C$20,"FHL",Cash_Events!$B$6:$B$20,"&lt;="&amp;A1277)</f>
        <v>735000</v>
      </c>
      <c r="J1277" s="38" t="n">
        <f aca="false">VLOOKUP(A1277,Inputs!$F$40:$G$48,2,TRUE())</f>
        <v>0.0386433</v>
      </c>
      <c r="K1277" s="38" t="n">
        <f aca="false">J1277+Inputs!$C$10</f>
        <v>0.1061433</v>
      </c>
      <c r="L1277" s="37" t="n">
        <f aca="false">I1277*K1277/C1277</f>
        <v>213.740617808219</v>
      </c>
      <c r="M1277" s="37" t="n">
        <f aca="false">IF(AND(A1277&gt;=Inputs!$C$13,OR(A1277&lt;Inputs!$B$19,Inputs!$B$20=1)),I1277*Inputs!$C$11/C1277,0)</f>
        <v>40.2739726027397</v>
      </c>
    </row>
    <row r="1278" customFormat="false" ht="15" hidden="false" customHeight="false" outlineLevel="0" collapsed="false">
      <c r="A1278" s="35" t="n">
        <f aca="false">A1277+1</f>
        <v>46085</v>
      </c>
      <c r="B1278" s="35" t="n">
        <f aca="false">EOMONTH(A1278+1,0)</f>
        <v>46112</v>
      </c>
      <c r="C1278" s="36" t="n">
        <f aca="false">IF(MOD(YEAR(A1278),4)=0,366,365)</f>
        <v>365</v>
      </c>
      <c r="D1278" s="37" t="n">
        <f aca="false">Inputs!$B$9-SUMIFS(Cash_Events!$G$6:$G$20,Cash_Events!$C$6:$C$20,"rAGMF",Cash_Events!$B$6:$B$20,"&lt;="&amp;A1278)</f>
        <v>735000</v>
      </c>
      <c r="E1278" s="38" t="n">
        <f aca="false">VLOOKUP(A1278,Inputs!$A$40:$B$48,2,TRUE())</f>
        <v>0.0396676</v>
      </c>
      <c r="F1278" s="38" t="n">
        <f aca="false">E1278+Inputs!$B$10</f>
        <v>0.1071676</v>
      </c>
      <c r="G1278" s="37" t="n">
        <f aca="false">D1278*F1278/C1278</f>
        <v>215.803249315068</v>
      </c>
      <c r="H1278" s="37" t="n">
        <f aca="false">IF(AND(A1278&gt;=Inputs!$B$13,OR(A1278&lt;Inputs!$B$19,Inputs!$B$20=1)),D1278*Inputs!$B$11/C1278,0)</f>
        <v>40.2739726027397</v>
      </c>
      <c r="I1278" s="37" t="n">
        <f aca="false">Inputs!$C$9-SUMIFS(Cash_Events!$G$6:$G$20,Cash_Events!$C$6:$C$20,"FHL",Cash_Events!$B$6:$B$20,"&lt;="&amp;A1278)</f>
        <v>735000</v>
      </c>
      <c r="J1278" s="38" t="n">
        <f aca="false">VLOOKUP(A1278,Inputs!$F$40:$G$48,2,TRUE())</f>
        <v>0.0386433</v>
      </c>
      <c r="K1278" s="38" t="n">
        <f aca="false">J1278+Inputs!$C$10</f>
        <v>0.1061433</v>
      </c>
      <c r="L1278" s="37" t="n">
        <f aca="false">I1278*K1278/C1278</f>
        <v>213.740617808219</v>
      </c>
      <c r="M1278" s="37" t="n">
        <f aca="false">IF(AND(A1278&gt;=Inputs!$C$13,OR(A1278&lt;Inputs!$B$19,Inputs!$B$20=1)),I1278*Inputs!$C$11/C1278,0)</f>
        <v>40.2739726027397</v>
      </c>
    </row>
    <row r="1279" customFormat="false" ht="15" hidden="false" customHeight="false" outlineLevel="0" collapsed="false">
      <c r="A1279" s="35" t="n">
        <f aca="false">A1278+1</f>
        <v>46086</v>
      </c>
      <c r="B1279" s="35" t="n">
        <f aca="false">EOMONTH(A1279+1,0)</f>
        <v>46112</v>
      </c>
      <c r="C1279" s="36" t="n">
        <f aca="false">IF(MOD(YEAR(A1279),4)=0,366,365)</f>
        <v>365</v>
      </c>
      <c r="D1279" s="37" t="n">
        <f aca="false">Inputs!$B$9-SUMIFS(Cash_Events!$G$6:$G$20,Cash_Events!$C$6:$C$20,"rAGMF",Cash_Events!$B$6:$B$20,"&lt;="&amp;A1279)</f>
        <v>735000</v>
      </c>
      <c r="E1279" s="38" t="n">
        <f aca="false">VLOOKUP(A1279,Inputs!$A$40:$B$48,2,TRUE())</f>
        <v>0.0396676</v>
      </c>
      <c r="F1279" s="38" t="n">
        <f aca="false">E1279+Inputs!$B$10</f>
        <v>0.1071676</v>
      </c>
      <c r="G1279" s="37" t="n">
        <f aca="false">D1279*F1279/C1279</f>
        <v>215.803249315068</v>
      </c>
      <c r="H1279" s="37" t="n">
        <f aca="false">IF(AND(A1279&gt;=Inputs!$B$13,OR(A1279&lt;Inputs!$B$19,Inputs!$B$20=1)),D1279*Inputs!$B$11/C1279,0)</f>
        <v>40.2739726027397</v>
      </c>
      <c r="I1279" s="37" t="n">
        <f aca="false">Inputs!$C$9-SUMIFS(Cash_Events!$G$6:$G$20,Cash_Events!$C$6:$C$20,"FHL",Cash_Events!$B$6:$B$20,"&lt;="&amp;A1279)</f>
        <v>735000</v>
      </c>
      <c r="J1279" s="38" t="n">
        <f aca="false">VLOOKUP(A1279,Inputs!$F$40:$G$48,2,TRUE())</f>
        <v>0.0386433</v>
      </c>
      <c r="K1279" s="38" t="n">
        <f aca="false">J1279+Inputs!$C$10</f>
        <v>0.1061433</v>
      </c>
      <c r="L1279" s="37" t="n">
        <f aca="false">I1279*K1279/C1279</f>
        <v>213.740617808219</v>
      </c>
      <c r="M1279" s="37" t="n">
        <f aca="false">IF(AND(A1279&gt;=Inputs!$C$13,OR(A1279&lt;Inputs!$B$19,Inputs!$B$20=1)),I1279*Inputs!$C$11/C1279,0)</f>
        <v>40.2739726027397</v>
      </c>
    </row>
    <row r="1280" customFormat="false" ht="15" hidden="false" customHeight="false" outlineLevel="0" collapsed="false">
      <c r="A1280" s="35" t="n">
        <f aca="false">A1279+1</f>
        <v>46087</v>
      </c>
      <c r="B1280" s="35" t="n">
        <f aca="false">EOMONTH(A1280+1,0)</f>
        <v>46112</v>
      </c>
      <c r="C1280" s="36" t="n">
        <f aca="false">IF(MOD(YEAR(A1280),4)=0,366,365)</f>
        <v>365</v>
      </c>
      <c r="D1280" s="37" t="n">
        <f aca="false">Inputs!$B$9-SUMIFS(Cash_Events!$G$6:$G$20,Cash_Events!$C$6:$C$20,"rAGMF",Cash_Events!$B$6:$B$20,"&lt;="&amp;A1280)</f>
        <v>735000</v>
      </c>
      <c r="E1280" s="38" t="n">
        <f aca="false">VLOOKUP(A1280,Inputs!$A$40:$B$48,2,TRUE())</f>
        <v>0.0396676</v>
      </c>
      <c r="F1280" s="38" t="n">
        <f aca="false">E1280+Inputs!$B$10</f>
        <v>0.1071676</v>
      </c>
      <c r="G1280" s="37" t="n">
        <f aca="false">D1280*F1280/C1280</f>
        <v>215.803249315068</v>
      </c>
      <c r="H1280" s="37" t="n">
        <f aca="false">IF(AND(A1280&gt;=Inputs!$B$13,OR(A1280&lt;Inputs!$B$19,Inputs!$B$20=1)),D1280*Inputs!$B$11/C1280,0)</f>
        <v>40.2739726027397</v>
      </c>
      <c r="I1280" s="37" t="n">
        <f aca="false">Inputs!$C$9-SUMIFS(Cash_Events!$G$6:$G$20,Cash_Events!$C$6:$C$20,"FHL",Cash_Events!$B$6:$B$20,"&lt;="&amp;A1280)</f>
        <v>735000</v>
      </c>
      <c r="J1280" s="38" t="n">
        <f aca="false">VLOOKUP(A1280,Inputs!$F$40:$G$48,2,TRUE())</f>
        <v>0.0386433</v>
      </c>
      <c r="K1280" s="38" t="n">
        <f aca="false">J1280+Inputs!$C$10</f>
        <v>0.1061433</v>
      </c>
      <c r="L1280" s="37" t="n">
        <f aca="false">I1280*K1280/C1280</f>
        <v>213.740617808219</v>
      </c>
      <c r="M1280" s="37" t="n">
        <f aca="false">IF(AND(A1280&gt;=Inputs!$C$13,OR(A1280&lt;Inputs!$B$19,Inputs!$B$20=1)),I1280*Inputs!$C$11/C1280,0)</f>
        <v>40.2739726027397</v>
      </c>
    </row>
    <row r="1281" customFormat="false" ht="15" hidden="false" customHeight="false" outlineLevel="0" collapsed="false">
      <c r="A1281" s="35" t="n">
        <f aca="false">A1280+1</f>
        <v>46088</v>
      </c>
      <c r="B1281" s="35" t="n">
        <f aca="false">EOMONTH(A1281+1,0)</f>
        <v>46112</v>
      </c>
      <c r="C1281" s="36" t="n">
        <f aca="false">IF(MOD(YEAR(A1281),4)=0,366,365)</f>
        <v>365</v>
      </c>
      <c r="D1281" s="37" t="n">
        <f aca="false">Inputs!$B$9-SUMIFS(Cash_Events!$G$6:$G$20,Cash_Events!$C$6:$C$20,"rAGMF",Cash_Events!$B$6:$B$20,"&lt;="&amp;A1281)</f>
        <v>735000</v>
      </c>
      <c r="E1281" s="38" t="n">
        <f aca="false">VLOOKUP(A1281,Inputs!$A$40:$B$48,2,TRUE())</f>
        <v>0.0396676</v>
      </c>
      <c r="F1281" s="38" t="n">
        <f aca="false">E1281+Inputs!$B$10</f>
        <v>0.1071676</v>
      </c>
      <c r="G1281" s="37" t="n">
        <f aca="false">D1281*F1281/C1281</f>
        <v>215.803249315068</v>
      </c>
      <c r="H1281" s="37" t="n">
        <f aca="false">IF(AND(A1281&gt;=Inputs!$B$13,OR(A1281&lt;Inputs!$B$19,Inputs!$B$20=1)),D1281*Inputs!$B$11/C1281,0)</f>
        <v>40.2739726027397</v>
      </c>
      <c r="I1281" s="37" t="n">
        <f aca="false">Inputs!$C$9-SUMIFS(Cash_Events!$G$6:$G$20,Cash_Events!$C$6:$C$20,"FHL",Cash_Events!$B$6:$B$20,"&lt;="&amp;A1281)</f>
        <v>735000</v>
      </c>
      <c r="J1281" s="38" t="n">
        <f aca="false">VLOOKUP(A1281,Inputs!$F$40:$G$48,2,TRUE())</f>
        <v>0.0386433</v>
      </c>
      <c r="K1281" s="38" t="n">
        <f aca="false">J1281+Inputs!$C$10</f>
        <v>0.1061433</v>
      </c>
      <c r="L1281" s="37" t="n">
        <f aca="false">I1281*K1281/C1281</f>
        <v>213.740617808219</v>
      </c>
      <c r="M1281" s="37" t="n">
        <f aca="false">IF(AND(A1281&gt;=Inputs!$C$13,OR(A1281&lt;Inputs!$B$19,Inputs!$B$20=1)),I1281*Inputs!$C$11/C1281,0)</f>
        <v>40.2739726027397</v>
      </c>
    </row>
    <row r="1282" customFormat="false" ht="15" hidden="false" customHeight="false" outlineLevel="0" collapsed="false">
      <c r="A1282" s="35" t="n">
        <f aca="false">A1281+1</f>
        <v>46089</v>
      </c>
      <c r="B1282" s="35" t="n">
        <f aca="false">EOMONTH(A1282+1,0)</f>
        <v>46112</v>
      </c>
      <c r="C1282" s="36" t="n">
        <f aca="false">IF(MOD(YEAR(A1282),4)=0,366,365)</f>
        <v>365</v>
      </c>
      <c r="D1282" s="37" t="n">
        <f aca="false">Inputs!$B$9-SUMIFS(Cash_Events!$G$6:$G$20,Cash_Events!$C$6:$C$20,"rAGMF",Cash_Events!$B$6:$B$20,"&lt;="&amp;A1282)</f>
        <v>735000</v>
      </c>
      <c r="E1282" s="38" t="n">
        <f aca="false">VLOOKUP(A1282,Inputs!$A$40:$B$48,2,TRUE())</f>
        <v>0.0396676</v>
      </c>
      <c r="F1282" s="38" t="n">
        <f aca="false">E1282+Inputs!$B$10</f>
        <v>0.1071676</v>
      </c>
      <c r="G1282" s="37" t="n">
        <f aca="false">D1282*F1282/C1282</f>
        <v>215.803249315068</v>
      </c>
      <c r="H1282" s="37" t="n">
        <f aca="false">IF(AND(A1282&gt;=Inputs!$B$13,OR(A1282&lt;Inputs!$B$19,Inputs!$B$20=1)),D1282*Inputs!$B$11/C1282,0)</f>
        <v>40.2739726027397</v>
      </c>
      <c r="I1282" s="37" t="n">
        <f aca="false">Inputs!$C$9-SUMIFS(Cash_Events!$G$6:$G$20,Cash_Events!$C$6:$C$20,"FHL",Cash_Events!$B$6:$B$20,"&lt;="&amp;A1282)</f>
        <v>735000</v>
      </c>
      <c r="J1282" s="38" t="n">
        <f aca="false">VLOOKUP(A1282,Inputs!$F$40:$G$48,2,TRUE())</f>
        <v>0.0386433</v>
      </c>
      <c r="K1282" s="38" t="n">
        <f aca="false">J1282+Inputs!$C$10</f>
        <v>0.1061433</v>
      </c>
      <c r="L1282" s="37" t="n">
        <f aca="false">I1282*K1282/C1282</f>
        <v>213.740617808219</v>
      </c>
      <c r="M1282" s="37" t="n">
        <f aca="false">IF(AND(A1282&gt;=Inputs!$C$13,OR(A1282&lt;Inputs!$B$19,Inputs!$B$20=1)),I1282*Inputs!$C$11/C1282,0)</f>
        <v>40.2739726027397</v>
      </c>
    </row>
    <row r="1283" customFormat="false" ht="15" hidden="false" customHeight="false" outlineLevel="0" collapsed="false">
      <c r="A1283" s="35" t="n">
        <f aca="false">A1282+1</f>
        <v>46090</v>
      </c>
      <c r="B1283" s="35" t="n">
        <f aca="false">EOMONTH(A1283+1,0)</f>
        <v>46112</v>
      </c>
      <c r="C1283" s="36" t="n">
        <f aca="false">IF(MOD(YEAR(A1283),4)=0,366,365)</f>
        <v>365</v>
      </c>
      <c r="D1283" s="37" t="n">
        <f aca="false">Inputs!$B$9-SUMIFS(Cash_Events!$G$6:$G$20,Cash_Events!$C$6:$C$20,"rAGMF",Cash_Events!$B$6:$B$20,"&lt;="&amp;A1283)</f>
        <v>735000</v>
      </c>
      <c r="E1283" s="38" t="n">
        <f aca="false">VLOOKUP(A1283,Inputs!$A$40:$B$48,2,TRUE())</f>
        <v>0.0363225</v>
      </c>
      <c r="F1283" s="38" t="n">
        <f aca="false">E1283+Inputs!$B$10</f>
        <v>0.1038225</v>
      </c>
      <c r="G1283" s="37" t="n">
        <f aca="false">D1283*F1283/C1283</f>
        <v>209.067226027397</v>
      </c>
      <c r="H1283" s="37" t="n">
        <f aca="false">IF(AND(A1283&gt;=Inputs!$B$13,OR(A1283&lt;Inputs!$B$19,Inputs!$B$20=1)),D1283*Inputs!$B$11/C1283,0)</f>
        <v>40.2739726027397</v>
      </c>
      <c r="I1283" s="37" t="n">
        <f aca="false">Inputs!$C$9-SUMIFS(Cash_Events!$G$6:$G$20,Cash_Events!$C$6:$C$20,"FHL",Cash_Events!$B$6:$B$20,"&lt;="&amp;A1283)</f>
        <v>735000</v>
      </c>
      <c r="J1283" s="38" t="n">
        <f aca="false">VLOOKUP(A1283,Inputs!$F$40:$G$48,2,TRUE())</f>
        <v>0.0386433</v>
      </c>
      <c r="K1283" s="38" t="n">
        <f aca="false">J1283+Inputs!$C$10</f>
        <v>0.1061433</v>
      </c>
      <c r="L1283" s="37" t="n">
        <f aca="false">I1283*K1283/C1283</f>
        <v>213.740617808219</v>
      </c>
      <c r="M1283" s="37" t="n">
        <f aca="false">IF(AND(A1283&gt;=Inputs!$C$13,OR(A1283&lt;Inputs!$B$19,Inputs!$B$20=1)),I1283*Inputs!$C$11/C1283,0)</f>
        <v>40.2739726027397</v>
      </c>
    </row>
    <row r="1284" customFormat="false" ht="15" hidden="false" customHeight="false" outlineLevel="0" collapsed="false">
      <c r="A1284" s="35" t="n">
        <f aca="false">A1283+1</f>
        <v>46091</v>
      </c>
      <c r="B1284" s="35" t="n">
        <f aca="false">EOMONTH(A1284+1,0)</f>
        <v>46112</v>
      </c>
      <c r="C1284" s="36" t="n">
        <f aca="false">IF(MOD(YEAR(A1284),4)=0,366,365)</f>
        <v>365</v>
      </c>
      <c r="D1284" s="37" t="n">
        <f aca="false">Inputs!$B$9-SUMIFS(Cash_Events!$G$6:$G$20,Cash_Events!$C$6:$C$20,"rAGMF",Cash_Events!$B$6:$B$20,"&lt;="&amp;A1284)</f>
        <v>735000</v>
      </c>
      <c r="E1284" s="38" t="n">
        <f aca="false">VLOOKUP(A1284,Inputs!$A$40:$B$48,2,TRUE())</f>
        <v>0.0363225</v>
      </c>
      <c r="F1284" s="38" t="n">
        <f aca="false">E1284+Inputs!$B$10</f>
        <v>0.1038225</v>
      </c>
      <c r="G1284" s="37" t="n">
        <f aca="false">D1284*F1284/C1284</f>
        <v>209.067226027397</v>
      </c>
      <c r="H1284" s="37" t="n">
        <f aca="false">IF(AND(A1284&gt;=Inputs!$B$13,OR(A1284&lt;Inputs!$B$19,Inputs!$B$20=1)),D1284*Inputs!$B$11/C1284,0)</f>
        <v>40.2739726027397</v>
      </c>
      <c r="I1284" s="37" t="n">
        <f aca="false">Inputs!$C$9-SUMIFS(Cash_Events!$G$6:$G$20,Cash_Events!$C$6:$C$20,"FHL",Cash_Events!$B$6:$B$20,"&lt;="&amp;A1284)</f>
        <v>735000</v>
      </c>
      <c r="J1284" s="38" t="n">
        <f aca="false">VLOOKUP(A1284,Inputs!$F$40:$G$48,2,TRUE())</f>
        <v>0.0386433</v>
      </c>
      <c r="K1284" s="38" t="n">
        <f aca="false">J1284+Inputs!$C$10</f>
        <v>0.1061433</v>
      </c>
      <c r="L1284" s="37" t="n">
        <f aca="false">I1284*K1284/C1284</f>
        <v>213.740617808219</v>
      </c>
      <c r="M1284" s="37" t="n">
        <f aca="false">IF(AND(A1284&gt;=Inputs!$C$13,OR(A1284&lt;Inputs!$B$19,Inputs!$B$20=1)),I1284*Inputs!$C$11/C1284,0)</f>
        <v>40.2739726027397</v>
      </c>
    </row>
    <row r="1285" customFormat="false" ht="15" hidden="false" customHeight="false" outlineLevel="0" collapsed="false">
      <c r="A1285" s="35" t="n">
        <f aca="false">A1284+1</f>
        <v>46092</v>
      </c>
      <c r="B1285" s="35" t="n">
        <f aca="false">EOMONTH(A1285+1,0)</f>
        <v>46112</v>
      </c>
      <c r="C1285" s="36" t="n">
        <f aca="false">IF(MOD(YEAR(A1285),4)=0,366,365)</f>
        <v>365</v>
      </c>
      <c r="D1285" s="37" t="n">
        <f aca="false">Inputs!$B$9-SUMIFS(Cash_Events!$G$6:$G$20,Cash_Events!$C$6:$C$20,"rAGMF",Cash_Events!$B$6:$B$20,"&lt;="&amp;A1285)</f>
        <v>735000</v>
      </c>
      <c r="E1285" s="38" t="n">
        <f aca="false">VLOOKUP(A1285,Inputs!$A$40:$B$48,2,TRUE())</f>
        <v>0.0363225</v>
      </c>
      <c r="F1285" s="38" t="n">
        <f aca="false">E1285+Inputs!$B$10</f>
        <v>0.1038225</v>
      </c>
      <c r="G1285" s="37" t="n">
        <f aca="false">D1285*F1285/C1285</f>
        <v>209.067226027397</v>
      </c>
      <c r="H1285" s="37" t="n">
        <f aca="false">IF(AND(A1285&gt;=Inputs!$B$13,OR(A1285&lt;Inputs!$B$19,Inputs!$B$20=1)),D1285*Inputs!$B$11/C1285,0)</f>
        <v>40.2739726027397</v>
      </c>
      <c r="I1285" s="37" t="n">
        <f aca="false">Inputs!$C$9-SUMIFS(Cash_Events!$G$6:$G$20,Cash_Events!$C$6:$C$20,"FHL",Cash_Events!$B$6:$B$20,"&lt;="&amp;A1285)</f>
        <v>735000</v>
      </c>
      <c r="J1285" s="38" t="n">
        <f aca="false">VLOOKUP(A1285,Inputs!$F$40:$G$48,2,TRUE())</f>
        <v>0.0386433</v>
      </c>
      <c r="K1285" s="38" t="n">
        <f aca="false">J1285+Inputs!$C$10</f>
        <v>0.1061433</v>
      </c>
      <c r="L1285" s="37" t="n">
        <f aca="false">I1285*K1285/C1285</f>
        <v>213.740617808219</v>
      </c>
      <c r="M1285" s="37" t="n">
        <f aca="false">IF(AND(A1285&gt;=Inputs!$C$13,OR(A1285&lt;Inputs!$B$19,Inputs!$B$20=1)),I1285*Inputs!$C$11/C1285,0)</f>
        <v>40.2739726027397</v>
      </c>
    </row>
    <row r="1286" customFormat="false" ht="15" hidden="false" customHeight="false" outlineLevel="0" collapsed="false">
      <c r="A1286" s="35" t="n">
        <f aca="false">A1285+1</f>
        <v>46093</v>
      </c>
      <c r="B1286" s="35" t="n">
        <f aca="false">EOMONTH(A1286+1,0)</f>
        <v>46112</v>
      </c>
      <c r="C1286" s="36" t="n">
        <f aca="false">IF(MOD(YEAR(A1286),4)=0,366,365)</f>
        <v>365</v>
      </c>
      <c r="D1286" s="37" t="n">
        <f aca="false">Inputs!$B$9-SUMIFS(Cash_Events!$G$6:$G$20,Cash_Events!$C$6:$C$20,"rAGMF",Cash_Events!$B$6:$B$20,"&lt;="&amp;A1286)</f>
        <v>735000</v>
      </c>
      <c r="E1286" s="38" t="n">
        <f aca="false">VLOOKUP(A1286,Inputs!$A$40:$B$48,2,TRUE())</f>
        <v>0.0363225</v>
      </c>
      <c r="F1286" s="38" t="n">
        <f aca="false">E1286+Inputs!$B$10</f>
        <v>0.1038225</v>
      </c>
      <c r="G1286" s="37" t="n">
        <f aca="false">D1286*F1286/C1286</f>
        <v>209.067226027397</v>
      </c>
      <c r="H1286" s="37" t="n">
        <f aca="false">IF(AND(A1286&gt;=Inputs!$B$13,OR(A1286&lt;Inputs!$B$19,Inputs!$B$20=1)),D1286*Inputs!$B$11/C1286,0)</f>
        <v>40.2739726027397</v>
      </c>
      <c r="I1286" s="37" t="n">
        <f aca="false">Inputs!$C$9-SUMIFS(Cash_Events!$G$6:$G$20,Cash_Events!$C$6:$C$20,"FHL",Cash_Events!$B$6:$B$20,"&lt;="&amp;A1286)</f>
        <v>735000</v>
      </c>
      <c r="J1286" s="38" t="n">
        <f aca="false">VLOOKUP(A1286,Inputs!$F$40:$G$48,2,TRUE())</f>
        <v>0.0386433</v>
      </c>
      <c r="K1286" s="38" t="n">
        <f aca="false">J1286+Inputs!$C$10</f>
        <v>0.1061433</v>
      </c>
      <c r="L1286" s="37" t="n">
        <f aca="false">I1286*K1286/C1286</f>
        <v>213.740617808219</v>
      </c>
      <c r="M1286" s="37" t="n">
        <f aca="false">IF(AND(A1286&gt;=Inputs!$C$13,OR(A1286&lt;Inputs!$B$19,Inputs!$B$20=1)),I1286*Inputs!$C$11/C1286,0)</f>
        <v>40.2739726027397</v>
      </c>
    </row>
    <row r="1287" customFormat="false" ht="15" hidden="false" customHeight="false" outlineLevel="0" collapsed="false">
      <c r="A1287" s="35" t="n">
        <f aca="false">A1286+1</f>
        <v>46094</v>
      </c>
      <c r="B1287" s="35" t="n">
        <f aca="false">EOMONTH(A1287+1,0)</f>
        <v>46112</v>
      </c>
      <c r="C1287" s="36" t="n">
        <f aca="false">IF(MOD(YEAR(A1287),4)=0,366,365)</f>
        <v>365</v>
      </c>
      <c r="D1287" s="37" t="n">
        <f aca="false">Inputs!$B$9-SUMIFS(Cash_Events!$G$6:$G$20,Cash_Events!$C$6:$C$20,"rAGMF",Cash_Events!$B$6:$B$20,"&lt;="&amp;A1287)</f>
        <v>735000</v>
      </c>
      <c r="E1287" s="38" t="n">
        <f aca="false">VLOOKUP(A1287,Inputs!$A$40:$B$48,2,TRUE())</f>
        <v>0.0363225</v>
      </c>
      <c r="F1287" s="38" t="n">
        <f aca="false">E1287+Inputs!$B$10</f>
        <v>0.1038225</v>
      </c>
      <c r="G1287" s="37" t="n">
        <f aca="false">D1287*F1287/C1287</f>
        <v>209.067226027397</v>
      </c>
      <c r="H1287" s="37" t="n">
        <f aca="false">IF(AND(A1287&gt;=Inputs!$B$13,OR(A1287&lt;Inputs!$B$19,Inputs!$B$20=1)),D1287*Inputs!$B$11/C1287,0)</f>
        <v>40.2739726027397</v>
      </c>
      <c r="I1287" s="37" t="n">
        <f aca="false">Inputs!$C$9-SUMIFS(Cash_Events!$G$6:$G$20,Cash_Events!$C$6:$C$20,"FHL",Cash_Events!$B$6:$B$20,"&lt;="&amp;A1287)</f>
        <v>735000</v>
      </c>
      <c r="J1287" s="38" t="n">
        <f aca="false">VLOOKUP(A1287,Inputs!$F$40:$G$48,2,TRUE())</f>
        <v>0.0386433</v>
      </c>
      <c r="K1287" s="38" t="n">
        <f aca="false">J1287+Inputs!$C$10</f>
        <v>0.1061433</v>
      </c>
      <c r="L1287" s="37" t="n">
        <f aca="false">I1287*K1287/C1287</f>
        <v>213.740617808219</v>
      </c>
      <c r="M1287" s="37" t="n">
        <f aca="false">IF(AND(A1287&gt;=Inputs!$C$13,OR(A1287&lt;Inputs!$B$19,Inputs!$B$20=1)),I1287*Inputs!$C$11/C1287,0)</f>
        <v>40.2739726027397</v>
      </c>
    </row>
    <row r="1288" customFormat="false" ht="15" hidden="false" customHeight="false" outlineLevel="0" collapsed="false">
      <c r="A1288" s="35" t="n">
        <f aca="false">A1287+1</f>
        <v>46095</v>
      </c>
      <c r="B1288" s="35" t="n">
        <f aca="false">EOMONTH(A1288+1,0)</f>
        <v>46112</v>
      </c>
      <c r="C1288" s="36" t="n">
        <f aca="false">IF(MOD(YEAR(A1288),4)=0,366,365)</f>
        <v>365</v>
      </c>
      <c r="D1288" s="37" t="n">
        <f aca="false">Inputs!$B$9-SUMIFS(Cash_Events!$G$6:$G$20,Cash_Events!$C$6:$C$20,"rAGMF",Cash_Events!$B$6:$B$20,"&lt;="&amp;A1288)</f>
        <v>735000</v>
      </c>
      <c r="E1288" s="38" t="n">
        <f aca="false">VLOOKUP(A1288,Inputs!$A$40:$B$48,2,TRUE())</f>
        <v>0.0363225</v>
      </c>
      <c r="F1288" s="38" t="n">
        <f aca="false">E1288+Inputs!$B$10</f>
        <v>0.1038225</v>
      </c>
      <c r="G1288" s="37" t="n">
        <f aca="false">D1288*F1288/C1288</f>
        <v>209.067226027397</v>
      </c>
      <c r="H1288" s="37" t="n">
        <f aca="false">IF(AND(A1288&gt;=Inputs!$B$13,OR(A1288&lt;Inputs!$B$19,Inputs!$B$20=1)),D1288*Inputs!$B$11/C1288,0)</f>
        <v>40.2739726027397</v>
      </c>
      <c r="I1288" s="37" t="n">
        <f aca="false">Inputs!$C$9-SUMIFS(Cash_Events!$G$6:$G$20,Cash_Events!$C$6:$C$20,"FHL",Cash_Events!$B$6:$B$20,"&lt;="&amp;A1288)</f>
        <v>735000</v>
      </c>
      <c r="J1288" s="38" t="n">
        <f aca="false">VLOOKUP(A1288,Inputs!$F$40:$G$48,2,TRUE())</f>
        <v>0.0386433</v>
      </c>
      <c r="K1288" s="38" t="n">
        <f aca="false">J1288+Inputs!$C$10</f>
        <v>0.1061433</v>
      </c>
      <c r="L1288" s="37" t="n">
        <f aca="false">I1288*K1288/C1288</f>
        <v>213.740617808219</v>
      </c>
      <c r="M1288" s="37" t="n">
        <f aca="false">IF(AND(A1288&gt;=Inputs!$C$13,OR(A1288&lt;Inputs!$B$19,Inputs!$B$20=1)),I1288*Inputs!$C$11/C1288,0)</f>
        <v>40.2739726027397</v>
      </c>
    </row>
    <row r="1289" customFormat="false" ht="15" hidden="false" customHeight="false" outlineLevel="0" collapsed="false">
      <c r="A1289" s="35" t="n">
        <f aca="false">A1288+1</f>
        <v>46096</v>
      </c>
      <c r="B1289" s="35" t="n">
        <f aca="false">EOMONTH(A1289+1,0)</f>
        <v>46112</v>
      </c>
      <c r="C1289" s="36" t="n">
        <f aca="false">IF(MOD(YEAR(A1289),4)=0,366,365)</f>
        <v>365</v>
      </c>
      <c r="D1289" s="37" t="n">
        <f aca="false">Inputs!$B$9-SUMIFS(Cash_Events!$G$6:$G$20,Cash_Events!$C$6:$C$20,"rAGMF",Cash_Events!$B$6:$B$20,"&lt;="&amp;A1289)</f>
        <v>735000</v>
      </c>
      <c r="E1289" s="38" t="n">
        <f aca="false">VLOOKUP(A1289,Inputs!$A$40:$B$48,2,TRUE())</f>
        <v>0.0363225</v>
      </c>
      <c r="F1289" s="38" t="n">
        <f aca="false">E1289+Inputs!$B$10</f>
        <v>0.1038225</v>
      </c>
      <c r="G1289" s="37" t="n">
        <f aca="false">D1289*F1289/C1289</f>
        <v>209.067226027397</v>
      </c>
      <c r="H1289" s="37" t="n">
        <f aca="false">IF(AND(A1289&gt;=Inputs!$B$13,OR(A1289&lt;Inputs!$B$19,Inputs!$B$20=1)),D1289*Inputs!$B$11/C1289,0)</f>
        <v>40.2739726027397</v>
      </c>
      <c r="I1289" s="37" t="n">
        <f aca="false">Inputs!$C$9-SUMIFS(Cash_Events!$G$6:$G$20,Cash_Events!$C$6:$C$20,"FHL",Cash_Events!$B$6:$B$20,"&lt;="&amp;A1289)</f>
        <v>735000</v>
      </c>
      <c r="J1289" s="38" t="n">
        <f aca="false">VLOOKUP(A1289,Inputs!$F$40:$G$48,2,TRUE())</f>
        <v>0.0386433</v>
      </c>
      <c r="K1289" s="38" t="n">
        <f aca="false">J1289+Inputs!$C$10</f>
        <v>0.1061433</v>
      </c>
      <c r="L1289" s="37" t="n">
        <f aca="false">I1289*K1289/C1289</f>
        <v>213.740617808219</v>
      </c>
      <c r="M1289" s="37" t="n">
        <f aca="false">IF(AND(A1289&gt;=Inputs!$C$13,OR(A1289&lt;Inputs!$B$19,Inputs!$B$20=1)),I1289*Inputs!$C$11/C1289,0)</f>
        <v>40.2739726027397</v>
      </c>
    </row>
    <row r="1290" customFormat="false" ht="15" hidden="false" customHeight="false" outlineLevel="0" collapsed="false">
      <c r="A1290" s="35" t="n">
        <f aca="false">A1289+1</f>
        <v>46097</v>
      </c>
      <c r="B1290" s="35" t="n">
        <f aca="false">EOMONTH(A1290+1,0)</f>
        <v>46112</v>
      </c>
      <c r="C1290" s="36" t="n">
        <f aca="false">IF(MOD(YEAR(A1290),4)=0,366,365)</f>
        <v>365</v>
      </c>
      <c r="D1290" s="37" t="n">
        <f aca="false">Inputs!$B$9-SUMIFS(Cash_Events!$G$6:$G$20,Cash_Events!$C$6:$C$20,"rAGMF",Cash_Events!$B$6:$B$20,"&lt;="&amp;A1290)</f>
        <v>735000</v>
      </c>
      <c r="E1290" s="38" t="n">
        <f aca="false">VLOOKUP(A1290,Inputs!$A$40:$B$48,2,TRUE())</f>
        <v>0.0363225</v>
      </c>
      <c r="F1290" s="38" t="n">
        <f aca="false">E1290+Inputs!$B$10</f>
        <v>0.1038225</v>
      </c>
      <c r="G1290" s="37" t="n">
        <f aca="false">D1290*F1290/C1290</f>
        <v>209.067226027397</v>
      </c>
      <c r="H1290" s="37" t="n">
        <f aca="false">IF(AND(A1290&gt;=Inputs!$B$13,OR(A1290&lt;Inputs!$B$19,Inputs!$B$20=1)),D1290*Inputs!$B$11/C1290,0)</f>
        <v>40.2739726027397</v>
      </c>
      <c r="I1290" s="37" t="n">
        <f aca="false">Inputs!$C$9-SUMIFS(Cash_Events!$G$6:$G$20,Cash_Events!$C$6:$C$20,"FHL",Cash_Events!$B$6:$B$20,"&lt;="&amp;A1290)</f>
        <v>735000</v>
      </c>
      <c r="J1290" s="38" t="n">
        <f aca="false">VLOOKUP(A1290,Inputs!$F$40:$G$48,2,TRUE())</f>
        <v>0.0364054</v>
      </c>
      <c r="K1290" s="38" t="n">
        <f aca="false">J1290+Inputs!$C$10</f>
        <v>0.1039054</v>
      </c>
      <c r="L1290" s="37" t="n">
        <f aca="false">I1290*K1290/C1290</f>
        <v>209.234161643836</v>
      </c>
      <c r="M1290" s="37" t="n">
        <f aca="false">IF(AND(A1290&gt;=Inputs!$C$13,OR(A1290&lt;Inputs!$B$19,Inputs!$B$20=1)),I1290*Inputs!$C$11/C1290,0)</f>
        <v>40.2739726027397</v>
      </c>
    </row>
    <row r="1291" customFormat="false" ht="15" hidden="false" customHeight="false" outlineLevel="0" collapsed="false">
      <c r="A1291" s="35" t="n">
        <f aca="false">A1290+1</f>
        <v>46098</v>
      </c>
      <c r="B1291" s="35" t="n">
        <f aca="false">EOMONTH(A1291+1,0)</f>
        <v>46112</v>
      </c>
      <c r="C1291" s="36" t="n">
        <f aca="false">IF(MOD(YEAR(A1291),4)=0,366,365)</f>
        <v>365</v>
      </c>
      <c r="D1291" s="37" t="n">
        <f aca="false">Inputs!$B$9-SUMIFS(Cash_Events!$G$6:$G$20,Cash_Events!$C$6:$C$20,"rAGMF",Cash_Events!$B$6:$B$20,"&lt;="&amp;A1291)</f>
        <v>735000</v>
      </c>
      <c r="E1291" s="38" t="n">
        <f aca="false">VLOOKUP(A1291,Inputs!$A$40:$B$48,2,TRUE())</f>
        <v>0.0363225</v>
      </c>
      <c r="F1291" s="38" t="n">
        <f aca="false">E1291+Inputs!$B$10</f>
        <v>0.1038225</v>
      </c>
      <c r="G1291" s="37" t="n">
        <f aca="false">D1291*F1291/C1291</f>
        <v>209.067226027397</v>
      </c>
      <c r="H1291" s="37" t="n">
        <f aca="false">IF(AND(A1291&gt;=Inputs!$B$13,OR(A1291&lt;Inputs!$B$19,Inputs!$B$20=1)),D1291*Inputs!$B$11/C1291,0)</f>
        <v>40.2739726027397</v>
      </c>
      <c r="I1291" s="37" t="n">
        <f aca="false">Inputs!$C$9-SUMIFS(Cash_Events!$G$6:$G$20,Cash_Events!$C$6:$C$20,"FHL",Cash_Events!$B$6:$B$20,"&lt;="&amp;A1291)</f>
        <v>735000</v>
      </c>
      <c r="J1291" s="38" t="n">
        <f aca="false">VLOOKUP(A1291,Inputs!$F$40:$G$48,2,TRUE())</f>
        <v>0.0364054</v>
      </c>
      <c r="K1291" s="38" t="n">
        <f aca="false">J1291+Inputs!$C$10</f>
        <v>0.1039054</v>
      </c>
      <c r="L1291" s="37" t="n">
        <f aca="false">I1291*K1291/C1291</f>
        <v>209.234161643836</v>
      </c>
      <c r="M1291" s="37" t="n">
        <f aca="false">IF(AND(A1291&gt;=Inputs!$C$13,OR(A1291&lt;Inputs!$B$19,Inputs!$B$20=1)),I1291*Inputs!$C$11/C1291,0)</f>
        <v>40.2739726027397</v>
      </c>
    </row>
    <row r="1292" customFormat="false" ht="15" hidden="false" customHeight="false" outlineLevel="0" collapsed="false">
      <c r="A1292" s="35" t="n">
        <f aca="false">A1291+1</f>
        <v>46099</v>
      </c>
      <c r="B1292" s="35" t="n">
        <f aca="false">EOMONTH(A1292+1,0)</f>
        <v>46112</v>
      </c>
      <c r="C1292" s="36" t="n">
        <f aca="false">IF(MOD(YEAR(A1292),4)=0,366,365)</f>
        <v>365</v>
      </c>
      <c r="D1292" s="37" t="n">
        <f aca="false">Inputs!$B$9-SUMIFS(Cash_Events!$G$6:$G$20,Cash_Events!$C$6:$C$20,"rAGMF",Cash_Events!$B$6:$B$20,"&lt;="&amp;A1292)</f>
        <v>735000</v>
      </c>
      <c r="E1292" s="38" t="n">
        <f aca="false">VLOOKUP(A1292,Inputs!$A$40:$B$48,2,TRUE())</f>
        <v>0.0363225</v>
      </c>
      <c r="F1292" s="38" t="n">
        <f aca="false">E1292+Inputs!$B$10</f>
        <v>0.1038225</v>
      </c>
      <c r="G1292" s="37" t="n">
        <f aca="false">D1292*F1292/C1292</f>
        <v>209.067226027397</v>
      </c>
      <c r="H1292" s="37" t="n">
        <f aca="false">IF(AND(A1292&gt;=Inputs!$B$13,OR(A1292&lt;Inputs!$B$19,Inputs!$B$20=1)),D1292*Inputs!$B$11/C1292,0)</f>
        <v>40.2739726027397</v>
      </c>
      <c r="I1292" s="37" t="n">
        <f aca="false">Inputs!$C$9-SUMIFS(Cash_Events!$G$6:$G$20,Cash_Events!$C$6:$C$20,"FHL",Cash_Events!$B$6:$B$20,"&lt;="&amp;A1292)</f>
        <v>735000</v>
      </c>
      <c r="J1292" s="38" t="n">
        <f aca="false">VLOOKUP(A1292,Inputs!$F$40:$G$48,2,TRUE())</f>
        <v>0.0364054</v>
      </c>
      <c r="K1292" s="38" t="n">
        <f aca="false">J1292+Inputs!$C$10</f>
        <v>0.1039054</v>
      </c>
      <c r="L1292" s="37" t="n">
        <f aca="false">I1292*K1292/C1292</f>
        <v>209.234161643836</v>
      </c>
      <c r="M1292" s="37" t="n">
        <f aca="false">IF(AND(A1292&gt;=Inputs!$C$13,OR(A1292&lt;Inputs!$B$19,Inputs!$B$20=1)),I1292*Inputs!$C$11/C1292,0)</f>
        <v>40.2739726027397</v>
      </c>
    </row>
    <row r="1293" customFormat="false" ht="15" hidden="false" customHeight="false" outlineLevel="0" collapsed="false">
      <c r="A1293" s="35" t="n">
        <f aca="false">A1292+1</f>
        <v>46100</v>
      </c>
      <c r="B1293" s="35" t="n">
        <f aca="false">EOMONTH(A1293+1,0)</f>
        <v>46112</v>
      </c>
      <c r="C1293" s="36" t="n">
        <f aca="false">IF(MOD(YEAR(A1293),4)=0,366,365)</f>
        <v>365</v>
      </c>
      <c r="D1293" s="37" t="n">
        <f aca="false">Inputs!$B$9-SUMIFS(Cash_Events!$G$6:$G$20,Cash_Events!$C$6:$C$20,"rAGMF",Cash_Events!$B$6:$B$20,"&lt;="&amp;A1293)</f>
        <v>735000</v>
      </c>
      <c r="E1293" s="38" t="n">
        <f aca="false">VLOOKUP(A1293,Inputs!$A$40:$B$48,2,TRUE())</f>
        <v>0.0363225</v>
      </c>
      <c r="F1293" s="38" t="n">
        <f aca="false">E1293+Inputs!$B$10</f>
        <v>0.1038225</v>
      </c>
      <c r="G1293" s="37" t="n">
        <f aca="false">D1293*F1293/C1293</f>
        <v>209.067226027397</v>
      </c>
      <c r="H1293" s="37" t="n">
        <f aca="false">IF(AND(A1293&gt;=Inputs!$B$13,OR(A1293&lt;Inputs!$B$19,Inputs!$B$20=1)),D1293*Inputs!$B$11/C1293,0)</f>
        <v>40.2739726027397</v>
      </c>
      <c r="I1293" s="37" t="n">
        <f aca="false">Inputs!$C$9-SUMIFS(Cash_Events!$G$6:$G$20,Cash_Events!$C$6:$C$20,"FHL",Cash_Events!$B$6:$B$20,"&lt;="&amp;A1293)</f>
        <v>735000</v>
      </c>
      <c r="J1293" s="38" t="n">
        <f aca="false">VLOOKUP(A1293,Inputs!$F$40:$G$48,2,TRUE())</f>
        <v>0.0364054</v>
      </c>
      <c r="K1293" s="38" t="n">
        <f aca="false">J1293+Inputs!$C$10</f>
        <v>0.1039054</v>
      </c>
      <c r="L1293" s="37" t="n">
        <f aca="false">I1293*K1293/C1293</f>
        <v>209.234161643836</v>
      </c>
      <c r="M1293" s="37" t="n">
        <f aca="false">IF(AND(A1293&gt;=Inputs!$C$13,OR(A1293&lt;Inputs!$B$19,Inputs!$B$20=1)),I1293*Inputs!$C$11/C1293,0)</f>
        <v>40.2739726027397</v>
      </c>
    </row>
    <row r="1294" customFormat="false" ht="15" hidden="false" customHeight="false" outlineLevel="0" collapsed="false">
      <c r="A1294" s="35" t="n">
        <f aca="false">A1293+1</f>
        <v>46101</v>
      </c>
      <c r="B1294" s="35" t="n">
        <f aca="false">EOMONTH(A1294+1,0)</f>
        <v>46112</v>
      </c>
      <c r="C1294" s="36" t="n">
        <f aca="false">IF(MOD(YEAR(A1294),4)=0,366,365)</f>
        <v>365</v>
      </c>
      <c r="D1294" s="37" t="n">
        <f aca="false">Inputs!$B$9-SUMIFS(Cash_Events!$G$6:$G$20,Cash_Events!$C$6:$C$20,"rAGMF",Cash_Events!$B$6:$B$20,"&lt;="&amp;A1294)</f>
        <v>735000</v>
      </c>
      <c r="E1294" s="38" t="n">
        <f aca="false">VLOOKUP(A1294,Inputs!$A$40:$B$48,2,TRUE())</f>
        <v>0.0363225</v>
      </c>
      <c r="F1294" s="38" t="n">
        <f aca="false">E1294+Inputs!$B$10</f>
        <v>0.1038225</v>
      </c>
      <c r="G1294" s="37" t="n">
        <f aca="false">D1294*F1294/C1294</f>
        <v>209.067226027397</v>
      </c>
      <c r="H1294" s="37" t="n">
        <f aca="false">IF(AND(A1294&gt;=Inputs!$B$13,OR(A1294&lt;Inputs!$B$19,Inputs!$B$20=1)),D1294*Inputs!$B$11/C1294,0)</f>
        <v>40.2739726027397</v>
      </c>
      <c r="I1294" s="37" t="n">
        <f aca="false">Inputs!$C$9-SUMIFS(Cash_Events!$G$6:$G$20,Cash_Events!$C$6:$C$20,"FHL",Cash_Events!$B$6:$B$20,"&lt;="&amp;A1294)</f>
        <v>735000</v>
      </c>
      <c r="J1294" s="38" t="n">
        <f aca="false">VLOOKUP(A1294,Inputs!$F$40:$G$48,2,TRUE())</f>
        <v>0.0364054</v>
      </c>
      <c r="K1294" s="38" t="n">
        <f aca="false">J1294+Inputs!$C$10</f>
        <v>0.1039054</v>
      </c>
      <c r="L1294" s="37" t="n">
        <f aca="false">I1294*K1294/C1294</f>
        <v>209.234161643836</v>
      </c>
      <c r="M1294" s="37" t="n">
        <f aca="false">IF(AND(A1294&gt;=Inputs!$C$13,OR(A1294&lt;Inputs!$B$19,Inputs!$B$20=1)),I1294*Inputs!$C$11/C1294,0)</f>
        <v>40.2739726027397</v>
      </c>
    </row>
    <row r="1295" customFormat="false" ht="15" hidden="false" customHeight="false" outlineLevel="0" collapsed="false">
      <c r="A1295" s="35" t="n">
        <f aca="false">A1294+1</f>
        <v>46102</v>
      </c>
      <c r="B1295" s="35" t="n">
        <f aca="false">EOMONTH(A1295+1,0)</f>
        <v>46112</v>
      </c>
      <c r="C1295" s="36" t="n">
        <f aca="false">IF(MOD(YEAR(A1295),4)=0,366,365)</f>
        <v>365</v>
      </c>
      <c r="D1295" s="37" t="n">
        <f aca="false">Inputs!$B$9-SUMIFS(Cash_Events!$G$6:$G$20,Cash_Events!$C$6:$C$20,"rAGMF",Cash_Events!$B$6:$B$20,"&lt;="&amp;A1295)</f>
        <v>735000</v>
      </c>
      <c r="E1295" s="38" t="n">
        <f aca="false">VLOOKUP(A1295,Inputs!$A$40:$B$48,2,TRUE())</f>
        <v>0.0363225</v>
      </c>
      <c r="F1295" s="38" t="n">
        <f aca="false">E1295+Inputs!$B$10</f>
        <v>0.1038225</v>
      </c>
      <c r="G1295" s="37" t="n">
        <f aca="false">D1295*F1295/C1295</f>
        <v>209.067226027397</v>
      </c>
      <c r="H1295" s="37" t="n">
        <f aca="false">IF(AND(A1295&gt;=Inputs!$B$13,OR(A1295&lt;Inputs!$B$19,Inputs!$B$20=1)),D1295*Inputs!$B$11/C1295,0)</f>
        <v>40.2739726027397</v>
      </c>
      <c r="I1295" s="37" t="n">
        <f aca="false">Inputs!$C$9-SUMIFS(Cash_Events!$G$6:$G$20,Cash_Events!$C$6:$C$20,"FHL",Cash_Events!$B$6:$B$20,"&lt;="&amp;A1295)</f>
        <v>735000</v>
      </c>
      <c r="J1295" s="38" t="n">
        <f aca="false">VLOOKUP(A1295,Inputs!$F$40:$G$48,2,TRUE())</f>
        <v>0.0364054</v>
      </c>
      <c r="K1295" s="38" t="n">
        <f aca="false">J1295+Inputs!$C$10</f>
        <v>0.1039054</v>
      </c>
      <c r="L1295" s="37" t="n">
        <f aca="false">I1295*K1295/C1295</f>
        <v>209.234161643836</v>
      </c>
      <c r="M1295" s="37" t="n">
        <f aca="false">IF(AND(A1295&gt;=Inputs!$C$13,OR(A1295&lt;Inputs!$B$19,Inputs!$B$20=1)),I1295*Inputs!$C$11/C1295,0)</f>
        <v>40.2739726027397</v>
      </c>
    </row>
    <row r="1296" customFormat="false" ht="15" hidden="false" customHeight="false" outlineLevel="0" collapsed="false">
      <c r="A1296" s="35" t="n">
        <f aca="false">A1295+1</f>
        <v>46103</v>
      </c>
      <c r="B1296" s="35" t="n">
        <f aca="false">EOMONTH(A1296+1,0)</f>
        <v>46112</v>
      </c>
      <c r="C1296" s="36" t="n">
        <f aca="false">IF(MOD(YEAR(A1296),4)=0,366,365)</f>
        <v>365</v>
      </c>
      <c r="D1296" s="37" t="n">
        <f aca="false">Inputs!$B$9-SUMIFS(Cash_Events!$G$6:$G$20,Cash_Events!$C$6:$C$20,"rAGMF",Cash_Events!$B$6:$B$20,"&lt;="&amp;A1296)</f>
        <v>735000</v>
      </c>
      <c r="E1296" s="38" t="n">
        <f aca="false">VLOOKUP(A1296,Inputs!$A$40:$B$48,2,TRUE())</f>
        <v>0.0363225</v>
      </c>
      <c r="F1296" s="38" t="n">
        <f aca="false">E1296+Inputs!$B$10</f>
        <v>0.1038225</v>
      </c>
      <c r="G1296" s="37" t="n">
        <f aca="false">D1296*F1296/C1296</f>
        <v>209.067226027397</v>
      </c>
      <c r="H1296" s="37" t="n">
        <f aca="false">IF(AND(A1296&gt;=Inputs!$B$13,OR(A1296&lt;Inputs!$B$19,Inputs!$B$20=1)),D1296*Inputs!$B$11/C1296,0)</f>
        <v>40.2739726027397</v>
      </c>
      <c r="I1296" s="37" t="n">
        <f aca="false">Inputs!$C$9-SUMIFS(Cash_Events!$G$6:$G$20,Cash_Events!$C$6:$C$20,"FHL",Cash_Events!$B$6:$B$20,"&lt;="&amp;A1296)</f>
        <v>735000</v>
      </c>
      <c r="J1296" s="38" t="n">
        <f aca="false">VLOOKUP(A1296,Inputs!$F$40:$G$48,2,TRUE())</f>
        <v>0.0364054</v>
      </c>
      <c r="K1296" s="38" t="n">
        <f aca="false">J1296+Inputs!$C$10</f>
        <v>0.1039054</v>
      </c>
      <c r="L1296" s="37" t="n">
        <f aca="false">I1296*K1296/C1296</f>
        <v>209.234161643836</v>
      </c>
      <c r="M1296" s="37" t="n">
        <f aca="false">IF(AND(A1296&gt;=Inputs!$C$13,OR(A1296&lt;Inputs!$B$19,Inputs!$B$20=1)),I1296*Inputs!$C$11/C1296,0)</f>
        <v>40.2739726027397</v>
      </c>
    </row>
    <row r="1297" customFormat="false" ht="15" hidden="false" customHeight="false" outlineLevel="0" collapsed="false">
      <c r="A1297" s="35" t="n">
        <f aca="false">A1296+1</f>
        <v>46104</v>
      </c>
      <c r="B1297" s="35" t="n">
        <f aca="false">EOMONTH(A1297+1,0)</f>
        <v>46112</v>
      </c>
      <c r="C1297" s="36" t="n">
        <f aca="false">IF(MOD(YEAR(A1297),4)=0,366,365)</f>
        <v>365</v>
      </c>
      <c r="D1297" s="37" t="n">
        <f aca="false">Inputs!$B$9-SUMIFS(Cash_Events!$G$6:$G$20,Cash_Events!$C$6:$C$20,"rAGMF",Cash_Events!$B$6:$B$20,"&lt;="&amp;A1297)</f>
        <v>735000</v>
      </c>
      <c r="E1297" s="38" t="n">
        <f aca="false">VLOOKUP(A1297,Inputs!$A$40:$B$48,2,TRUE())</f>
        <v>0.0363225</v>
      </c>
      <c r="F1297" s="38" t="n">
        <f aca="false">E1297+Inputs!$B$10</f>
        <v>0.1038225</v>
      </c>
      <c r="G1297" s="37" t="n">
        <f aca="false">D1297*F1297/C1297</f>
        <v>209.067226027397</v>
      </c>
      <c r="H1297" s="37" t="n">
        <f aca="false">IF(AND(A1297&gt;=Inputs!$B$13,OR(A1297&lt;Inputs!$B$19,Inputs!$B$20=1)),D1297*Inputs!$B$11/C1297,0)</f>
        <v>40.2739726027397</v>
      </c>
      <c r="I1297" s="37" t="n">
        <f aca="false">Inputs!$C$9-SUMIFS(Cash_Events!$G$6:$G$20,Cash_Events!$C$6:$C$20,"FHL",Cash_Events!$B$6:$B$20,"&lt;="&amp;A1297)</f>
        <v>735000</v>
      </c>
      <c r="J1297" s="38" t="n">
        <f aca="false">VLOOKUP(A1297,Inputs!$F$40:$G$48,2,TRUE())</f>
        <v>0.0364054</v>
      </c>
      <c r="K1297" s="38" t="n">
        <f aca="false">J1297+Inputs!$C$10</f>
        <v>0.1039054</v>
      </c>
      <c r="L1297" s="37" t="n">
        <f aca="false">I1297*K1297/C1297</f>
        <v>209.234161643836</v>
      </c>
      <c r="M1297" s="37" t="n">
        <f aca="false">IF(AND(A1297&gt;=Inputs!$C$13,OR(A1297&lt;Inputs!$B$19,Inputs!$B$20=1)),I1297*Inputs!$C$11/C1297,0)</f>
        <v>40.2739726027397</v>
      </c>
    </row>
    <row r="1298" customFormat="false" ht="15" hidden="false" customHeight="false" outlineLevel="0" collapsed="false">
      <c r="A1298" s="35" t="n">
        <f aca="false">A1297+1</f>
        <v>46105</v>
      </c>
      <c r="B1298" s="35" t="n">
        <f aca="false">EOMONTH(A1298+1,0)</f>
        <v>46112</v>
      </c>
      <c r="C1298" s="36" t="n">
        <f aca="false">IF(MOD(YEAR(A1298),4)=0,366,365)</f>
        <v>365</v>
      </c>
      <c r="D1298" s="37" t="n">
        <f aca="false">Inputs!$B$9-SUMIFS(Cash_Events!$G$6:$G$20,Cash_Events!$C$6:$C$20,"rAGMF",Cash_Events!$B$6:$B$20,"&lt;="&amp;A1298)</f>
        <v>735000</v>
      </c>
      <c r="E1298" s="38" t="n">
        <f aca="false">VLOOKUP(A1298,Inputs!$A$40:$B$48,2,TRUE())</f>
        <v>0.0363225</v>
      </c>
      <c r="F1298" s="38" t="n">
        <f aca="false">E1298+Inputs!$B$10</f>
        <v>0.1038225</v>
      </c>
      <c r="G1298" s="37" t="n">
        <f aca="false">D1298*F1298/C1298</f>
        <v>209.067226027397</v>
      </c>
      <c r="H1298" s="37" t="n">
        <f aca="false">IF(AND(A1298&gt;=Inputs!$B$13,OR(A1298&lt;Inputs!$B$19,Inputs!$B$20=1)),D1298*Inputs!$B$11/C1298,0)</f>
        <v>40.2739726027397</v>
      </c>
      <c r="I1298" s="37" t="n">
        <f aca="false">Inputs!$C$9-SUMIFS(Cash_Events!$G$6:$G$20,Cash_Events!$C$6:$C$20,"FHL",Cash_Events!$B$6:$B$20,"&lt;="&amp;A1298)</f>
        <v>735000</v>
      </c>
      <c r="J1298" s="38" t="n">
        <f aca="false">VLOOKUP(A1298,Inputs!$F$40:$G$48,2,TRUE())</f>
        <v>0.0364054</v>
      </c>
      <c r="K1298" s="38" t="n">
        <f aca="false">J1298+Inputs!$C$10</f>
        <v>0.1039054</v>
      </c>
      <c r="L1298" s="37" t="n">
        <f aca="false">I1298*K1298/C1298</f>
        <v>209.234161643836</v>
      </c>
      <c r="M1298" s="37" t="n">
        <f aca="false">IF(AND(A1298&gt;=Inputs!$C$13,OR(A1298&lt;Inputs!$B$19,Inputs!$B$20=1)),I1298*Inputs!$C$11/C1298,0)</f>
        <v>40.2739726027397</v>
      </c>
    </row>
    <row r="1299" customFormat="false" ht="15" hidden="false" customHeight="false" outlineLevel="0" collapsed="false">
      <c r="A1299" s="35" t="n">
        <f aca="false">A1298+1</f>
        <v>46106</v>
      </c>
      <c r="B1299" s="35" t="n">
        <f aca="false">EOMONTH(A1299+1,0)</f>
        <v>46112</v>
      </c>
      <c r="C1299" s="36" t="n">
        <f aca="false">IF(MOD(YEAR(A1299),4)=0,366,365)</f>
        <v>365</v>
      </c>
      <c r="D1299" s="37" t="n">
        <f aca="false">Inputs!$B$9-SUMIFS(Cash_Events!$G$6:$G$20,Cash_Events!$C$6:$C$20,"rAGMF",Cash_Events!$B$6:$B$20,"&lt;="&amp;A1299)</f>
        <v>735000</v>
      </c>
      <c r="E1299" s="38" t="n">
        <f aca="false">VLOOKUP(A1299,Inputs!$A$40:$B$48,2,TRUE())</f>
        <v>0.0363225</v>
      </c>
      <c r="F1299" s="38" t="n">
        <f aca="false">E1299+Inputs!$B$10</f>
        <v>0.1038225</v>
      </c>
      <c r="G1299" s="37" t="n">
        <f aca="false">D1299*F1299/C1299</f>
        <v>209.067226027397</v>
      </c>
      <c r="H1299" s="37" t="n">
        <f aca="false">IF(AND(A1299&gt;=Inputs!$B$13,OR(A1299&lt;Inputs!$B$19,Inputs!$B$20=1)),D1299*Inputs!$B$11/C1299,0)</f>
        <v>40.2739726027397</v>
      </c>
      <c r="I1299" s="37" t="n">
        <f aca="false">Inputs!$C$9-SUMIFS(Cash_Events!$G$6:$G$20,Cash_Events!$C$6:$C$20,"FHL",Cash_Events!$B$6:$B$20,"&lt;="&amp;A1299)</f>
        <v>735000</v>
      </c>
      <c r="J1299" s="38" t="n">
        <f aca="false">VLOOKUP(A1299,Inputs!$F$40:$G$48,2,TRUE())</f>
        <v>0.0364054</v>
      </c>
      <c r="K1299" s="38" t="n">
        <f aca="false">J1299+Inputs!$C$10</f>
        <v>0.1039054</v>
      </c>
      <c r="L1299" s="37" t="n">
        <f aca="false">I1299*K1299/C1299</f>
        <v>209.234161643836</v>
      </c>
      <c r="M1299" s="37" t="n">
        <f aca="false">IF(AND(A1299&gt;=Inputs!$C$13,OR(A1299&lt;Inputs!$B$19,Inputs!$B$20=1)),I1299*Inputs!$C$11/C1299,0)</f>
        <v>40.2739726027397</v>
      </c>
    </row>
    <row r="1300" customFormat="false" ht="15" hidden="false" customHeight="false" outlineLevel="0" collapsed="false">
      <c r="A1300" s="35" t="n">
        <f aca="false">A1299+1</f>
        <v>46107</v>
      </c>
      <c r="B1300" s="35" t="n">
        <f aca="false">EOMONTH(A1300+1,0)</f>
        <v>46112</v>
      </c>
      <c r="C1300" s="36" t="n">
        <f aca="false">IF(MOD(YEAR(A1300),4)=0,366,365)</f>
        <v>365</v>
      </c>
      <c r="D1300" s="37" t="n">
        <f aca="false">Inputs!$B$9-SUMIFS(Cash_Events!$G$6:$G$20,Cash_Events!$C$6:$C$20,"rAGMF",Cash_Events!$B$6:$B$20,"&lt;="&amp;A1300)</f>
        <v>735000</v>
      </c>
      <c r="E1300" s="38" t="n">
        <f aca="false">VLOOKUP(A1300,Inputs!$A$40:$B$48,2,TRUE())</f>
        <v>0.0363225</v>
      </c>
      <c r="F1300" s="38" t="n">
        <f aca="false">E1300+Inputs!$B$10</f>
        <v>0.1038225</v>
      </c>
      <c r="G1300" s="37" t="n">
        <f aca="false">D1300*F1300/C1300</f>
        <v>209.067226027397</v>
      </c>
      <c r="H1300" s="37" t="n">
        <f aca="false">IF(AND(A1300&gt;=Inputs!$B$13,OR(A1300&lt;Inputs!$B$19,Inputs!$B$20=1)),D1300*Inputs!$B$11/C1300,0)</f>
        <v>40.2739726027397</v>
      </c>
      <c r="I1300" s="37" t="n">
        <f aca="false">Inputs!$C$9-SUMIFS(Cash_Events!$G$6:$G$20,Cash_Events!$C$6:$C$20,"FHL",Cash_Events!$B$6:$B$20,"&lt;="&amp;A1300)</f>
        <v>735000</v>
      </c>
      <c r="J1300" s="38" t="n">
        <f aca="false">VLOOKUP(A1300,Inputs!$F$40:$G$48,2,TRUE())</f>
        <v>0.0364054</v>
      </c>
      <c r="K1300" s="38" t="n">
        <f aca="false">J1300+Inputs!$C$10</f>
        <v>0.1039054</v>
      </c>
      <c r="L1300" s="37" t="n">
        <f aca="false">I1300*K1300/C1300</f>
        <v>209.234161643836</v>
      </c>
      <c r="M1300" s="37" t="n">
        <f aca="false">IF(AND(A1300&gt;=Inputs!$C$13,OR(A1300&lt;Inputs!$B$19,Inputs!$B$20=1)),I1300*Inputs!$C$11/C1300,0)</f>
        <v>40.2739726027397</v>
      </c>
    </row>
    <row r="1301" customFormat="false" ht="15" hidden="false" customHeight="false" outlineLevel="0" collapsed="false">
      <c r="A1301" s="35" t="n">
        <f aca="false">A1300+1</f>
        <v>46108</v>
      </c>
      <c r="B1301" s="35" t="n">
        <f aca="false">EOMONTH(A1301+1,0)</f>
        <v>46112</v>
      </c>
      <c r="C1301" s="36" t="n">
        <f aca="false">IF(MOD(YEAR(A1301),4)=0,366,365)</f>
        <v>365</v>
      </c>
      <c r="D1301" s="37" t="n">
        <f aca="false">Inputs!$B$9-SUMIFS(Cash_Events!$G$6:$G$20,Cash_Events!$C$6:$C$20,"rAGMF",Cash_Events!$B$6:$B$20,"&lt;="&amp;A1301)</f>
        <v>735000</v>
      </c>
      <c r="E1301" s="38" t="n">
        <f aca="false">VLOOKUP(A1301,Inputs!$A$40:$B$48,2,TRUE())</f>
        <v>0.0363225</v>
      </c>
      <c r="F1301" s="38" t="n">
        <f aca="false">E1301+Inputs!$B$10</f>
        <v>0.1038225</v>
      </c>
      <c r="G1301" s="37" t="n">
        <f aca="false">D1301*F1301/C1301</f>
        <v>209.067226027397</v>
      </c>
      <c r="H1301" s="37" t="n">
        <f aca="false">IF(AND(A1301&gt;=Inputs!$B$13,OR(A1301&lt;Inputs!$B$19,Inputs!$B$20=1)),D1301*Inputs!$B$11/C1301,0)</f>
        <v>40.2739726027397</v>
      </c>
      <c r="I1301" s="37" t="n">
        <f aca="false">Inputs!$C$9-SUMIFS(Cash_Events!$G$6:$G$20,Cash_Events!$C$6:$C$20,"FHL",Cash_Events!$B$6:$B$20,"&lt;="&amp;A1301)</f>
        <v>735000</v>
      </c>
      <c r="J1301" s="38" t="n">
        <f aca="false">VLOOKUP(A1301,Inputs!$F$40:$G$48,2,TRUE())</f>
        <v>0.0364054</v>
      </c>
      <c r="K1301" s="38" t="n">
        <f aca="false">J1301+Inputs!$C$10</f>
        <v>0.1039054</v>
      </c>
      <c r="L1301" s="37" t="n">
        <f aca="false">I1301*K1301/C1301</f>
        <v>209.234161643836</v>
      </c>
      <c r="M1301" s="37" t="n">
        <f aca="false">IF(AND(A1301&gt;=Inputs!$C$13,OR(A1301&lt;Inputs!$B$19,Inputs!$B$20=1)),I1301*Inputs!$C$11/C1301,0)</f>
        <v>40.2739726027397</v>
      </c>
    </row>
    <row r="1302" customFormat="false" ht="15" hidden="false" customHeight="false" outlineLevel="0" collapsed="false">
      <c r="A1302" s="35" t="n">
        <f aca="false">A1301+1</f>
        <v>46109</v>
      </c>
      <c r="B1302" s="35" t="n">
        <f aca="false">EOMONTH(A1302+1,0)</f>
        <v>46112</v>
      </c>
      <c r="C1302" s="36" t="n">
        <f aca="false">IF(MOD(YEAR(A1302),4)=0,366,365)</f>
        <v>365</v>
      </c>
      <c r="D1302" s="37" t="n">
        <f aca="false">Inputs!$B$9-SUMIFS(Cash_Events!$G$6:$G$20,Cash_Events!$C$6:$C$20,"rAGMF",Cash_Events!$B$6:$B$20,"&lt;="&amp;A1302)</f>
        <v>735000</v>
      </c>
      <c r="E1302" s="38" t="n">
        <f aca="false">VLOOKUP(A1302,Inputs!$A$40:$B$48,2,TRUE())</f>
        <v>0.0363225</v>
      </c>
      <c r="F1302" s="38" t="n">
        <f aca="false">E1302+Inputs!$B$10</f>
        <v>0.1038225</v>
      </c>
      <c r="G1302" s="37" t="n">
        <f aca="false">D1302*F1302/C1302</f>
        <v>209.067226027397</v>
      </c>
      <c r="H1302" s="37" t="n">
        <f aca="false">IF(AND(A1302&gt;=Inputs!$B$13,OR(A1302&lt;Inputs!$B$19,Inputs!$B$20=1)),D1302*Inputs!$B$11/C1302,0)</f>
        <v>40.2739726027397</v>
      </c>
      <c r="I1302" s="37" t="n">
        <f aca="false">Inputs!$C$9-SUMIFS(Cash_Events!$G$6:$G$20,Cash_Events!$C$6:$C$20,"FHL",Cash_Events!$B$6:$B$20,"&lt;="&amp;A1302)</f>
        <v>735000</v>
      </c>
      <c r="J1302" s="38" t="n">
        <f aca="false">VLOOKUP(A1302,Inputs!$F$40:$G$48,2,TRUE())</f>
        <v>0.0364054</v>
      </c>
      <c r="K1302" s="38" t="n">
        <f aca="false">J1302+Inputs!$C$10</f>
        <v>0.1039054</v>
      </c>
      <c r="L1302" s="37" t="n">
        <f aca="false">I1302*K1302/C1302</f>
        <v>209.234161643836</v>
      </c>
      <c r="M1302" s="37" t="n">
        <f aca="false">IF(AND(A1302&gt;=Inputs!$C$13,OR(A1302&lt;Inputs!$B$19,Inputs!$B$20=1)),I1302*Inputs!$C$11/C1302,0)</f>
        <v>40.2739726027397</v>
      </c>
    </row>
    <row r="1303" customFormat="false" ht="15" hidden="false" customHeight="false" outlineLevel="0" collapsed="false">
      <c r="A1303" s="35" t="n">
        <f aca="false">A1302+1</f>
        <v>46110</v>
      </c>
      <c r="B1303" s="35" t="n">
        <f aca="false">EOMONTH(A1303+1,0)</f>
        <v>46112</v>
      </c>
      <c r="C1303" s="36" t="n">
        <f aca="false">IF(MOD(YEAR(A1303),4)=0,366,365)</f>
        <v>365</v>
      </c>
      <c r="D1303" s="37" t="n">
        <f aca="false">Inputs!$B$9-SUMIFS(Cash_Events!$G$6:$G$20,Cash_Events!$C$6:$C$20,"rAGMF",Cash_Events!$B$6:$B$20,"&lt;="&amp;A1303)</f>
        <v>735000</v>
      </c>
      <c r="E1303" s="38" t="n">
        <f aca="false">VLOOKUP(A1303,Inputs!$A$40:$B$48,2,TRUE())</f>
        <v>0.0363225</v>
      </c>
      <c r="F1303" s="38" t="n">
        <f aca="false">E1303+Inputs!$B$10</f>
        <v>0.1038225</v>
      </c>
      <c r="G1303" s="37" t="n">
        <f aca="false">D1303*F1303/C1303</f>
        <v>209.067226027397</v>
      </c>
      <c r="H1303" s="37" t="n">
        <f aca="false">IF(AND(A1303&gt;=Inputs!$B$13,OR(A1303&lt;Inputs!$B$19,Inputs!$B$20=1)),D1303*Inputs!$B$11/C1303,0)</f>
        <v>40.2739726027397</v>
      </c>
      <c r="I1303" s="37" t="n">
        <f aca="false">Inputs!$C$9-SUMIFS(Cash_Events!$G$6:$G$20,Cash_Events!$C$6:$C$20,"FHL",Cash_Events!$B$6:$B$20,"&lt;="&amp;A1303)</f>
        <v>735000</v>
      </c>
      <c r="J1303" s="38" t="n">
        <f aca="false">VLOOKUP(A1303,Inputs!$F$40:$G$48,2,TRUE())</f>
        <v>0.0364054</v>
      </c>
      <c r="K1303" s="38" t="n">
        <f aca="false">J1303+Inputs!$C$10</f>
        <v>0.1039054</v>
      </c>
      <c r="L1303" s="37" t="n">
        <f aca="false">I1303*K1303/C1303</f>
        <v>209.234161643836</v>
      </c>
      <c r="M1303" s="37" t="n">
        <f aca="false">IF(AND(A1303&gt;=Inputs!$C$13,OR(A1303&lt;Inputs!$B$19,Inputs!$B$20=1)),I1303*Inputs!$C$11/C1303,0)</f>
        <v>40.2739726027397</v>
      </c>
    </row>
    <row r="1304" customFormat="false" ht="15" hidden="false" customHeight="false" outlineLevel="0" collapsed="false">
      <c r="A1304" s="35" t="n">
        <f aca="false">A1303+1</f>
        <v>46111</v>
      </c>
      <c r="B1304" s="35" t="n">
        <f aca="false">EOMONTH(A1304+1,0)</f>
        <v>46112</v>
      </c>
      <c r="C1304" s="36" t="n">
        <f aca="false">IF(MOD(YEAR(A1304),4)=0,366,365)</f>
        <v>365</v>
      </c>
      <c r="D1304" s="37" t="n">
        <f aca="false">Inputs!$B$9-SUMIFS(Cash_Events!$G$6:$G$20,Cash_Events!$C$6:$C$20,"rAGMF",Cash_Events!$B$6:$B$20,"&lt;="&amp;A1304)</f>
        <v>735000</v>
      </c>
      <c r="E1304" s="38" t="n">
        <f aca="false">VLOOKUP(A1304,Inputs!$A$40:$B$48,2,TRUE())</f>
        <v>0.0363225</v>
      </c>
      <c r="F1304" s="38" t="n">
        <f aca="false">E1304+Inputs!$B$10</f>
        <v>0.1038225</v>
      </c>
      <c r="G1304" s="37" t="n">
        <f aca="false">D1304*F1304/C1304</f>
        <v>209.067226027397</v>
      </c>
      <c r="H1304" s="37" t="n">
        <f aca="false">IF(AND(A1304&gt;=Inputs!$B$13,OR(A1304&lt;Inputs!$B$19,Inputs!$B$20=1)),D1304*Inputs!$B$11/C1304,0)</f>
        <v>40.2739726027397</v>
      </c>
      <c r="I1304" s="37" t="n">
        <f aca="false">Inputs!$C$9-SUMIFS(Cash_Events!$G$6:$G$20,Cash_Events!$C$6:$C$20,"FHL",Cash_Events!$B$6:$B$20,"&lt;="&amp;A1304)</f>
        <v>735000</v>
      </c>
      <c r="J1304" s="38" t="n">
        <f aca="false">VLOOKUP(A1304,Inputs!$F$40:$G$48,2,TRUE())</f>
        <v>0.0364054</v>
      </c>
      <c r="K1304" s="38" t="n">
        <f aca="false">J1304+Inputs!$C$10</f>
        <v>0.1039054</v>
      </c>
      <c r="L1304" s="37" t="n">
        <f aca="false">I1304*K1304/C1304</f>
        <v>209.234161643836</v>
      </c>
      <c r="M1304" s="37" t="n">
        <f aca="false">IF(AND(A1304&gt;=Inputs!$C$13,OR(A1304&lt;Inputs!$B$19,Inputs!$B$20=1)),I1304*Inputs!$C$11/C1304,0)</f>
        <v>40.2739726027397</v>
      </c>
    </row>
    <row r="1305" customFormat="false" ht="15" hidden="false" customHeight="false" outlineLevel="0" collapsed="false">
      <c r="A1305" s="35" t="n">
        <f aca="false">A1304+1</f>
        <v>46112</v>
      </c>
      <c r="B1305" s="35" t="n">
        <f aca="false">EOMONTH(A1305+1,0)</f>
        <v>46142</v>
      </c>
      <c r="C1305" s="36" t="n">
        <f aca="false">IF(MOD(YEAR(A1305),4)=0,366,365)</f>
        <v>365</v>
      </c>
      <c r="D1305" s="37" t="n">
        <f aca="false">Inputs!$B$9-SUMIFS(Cash_Events!$G$6:$G$20,Cash_Events!$C$6:$C$20,"rAGMF",Cash_Events!$B$6:$B$20,"&lt;="&amp;A1305)</f>
        <v>735000</v>
      </c>
      <c r="E1305" s="38" t="n">
        <f aca="false">VLOOKUP(A1305,Inputs!$A$40:$B$48,2,TRUE())</f>
        <v>0.0363225</v>
      </c>
      <c r="F1305" s="38" t="n">
        <f aca="false">E1305+Inputs!$B$10</f>
        <v>0.1038225</v>
      </c>
      <c r="G1305" s="37" t="n">
        <f aca="false">D1305*F1305/C1305</f>
        <v>209.067226027397</v>
      </c>
      <c r="H1305" s="37" t="n">
        <f aca="false">IF(AND(A1305&gt;=Inputs!$B$13,OR(A1305&lt;Inputs!$B$19,Inputs!$B$20=1)),D1305*Inputs!$B$11/C1305,0)</f>
        <v>40.2739726027397</v>
      </c>
      <c r="I1305" s="37" t="n">
        <f aca="false">Inputs!$C$9-SUMIFS(Cash_Events!$G$6:$G$20,Cash_Events!$C$6:$C$20,"FHL",Cash_Events!$B$6:$B$20,"&lt;="&amp;A1305)</f>
        <v>735000</v>
      </c>
      <c r="J1305" s="38" t="n">
        <f aca="false">VLOOKUP(A1305,Inputs!$F$40:$G$48,2,TRUE())</f>
        <v>0.0364054</v>
      </c>
      <c r="K1305" s="38" t="n">
        <f aca="false">J1305+Inputs!$C$10</f>
        <v>0.1039054</v>
      </c>
      <c r="L1305" s="37" t="n">
        <f aca="false">I1305*K1305/C1305</f>
        <v>209.234161643836</v>
      </c>
      <c r="M1305" s="37" t="n">
        <f aca="false">IF(AND(A1305&gt;=Inputs!$C$13,OR(A1305&lt;Inputs!$B$19,Inputs!$B$20=1)),I1305*Inputs!$C$11/C1305,0)</f>
        <v>40.2739726027397</v>
      </c>
    </row>
    <row r="1306" customFormat="false" ht="15" hidden="false" customHeight="false" outlineLevel="0" collapsed="false">
      <c r="A1306" s="35" t="n">
        <f aca="false">A1305+1</f>
        <v>46113</v>
      </c>
      <c r="B1306" s="35" t="n">
        <f aca="false">EOMONTH(A1306+1,0)</f>
        <v>46142</v>
      </c>
      <c r="C1306" s="36" t="n">
        <f aca="false">IF(MOD(YEAR(A1306),4)=0,366,365)</f>
        <v>365</v>
      </c>
      <c r="D1306" s="37" t="n">
        <f aca="false">Inputs!$B$9-SUMIFS(Cash_Events!$G$6:$G$20,Cash_Events!$C$6:$C$20,"rAGMF",Cash_Events!$B$6:$B$20,"&lt;="&amp;A1306)</f>
        <v>735000</v>
      </c>
      <c r="E1306" s="38" t="n">
        <f aca="false">VLOOKUP(A1306,Inputs!$A$40:$B$48,2,TRUE())</f>
        <v>0.0363225</v>
      </c>
      <c r="F1306" s="38" t="n">
        <f aca="false">E1306+Inputs!$B$10</f>
        <v>0.1038225</v>
      </c>
      <c r="G1306" s="37" t="n">
        <f aca="false">D1306*F1306/C1306</f>
        <v>209.067226027397</v>
      </c>
      <c r="H1306" s="37" t="n">
        <f aca="false">IF(AND(A1306&gt;=Inputs!$B$13,OR(A1306&lt;Inputs!$B$19,Inputs!$B$20=1)),D1306*Inputs!$B$11/C1306,0)</f>
        <v>40.2739726027397</v>
      </c>
      <c r="I1306" s="37" t="n">
        <f aca="false">Inputs!$C$9-SUMIFS(Cash_Events!$G$6:$G$20,Cash_Events!$C$6:$C$20,"FHL",Cash_Events!$B$6:$B$20,"&lt;="&amp;A1306)</f>
        <v>735000</v>
      </c>
      <c r="J1306" s="38" t="n">
        <f aca="false">VLOOKUP(A1306,Inputs!$F$40:$G$48,2,TRUE())</f>
        <v>0.0364054</v>
      </c>
      <c r="K1306" s="38" t="n">
        <f aca="false">J1306+Inputs!$C$10</f>
        <v>0.1039054</v>
      </c>
      <c r="L1306" s="37" t="n">
        <f aca="false">I1306*K1306/C1306</f>
        <v>209.234161643836</v>
      </c>
      <c r="M1306" s="37" t="n">
        <f aca="false">IF(AND(A1306&gt;=Inputs!$C$13,OR(A1306&lt;Inputs!$B$19,Inputs!$B$20=1)),I1306*Inputs!$C$11/C1306,0)</f>
        <v>40.2739726027397</v>
      </c>
    </row>
    <row r="1307" customFormat="false" ht="15" hidden="false" customHeight="false" outlineLevel="0" collapsed="false">
      <c r="A1307" s="35" t="n">
        <f aca="false">A1306+1</f>
        <v>46114</v>
      </c>
      <c r="B1307" s="35" t="n">
        <f aca="false">EOMONTH(A1307+1,0)</f>
        <v>46142</v>
      </c>
      <c r="C1307" s="36" t="n">
        <f aca="false">IF(MOD(YEAR(A1307),4)=0,366,365)</f>
        <v>365</v>
      </c>
      <c r="D1307" s="37" t="n">
        <f aca="false">Inputs!$B$9-SUMIFS(Cash_Events!$G$6:$G$20,Cash_Events!$C$6:$C$20,"rAGMF",Cash_Events!$B$6:$B$20,"&lt;="&amp;A1307)</f>
        <v>735000</v>
      </c>
      <c r="E1307" s="38" t="n">
        <f aca="false">VLOOKUP(A1307,Inputs!$A$40:$B$48,2,TRUE())</f>
        <v>0.0363225</v>
      </c>
      <c r="F1307" s="38" t="n">
        <f aca="false">E1307+Inputs!$B$10</f>
        <v>0.1038225</v>
      </c>
      <c r="G1307" s="37" t="n">
        <f aca="false">D1307*F1307/C1307</f>
        <v>209.067226027397</v>
      </c>
      <c r="H1307" s="37" t="n">
        <f aca="false">IF(AND(A1307&gt;=Inputs!$B$13,OR(A1307&lt;Inputs!$B$19,Inputs!$B$20=1)),D1307*Inputs!$B$11/C1307,0)</f>
        <v>40.2739726027397</v>
      </c>
      <c r="I1307" s="37" t="n">
        <f aca="false">Inputs!$C$9-SUMIFS(Cash_Events!$G$6:$G$20,Cash_Events!$C$6:$C$20,"FHL",Cash_Events!$B$6:$B$20,"&lt;="&amp;A1307)</f>
        <v>735000</v>
      </c>
      <c r="J1307" s="38" t="n">
        <f aca="false">VLOOKUP(A1307,Inputs!$F$40:$G$48,2,TRUE())</f>
        <v>0.0364054</v>
      </c>
      <c r="K1307" s="38" t="n">
        <f aca="false">J1307+Inputs!$C$10</f>
        <v>0.1039054</v>
      </c>
      <c r="L1307" s="37" t="n">
        <f aca="false">I1307*K1307/C1307</f>
        <v>209.234161643836</v>
      </c>
      <c r="M1307" s="37" t="n">
        <f aca="false">IF(AND(A1307&gt;=Inputs!$C$13,OR(A1307&lt;Inputs!$B$19,Inputs!$B$20=1)),I1307*Inputs!$C$11/C1307,0)</f>
        <v>40.2739726027397</v>
      </c>
    </row>
    <row r="1308" customFormat="false" ht="15" hidden="false" customHeight="false" outlineLevel="0" collapsed="false">
      <c r="A1308" s="35" t="n">
        <f aca="false">A1307+1</f>
        <v>46115</v>
      </c>
      <c r="B1308" s="35" t="n">
        <f aca="false">EOMONTH(A1308+1,0)</f>
        <v>46142</v>
      </c>
      <c r="C1308" s="36" t="n">
        <f aca="false">IF(MOD(YEAR(A1308),4)=0,366,365)</f>
        <v>365</v>
      </c>
      <c r="D1308" s="37" t="n">
        <f aca="false">Inputs!$B$9-SUMIFS(Cash_Events!$G$6:$G$20,Cash_Events!$C$6:$C$20,"rAGMF",Cash_Events!$B$6:$B$20,"&lt;="&amp;A1308)</f>
        <v>735000</v>
      </c>
      <c r="E1308" s="38" t="n">
        <f aca="false">VLOOKUP(A1308,Inputs!$A$40:$B$48,2,TRUE())</f>
        <v>0.0363225</v>
      </c>
      <c r="F1308" s="38" t="n">
        <f aca="false">E1308+Inputs!$B$10</f>
        <v>0.1038225</v>
      </c>
      <c r="G1308" s="37" t="n">
        <f aca="false">D1308*F1308/C1308</f>
        <v>209.067226027397</v>
      </c>
      <c r="H1308" s="37" t="n">
        <f aca="false">IF(AND(A1308&gt;=Inputs!$B$13,OR(A1308&lt;Inputs!$B$19,Inputs!$B$20=1)),D1308*Inputs!$B$11/C1308,0)</f>
        <v>40.2739726027397</v>
      </c>
      <c r="I1308" s="37" t="n">
        <f aca="false">Inputs!$C$9-SUMIFS(Cash_Events!$G$6:$G$20,Cash_Events!$C$6:$C$20,"FHL",Cash_Events!$B$6:$B$20,"&lt;="&amp;A1308)</f>
        <v>735000</v>
      </c>
      <c r="J1308" s="38" t="n">
        <f aca="false">VLOOKUP(A1308,Inputs!$F$40:$G$48,2,TRUE())</f>
        <v>0.0364054</v>
      </c>
      <c r="K1308" s="38" t="n">
        <f aca="false">J1308+Inputs!$C$10</f>
        <v>0.1039054</v>
      </c>
      <c r="L1308" s="37" t="n">
        <f aca="false">I1308*K1308/C1308</f>
        <v>209.234161643836</v>
      </c>
      <c r="M1308" s="37" t="n">
        <f aca="false">IF(AND(A1308&gt;=Inputs!$C$13,OR(A1308&lt;Inputs!$B$19,Inputs!$B$20=1)),I1308*Inputs!$C$11/C1308,0)</f>
        <v>40.2739726027397</v>
      </c>
    </row>
    <row r="1309" customFormat="false" ht="15" hidden="false" customHeight="false" outlineLevel="0" collapsed="false">
      <c r="A1309" s="35" t="n">
        <f aca="false">A1308+1</f>
        <v>46116</v>
      </c>
      <c r="B1309" s="35" t="n">
        <f aca="false">EOMONTH(A1309+1,0)</f>
        <v>46142</v>
      </c>
      <c r="C1309" s="36" t="n">
        <f aca="false">IF(MOD(YEAR(A1309),4)=0,366,365)</f>
        <v>365</v>
      </c>
      <c r="D1309" s="37" t="n">
        <f aca="false">Inputs!$B$9-SUMIFS(Cash_Events!$G$6:$G$20,Cash_Events!$C$6:$C$20,"rAGMF",Cash_Events!$B$6:$B$20,"&lt;="&amp;A1309)</f>
        <v>735000</v>
      </c>
      <c r="E1309" s="38" t="n">
        <f aca="false">VLOOKUP(A1309,Inputs!$A$40:$B$48,2,TRUE())</f>
        <v>0.0363225</v>
      </c>
      <c r="F1309" s="38" t="n">
        <f aca="false">E1309+Inputs!$B$10</f>
        <v>0.1038225</v>
      </c>
      <c r="G1309" s="37" t="n">
        <f aca="false">D1309*F1309/C1309</f>
        <v>209.067226027397</v>
      </c>
      <c r="H1309" s="37" t="n">
        <f aca="false">IF(AND(A1309&gt;=Inputs!$B$13,OR(A1309&lt;Inputs!$B$19,Inputs!$B$20=1)),D1309*Inputs!$B$11/C1309,0)</f>
        <v>40.2739726027397</v>
      </c>
      <c r="I1309" s="37" t="n">
        <f aca="false">Inputs!$C$9-SUMIFS(Cash_Events!$G$6:$G$20,Cash_Events!$C$6:$C$20,"FHL",Cash_Events!$B$6:$B$20,"&lt;="&amp;A1309)</f>
        <v>735000</v>
      </c>
      <c r="J1309" s="38" t="n">
        <f aca="false">VLOOKUP(A1309,Inputs!$F$40:$G$48,2,TRUE())</f>
        <v>0.0364054</v>
      </c>
      <c r="K1309" s="38" t="n">
        <f aca="false">J1309+Inputs!$C$10</f>
        <v>0.1039054</v>
      </c>
      <c r="L1309" s="37" t="n">
        <f aca="false">I1309*K1309/C1309</f>
        <v>209.234161643836</v>
      </c>
      <c r="M1309" s="37" t="n">
        <f aca="false">IF(AND(A1309&gt;=Inputs!$C$13,OR(A1309&lt;Inputs!$B$19,Inputs!$B$20=1)),I1309*Inputs!$C$11/C1309,0)</f>
        <v>40.2739726027397</v>
      </c>
    </row>
    <row r="1310" customFormat="false" ht="15" hidden="false" customHeight="false" outlineLevel="0" collapsed="false">
      <c r="A1310" s="35" t="n">
        <f aca="false">A1309+1</f>
        <v>46117</v>
      </c>
      <c r="B1310" s="35" t="n">
        <f aca="false">EOMONTH(A1310+1,0)</f>
        <v>46142</v>
      </c>
      <c r="C1310" s="36" t="n">
        <f aca="false">IF(MOD(YEAR(A1310),4)=0,366,365)</f>
        <v>365</v>
      </c>
      <c r="D1310" s="37" t="n">
        <f aca="false">Inputs!$B$9-SUMIFS(Cash_Events!$G$6:$G$20,Cash_Events!$C$6:$C$20,"rAGMF",Cash_Events!$B$6:$B$20,"&lt;="&amp;A1310)</f>
        <v>735000</v>
      </c>
      <c r="E1310" s="38" t="n">
        <f aca="false">VLOOKUP(A1310,Inputs!$A$40:$B$48,2,TRUE())</f>
        <v>0.0363225</v>
      </c>
      <c r="F1310" s="38" t="n">
        <f aca="false">E1310+Inputs!$B$10</f>
        <v>0.1038225</v>
      </c>
      <c r="G1310" s="37" t="n">
        <f aca="false">D1310*F1310/C1310</f>
        <v>209.067226027397</v>
      </c>
      <c r="H1310" s="37" t="n">
        <f aca="false">IF(AND(A1310&gt;=Inputs!$B$13,OR(A1310&lt;Inputs!$B$19,Inputs!$B$20=1)),D1310*Inputs!$B$11/C1310,0)</f>
        <v>40.2739726027397</v>
      </c>
      <c r="I1310" s="37" t="n">
        <f aca="false">Inputs!$C$9-SUMIFS(Cash_Events!$G$6:$G$20,Cash_Events!$C$6:$C$20,"FHL",Cash_Events!$B$6:$B$20,"&lt;="&amp;A1310)</f>
        <v>735000</v>
      </c>
      <c r="J1310" s="38" t="n">
        <f aca="false">VLOOKUP(A1310,Inputs!$F$40:$G$48,2,TRUE())</f>
        <v>0.0364054</v>
      </c>
      <c r="K1310" s="38" t="n">
        <f aca="false">J1310+Inputs!$C$10</f>
        <v>0.1039054</v>
      </c>
      <c r="L1310" s="37" t="n">
        <f aca="false">I1310*K1310/C1310</f>
        <v>209.234161643836</v>
      </c>
      <c r="M1310" s="37" t="n">
        <f aca="false">IF(AND(A1310&gt;=Inputs!$C$13,OR(A1310&lt;Inputs!$B$19,Inputs!$B$20=1)),I1310*Inputs!$C$11/C1310,0)</f>
        <v>40.2739726027397</v>
      </c>
    </row>
    <row r="1311" customFormat="false" ht="15" hidden="false" customHeight="false" outlineLevel="0" collapsed="false">
      <c r="A1311" s="35" t="n">
        <f aca="false">A1310+1</f>
        <v>46118</v>
      </c>
      <c r="B1311" s="35" t="n">
        <f aca="false">EOMONTH(A1311+1,0)</f>
        <v>46142</v>
      </c>
      <c r="C1311" s="36" t="n">
        <f aca="false">IF(MOD(YEAR(A1311),4)=0,366,365)</f>
        <v>365</v>
      </c>
      <c r="D1311" s="37" t="n">
        <f aca="false">Inputs!$B$9-SUMIFS(Cash_Events!$G$6:$G$20,Cash_Events!$C$6:$C$20,"rAGMF",Cash_Events!$B$6:$B$20,"&lt;="&amp;A1311)</f>
        <v>735000</v>
      </c>
      <c r="E1311" s="38" t="n">
        <f aca="false">VLOOKUP(A1311,Inputs!$A$40:$B$48,2,TRUE())</f>
        <v>0.0363225</v>
      </c>
      <c r="F1311" s="38" t="n">
        <f aca="false">E1311+Inputs!$B$10</f>
        <v>0.1038225</v>
      </c>
      <c r="G1311" s="37" t="n">
        <f aca="false">D1311*F1311/C1311</f>
        <v>209.067226027397</v>
      </c>
      <c r="H1311" s="37" t="n">
        <f aca="false">IF(AND(A1311&gt;=Inputs!$B$13,OR(A1311&lt;Inputs!$B$19,Inputs!$B$20=1)),D1311*Inputs!$B$11/C1311,0)</f>
        <v>40.2739726027397</v>
      </c>
      <c r="I1311" s="37" t="n">
        <f aca="false">Inputs!$C$9-SUMIFS(Cash_Events!$G$6:$G$20,Cash_Events!$C$6:$C$20,"FHL",Cash_Events!$B$6:$B$20,"&lt;="&amp;A1311)</f>
        <v>735000</v>
      </c>
      <c r="J1311" s="38" t="n">
        <f aca="false">VLOOKUP(A1311,Inputs!$F$40:$G$48,2,TRUE())</f>
        <v>0.0364054</v>
      </c>
      <c r="K1311" s="38" t="n">
        <f aca="false">J1311+Inputs!$C$10</f>
        <v>0.1039054</v>
      </c>
      <c r="L1311" s="37" t="n">
        <f aca="false">I1311*K1311/C1311</f>
        <v>209.234161643836</v>
      </c>
      <c r="M1311" s="37" t="n">
        <f aca="false">IF(AND(A1311&gt;=Inputs!$C$13,OR(A1311&lt;Inputs!$B$19,Inputs!$B$20=1)),I1311*Inputs!$C$11/C1311,0)</f>
        <v>40.2739726027397</v>
      </c>
    </row>
    <row r="1312" customFormat="false" ht="15" hidden="false" customHeight="false" outlineLevel="0" collapsed="false">
      <c r="A1312" s="35" t="n">
        <f aca="false">A1311+1</f>
        <v>46119</v>
      </c>
      <c r="B1312" s="35" t="n">
        <f aca="false">EOMONTH(A1312+1,0)</f>
        <v>46142</v>
      </c>
      <c r="C1312" s="36" t="n">
        <f aca="false">IF(MOD(YEAR(A1312),4)=0,366,365)</f>
        <v>365</v>
      </c>
      <c r="D1312" s="37" t="n">
        <f aca="false">Inputs!$B$9-SUMIFS(Cash_Events!$G$6:$G$20,Cash_Events!$C$6:$C$20,"rAGMF",Cash_Events!$B$6:$B$20,"&lt;="&amp;A1312)</f>
        <v>735000</v>
      </c>
      <c r="E1312" s="38" t="n">
        <f aca="false">VLOOKUP(A1312,Inputs!$A$40:$B$48,2,TRUE())</f>
        <v>0.0363225</v>
      </c>
      <c r="F1312" s="38" t="n">
        <f aca="false">E1312+Inputs!$B$10</f>
        <v>0.1038225</v>
      </c>
      <c r="G1312" s="37" t="n">
        <f aca="false">D1312*F1312/C1312</f>
        <v>209.067226027397</v>
      </c>
      <c r="H1312" s="37" t="n">
        <f aca="false">IF(AND(A1312&gt;=Inputs!$B$13,OR(A1312&lt;Inputs!$B$19,Inputs!$B$20=1)),D1312*Inputs!$B$11/C1312,0)</f>
        <v>40.2739726027397</v>
      </c>
      <c r="I1312" s="37" t="n">
        <f aca="false">Inputs!$C$9-SUMIFS(Cash_Events!$G$6:$G$20,Cash_Events!$C$6:$C$20,"FHL",Cash_Events!$B$6:$B$20,"&lt;="&amp;A1312)</f>
        <v>735000</v>
      </c>
      <c r="J1312" s="38" t="n">
        <f aca="false">VLOOKUP(A1312,Inputs!$F$40:$G$48,2,TRUE())</f>
        <v>0.0364054</v>
      </c>
      <c r="K1312" s="38" t="n">
        <f aca="false">J1312+Inputs!$C$10</f>
        <v>0.1039054</v>
      </c>
      <c r="L1312" s="37" t="n">
        <f aca="false">I1312*K1312/C1312</f>
        <v>209.234161643836</v>
      </c>
      <c r="M1312" s="37" t="n">
        <f aca="false">IF(AND(A1312&gt;=Inputs!$C$13,OR(A1312&lt;Inputs!$B$19,Inputs!$B$20=1)),I1312*Inputs!$C$11/C1312,0)</f>
        <v>40.2739726027397</v>
      </c>
    </row>
    <row r="1313" customFormat="false" ht="15" hidden="false" customHeight="false" outlineLevel="0" collapsed="false">
      <c r="A1313" s="35" t="n">
        <f aca="false">A1312+1</f>
        <v>46120</v>
      </c>
      <c r="B1313" s="35" t="n">
        <f aca="false">EOMONTH(A1313+1,0)</f>
        <v>46142</v>
      </c>
      <c r="C1313" s="36" t="n">
        <f aca="false">IF(MOD(YEAR(A1313),4)=0,366,365)</f>
        <v>365</v>
      </c>
      <c r="D1313" s="37" t="n">
        <f aca="false">Inputs!$B$9-SUMIFS(Cash_Events!$G$6:$G$20,Cash_Events!$C$6:$C$20,"rAGMF",Cash_Events!$B$6:$B$20,"&lt;="&amp;A1313)</f>
        <v>735000</v>
      </c>
      <c r="E1313" s="38" t="n">
        <f aca="false">VLOOKUP(A1313,Inputs!$A$40:$B$48,2,TRUE())</f>
        <v>0.0363225</v>
      </c>
      <c r="F1313" s="38" t="n">
        <f aca="false">E1313+Inputs!$B$10</f>
        <v>0.1038225</v>
      </c>
      <c r="G1313" s="37" t="n">
        <f aca="false">D1313*F1313/C1313</f>
        <v>209.067226027397</v>
      </c>
      <c r="H1313" s="37" t="n">
        <f aca="false">IF(AND(A1313&gt;=Inputs!$B$13,OR(A1313&lt;Inputs!$B$19,Inputs!$B$20=1)),D1313*Inputs!$B$11/C1313,0)</f>
        <v>40.2739726027397</v>
      </c>
      <c r="I1313" s="37" t="n">
        <f aca="false">Inputs!$C$9-SUMIFS(Cash_Events!$G$6:$G$20,Cash_Events!$C$6:$C$20,"FHL",Cash_Events!$B$6:$B$20,"&lt;="&amp;A1313)</f>
        <v>735000</v>
      </c>
      <c r="J1313" s="38" t="n">
        <f aca="false">VLOOKUP(A1313,Inputs!$F$40:$G$48,2,TRUE())</f>
        <v>0.0364054</v>
      </c>
      <c r="K1313" s="38" t="n">
        <f aca="false">J1313+Inputs!$C$10</f>
        <v>0.1039054</v>
      </c>
      <c r="L1313" s="37" t="n">
        <f aca="false">I1313*K1313/C1313</f>
        <v>209.234161643836</v>
      </c>
      <c r="M1313" s="37" t="n">
        <f aca="false">IF(AND(A1313&gt;=Inputs!$C$13,OR(A1313&lt;Inputs!$B$19,Inputs!$B$20=1)),I1313*Inputs!$C$11/C1313,0)</f>
        <v>40.2739726027397</v>
      </c>
    </row>
    <row r="1314" customFormat="false" ht="15" hidden="false" customHeight="false" outlineLevel="0" collapsed="false">
      <c r="A1314" s="35" t="n">
        <f aca="false">A1313+1</f>
        <v>46121</v>
      </c>
      <c r="B1314" s="35" t="n">
        <f aca="false">EOMONTH(A1314+1,0)</f>
        <v>46142</v>
      </c>
      <c r="C1314" s="36" t="n">
        <f aca="false">IF(MOD(YEAR(A1314),4)=0,366,365)</f>
        <v>365</v>
      </c>
      <c r="D1314" s="37" t="n">
        <f aca="false">Inputs!$B$9-SUMIFS(Cash_Events!$G$6:$G$20,Cash_Events!$C$6:$C$20,"rAGMF",Cash_Events!$B$6:$B$20,"&lt;="&amp;A1314)</f>
        <v>735000</v>
      </c>
      <c r="E1314" s="38" t="n">
        <f aca="false">VLOOKUP(A1314,Inputs!$A$40:$B$48,2,TRUE())</f>
        <v>0.0363225</v>
      </c>
      <c r="F1314" s="38" t="n">
        <f aca="false">E1314+Inputs!$B$10</f>
        <v>0.1038225</v>
      </c>
      <c r="G1314" s="37" t="n">
        <f aca="false">D1314*F1314/C1314</f>
        <v>209.067226027397</v>
      </c>
      <c r="H1314" s="37" t="n">
        <f aca="false">IF(AND(A1314&gt;=Inputs!$B$13,OR(A1314&lt;Inputs!$B$19,Inputs!$B$20=1)),D1314*Inputs!$B$11/C1314,0)</f>
        <v>40.2739726027397</v>
      </c>
      <c r="I1314" s="37" t="n">
        <f aca="false">Inputs!$C$9-SUMIFS(Cash_Events!$G$6:$G$20,Cash_Events!$C$6:$C$20,"FHL",Cash_Events!$B$6:$B$20,"&lt;="&amp;A1314)</f>
        <v>735000</v>
      </c>
      <c r="J1314" s="38" t="n">
        <f aca="false">VLOOKUP(A1314,Inputs!$F$40:$G$48,2,TRUE())</f>
        <v>0.0364054</v>
      </c>
      <c r="K1314" s="38" t="n">
        <f aca="false">J1314+Inputs!$C$10</f>
        <v>0.1039054</v>
      </c>
      <c r="L1314" s="37" t="n">
        <f aca="false">I1314*K1314/C1314</f>
        <v>209.234161643836</v>
      </c>
      <c r="M1314" s="37" t="n">
        <f aca="false">IF(AND(A1314&gt;=Inputs!$C$13,OR(A1314&lt;Inputs!$B$19,Inputs!$B$20=1)),I1314*Inputs!$C$11/C1314,0)</f>
        <v>40.2739726027397</v>
      </c>
    </row>
    <row r="1315" customFormat="false" ht="15" hidden="false" customHeight="false" outlineLevel="0" collapsed="false">
      <c r="A1315" s="35" t="n">
        <f aca="false">A1314+1</f>
        <v>46122</v>
      </c>
      <c r="B1315" s="35" t="n">
        <f aca="false">EOMONTH(A1315+1,0)</f>
        <v>46142</v>
      </c>
      <c r="C1315" s="36" t="n">
        <f aca="false">IF(MOD(YEAR(A1315),4)=0,366,365)</f>
        <v>365</v>
      </c>
      <c r="D1315" s="37" t="n">
        <f aca="false">Inputs!$B$9-SUMIFS(Cash_Events!$G$6:$G$20,Cash_Events!$C$6:$C$20,"rAGMF",Cash_Events!$B$6:$B$20,"&lt;="&amp;A1315)</f>
        <v>735000</v>
      </c>
      <c r="E1315" s="38" t="n">
        <f aca="false">VLOOKUP(A1315,Inputs!$A$40:$B$48,2,TRUE())</f>
        <v>0.0363225</v>
      </c>
      <c r="F1315" s="38" t="n">
        <f aca="false">E1315+Inputs!$B$10</f>
        <v>0.1038225</v>
      </c>
      <c r="G1315" s="37" t="n">
        <f aca="false">D1315*F1315/C1315</f>
        <v>209.067226027397</v>
      </c>
      <c r="H1315" s="37" t="n">
        <f aca="false">IF(AND(A1315&gt;=Inputs!$B$13,OR(A1315&lt;Inputs!$B$19,Inputs!$B$20=1)),D1315*Inputs!$B$11/C1315,0)</f>
        <v>40.2739726027397</v>
      </c>
      <c r="I1315" s="37" t="n">
        <f aca="false">Inputs!$C$9-SUMIFS(Cash_Events!$G$6:$G$20,Cash_Events!$C$6:$C$20,"FHL",Cash_Events!$B$6:$B$20,"&lt;="&amp;A1315)</f>
        <v>735000</v>
      </c>
      <c r="J1315" s="38" t="n">
        <f aca="false">VLOOKUP(A1315,Inputs!$F$40:$G$48,2,TRUE())</f>
        <v>0.0364054</v>
      </c>
      <c r="K1315" s="38" t="n">
        <f aca="false">J1315+Inputs!$C$10</f>
        <v>0.1039054</v>
      </c>
      <c r="L1315" s="37" t="n">
        <f aca="false">I1315*K1315/C1315</f>
        <v>209.234161643836</v>
      </c>
      <c r="M1315" s="37" t="n">
        <f aca="false">IF(AND(A1315&gt;=Inputs!$C$13,OR(A1315&lt;Inputs!$B$19,Inputs!$B$20=1)),I1315*Inputs!$C$11/C1315,0)</f>
        <v>40.2739726027397</v>
      </c>
    </row>
    <row r="1316" customFormat="false" ht="15" hidden="false" customHeight="false" outlineLevel="0" collapsed="false">
      <c r="A1316" s="35" t="n">
        <f aca="false">A1315+1</f>
        <v>46123</v>
      </c>
      <c r="B1316" s="35" t="n">
        <f aca="false">EOMONTH(A1316+1,0)</f>
        <v>46142</v>
      </c>
      <c r="C1316" s="36" t="n">
        <f aca="false">IF(MOD(YEAR(A1316),4)=0,366,365)</f>
        <v>365</v>
      </c>
      <c r="D1316" s="37" t="n">
        <f aca="false">Inputs!$B$9-SUMIFS(Cash_Events!$G$6:$G$20,Cash_Events!$C$6:$C$20,"rAGMF",Cash_Events!$B$6:$B$20,"&lt;="&amp;A1316)</f>
        <v>735000</v>
      </c>
      <c r="E1316" s="38" t="n">
        <f aca="false">VLOOKUP(A1316,Inputs!$A$40:$B$48,2,TRUE())</f>
        <v>0.0363225</v>
      </c>
      <c r="F1316" s="38" t="n">
        <f aca="false">E1316+Inputs!$B$10</f>
        <v>0.1038225</v>
      </c>
      <c r="G1316" s="37" t="n">
        <f aca="false">D1316*F1316/C1316</f>
        <v>209.067226027397</v>
      </c>
      <c r="H1316" s="37" t="n">
        <f aca="false">IF(AND(A1316&gt;=Inputs!$B$13,OR(A1316&lt;Inputs!$B$19,Inputs!$B$20=1)),D1316*Inputs!$B$11/C1316,0)</f>
        <v>40.2739726027397</v>
      </c>
      <c r="I1316" s="37" t="n">
        <f aca="false">Inputs!$C$9-SUMIFS(Cash_Events!$G$6:$G$20,Cash_Events!$C$6:$C$20,"FHL",Cash_Events!$B$6:$B$20,"&lt;="&amp;A1316)</f>
        <v>735000</v>
      </c>
      <c r="J1316" s="38" t="n">
        <f aca="false">VLOOKUP(A1316,Inputs!$F$40:$G$48,2,TRUE())</f>
        <v>0.0364054</v>
      </c>
      <c r="K1316" s="38" t="n">
        <f aca="false">J1316+Inputs!$C$10</f>
        <v>0.1039054</v>
      </c>
      <c r="L1316" s="37" t="n">
        <f aca="false">I1316*K1316/C1316</f>
        <v>209.234161643836</v>
      </c>
      <c r="M1316" s="37" t="n">
        <f aca="false">IF(AND(A1316&gt;=Inputs!$C$13,OR(A1316&lt;Inputs!$B$19,Inputs!$B$20=1)),I1316*Inputs!$C$11/C1316,0)</f>
        <v>40.2739726027397</v>
      </c>
    </row>
    <row r="1317" customFormat="false" ht="15" hidden="false" customHeight="false" outlineLevel="0" collapsed="false">
      <c r="A1317" s="35" t="n">
        <f aca="false">A1316+1</f>
        <v>46124</v>
      </c>
      <c r="B1317" s="35" t="n">
        <f aca="false">EOMONTH(A1317+1,0)</f>
        <v>46142</v>
      </c>
      <c r="C1317" s="36" t="n">
        <f aca="false">IF(MOD(YEAR(A1317),4)=0,366,365)</f>
        <v>365</v>
      </c>
      <c r="D1317" s="37" t="n">
        <f aca="false">Inputs!$B$9-SUMIFS(Cash_Events!$G$6:$G$20,Cash_Events!$C$6:$C$20,"rAGMF",Cash_Events!$B$6:$B$20,"&lt;="&amp;A1317)</f>
        <v>735000</v>
      </c>
      <c r="E1317" s="38" t="n">
        <f aca="false">VLOOKUP(A1317,Inputs!$A$40:$B$48,2,TRUE())</f>
        <v>0.0363225</v>
      </c>
      <c r="F1317" s="38" t="n">
        <f aca="false">E1317+Inputs!$B$10</f>
        <v>0.1038225</v>
      </c>
      <c r="G1317" s="37" t="n">
        <f aca="false">D1317*F1317/C1317</f>
        <v>209.067226027397</v>
      </c>
      <c r="H1317" s="37" t="n">
        <f aca="false">IF(AND(A1317&gt;=Inputs!$B$13,OR(A1317&lt;Inputs!$B$19,Inputs!$B$20=1)),D1317*Inputs!$B$11/C1317,0)</f>
        <v>40.2739726027397</v>
      </c>
      <c r="I1317" s="37" t="n">
        <f aca="false">Inputs!$C$9-SUMIFS(Cash_Events!$G$6:$G$20,Cash_Events!$C$6:$C$20,"FHL",Cash_Events!$B$6:$B$20,"&lt;="&amp;A1317)</f>
        <v>735000</v>
      </c>
      <c r="J1317" s="38" t="n">
        <f aca="false">VLOOKUP(A1317,Inputs!$F$40:$G$48,2,TRUE())</f>
        <v>0.0364054</v>
      </c>
      <c r="K1317" s="38" t="n">
        <f aca="false">J1317+Inputs!$C$10</f>
        <v>0.1039054</v>
      </c>
      <c r="L1317" s="37" t="n">
        <f aca="false">I1317*K1317/C1317</f>
        <v>209.234161643836</v>
      </c>
      <c r="M1317" s="37" t="n">
        <f aca="false">IF(AND(A1317&gt;=Inputs!$C$13,OR(A1317&lt;Inputs!$B$19,Inputs!$B$20=1)),I1317*Inputs!$C$11/C1317,0)</f>
        <v>40.2739726027397</v>
      </c>
    </row>
    <row r="1318" customFormat="false" ht="15" hidden="false" customHeight="false" outlineLevel="0" collapsed="false">
      <c r="A1318" s="35" t="n">
        <f aca="false">A1317+1</f>
        <v>46125</v>
      </c>
      <c r="B1318" s="35" t="n">
        <f aca="false">EOMONTH(A1318+1,0)</f>
        <v>46142</v>
      </c>
      <c r="C1318" s="36" t="n">
        <f aca="false">IF(MOD(YEAR(A1318),4)=0,366,365)</f>
        <v>365</v>
      </c>
      <c r="D1318" s="37" t="n">
        <f aca="false">Inputs!$B$9-SUMIFS(Cash_Events!$G$6:$G$20,Cash_Events!$C$6:$C$20,"rAGMF",Cash_Events!$B$6:$B$20,"&lt;="&amp;A1318)</f>
        <v>735000</v>
      </c>
      <c r="E1318" s="38" t="n">
        <f aca="false">VLOOKUP(A1318,Inputs!$A$40:$B$48,2,TRUE())</f>
        <v>0.0363225</v>
      </c>
      <c r="F1318" s="38" t="n">
        <f aca="false">E1318+Inputs!$B$10</f>
        <v>0.1038225</v>
      </c>
      <c r="G1318" s="37" t="n">
        <f aca="false">D1318*F1318/C1318</f>
        <v>209.067226027397</v>
      </c>
      <c r="H1318" s="37" t="n">
        <f aca="false">IF(AND(A1318&gt;=Inputs!$B$13,OR(A1318&lt;Inputs!$B$19,Inputs!$B$20=1)),D1318*Inputs!$B$11/C1318,0)</f>
        <v>40.2739726027397</v>
      </c>
      <c r="I1318" s="37" t="n">
        <f aca="false">Inputs!$C$9-SUMIFS(Cash_Events!$G$6:$G$20,Cash_Events!$C$6:$C$20,"FHL",Cash_Events!$B$6:$B$20,"&lt;="&amp;A1318)</f>
        <v>735000</v>
      </c>
      <c r="J1318" s="38" t="n">
        <f aca="false">VLOOKUP(A1318,Inputs!$F$40:$G$48,2,TRUE())</f>
        <v>0.0364054</v>
      </c>
      <c r="K1318" s="38" t="n">
        <f aca="false">J1318+Inputs!$C$10</f>
        <v>0.1039054</v>
      </c>
      <c r="L1318" s="37" t="n">
        <f aca="false">I1318*K1318/C1318</f>
        <v>209.234161643836</v>
      </c>
      <c r="M1318" s="37" t="n">
        <f aca="false">IF(AND(A1318&gt;=Inputs!$C$13,OR(A1318&lt;Inputs!$B$19,Inputs!$B$20=1)),I1318*Inputs!$C$11/C1318,0)</f>
        <v>40.2739726027397</v>
      </c>
    </row>
    <row r="1319" customFormat="false" ht="15" hidden="false" customHeight="false" outlineLevel="0" collapsed="false">
      <c r="A1319" s="35" t="n">
        <f aca="false">A1318+1</f>
        <v>46126</v>
      </c>
      <c r="B1319" s="35" t="n">
        <f aca="false">EOMONTH(A1319+1,0)</f>
        <v>46142</v>
      </c>
      <c r="C1319" s="36" t="n">
        <f aca="false">IF(MOD(YEAR(A1319),4)=0,366,365)</f>
        <v>365</v>
      </c>
      <c r="D1319" s="37" t="n">
        <f aca="false">Inputs!$B$9-SUMIFS(Cash_Events!$G$6:$G$20,Cash_Events!$C$6:$C$20,"rAGMF",Cash_Events!$B$6:$B$20,"&lt;="&amp;A1319)</f>
        <v>735000</v>
      </c>
      <c r="E1319" s="38" t="n">
        <f aca="false">VLOOKUP(A1319,Inputs!$A$40:$B$48,2,TRUE())</f>
        <v>0.0363225</v>
      </c>
      <c r="F1319" s="38" t="n">
        <f aca="false">E1319+Inputs!$B$10</f>
        <v>0.1038225</v>
      </c>
      <c r="G1319" s="37" t="n">
        <f aca="false">D1319*F1319/C1319</f>
        <v>209.067226027397</v>
      </c>
      <c r="H1319" s="37" t="n">
        <f aca="false">IF(AND(A1319&gt;=Inputs!$B$13,OR(A1319&lt;Inputs!$B$19,Inputs!$B$20=1)),D1319*Inputs!$B$11/C1319,0)</f>
        <v>40.2739726027397</v>
      </c>
      <c r="I1319" s="37" t="n">
        <f aca="false">Inputs!$C$9-SUMIFS(Cash_Events!$G$6:$G$20,Cash_Events!$C$6:$C$20,"FHL",Cash_Events!$B$6:$B$20,"&lt;="&amp;A1319)</f>
        <v>735000</v>
      </c>
      <c r="J1319" s="38" t="n">
        <f aca="false">VLOOKUP(A1319,Inputs!$F$40:$G$48,2,TRUE())</f>
        <v>0.0364054</v>
      </c>
      <c r="K1319" s="38" t="n">
        <f aca="false">J1319+Inputs!$C$10</f>
        <v>0.1039054</v>
      </c>
      <c r="L1319" s="37" t="n">
        <f aca="false">I1319*K1319/C1319</f>
        <v>209.234161643836</v>
      </c>
      <c r="M1319" s="37" t="n">
        <f aca="false">IF(AND(A1319&gt;=Inputs!$C$13,OR(A1319&lt;Inputs!$B$19,Inputs!$B$20=1)),I1319*Inputs!$C$11/C1319,0)</f>
        <v>40.2739726027397</v>
      </c>
    </row>
    <row r="1320" customFormat="false" ht="15" hidden="false" customHeight="false" outlineLevel="0" collapsed="false">
      <c r="A1320" s="35" t="n">
        <f aca="false">A1319+1</f>
        <v>46127</v>
      </c>
      <c r="B1320" s="35" t="n">
        <f aca="false">EOMONTH(A1320+1,0)</f>
        <v>46142</v>
      </c>
      <c r="C1320" s="36" t="n">
        <f aca="false">IF(MOD(YEAR(A1320),4)=0,366,365)</f>
        <v>365</v>
      </c>
      <c r="D1320" s="37" t="n">
        <f aca="false">Inputs!$B$9-SUMIFS(Cash_Events!$G$6:$G$20,Cash_Events!$C$6:$C$20,"rAGMF",Cash_Events!$B$6:$B$20,"&lt;="&amp;A1320)</f>
        <v>735000</v>
      </c>
      <c r="E1320" s="38" t="n">
        <f aca="false">VLOOKUP(A1320,Inputs!$A$40:$B$48,2,TRUE())</f>
        <v>0.0363225</v>
      </c>
      <c r="F1320" s="38" t="n">
        <f aca="false">E1320+Inputs!$B$10</f>
        <v>0.1038225</v>
      </c>
      <c r="G1320" s="37" t="n">
        <f aca="false">D1320*F1320/C1320</f>
        <v>209.067226027397</v>
      </c>
      <c r="H1320" s="37" t="n">
        <f aca="false">IF(AND(A1320&gt;=Inputs!$B$13,OR(A1320&lt;Inputs!$B$19,Inputs!$B$20=1)),D1320*Inputs!$B$11/C1320,0)</f>
        <v>40.2739726027397</v>
      </c>
      <c r="I1320" s="37" t="n">
        <f aca="false">Inputs!$C$9-SUMIFS(Cash_Events!$G$6:$G$20,Cash_Events!$C$6:$C$20,"FHL",Cash_Events!$B$6:$B$20,"&lt;="&amp;A1320)</f>
        <v>735000</v>
      </c>
      <c r="J1320" s="38" t="n">
        <f aca="false">VLOOKUP(A1320,Inputs!$F$40:$G$48,2,TRUE())</f>
        <v>0.0364054</v>
      </c>
      <c r="K1320" s="38" t="n">
        <f aca="false">J1320+Inputs!$C$10</f>
        <v>0.1039054</v>
      </c>
      <c r="L1320" s="37" t="n">
        <f aca="false">I1320*K1320/C1320</f>
        <v>209.234161643836</v>
      </c>
      <c r="M1320" s="37" t="n">
        <f aca="false">IF(AND(A1320&gt;=Inputs!$C$13,OR(A1320&lt;Inputs!$B$19,Inputs!$B$20=1)),I1320*Inputs!$C$11/C1320,0)</f>
        <v>40.2739726027397</v>
      </c>
    </row>
    <row r="1321" customFormat="false" ht="15" hidden="false" customHeight="false" outlineLevel="0" collapsed="false">
      <c r="A1321" s="35" t="n">
        <f aca="false">A1320+1</f>
        <v>46128</v>
      </c>
      <c r="B1321" s="35" t="n">
        <f aca="false">EOMONTH(A1321+1,0)</f>
        <v>46142</v>
      </c>
      <c r="C1321" s="36" t="n">
        <f aca="false">IF(MOD(YEAR(A1321),4)=0,366,365)</f>
        <v>365</v>
      </c>
      <c r="D1321" s="37" t="n">
        <f aca="false">Inputs!$B$9-SUMIFS(Cash_Events!$G$6:$G$20,Cash_Events!$C$6:$C$20,"rAGMF",Cash_Events!$B$6:$B$20,"&lt;="&amp;A1321)</f>
        <v>735000</v>
      </c>
      <c r="E1321" s="38" t="n">
        <f aca="false">VLOOKUP(A1321,Inputs!$A$40:$B$48,2,TRUE())</f>
        <v>0.0363225</v>
      </c>
      <c r="F1321" s="38" t="n">
        <f aca="false">E1321+Inputs!$B$10</f>
        <v>0.1038225</v>
      </c>
      <c r="G1321" s="37" t="n">
        <f aca="false">D1321*F1321/C1321</f>
        <v>209.067226027397</v>
      </c>
      <c r="H1321" s="37" t="n">
        <f aca="false">IF(AND(A1321&gt;=Inputs!$B$13,OR(A1321&lt;Inputs!$B$19,Inputs!$B$20=1)),D1321*Inputs!$B$11/C1321,0)</f>
        <v>40.2739726027397</v>
      </c>
      <c r="I1321" s="37" t="n">
        <f aca="false">Inputs!$C$9-SUMIFS(Cash_Events!$G$6:$G$20,Cash_Events!$C$6:$C$20,"FHL",Cash_Events!$B$6:$B$20,"&lt;="&amp;A1321)</f>
        <v>735000</v>
      </c>
      <c r="J1321" s="38" t="n">
        <f aca="false">VLOOKUP(A1321,Inputs!$F$40:$G$48,2,TRUE())</f>
        <v>0.0364054</v>
      </c>
      <c r="K1321" s="38" t="n">
        <f aca="false">J1321+Inputs!$C$10</f>
        <v>0.1039054</v>
      </c>
      <c r="L1321" s="37" t="n">
        <f aca="false">I1321*K1321/C1321</f>
        <v>209.234161643836</v>
      </c>
      <c r="M1321" s="37" t="n">
        <f aca="false">IF(AND(A1321&gt;=Inputs!$C$13,OR(A1321&lt;Inputs!$B$19,Inputs!$B$20=1)),I1321*Inputs!$C$11/C1321,0)</f>
        <v>40.2739726027397</v>
      </c>
    </row>
    <row r="1322" customFormat="false" ht="15" hidden="false" customHeight="false" outlineLevel="0" collapsed="false">
      <c r="A1322" s="35" t="n">
        <f aca="false">A1321+1</f>
        <v>46129</v>
      </c>
      <c r="B1322" s="35" t="n">
        <f aca="false">EOMONTH(A1322+1,0)</f>
        <v>46142</v>
      </c>
      <c r="C1322" s="36" t="n">
        <f aca="false">IF(MOD(YEAR(A1322),4)=0,366,365)</f>
        <v>365</v>
      </c>
      <c r="D1322" s="37" t="n">
        <f aca="false">Inputs!$B$9-SUMIFS(Cash_Events!$G$6:$G$20,Cash_Events!$C$6:$C$20,"rAGMF",Cash_Events!$B$6:$B$20,"&lt;="&amp;A1322)</f>
        <v>735000</v>
      </c>
      <c r="E1322" s="38" t="n">
        <f aca="false">VLOOKUP(A1322,Inputs!$A$40:$B$48,2,TRUE())</f>
        <v>0.0363225</v>
      </c>
      <c r="F1322" s="38" t="n">
        <f aca="false">E1322+Inputs!$B$10</f>
        <v>0.1038225</v>
      </c>
      <c r="G1322" s="37" t="n">
        <f aca="false">D1322*F1322/C1322</f>
        <v>209.067226027397</v>
      </c>
      <c r="H1322" s="37" t="n">
        <f aca="false">IF(AND(A1322&gt;=Inputs!$B$13,OR(A1322&lt;Inputs!$B$19,Inputs!$B$20=1)),D1322*Inputs!$B$11/C1322,0)</f>
        <v>40.2739726027397</v>
      </c>
      <c r="I1322" s="37" t="n">
        <f aca="false">Inputs!$C$9-SUMIFS(Cash_Events!$G$6:$G$20,Cash_Events!$C$6:$C$20,"FHL",Cash_Events!$B$6:$B$20,"&lt;="&amp;A1322)</f>
        <v>735000</v>
      </c>
      <c r="J1322" s="38" t="n">
        <f aca="false">VLOOKUP(A1322,Inputs!$F$40:$G$48,2,TRUE())</f>
        <v>0.0364054</v>
      </c>
      <c r="K1322" s="38" t="n">
        <f aca="false">J1322+Inputs!$C$10</f>
        <v>0.1039054</v>
      </c>
      <c r="L1322" s="37" t="n">
        <f aca="false">I1322*K1322/C1322</f>
        <v>209.234161643836</v>
      </c>
      <c r="M1322" s="37" t="n">
        <f aca="false">IF(AND(A1322&gt;=Inputs!$C$13,OR(A1322&lt;Inputs!$B$19,Inputs!$B$20=1)),I1322*Inputs!$C$11/C1322,0)</f>
        <v>40.2739726027397</v>
      </c>
    </row>
    <row r="1323" customFormat="false" ht="15" hidden="false" customHeight="false" outlineLevel="0" collapsed="false">
      <c r="A1323" s="35" t="n">
        <f aca="false">A1322+1</f>
        <v>46130</v>
      </c>
      <c r="B1323" s="35" t="n">
        <f aca="false">EOMONTH(A1323+1,0)</f>
        <v>46142</v>
      </c>
      <c r="C1323" s="36" t="n">
        <f aca="false">IF(MOD(YEAR(A1323),4)=0,366,365)</f>
        <v>365</v>
      </c>
      <c r="D1323" s="37" t="n">
        <f aca="false">Inputs!$B$9-SUMIFS(Cash_Events!$G$6:$G$20,Cash_Events!$C$6:$C$20,"rAGMF",Cash_Events!$B$6:$B$20,"&lt;="&amp;A1323)</f>
        <v>735000</v>
      </c>
      <c r="E1323" s="38" t="n">
        <f aca="false">VLOOKUP(A1323,Inputs!$A$40:$B$48,2,TRUE())</f>
        <v>0.0363225</v>
      </c>
      <c r="F1323" s="38" t="n">
        <f aca="false">E1323+Inputs!$B$10</f>
        <v>0.1038225</v>
      </c>
      <c r="G1323" s="37" t="n">
        <f aca="false">D1323*F1323/C1323</f>
        <v>209.067226027397</v>
      </c>
      <c r="H1323" s="37" t="n">
        <f aca="false">IF(AND(A1323&gt;=Inputs!$B$13,OR(A1323&lt;Inputs!$B$19,Inputs!$B$20=1)),D1323*Inputs!$B$11/C1323,0)</f>
        <v>40.2739726027397</v>
      </c>
      <c r="I1323" s="37" t="n">
        <f aca="false">Inputs!$C$9-SUMIFS(Cash_Events!$G$6:$G$20,Cash_Events!$C$6:$C$20,"FHL",Cash_Events!$B$6:$B$20,"&lt;="&amp;A1323)</f>
        <v>735000</v>
      </c>
      <c r="J1323" s="38" t="n">
        <f aca="false">VLOOKUP(A1323,Inputs!$F$40:$G$48,2,TRUE())</f>
        <v>0.0364054</v>
      </c>
      <c r="K1323" s="38" t="n">
        <f aca="false">J1323+Inputs!$C$10</f>
        <v>0.1039054</v>
      </c>
      <c r="L1323" s="37" t="n">
        <f aca="false">I1323*K1323/C1323</f>
        <v>209.234161643836</v>
      </c>
      <c r="M1323" s="37" t="n">
        <f aca="false">IF(AND(A1323&gt;=Inputs!$C$13,OR(A1323&lt;Inputs!$B$19,Inputs!$B$20=1)),I1323*Inputs!$C$11/C1323,0)</f>
        <v>40.2739726027397</v>
      </c>
    </row>
    <row r="1324" customFormat="false" ht="15" hidden="false" customHeight="false" outlineLevel="0" collapsed="false">
      <c r="A1324" s="35" t="n">
        <f aca="false">A1323+1</f>
        <v>46131</v>
      </c>
      <c r="B1324" s="35" t="n">
        <f aca="false">EOMONTH(A1324+1,0)</f>
        <v>46142</v>
      </c>
      <c r="C1324" s="36" t="n">
        <f aca="false">IF(MOD(YEAR(A1324),4)=0,366,365)</f>
        <v>365</v>
      </c>
      <c r="D1324" s="37" t="n">
        <f aca="false">Inputs!$B$9-SUMIFS(Cash_Events!$G$6:$G$20,Cash_Events!$C$6:$C$20,"rAGMF",Cash_Events!$B$6:$B$20,"&lt;="&amp;A1324)</f>
        <v>735000</v>
      </c>
      <c r="E1324" s="38" t="n">
        <f aca="false">VLOOKUP(A1324,Inputs!$A$40:$B$48,2,TRUE())</f>
        <v>0.0363225</v>
      </c>
      <c r="F1324" s="38" t="n">
        <f aca="false">E1324+Inputs!$B$10</f>
        <v>0.1038225</v>
      </c>
      <c r="G1324" s="37" t="n">
        <f aca="false">D1324*F1324/C1324</f>
        <v>209.067226027397</v>
      </c>
      <c r="H1324" s="37" t="n">
        <f aca="false">IF(AND(A1324&gt;=Inputs!$B$13,OR(A1324&lt;Inputs!$B$19,Inputs!$B$20=1)),D1324*Inputs!$B$11/C1324,0)</f>
        <v>40.2739726027397</v>
      </c>
      <c r="I1324" s="37" t="n">
        <f aca="false">Inputs!$C$9-SUMIFS(Cash_Events!$G$6:$G$20,Cash_Events!$C$6:$C$20,"FHL",Cash_Events!$B$6:$B$20,"&lt;="&amp;A1324)</f>
        <v>735000</v>
      </c>
      <c r="J1324" s="38" t="n">
        <f aca="false">VLOOKUP(A1324,Inputs!$F$40:$G$48,2,TRUE())</f>
        <v>0.0364054</v>
      </c>
      <c r="K1324" s="38" t="n">
        <f aca="false">J1324+Inputs!$C$10</f>
        <v>0.1039054</v>
      </c>
      <c r="L1324" s="37" t="n">
        <f aca="false">I1324*K1324/C1324</f>
        <v>209.234161643836</v>
      </c>
      <c r="M1324" s="37" t="n">
        <f aca="false">IF(AND(A1324&gt;=Inputs!$C$13,OR(A1324&lt;Inputs!$B$19,Inputs!$B$20=1)),I1324*Inputs!$C$11/C1324,0)</f>
        <v>40.2739726027397</v>
      </c>
    </row>
    <row r="1325" customFormat="false" ht="15" hidden="false" customHeight="false" outlineLevel="0" collapsed="false">
      <c r="A1325" s="35" t="n">
        <f aca="false">A1324+1</f>
        <v>46132</v>
      </c>
      <c r="B1325" s="35" t="n">
        <f aca="false">EOMONTH(A1325+1,0)</f>
        <v>46142</v>
      </c>
      <c r="C1325" s="36" t="n">
        <f aca="false">IF(MOD(YEAR(A1325),4)=0,366,365)</f>
        <v>365</v>
      </c>
      <c r="D1325" s="37" t="n">
        <f aca="false">Inputs!$B$9-SUMIFS(Cash_Events!$G$6:$G$20,Cash_Events!$C$6:$C$20,"rAGMF",Cash_Events!$B$6:$B$20,"&lt;="&amp;A1325)</f>
        <v>735000</v>
      </c>
      <c r="E1325" s="38" t="n">
        <f aca="false">VLOOKUP(A1325,Inputs!$A$40:$B$48,2,TRUE())</f>
        <v>0.0363225</v>
      </c>
      <c r="F1325" s="38" t="n">
        <f aca="false">E1325+Inputs!$B$10</f>
        <v>0.1038225</v>
      </c>
      <c r="G1325" s="37" t="n">
        <f aca="false">D1325*F1325/C1325</f>
        <v>209.067226027397</v>
      </c>
      <c r="H1325" s="37" t="n">
        <f aca="false">IF(AND(A1325&gt;=Inputs!$B$13,OR(A1325&lt;Inputs!$B$19,Inputs!$B$20=1)),D1325*Inputs!$B$11/C1325,0)</f>
        <v>40.2739726027397</v>
      </c>
      <c r="I1325" s="37" t="n">
        <f aca="false">Inputs!$C$9-SUMIFS(Cash_Events!$G$6:$G$20,Cash_Events!$C$6:$C$20,"FHL",Cash_Events!$B$6:$B$20,"&lt;="&amp;A1325)</f>
        <v>735000</v>
      </c>
      <c r="J1325" s="38" t="n">
        <f aca="false">VLOOKUP(A1325,Inputs!$F$40:$G$48,2,TRUE())</f>
        <v>0.0364054</v>
      </c>
      <c r="K1325" s="38" t="n">
        <f aca="false">J1325+Inputs!$C$10</f>
        <v>0.1039054</v>
      </c>
      <c r="L1325" s="37" t="n">
        <f aca="false">I1325*K1325/C1325</f>
        <v>209.234161643836</v>
      </c>
      <c r="M1325" s="37" t="n">
        <f aca="false">IF(AND(A1325&gt;=Inputs!$C$13,OR(A1325&lt;Inputs!$B$19,Inputs!$B$20=1)),I1325*Inputs!$C$11/C1325,0)</f>
        <v>40.2739726027397</v>
      </c>
    </row>
    <row r="1326" customFormat="false" ht="15" hidden="false" customHeight="false" outlineLevel="0" collapsed="false">
      <c r="A1326" s="35" t="n">
        <f aca="false">A1325+1</f>
        <v>46133</v>
      </c>
      <c r="B1326" s="35" t="n">
        <f aca="false">EOMONTH(A1326+1,0)</f>
        <v>46142</v>
      </c>
      <c r="C1326" s="36" t="n">
        <f aca="false">IF(MOD(YEAR(A1326),4)=0,366,365)</f>
        <v>365</v>
      </c>
      <c r="D1326" s="37" t="n">
        <f aca="false">Inputs!$B$9-SUMIFS(Cash_Events!$G$6:$G$20,Cash_Events!$C$6:$C$20,"rAGMF",Cash_Events!$B$6:$B$20,"&lt;="&amp;A1326)</f>
        <v>735000</v>
      </c>
      <c r="E1326" s="38" t="n">
        <f aca="false">VLOOKUP(A1326,Inputs!$A$40:$B$48,2,TRUE())</f>
        <v>0.0363225</v>
      </c>
      <c r="F1326" s="38" t="n">
        <f aca="false">E1326+Inputs!$B$10</f>
        <v>0.1038225</v>
      </c>
      <c r="G1326" s="37" t="n">
        <f aca="false">D1326*F1326/C1326</f>
        <v>209.067226027397</v>
      </c>
      <c r="H1326" s="37" t="n">
        <f aca="false">IF(AND(A1326&gt;=Inputs!$B$13,OR(A1326&lt;Inputs!$B$19,Inputs!$B$20=1)),D1326*Inputs!$B$11/C1326,0)</f>
        <v>40.2739726027397</v>
      </c>
      <c r="I1326" s="37" t="n">
        <f aca="false">Inputs!$C$9-SUMIFS(Cash_Events!$G$6:$G$20,Cash_Events!$C$6:$C$20,"FHL",Cash_Events!$B$6:$B$20,"&lt;="&amp;A1326)</f>
        <v>735000</v>
      </c>
      <c r="J1326" s="38" t="n">
        <f aca="false">VLOOKUP(A1326,Inputs!$F$40:$G$48,2,TRUE())</f>
        <v>0.0364054</v>
      </c>
      <c r="K1326" s="38" t="n">
        <f aca="false">J1326+Inputs!$C$10</f>
        <v>0.1039054</v>
      </c>
      <c r="L1326" s="37" t="n">
        <f aca="false">I1326*K1326/C1326</f>
        <v>209.234161643836</v>
      </c>
      <c r="M1326" s="37" t="n">
        <f aca="false">IF(AND(A1326&gt;=Inputs!$C$13,OR(A1326&lt;Inputs!$B$19,Inputs!$B$20=1)),I1326*Inputs!$C$11/C1326,0)</f>
        <v>40.2739726027397</v>
      </c>
    </row>
    <row r="1327" customFormat="false" ht="15" hidden="false" customHeight="false" outlineLevel="0" collapsed="false">
      <c r="A1327" s="35" t="n">
        <f aca="false">A1326+1</f>
        <v>46134</v>
      </c>
      <c r="B1327" s="35" t="n">
        <f aca="false">EOMONTH(A1327+1,0)</f>
        <v>46142</v>
      </c>
      <c r="C1327" s="36" t="n">
        <f aca="false">IF(MOD(YEAR(A1327),4)=0,366,365)</f>
        <v>365</v>
      </c>
      <c r="D1327" s="37" t="n">
        <f aca="false">Inputs!$B$9-SUMIFS(Cash_Events!$G$6:$G$20,Cash_Events!$C$6:$C$20,"rAGMF",Cash_Events!$B$6:$B$20,"&lt;="&amp;A1327)</f>
        <v>735000</v>
      </c>
      <c r="E1327" s="38" t="n">
        <f aca="false">VLOOKUP(A1327,Inputs!$A$40:$B$48,2,TRUE())</f>
        <v>0.0363225</v>
      </c>
      <c r="F1327" s="38" t="n">
        <f aca="false">E1327+Inputs!$B$10</f>
        <v>0.1038225</v>
      </c>
      <c r="G1327" s="37" t="n">
        <f aca="false">D1327*F1327/C1327</f>
        <v>209.067226027397</v>
      </c>
      <c r="H1327" s="37" t="n">
        <f aca="false">IF(AND(A1327&gt;=Inputs!$B$13,OR(A1327&lt;Inputs!$B$19,Inputs!$B$20=1)),D1327*Inputs!$B$11/C1327,0)</f>
        <v>40.2739726027397</v>
      </c>
      <c r="I1327" s="37" t="n">
        <f aca="false">Inputs!$C$9-SUMIFS(Cash_Events!$G$6:$G$20,Cash_Events!$C$6:$C$20,"FHL",Cash_Events!$B$6:$B$20,"&lt;="&amp;A1327)</f>
        <v>735000</v>
      </c>
      <c r="J1327" s="38" t="n">
        <f aca="false">VLOOKUP(A1327,Inputs!$F$40:$G$48,2,TRUE())</f>
        <v>0.0364054</v>
      </c>
      <c r="K1327" s="38" t="n">
        <f aca="false">J1327+Inputs!$C$10</f>
        <v>0.1039054</v>
      </c>
      <c r="L1327" s="37" t="n">
        <f aca="false">I1327*K1327/C1327</f>
        <v>209.234161643836</v>
      </c>
      <c r="M1327" s="37" t="n">
        <f aca="false">IF(AND(A1327&gt;=Inputs!$C$13,OR(A1327&lt;Inputs!$B$19,Inputs!$B$20=1)),I1327*Inputs!$C$11/C1327,0)</f>
        <v>40.2739726027397</v>
      </c>
    </row>
    <row r="1328" customFormat="false" ht="15" hidden="false" customHeight="false" outlineLevel="0" collapsed="false">
      <c r="A1328" s="35" t="n">
        <f aca="false">A1327+1</f>
        <v>46135</v>
      </c>
      <c r="B1328" s="35" t="n">
        <f aca="false">EOMONTH(A1328+1,0)</f>
        <v>46142</v>
      </c>
      <c r="C1328" s="36" t="n">
        <f aca="false">IF(MOD(YEAR(A1328),4)=0,366,365)</f>
        <v>365</v>
      </c>
      <c r="D1328" s="37" t="n">
        <f aca="false">Inputs!$B$9-SUMIFS(Cash_Events!$G$6:$G$20,Cash_Events!$C$6:$C$20,"rAGMF",Cash_Events!$B$6:$B$20,"&lt;="&amp;A1328)</f>
        <v>735000</v>
      </c>
      <c r="E1328" s="38" t="n">
        <f aca="false">VLOOKUP(A1328,Inputs!$A$40:$B$48,2,TRUE())</f>
        <v>0.0363225</v>
      </c>
      <c r="F1328" s="38" t="n">
        <f aca="false">E1328+Inputs!$B$10</f>
        <v>0.1038225</v>
      </c>
      <c r="G1328" s="37" t="n">
        <f aca="false">D1328*F1328/C1328</f>
        <v>209.067226027397</v>
      </c>
      <c r="H1328" s="37" t="n">
        <f aca="false">IF(AND(A1328&gt;=Inputs!$B$13,OR(A1328&lt;Inputs!$B$19,Inputs!$B$20=1)),D1328*Inputs!$B$11/C1328,0)</f>
        <v>40.2739726027397</v>
      </c>
      <c r="I1328" s="37" t="n">
        <f aca="false">Inputs!$C$9-SUMIFS(Cash_Events!$G$6:$G$20,Cash_Events!$C$6:$C$20,"FHL",Cash_Events!$B$6:$B$20,"&lt;="&amp;A1328)</f>
        <v>735000</v>
      </c>
      <c r="J1328" s="38" t="n">
        <f aca="false">VLOOKUP(A1328,Inputs!$F$40:$G$48,2,TRUE())</f>
        <v>0.0364054</v>
      </c>
      <c r="K1328" s="38" t="n">
        <f aca="false">J1328+Inputs!$C$10</f>
        <v>0.1039054</v>
      </c>
      <c r="L1328" s="37" t="n">
        <f aca="false">I1328*K1328/C1328</f>
        <v>209.234161643836</v>
      </c>
      <c r="M1328" s="37" t="n">
        <f aca="false">IF(AND(A1328&gt;=Inputs!$C$13,OR(A1328&lt;Inputs!$B$19,Inputs!$B$20=1)),I1328*Inputs!$C$11/C1328,0)</f>
        <v>40.2739726027397</v>
      </c>
    </row>
    <row r="1329" customFormat="false" ht="15" hidden="false" customHeight="false" outlineLevel="0" collapsed="false">
      <c r="A1329" s="35" t="n">
        <f aca="false">A1328+1</f>
        <v>46136</v>
      </c>
      <c r="B1329" s="35" t="n">
        <f aca="false">EOMONTH(A1329+1,0)</f>
        <v>46142</v>
      </c>
      <c r="C1329" s="36" t="n">
        <f aca="false">IF(MOD(YEAR(A1329),4)=0,366,365)</f>
        <v>365</v>
      </c>
      <c r="D1329" s="37" t="n">
        <f aca="false">Inputs!$B$9-SUMIFS(Cash_Events!$G$6:$G$20,Cash_Events!$C$6:$C$20,"rAGMF",Cash_Events!$B$6:$B$20,"&lt;="&amp;A1329)</f>
        <v>735000</v>
      </c>
      <c r="E1329" s="38" t="n">
        <f aca="false">VLOOKUP(A1329,Inputs!$A$40:$B$48,2,TRUE())</f>
        <v>0.0363225</v>
      </c>
      <c r="F1329" s="38" t="n">
        <f aca="false">E1329+Inputs!$B$10</f>
        <v>0.1038225</v>
      </c>
      <c r="G1329" s="37" t="n">
        <f aca="false">D1329*F1329/C1329</f>
        <v>209.067226027397</v>
      </c>
      <c r="H1329" s="37" t="n">
        <f aca="false">IF(AND(A1329&gt;=Inputs!$B$13,OR(A1329&lt;Inputs!$B$19,Inputs!$B$20=1)),D1329*Inputs!$B$11/C1329,0)</f>
        <v>40.2739726027397</v>
      </c>
      <c r="I1329" s="37" t="n">
        <f aca="false">Inputs!$C$9-SUMIFS(Cash_Events!$G$6:$G$20,Cash_Events!$C$6:$C$20,"FHL",Cash_Events!$B$6:$B$20,"&lt;="&amp;A1329)</f>
        <v>735000</v>
      </c>
      <c r="J1329" s="38" t="n">
        <f aca="false">VLOOKUP(A1329,Inputs!$F$40:$G$48,2,TRUE())</f>
        <v>0.0364054</v>
      </c>
      <c r="K1329" s="38" t="n">
        <f aca="false">J1329+Inputs!$C$10</f>
        <v>0.1039054</v>
      </c>
      <c r="L1329" s="37" t="n">
        <f aca="false">I1329*K1329/C1329</f>
        <v>209.234161643836</v>
      </c>
      <c r="M1329" s="37" t="n">
        <f aca="false">IF(AND(A1329&gt;=Inputs!$C$13,OR(A1329&lt;Inputs!$B$19,Inputs!$B$20=1)),I1329*Inputs!$C$11/C1329,0)</f>
        <v>40.2739726027397</v>
      </c>
    </row>
    <row r="1330" customFormat="false" ht="15" hidden="false" customHeight="false" outlineLevel="0" collapsed="false">
      <c r="A1330" s="35" t="n">
        <f aca="false">A1329+1</f>
        <v>46137</v>
      </c>
      <c r="B1330" s="35" t="n">
        <f aca="false">EOMONTH(A1330+1,0)</f>
        <v>46142</v>
      </c>
      <c r="C1330" s="36" t="n">
        <f aca="false">IF(MOD(YEAR(A1330),4)=0,366,365)</f>
        <v>365</v>
      </c>
      <c r="D1330" s="37" t="n">
        <f aca="false">Inputs!$B$9-SUMIFS(Cash_Events!$G$6:$G$20,Cash_Events!$C$6:$C$20,"rAGMF",Cash_Events!$B$6:$B$20,"&lt;="&amp;A1330)</f>
        <v>735000</v>
      </c>
      <c r="E1330" s="38" t="n">
        <f aca="false">VLOOKUP(A1330,Inputs!$A$40:$B$48,2,TRUE())</f>
        <v>0.0363225</v>
      </c>
      <c r="F1330" s="38" t="n">
        <f aca="false">E1330+Inputs!$B$10</f>
        <v>0.1038225</v>
      </c>
      <c r="G1330" s="37" t="n">
        <f aca="false">D1330*F1330/C1330</f>
        <v>209.067226027397</v>
      </c>
      <c r="H1330" s="37" t="n">
        <f aca="false">IF(AND(A1330&gt;=Inputs!$B$13,OR(A1330&lt;Inputs!$B$19,Inputs!$B$20=1)),D1330*Inputs!$B$11/C1330,0)</f>
        <v>40.2739726027397</v>
      </c>
      <c r="I1330" s="37" t="n">
        <f aca="false">Inputs!$C$9-SUMIFS(Cash_Events!$G$6:$G$20,Cash_Events!$C$6:$C$20,"FHL",Cash_Events!$B$6:$B$20,"&lt;="&amp;A1330)</f>
        <v>735000</v>
      </c>
      <c r="J1330" s="38" t="n">
        <f aca="false">VLOOKUP(A1330,Inputs!$F$40:$G$48,2,TRUE())</f>
        <v>0.0364054</v>
      </c>
      <c r="K1330" s="38" t="n">
        <f aca="false">J1330+Inputs!$C$10</f>
        <v>0.1039054</v>
      </c>
      <c r="L1330" s="37" t="n">
        <f aca="false">I1330*K1330/C1330</f>
        <v>209.234161643836</v>
      </c>
      <c r="M1330" s="37" t="n">
        <f aca="false">IF(AND(A1330&gt;=Inputs!$C$13,OR(A1330&lt;Inputs!$B$19,Inputs!$B$20=1)),I1330*Inputs!$C$11/C1330,0)</f>
        <v>40.2739726027397</v>
      </c>
    </row>
    <row r="1331" customFormat="false" ht="15" hidden="false" customHeight="false" outlineLevel="0" collapsed="false">
      <c r="A1331" s="35" t="n">
        <f aca="false">A1330+1</f>
        <v>46138</v>
      </c>
      <c r="B1331" s="35" t="n">
        <f aca="false">EOMONTH(A1331+1,0)</f>
        <v>46142</v>
      </c>
      <c r="C1331" s="36" t="n">
        <f aca="false">IF(MOD(YEAR(A1331),4)=0,366,365)</f>
        <v>365</v>
      </c>
      <c r="D1331" s="37" t="n">
        <f aca="false">Inputs!$B$9-SUMIFS(Cash_Events!$G$6:$G$20,Cash_Events!$C$6:$C$20,"rAGMF",Cash_Events!$B$6:$B$20,"&lt;="&amp;A1331)</f>
        <v>735000</v>
      </c>
      <c r="E1331" s="38" t="n">
        <f aca="false">VLOOKUP(A1331,Inputs!$A$40:$B$48,2,TRUE())</f>
        <v>0.0363225</v>
      </c>
      <c r="F1331" s="38" t="n">
        <f aca="false">E1331+Inputs!$B$10</f>
        <v>0.1038225</v>
      </c>
      <c r="G1331" s="37" t="n">
        <f aca="false">D1331*F1331/C1331</f>
        <v>209.067226027397</v>
      </c>
      <c r="H1331" s="37" t="n">
        <f aca="false">IF(AND(A1331&gt;=Inputs!$B$13,OR(A1331&lt;Inputs!$B$19,Inputs!$B$20=1)),D1331*Inputs!$B$11/C1331,0)</f>
        <v>40.2739726027397</v>
      </c>
      <c r="I1331" s="37" t="n">
        <f aca="false">Inputs!$C$9-SUMIFS(Cash_Events!$G$6:$G$20,Cash_Events!$C$6:$C$20,"FHL",Cash_Events!$B$6:$B$20,"&lt;="&amp;A1331)</f>
        <v>735000</v>
      </c>
      <c r="J1331" s="38" t="n">
        <f aca="false">VLOOKUP(A1331,Inputs!$F$40:$G$48,2,TRUE())</f>
        <v>0.0364054</v>
      </c>
      <c r="K1331" s="38" t="n">
        <f aca="false">J1331+Inputs!$C$10</f>
        <v>0.1039054</v>
      </c>
      <c r="L1331" s="37" t="n">
        <f aca="false">I1331*K1331/C1331</f>
        <v>209.234161643836</v>
      </c>
      <c r="M1331" s="37" t="n">
        <f aca="false">IF(AND(A1331&gt;=Inputs!$C$13,OR(A1331&lt;Inputs!$B$19,Inputs!$B$20=1)),I1331*Inputs!$C$11/C1331,0)</f>
        <v>40.2739726027397</v>
      </c>
    </row>
    <row r="1332" customFormat="false" ht="15" hidden="false" customHeight="false" outlineLevel="0" collapsed="false">
      <c r="A1332" s="35" t="n">
        <f aca="false">A1331+1</f>
        <v>46139</v>
      </c>
      <c r="B1332" s="35" t="n">
        <f aca="false">EOMONTH(A1332+1,0)</f>
        <v>46142</v>
      </c>
      <c r="C1332" s="36" t="n">
        <f aca="false">IF(MOD(YEAR(A1332),4)=0,366,365)</f>
        <v>365</v>
      </c>
      <c r="D1332" s="37" t="n">
        <f aca="false">Inputs!$B$9-SUMIFS(Cash_Events!$G$6:$G$20,Cash_Events!$C$6:$C$20,"rAGMF",Cash_Events!$B$6:$B$20,"&lt;="&amp;A1332)</f>
        <v>735000</v>
      </c>
      <c r="E1332" s="38" t="n">
        <f aca="false">VLOOKUP(A1332,Inputs!$A$40:$B$48,2,TRUE())</f>
        <v>0.0363225</v>
      </c>
      <c r="F1332" s="38" t="n">
        <f aca="false">E1332+Inputs!$B$10</f>
        <v>0.1038225</v>
      </c>
      <c r="G1332" s="37" t="n">
        <f aca="false">D1332*F1332/C1332</f>
        <v>209.067226027397</v>
      </c>
      <c r="H1332" s="37" t="n">
        <f aca="false">IF(AND(A1332&gt;=Inputs!$B$13,OR(A1332&lt;Inputs!$B$19,Inputs!$B$20=1)),D1332*Inputs!$B$11/C1332,0)</f>
        <v>40.2739726027397</v>
      </c>
      <c r="I1332" s="37" t="n">
        <f aca="false">Inputs!$C$9-SUMIFS(Cash_Events!$G$6:$G$20,Cash_Events!$C$6:$C$20,"FHL",Cash_Events!$B$6:$B$20,"&lt;="&amp;A1332)</f>
        <v>735000</v>
      </c>
      <c r="J1332" s="38" t="n">
        <f aca="false">VLOOKUP(A1332,Inputs!$F$40:$G$48,2,TRUE())</f>
        <v>0.0364054</v>
      </c>
      <c r="K1332" s="38" t="n">
        <f aca="false">J1332+Inputs!$C$10</f>
        <v>0.1039054</v>
      </c>
      <c r="L1332" s="37" t="n">
        <f aca="false">I1332*K1332/C1332</f>
        <v>209.234161643836</v>
      </c>
      <c r="M1332" s="37" t="n">
        <f aca="false">IF(AND(A1332&gt;=Inputs!$C$13,OR(A1332&lt;Inputs!$B$19,Inputs!$B$20=1)),I1332*Inputs!$C$11/C1332,0)</f>
        <v>40.2739726027397</v>
      </c>
    </row>
    <row r="1333" customFormat="false" ht="15" hidden="false" customHeight="false" outlineLevel="0" collapsed="false">
      <c r="A1333" s="35" t="n">
        <f aca="false">A1332+1</f>
        <v>46140</v>
      </c>
      <c r="B1333" s="35" t="n">
        <f aca="false">EOMONTH(A1333+1,0)</f>
        <v>46142</v>
      </c>
      <c r="C1333" s="36" t="n">
        <f aca="false">IF(MOD(YEAR(A1333),4)=0,366,365)</f>
        <v>365</v>
      </c>
      <c r="D1333" s="37" t="n">
        <f aca="false">Inputs!$B$9-SUMIFS(Cash_Events!$G$6:$G$20,Cash_Events!$C$6:$C$20,"rAGMF",Cash_Events!$B$6:$B$20,"&lt;="&amp;A1333)</f>
        <v>735000</v>
      </c>
      <c r="E1333" s="38" t="n">
        <f aca="false">VLOOKUP(A1333,Inputs!$A$40:$B$48,2,TRUE())</f>
        <v>0.0363225</v>
      </c>
      <c r="F1333" s="38" t="n">
        <f aca="false">E1333+Inputs!$B$10</f>
        <v>0.1038225</v>
      </c>
      <c r="G1333" s="37" t="n">
        <f aca="false">D1333*F1333/C1333</f>
        <v>209.067226027397</v>
      </c>
      <c r="H1333" s="37" t="n">
        <f aca="false">IF(AND(A1333&gt;=Inputs!$B$13,OR(A1333&lt;Inputs!$B$19,Inputs!$B$20=1)),D1333*Inputs!$B$11/C1333,0)</f>
        <v>40.2739726027397</v>
      </c>
      <c r="I1333" s="37" t="n">
        <f aca="false">Inputs!$C$9-SUMIFS(Cash_Events!$G$6:$G$20,Cash_Events!$C$6:$C$20,"FHL",Cash_Events!$B$6:$B$20,"&lt;="&amp;A1333)</f>
        <v>735000</v>
      </c>
      <c r="J1333" s="38" t="n">
        <f aca="false">VLOOKUP(A1333,Inputs!$F$40:$G$48,2,TRUE())</f>
        <v>0.0364054</v>
      </c>
      <c r="K1333" s="38" t="n">
        <f aca="false">J1333+Inputs!$C$10</f>
        <v>0.1039054</v>
      </c>
      <c r="L1333" s="37" t="n">
        <f aca="false">I1333*K1333/C1333</f>
        <v>209.234161643836</v>
      </c>
      <c r="M1333" s="37" t="n">
        <f aca="false">IF(AND(A1333&gt;=Inputs!$C$13,OR(A1333&lt;Inputs!$B$19,Inputs!$B$20=1)),I1333*Inputs!$C$11/C1333,0)</f>
        <v>40.2739726027397</v>
      </c>
    </row>
    <row r="1334" customFormat="false" ht="15" hidden="false" customHeight="false" outlineLevel="0" collapsed="false">
      <c r="A1334" s="35" t="n">
        <f aca="false">A1333+1</f>
        <v>46141</v>
      </c>
      <c r="B1334" s="35" t="n">
        <f aca="false">EOMONTH(A1334+1,0)</f>
        <v>46142</v>
      </c>
      <c r="C1334" s="36" t="n">
        <f aca="false">IF(MOD(YEAR(A1334),4)=0,366,365)</f>
        <v>365</v>
      </c>
      <c r="D1334" s="37" t="n">
        <f aca="false">Inputs!$B$9-SUMIFS(Cash_Events!$G$6:$G$20,Cash_Events!$C$6:$C$20,"rAGMF",Cash_Events!$B$6:$B$20,"&lt;="&amp;A1334)</f>
        <v>735000</v>
      </c>
      <c r="E1334" s="38" t="n">
        <f aca="false">VLOOKUP(A1334,Inputs!$A$40:$B$48,2,TRUE())</f>
        <v>0.0363225</v>
      </c>
      <c r="F1334" s="38" t="n">
        <f aca="false">E1334+Inputs!$B$10</f>
        <v>0.1038225</v>
      </c>
      <c r="G1334" s="37" t="n">
        <f aca="false">D1334*F1334/C1334</f>
        <v>209.067226027397</v>
      </c>
      <c r="H1334" s="37" t="n">
        <f aca="false">IF(AND(A1334&gt;=Inputs!$B$13,OR(A1334&lt;Inputs!$B$19,Inputs!$B$20=1)),D1334*Inputs!$B$11/C1334,0)</f>
        <v>40.2739726027397</v>
      </c>
      <c r="I1334" s="37" t="n">
        <f aca="false">Inputs!$C$9-SUMIFS(Cash_Events!$G$6:$G$20,Cash_Events!$C$6:$C$20,"FHL",Cash_Events!$B$6:$B$20,"&lt;="&amp;A1334)</f>
        <v>735000</v>
      </c>
      <c r="J1334" s="38" t="n">
        <f aca="false">VLOOKUP(A1334,Inputs!$F$40:$G$48,2,TRUE())</f>
        <v>0.0364054</v>
      </c>
      <c r="K1334" s="38" t="n">
        <f aca="false">J1334+Inputs!$C$10</f>
        <v>0.1039054</v>
      </c>
      <c r="L1334" s="37" t="n">
        <f aca="false">I1334*K1334/C1334</f>
        <v>209.234161643836</v>
      </c>
      <c r="M1334" s="37" t="n">
        <f aca="false">IF(AND(A1334&gt;=Inputs!$C$13,OR(A1334&lt;Inputs!$B$19,Inputs!$B$20=1)),I1334*Inputs!$C$11/C1334,0)</f>
        <v>40.2739726027397</v>
      </c>
    </row>
    <row r="1335" customFormat="false" ht="15" hidden="false" customHeight="false" outlineLevel="0" collapsed="false">
      <c r="A1335" s="35" t="n">
        <f aca="false">A1334+1</f>
        <v>46142</v>
      </c>
      <c r="B1335" s="35" t="n">
        <f aca="false">EOMONTH(A1335+1,0)</f>
        <v>46173</v>
      </c>
      <c r="C1335" s="36" t="n">
        <f aca="false">IF(MOD(YEAR(A1335),4)=0,366,365)</f>
        <v>365</v>
      </c>
      <c r="D1335" s="37" t="n">
        <f aca="false">Inputs!$B$9-SUMIFS(Cash_Events!$G$6:$G$20,Cash_Events!$C$6:$C$20,"rAGMF",Cash_Events!$B$6:$B$20,"&lt;="&amp;A1335)</f>
        <v>735000</v>
      </c>
      <c r="E1335" s="38" t="n">
        <f aca="false">VLOOKUP(A1335,Inputs!$A$40:$B$48,2,TRUE())</f>
        <v>0.0363225</v>
      </c>
      <c r="F1335" s="38" t="n">
        <f aca="false">E1335+Inputs!$B$10</f>
        <v>0.1038225</v>
      </c>
      <c r="G1335" s="37" t="n">
        <f aca="false">D1335*F1335/C1335</f>
        <v>209.067226027397</v>
      </c>
      <c r="H1335" s="37" t="n">
        <f aca="false">IF(AND(A1335&gt;=Inputs!$B$13,OR(A1335&lt;Inputs!$B$19,Inputs!$B$20=1)),D1335*Inputs!$B$11/C1335,0)</f>
        <v>40.2739726027397</v>
      </c>
      <c r="I1335" s="37" t="n">
        <f aca="false">Inputs!$C$9-SUMIFS(Cash_Events!$G$6:$G$20,Cash_Events!$C$6:$C$20,"FHL",Cash_Events!$B$6:$B$20,"&lt;="&amp;A1335)</f>
        <v>735000</v>
      </c>
      <c r="J1335" s="38" t="n">
        <f aca="false">VLOOKUP(A1335,Inputs!$F$40:$G$48,2,TRUE())</f>
        <v>0.0364054</v>
      </c>
      <c r="K1335" s="38" t="n">
        <f aca="false">J1335+Inputs!$C$10</f>
        <v>0.1039054</v>
      </c>
      <c r="L1335" s="37" t="n">
        <f aca="false">I1335*K1335/C1335</f>
        <v>209.234161643836</v>
      </c>
      <c r="M1335" s="37" t="n">
        <f aca="false">IF(AND(A1335&gt;=Inputs!$C$13,OR(A1335&lt;Inputs!$B$19,Inputs!$B$20=1)),I1335*Inputs!$C$11/C1335,0)</f>
        <v>40.2739726027397</v>
      </c>
    </row>
    <row r="1336" customFormat="false" ht="15" hidden="false" customHeight="false" outlineLevel="0" collapsed="false">
      <c r="A1336" s="35" t="n">
        <f aca="false">A1335+1</f>
        <v>46143</v>
      </c>
      <c r="B1336" s="35" t="n">
        <f aca="false">EOMONTH(A1336+1,0)</f>
        <v>46173</v>
      </c>
      <c r="C1336" s="36" t="n">
        <f aca="false">IF(MOD(YEAR(A1336),4)=0,366,365)</f>
        <v>365</v>
      </c>
      <c r="D1336" s="37" t="n">
        <f aca="false">Inputs!$B$9-SUMIFS(Cash_Events!$G$6:$G$20,Cash_Events!$C$6:$C$20,"rAGMF",Cash_Events!$B$6:$B$20,"&lt;="&amp;A1336)</f>
        <v>735000</v>
      </c>
      <c r="E1336" s="38" t="n">
        <f aca="false">VLOOKUP(A1336,Inputs!$A$40:$B$48,2,TRUE())</f>
        <v>0.0363225</v>
      </c>
      <c r="F1336" s="38" t="n">
        <f aca="false">E1336+Inputs!$B$10</f>
        <v>0.1038225</v>
      </c>
      <c r="G1336" s="37" t="n">
        <f aca="false">D1336*F1336/C1336</f>
        <v>209.067226027397</v>
      </c>
      <c r="H1336" s="37" t="n">
        <f aca="false">IF(AND(A1336&gt;=Inputs!$B$13,OR(A1336&lt;Inputs!$B$19,Inputs!$B$20=1)),D1336*Inputs!$B$11/C1336,0)</f>
        <v>40.2739726027397</v>
      </c>
      <c r="I1336" s="37" t="n">
        <f aca="false">Inputs!$C$9-SUMIFS(Cash_Events!$G$6:$G$20,Cash_Events!$C$6:$C$20,"FHL",Cash_Events!$B$6:$B$20,"&lt;="&amp;A1336)</f>
        <v>735000</v>
      </c>
      <c r="J1336" s="38" t="n">
        <f aca="false">VLOOKUP(A1336,Inputs!$F$40:$G$48,2,TRUE())</f>
        <v>0.0364054</v>
      </c>
      <c r="K1336" s="38" t="n">
        <f aca="false">J1336+Inputs!$C$10</f>
        <v>0.1039054</v>
      </c>
      <c r="L1336" s="37" t="n">
        <f aca="false">I1336*K1336/C1336</f>
        <v>209.234161643836</v>
      </c>
      <c r="M1336" s="37" t="n">
        <f aca="false">IF(AND(A1336&gt;=Inputs!$C$13,OR(A1336&lt;Inputs!$B$19,Inputs!$B$20=1)),I1336*Inputs!$C$11/C1336,0)</f>
        <v>40.2739726027397</v>
      </c>
    </row>
    <row r="1337" customFormat="false" ht="15" hidden="false" customHeight="false" outlineLevel="0" collapsed="false">
      <c r="A1337" s="35" t="n">
        <f aca="false">A1336+1</f>
        <v>46144</v>
      </c>
      <c r="B1337" s="35" t="n">
        <f aca="false">EOMONTH(A1337+1,0)</f>
        <v>46173</v>
      </c>
      <c r="C1337" s="36" t="n">
        <f aca="false">IF(MOD(YEAR(A1337),4)=0,366,365)</f>
        <v>365</v>
      </c>
      <c r="D1337" s="37" t="n">
        <f aca="false">Inputs!$B$9-SUMIFS(Cash_Events!$G$6:$G$20,Cash_Events!$C$6:$C$20,"rAGMF",Cash_Events!$B$6:$B$20,"&lt;="&amp;A1337)</f>
        <v>735000</v>
      </c>
      <c r="E1337" s="38" t="n">
        <f aca="false">VLOOKUP(A1337,Inputs!$A$40:$B$48,2,TRUE())</f>
        <v>0.0363225</v>
      </c>
      <c r="F1337" s="38" t="n">
        <f aca="false">E1337+Inputs!$B$10</f>
        <v>0.1038225</v>
      </c>
      <c r="G1337" s="37" t="n">
        <f aca="false">D1337*F1337/C1337</f>
        <v>209.067226027397</v>
      </c>
      <c r="H1337" s="37" t="n">
        <f aca="false">IF(AND(A1337&gt;=Inputs!$B$13,OR(A1337&lt;Inputs!$B$19,Inputs!$B$20=1)),D1337*Inputs!$B$11/C1337,0)</f>
        <v>40.2739726027397</v>
      </c>
      <c r="I1337" s="37" t="n">
        <f aca="false">Inputs!$C$9-SUMIFS(Cash_Events!$G$6:$G$20,Cash_Events!$C$6:$C$20,"FHL",Cash_Events!$B$6:$B$20,"&lt;="&amp;A1337)</f>
        <v>735000</v>
      </c>
      <c r="J1337" s="38" t="n">
        <f aca="false">VLOOKUP(A1337,Inputs!$F$40:$G$48,2,TRUE())</f>
        <v>0.0364054</v>
      </c>
      <c r="K1337" s="38" t="n">
        <f aca="false">J1337+Inputs!$C$10</f>
        <v>0.1039054</v>
      </c>
      <c r="L1337" s="37" t="n">
        <f aca="false">I1337*K1337/C1337</f>
        <v>209.234161643836</v>
      </c>
      <c r="M1337" s="37" t="n">
        <f aca="false">IF(AND(A1337&gt;=Inputs!$C$13,OR(A1337&lt;Inputs!$B$19,Inputs!$B$20=1)),I1337*Inputs!$C$11/C1337,0)</f>
        <v>40.2739726027397</v>
      </c>
    </row>
    <row r="1338" customFormat="false" ht="15" hidden="false" customHeight="false" outlineLevel="0" collapsed="false">
      <c r="A1338" s="35" t="n">
        <f aca="false">A1337+1</f>
        <v>46145</v>
      </c>
      <c r="B1338" s="35" t="n">
        <f aca="false">EOMONTH(A1338+1,0)</f>
        <v>46173</v>
      </c>
      <c r="C1338" s="36" t="n">
        <f aca="false">IF(MOD(YEAR(A1338),4)=0,366,365)</f>
        <v>365</v>
      </c>
      <c r="D1338" s="37" t="n">
        <f aca="false">Inputs!$B$9-SUMIFS(Cash_Events!$G$6:$G$20,Cash_Events!$C$6:$C$20,"rAGMF",Cash_Events!$B$6:$B$20,"&lt;="&amp;A1338)</f>
        <v>735000</v>
      </c>
      <c r="E1338" s="38" t="n">
        <f aca="false">VLOOKUP(A1338,Inputs!$A$40:$B$48,2,TRUE())</f>
        <v>0.0363225</v>
      </c>
      <c r="F1338" s="38" t="n">
        <f aca="false">E1338+Inputs!$B$10</f>
        <v>0.1038225</v>
      </c>
      <c r="G1338" s="37" t="n">
        <f aca="false">D1338*F1338/C1338</f>
        <v>209.067226027397</v>
      </c>
      <c r="H1338" s="37" t="n">
        <f aca="false">IF(AND(A1338&gt;=Inputs!$B$13,OR(A1338&lt;Inputs!$B$19,Inputs!$B$20=1)),D1338*Inputs!$B$11/C1338,0)</f>
        <v>40.2739726027397</v>
      </c>
      <c r="I1338" s="37" t="n">
        <f aca="false">Inputs!$C$9-SUMIFS(Cash_Events!$G$6:$G$20,Cash_Events!$C$6:$C$20,"FHL",Cash_Events!$B$6:$B$20,"&lt;="&amp;A1338)</f>
        <v>735000</v>
      </c>
      <c r="J1338" s="38" t="n">
        <f aca="false">VLOOKUP(A1338,Inputs!$F$40:$G$48,2,TRUE())</f>
        <v>0.0364054</v>
      </c>
      <c r="K1338" s="38" t="n">
        <f aca="false">J1338+Inputs!$C$10</f>
        <v>0.1039054</v>
      </c>
      <c r="L1338" s="37" t="n">
        <f aca="false">I1338*K1338/C1338</f>
        <v>209.234161643836</v>
      </c>
      <c r="M1338" s="37" t="n">
        <f aca="false">IF(AND(A1338&gt;=Inputs!$C$13,OR(A1338&lt;Inputs!$B$19,Inputs!$B$20=1)),I1338*Inputs!$C$11/C1338,0)</f>
        <v>40.2739726027397</v>
      </c>
    </row>
    <row r="1339" customFormat="false" ht="15" hidden="false" customHeight="false" outlineLevel="0" collapsed="false">
      <c r="A1339" s="35" t="n">
        <f aca="false">A1338+1</f>
        <v>46146</v>
      </c>
      <c r="B1339" s="35" t="n">
        <f aca="false">EOMONTH(A1339+1,0)</f>
        <v>46173</v>
      </c>
      <c r="C1339" s="36" t="n">
        <f aca="false">IF(MOD(YEAR(A1339),4)=0,366,365)</f>
        <v>365</v>
      </c>
      <c r="D1339" s="37" t="n">
        <f aca="false">Inputs!$B$9-SUMIFS(Cash_Events!$G$6:$G$20,Cash_Events!$C$6:$C$20,"rAGMF",Cash_Events!$B$6:$B$20,"&lt;="&amp;A1339)</f>
        <v>735000</v>
      </c>
      <c r="E1339" s="38" t="n">
        <f aca="false">VLOOKUP(A1339,Inputs!$A$40:$B$48,2,TRUE())</f>
        <v>0.0363225</v>
      </c>
      <c r="F1339" s="38" t="n">
        <f aca="false">E1339+Inputs!$B$10</f>
        <v>0.1038225</v>
      </c>
      <c r="G1339" s="37" t="n">
        <f aca="false">D1339*F1339/C1339</f>
        <v>209.067226027397</v>
      </c>
      <c r="H1339" s="37" t="n">
        <f aca="false">IF(AND(A1339&gt;=Inputs!$B$13,OR(A1339&lt;Inputs!$B$19,Inputs!$B$20=1)),D1339*Inputs!$B$11/C1339,0)</f>
        <v>40.2739726027397</v>
      </c>
      <c r="I1339" s="37" t="n">
        <f aca="false">Inputs!$C$9-SUMIFS(Cash_Events!$G$6:$G$20,Cash_Events!$C$6:$C$20,"FHL",Cash_Events!$B$6:$B$20,"&lt;="&amp;A1339)</f>
        <v>735000</v>
      </c>
      <c r="J1339" s="38" t="n">
        <f aca="false">VLOOKUP(A1339,Inputs!$F$40:$G$48,2,TRUE())</f>
        <v>0.0364054</v>
      </c>
      <c r="K1339" s="38" t="n">
        <f aca="false">J1339+Inputs!$C$10</f>
        <v>0.1039054</v>
      </c>
      <c r="L1339" s="37" t="n">
        <f aca="false">I1339*K1339/C1339</f>
        <v>209.234161643836</v>
      </c>
      <c r="M1339" s="37" t="n">
        <f aca="false">IF(AND(A1339&gt;=Inputs!$C$13,OR(A1339&lt;Inputs!$B$19,Inputs!$B$20=1)),I1339*Inputs!$C$11/C1339,0)</f>
        <v>40.2739726027397</v>
      </c>
    </row>
    <row r="1340" customFormat="false" ht="15" hidden="false" customHeight="false" outlineLevel="0" collapsed="false">
      <c r="A1340" s="35" t="n">
        <f aca="false">A1339+1</f>
        <v>46147</v>
      </c>
      <c r="B1340" s="35" t="n">
        <f aca="false">EOMONTH(A1340+1,0)</f>
        <v>46173</v>
      </c>
      <c r="C1340" s="36" t="n">
        <f aca="false">IF(MOD(YEAR(A1340),4)=0,366,365)</f>
        <v>365</v>
      </c>
      <c r="D1340" s="37" t="n">
        <f aca="false">Inputs!$B$9-SUMIFS(Cash_Events!$G$6:$G$20,Cash_Events!$C$6:$C$20,"rAGMF",Cash_Events!$B$6:$B$20,"&lt;="&amp;A1340)</f>
        <v>735000</v>
      </c>
      <c r="E1340" s="38" t="n">
        <f aca="false">VLOOKUP(A1340,Inputs!$A$40:$B$48,2,TRUE())</f>
        <v>0.0363225</v>
      </c>
      <c r="F1340" s="38" t="n">
        <f aca="false">E1340+Inputs!$B$10</f>
        <v>0.1038225</v>
      </c>
      <c r="G1340" s="37" t="n">
        <f aca="false">D1340*F1340/C1340</f>
        <v>209.067226027397</v>
      </c>
      <c r="H1340" s="37" t="n">
        <f aca="false">IF(AND(A1340&gt;=Inputs!$B$13,OR(A1340&lt;Inputs!$B$19,Inputs!$B$20=1)),D1340*Inputs!$B$11/C1340,0)</f>
        <v>40.2739726027397</v>
      </c>
      <c r="I1340" s="37" t="n">
        <f aca="false">Inputs!$C$9-SUMIFS(Cash_Events!$G$6:$G$20,Cash_Events!$C$6:$C$20,"FHL",Cash_Events!$B$6:$B$20,"&lt;="&amp;A1340)</f>
        <v>735000</v>
      </c>
      <c r="J1340" s="38" t="n">
        <f aca="false">VLOOKUP(A1340,Inputs!$F$40:$G$48,2,TRUE())</f>
        <v>0.0364054</v>
      </c>
      <c r="K1340" s="38" t="n">
        <f aca="false">J1340+Inputs!$C$10</f>
        <v>0.1039054</v>
      </c>
      <c r="L1340" s="37" t="n">
        <f aca="false">I1340*K1340/C1340</f>
        <v>209.234161643836</v>
      </c>
      <c r="M1340" s="37" t="n">
        <f aca="false">IF(AND(A1340&gt;=Inputs!$C$13,OR(A1340&lt;Inputs!$B$19,Inputs!$B$20=1)),I1340*Inputs!$C$11/C1340,0)</f>
        <v>40.2739726027397</v>
      </c>
    </row>
    <row r="1341" customFormat="false" ht="15" hidden="false" customHeight="false" outlineLevel="0" collapsed="false">
      <c r="A1341" s="35" t="n">
        <f aca="false">A1340+1</f>
        <v>46148</v>
      </c>
      <c r="B1341" s="35" t="n">
        <f aca="false">EOMONTH(A1341+1,0)</f>
        <v>46173</v>
      </c>
      <c r="C1341" s="36" t="n">
        <f aca="false">IF(MOD(YEAR(A1341),4)=0,366,365)</f>
        <v>365</v>
      </c>
      <c r="D1341" s="37" t="n">
        <f aca="false">Inputs!$B$9-SUMIFS(Cash_Events!$G$6:$G$20,Cash_Events!$C$6:$C$20,"rAGMF",Cash_Events!$B$6:$B$20,"&lt;="&amp;A1341)</f>
        <v>735000</v>
      </c>
      <c r="E1341" s="38" t="n">
        <f aca="false">VLOOKUP(A1341,Inputs!$A$40:$B$48,2,TRUE())</f>
        <v>0.0363225</v>
      </c>
      <c r="F1341" s="38" t="n">
        <f aca="false">E1341+Inputs!$B$10</f>
        <v>0.1038225</v>
      </c>
      <c r="G1341" s="37" t="n">
        <f aca="false">D1341*F1341/C1341</f>
        <v>209.067226027397</v>
      </c>
      <c r="H1341" s="37" t="n">
        <f aca="false">IF(AND(A1341&gt;=Inputs!$B$13,OR(A1341&lt;Inputs!$B$19,Inputs!$B$20=1)),D1341*Inputs!$B$11/C1341,0)</f>
        <v>40.2739726027397</v>
      </c>
      <c r="I1341" s="37" t="n">
        <f aca="false">Inputs!$C$9-SUMIFS(Cash_Events!$G$6:$G$20,Cash_Events!$C$6:$C$20,"FHL",Cash_Events!$B$6:$B$20,"&lt;="&amp;A1341)</f>
        <v>735000</v>
      </c>
      <c r="J1341" s="38" t="n">
        <f aca="false">VLOOKUP(A1341,Inputs!$F$40:$G$48,2,TRUE())</f>
        <v>0.0364054</v>
      </c>
      <c r="K1341" s="38" t="n">
        <f aca="false">J1341+Inputs!$C$10</f>
        <v>0.1039054</v>
      </c>
      <c r="L1341" s="37" t="n">
        <f aca="false">I1341*K1341/C1341</f>
        <v>209.234161643836</v>
      </c>
      <c r="M1341" s="37" t="n">
        <f aca="false">IF(AND(A1341&gt;=Inputs!$C$13,OR(A1341&lt;Inputs!$B$19,Inputs!$B$20=1)),I1341*Inputs!$C$11/C1341,0)</f>
        <v>40.2739726027397</v>
      </c>
    </row>
    <row r="1342" customFormat="false" ht="15" hidden="false" customHeight="false" outlineLevel="0" collapsed="false">
      <c r="A1342" s="35" t="n">
        <f aca="false">A1341+1</f>
        <v>46149</v>
      </c>
      <c r="B1342" s="35" t="n">
        <f aca="false">EOMONTH(A1342+1,0)</f>
        <v>46173</v>
      </c>
      <c r="C1342" s="36" t="n">
        <f aca="false">IF(MOD(YEAR(A1342),4)=0,366,365)</f>
        <v>365</v>
      </c>
      <c r="D1342" s="37" t="n">
        <f aca="false">Inputs!$B$9-SUMIFS(Cash_Events!$G$6:$G$20,Cash_Events!$C$6:$C$20,"rAGMF",Cash_Events!$B$6:$B$20,"&lt;="&amp;A1342)</f>
        <v>735000</v>
      </c>
      <c r="E1342" s="38" t="n">
        <f aca="false">VLOOKUP(A1342,Inputs!$A$40:$B$48,2,TRUE())</f>
        <v>0.0363225</v>
      </c>
      <c r="F1342" s="38" t="n">
        <f aca="false">E1342+Inputs!$B$10</f>
        <v>0.1038225</v>
      </c>
      <c r="G1342" s="37" t="n">
        <f aca="false">D1342*F1342/C1342</f>
        <v>209.067226027397</v>
      </c>
      <c r="H1342" s="37" t="n">
        <f aca="false">IF(AND(A1342&gt;=Inputs!$B$13,OR(A1342&lt;Inputs!$B$19,Inputs!$B$20=1)),D1342*Inputs!$B$11/C1342,0)</f>
        <v>40.2739726027397</v>
      </c>
      <c r="I1342" s="37" t="n">
        <f aca="false">Inputs!$C$9-SUMIFS(Cash_Events!$G$6:$G$20,Cash_Events!$C$6:$C$20,"FHL",Cash_Events!$B$6:$B$20,"&lt;="&amp;A1342)</f>
        <v>735000</v>
      </c>
      <c r="J1342" s="38" t="n">
        <f aca="false">VLOOKUP(A1342,Inputs!$F$40:$G$48,2,TRUE())</f>
        <v>0.0364054</v>
      </c>
      <c r="K1342" s="38" t="n">
        <f aca="false">J1342+Inputs!$C$10</f>
        <v>0.1039054</v>
      </c>
      <c r="L1342" s="37" t="n">
        <f aca="false">I1342*K1342/C1342</f>
        <v>209.234161643836</v>
      </c>
      <c r="M1342" s="37" t="n">
        <f aca="false">IF(AND(A1342&gt;=Inputs!$C$13,OR(A1342&lt;Inputs!$B$19,Inputs!$B$20=1)),I1342*Inputs!$C$11/C1342,0)</f>
        <v>40.2739726027397</v>
      </c>
    </row>
    <row r="1343" customFormat="false" ht="15" hidden="false" customHeight="false" outlineLevel="0" collapsed="false">
      <c r="A1343" s="35" t="n">
        <f aca="false">A1342+1</f>
        <v>46150</v>
      </c>
      <c r="B1343" s="35" t="n">
        <f aca="false">EOMONTH(A1343+1,0)</f>
        <v>46173</v>
      </c>
      <c r="C1343" s="36" t="n">
        <f aca="false">IF(MOD(YEAR(A1343),4)=0,366,365)</f>
        <v>365</v>
      </c>
      <c r="D1343" s="37" t="n">
        <f aca="false">Inputs!$B$9-SUMIFS(Cash_Events!$G$6:$G$20,Cash_Events!$C$6:$C$20,"rAGMF",Cash_Events!$B$6:$B$20,"&lt;="&amp;A1343)</f>
        <v>735000</v>
      </c>
      <c r="E1343" s="38" t="n">
        <f aca="false">VLOOKUP(A1343,Inputs!$A$40:$B$48,2,TRUE())</f>
        <v>0.0363225</v>
      </c>
      <c r="F1343" s="38" t="n">
        <f aca="false">E1343+Inputs!$B$10</f>
        <v>0.1038225</v>
      </c>
      <c r="G1343" s="37" t="n">
        <f aca="false">D1343*F1343/C1343</f>
        <v>209.067226027397</v>
      </c>
      <c r="H1343" s="37" t="n">
        <f aca="false">IF(AND(A1343&gt;=Inputs!$B$13,OR(A1343&lt;Inputs!$B$19,Inputs!$B$20=1)),D1343*Inputs!$B$11/C1343,0)</f>
        <v>40.2739726027397</v>
      </c>
      <c r="I1343" s="37" t="n">
        <f aca="false">Inputs!$C$9-SUMIFS(Cash_Events!$G$6:$G$20,Cash_Events!$C$6:$C$20,"FHL",Cash_Events!$B$6:$B$20,"&lt;="&amp;A1343)</f>
        <v>735000</v>
      </c>
      <c r="J1343" s="38" t="n">
        <f aca="false">VLOOKUP(A1343,Inputs!$F$40:$G$48,2,TRUE())</f>
        <v>0.0364054</v>
      </c>
      <c r="K1343" s="38" t="n">
        <f aca="false">J1343+Inputs!$C$10</f>
        <v>0.1039054</v>
      </c>
      <c r="L1343" s="37" t="n">
        <f aca="false">I1343*K1343/C1343</f>
        <v>209.234161643836</v>
      </c>
      <c r="M1343" s="37" t="n">
        <f aca="false">IF(AND(A1343&gt;=Inputs!$C$13,OR(A1343&lt;Inputs!$B$19,Inputs!$B$20=1)),I1343*Inputs!$C$11/C1343,0)</f>
        <v>40.2739726027397</v>
      </c>
    </row>
    <row r="1344" customFormat="false" ht="15" hidden="false" customHeight="false" outlineLevel="0" collapsed="false">
      <c r="A1344" s="35" t="n">
        <f aca="false">A1343+1</f>
        <v>46151</v>
      </c>
      <c r="B1344" s="35" t="n">
        <f aca="false">EOMONTH(A1344+1,0)</f>
        <v>46173</v>
      </c>
      <c r="C1344" s="36" t="n">
        <f aca="false">IF(MOD(YEAR(A1344),4)=0,366,365)</f>
        <v>365</v>
      </c>
      <c r="D1344" s="37" t="n">
        <f aca="false">Inputs!$B$9-SUMIFS(Cash_Events!$G$6:$G$20,Cash_Events!$C$6:$C$20,"rAGMF",Cash_Events!$B$6:$B$20,"&lt;="&amp;A1344)</f>
        <v>735000</v>
      </c>
      <c r="E1344" s="38" t="n">
        <f aca="false">VLOOKUP(A1344,Inputs!$A$40:$B$48,2,TRUE())</f>
        <v>0.0363225</v>
      </c>
      <c r="F1344" s="38" t="n">
        <f aca="false">E1344+Inputs!$B$10</f>
        <v>0.1038225</v>
      </c>
      <c r="G1344" s="37" t="n">
        <f aca="false">D1344*F1344/C1344</f>
        <v>209.067226027397</v>
      </c>
      <c r="H1344" s="37" t="n">
        <f aca="false">IF(AND(A1344&gt;=Inputs!$B$13,OR(A1344&lt;Inputs!$B$19,Inputs!$B$20=1)),D1344*Inputs!$B$11/C1344,0)</f>
        <v>40.2739726027397</v>
      </c>
      <c r="I1344" s="37" t="n">
        <f aca="false">Inputs!$C$9-SUMIFS(Cash_Events!$G$6:$G$20,Cash_Events!$C$6:$C$20,"FHL",Cash_Events!$B$6:$B$20,"&lt;="&amp;A1344)</f>
        <v>735000</v>
      </c>
      <c r="J1344" s="38" t="n">
        <f aca="false">VLOOKUP(A1344,Inputs!$F$40:$G$48,2,TRUE())</f>
        <v>0.0364054</v>
      </c>
      <c r="K1344" s="38" t="n">
        <f aca="false">J1344+Inputs!$C$10</f>
        <v>0.1039054</v>
      </c>
      <c r="L1344" s="37" t="n">
        <f aca="false">I1344*K1344/C1344</f>
        <v>209.234161643836</v>
      </c>
      <c r="M1344" s="37" t="n">
        <f aca="false">IF(AND(A1344&gt;=Inputs!$C$13,OR(A1344&lt;Inputs!$B$19,Inputs!$B$20=1)),I1344*Inputs!$C$11/C1344,0)</f>
        <v>40.2739726027397</v>
      </c>
    </row>
    <row r="1345" customFormat="false" ht="15" hidden="false" customHeight="false" outlineLevel="0" collapsed="false">
      <c r="A1345" s="35" t="n">
        <f aca="false">A1344+1</f>
        <v>46152</v>
      </c>
      <c r="B1345" s="35" t="n">
        <f aca="false">EOMONTH(A1345+1,0)</f>
        <v>46173</v>
      </c>
      <c r="C1345" s="36" t="n">
        <f aca="false">IF(MOD(YEAR(A1345),4)=0,366,365)</f>
        <v>365</v>
      </c>
      <c r="D1345" s="37" t="n">
        <f aca="false">Inputs!$B$9-SUMIFS(Cash_Events!$G$6:$G$20,Cash_Events!$C$6:$C$20,"rAGMF",Cash_Events!$B$6:$B$20,"&lt;="&amp;A1345)</f>
        <v>735000</v>
      </c>
      <c r="E1345" s="38" t="n">
        <f aca="false">VLOOKUP(A1345,Inputs!$A$40:$B$48,2,TRUE())</f>
        <v>0.0363225</v>
      </c>
      <c r="F1345" s="38" t="n">
        <f aca="false">E1345+Inputs!$B$10</f>
        <v>0.1038225</v>
      </c>
      <c r="G1345" s="37" t="n">
        <f aca="false">D1345*F1345/C1345</f>
        <v>209.067226027397</v>
      </c>
      <c r="H1345" s="37" t="n">
        <f aca="false">IF(AND(A1345&gt;=Inputs!$B$13,OR(A1345&lt;Inputs!$B$19,Inputs!$B$20=1)),D1345*Inputs!$B$11/C1345,0)</f>
        <v>40.2739726027397</v>
      </c>
      <c r="I1345" s="37" t="n">
        <f aca="false">Inputs!$C$9-SUMIFS(Cash_Events!$G$6:$G$20,Cash_Events!$C$6:$C$20,"FHL",Cash_Events!$B$6:$B$20,"&lt;="&amp;A1345)</f>
        <v>735000</v>
      </c>
      <c r="J1345" s="38" t="n">
        <f aca="false">VLOOKUP(A1345,Inputs!$F$40:$G$48,2,TRUE())</f>
        <v>0.0364054</v>
      </c>
      <c r="K1345" s="38" t="n">
        <f aca="false">J1345+Inputs!$C$10</f>
        <v>0.1039054</v>
      </c>
      <c r="L1345" s="37" t="n">
        <f aca="false">I1345*K1345/C1345</f>
        <v>209.234161643836</v>
      </c>
      <c r="M1345" s="37" t="n">
        <f aca="false">IF(AND(A1345&gt;=Inputs!$C$13,OR(A1345&lt;Inputs!$B$19,Inputs!$B$20=1)),I1345*Inputs!$C$11/C1345,0)</f>
        <v>40.2739726027397</v>
      </c>
    </row>
    <row r="1346" customFormat="false" ht="15" hidden="false" customHeight="false" outlineLevel="0" collapsed="false">
      <c r="A1346" s="35" t="n">
        <f aca="false">A1345+1</f>
        <v>46153</v>
      </c>
      <c r="B1346" s="35" t="n">
        <f aca="false">EOMONTH(A1346+1,0)</f>
        <v>46173</v>
      </c>
      <c r="C1346" s="36" t="n">
        <f aca="false">IF(MOD(YEAR(A1346),4)=0,366,365)</f>
        <v>365</v>
      </c>
      <c r="D1346" s="37" t="n">
        <f aca="false">Inputs!$B$9-SUMIFS(Cash_Events!$G$6:$G$20,Cash_Events!$C$6:$C$20,"rAGMF",Cash_Events!$B$6:$B$20,"&lt;="&amp;A1346)</f>
        <v>735000</v>
      </c>
      <c r="E1346" s="38" t="n">
        <f aca="false">VLOOKUP(A1346,Inputs!$A$40:$B$48,2,TRUE())</f>
        <v>0.0363225</v>
      </c>
      <c r="F1346" s="38" t="n">
        <f aca="false">E1346+Inputs!$B$10</f>
        <v>0.1038225</v>
      </c>
      <c r="G1346" s="37" t="n">
        <f aca="false">D1346*F1346/C1346</f>
        <v>209.067226027397</v>
      </c>
      <c r="H1346" s="37" t="n">
        <f aca="false">IF(AND(A1346&gt;=Inputs!$B$13,OR(A1346&lt;Inputs!$B$19,Inputs!$B$20=1)),D1346*Inputs!$B$11/C1346,0)</f>
        <v>40.2739726027397</v>
      </c>
      <c r="I1346" s="37" t="n">
        <f aca="false">Inputs!$C$9-SUMIFS(Cash_Events!$G$6:$G$20,Cash_Events!$C$6:$C$20,"FHL",Cash_Events!$B$6:$B$20,"&lt;="&amp;A1346)</f>
        <v>735000</v>
      </c>
      <c r="J1346" s="38" t="n">
        <f aca="false">VLOOKUP(A1346,Inputs!$F$40:$G$48,2,TRUE())</f>
        <v>0.0364054</v>
      </c>
      <c r="K1346" s="38" t="n">
        <f aca="false">J1346+Inputs!$C$10</f>
        <v>0.1039054</v>
      </c>
      <c r="L1346" s="37" t="n">
        <f aca="false">I1346*K1346/C1346</f>
        <v>209.234161643836</v>
      </c>
      <c r="M1346" s="37" t="n">
        <f aca="false">IF(AND(A1346&gt;=Inputs!$C$13,OR(A1346&lt;Inputs!$B$19,Inputs!$B$20=1)),I1346*Inputs!$C$11/C1346,0)</f>
        <v>40.2739726027397</v>
      </c>
    </row>
    <row r="1347" customFormat="false" ht="15" hidden="false" customHeight="false" outlineLevel="0" collapsed="false">
      <c r="A1347" s="35" t="n">
        <f aca="false">A1346+1</f>
        <v>46154</v>
      </c>
      <c r="B1347" s="35" t="n">
        <f aca="false">EOMONTH(A1347+1,0)</f>
        <v>46173</v>
      </c>
      <c r="C1347" s="36" t="n">
        <f aca="false">IF(MOD(YEAR(A1347),4)=0,366,365)</f>
        <v>365</v>
      </c>
      <c r="D1347" s="37" t="n">
        <f aca="false">Inputs!$B$9-SUMIFS(Cash_Events!$G$6:$G$20,Cash_Events!$C$6:$C$20,"rAGMF",Cash_Events!$B$6:$B$20,"&lt;="&amp;A1347)</f>
        <v>735000</v>
      </c>
      <c r="E1347" s="38" t="n">
        <f aca="false">VLOOKUP(A1347,Inputs!$A$40:$B$48,2,TRUE())</f>
        <v>0.0363225</v>
      </c>
      <c r="F1347" s="38" t="n">
        <f aca="false">E1347+Inputs!$B$10</f>
        <v>0.1038225</v>
      </c>
      <c r="G1347" s="37" t="n">
        <f aca="false">D1347*F1347/C1347</f>
        <v>209.067226027397</v>
      </c>
      <c r="H1347" s="37" t="n">
        <f aca="false">IF(AND(A1347&gt;=Inputs!$B$13,OR(A1347&lt;Inputs!$B$19,Inputs!$B$20=1)),D1347*Inputs!$B$11/C1347,0)</f>
        <v>40.2739726027397</v>
      </c>
      <c r="I1347" s="37" t="n">
        <f aca="false">Inputs!$C$9-SUMIFS(Cash_Events!$G$6:$G$20,Cash_Events!$C$6:$C$20,"FHL",Cash_Events!$B$6:$B$20,"&lt;="&amp;A1347)</f>
        <v>735000</v>
      </c>
      <c r="J1347" s="38" t="n">
        <f aca="false">VLOOKUP(A1347,Inputs!$F$40:$G$48,2,TRUE())</f>
        <v>0.0364054</v>
      </c>
      <c r="K1347" s="38" t="n">
        <f aca="false">J1347+Inputs!$C$10</f>
        <v>0.1039054</v>
      </c>
      <c r="L1347" s="37" t="n">
        <f aca="false">I1347*K1347/C1347</f>
        <v>209.234161643836</v>
      </c>
      <c r="M1347" s="37" t="n">
        <f aca="false">IF(AND(A1347&gt;=Inputs!$C$13,OR(A1347&lt;Inputs!$B$19,Inputs!$B$20=1)),I1347*Inputs!$C$11/C1347,0)</f>
        <v>40.2739726027397</v>
      </c>
    </row>
    <row r="1348" customFormat="false" ht="15" hidden="false" customHeight="false" outlineLevel="0" collapsed="false">
      <c r="A1348" s="35" t="n">
        <f aca="false">A1347+1</f>
        <v>46155</v>
      </c>
      <c r="B1348" s="35" t="n">
        <f aca="false">EOMONTH(A1348+1,0)</f>
        <v>46173</v>
      </c>
      <c r="C1348" s="36" t="n">
        <f aca="false">IF(MOD(YEAR(A1348),4)=0,366,365)</f>
        <v>365</v>
      </c>
      <c r="D1348" s="37" t="n">
        <f aca="false">Inputs!$B$9-SUMIFS(Cash_Events!$G$6:$G$20,Cash_Events!$C$6:$C$20,"rAGMF",Cash_Events!$B$6:$B$20,"&lt;="&amp;A1348)</f>
        <v>735000</v>
      </c>
      <c r="E1348" s="38" t="n">
        <f aca="false">VLOOKUP(A1348,Inputs!$A$40:$B$48,2,TRUE())</f>
        <v>0.0363225</v>
      </c>
      <c r="F1348" s="38" t="n">
        <f aca="false">E1348+Inputs!$B$10</f>
        <v>0.1038225</v>
      </c>
      <c r="G1348" s="37" t="n">
        <f aca="false">D1348*F1348/C1348</f>
        <v>209.067226027397</v>
      </c>
      <c r="H1348" s="37" t="n">
        <f aca="false">IF(AND(A1348&gt;=Inputs!$B$13,OR(A1348&lt;Inputs!$B$19,Inputs!$B$20=1)),D1348*Inputs!$B$11/C1348,0)</f>
        <v>40.2739726027397</v>
      </c>
      <c r="I1348" s="37" t="n">
        <f aca="false">Inputs!$C$9-SUMIFS(Cash_Events!$G$6:$G$20,Cash_Events!$C$6:$C$20,"FHL",Cash_Events!$B$6:$B$20,"&lt;="&amp;A1348)</f>
        <v>735000</v>
      </c>
      <c r="J1348" s="38" t="n">
        <f aca="false">VLOOKUP(A1348,Inputs!$F$40:$G$48,2,TRUE())</f>
        <v>0.0364054</v>
      </c>
      <c r="K1348" s="38" t="n">
        <f aca="false">J1348+Inputs!$C$10</f>
        <v>0.1039054</v>
      </c>
      <c r="L1348" s="37" t="n">
        <f aca="false">I1348*K1348/C1348</f>
        <v>209.234161643836</v>
      </c>
      <c r="M1348" s="37" t="n">
        <f aca="false">IF(AND(A1348&gt;=Inputs!$C$13,OR(A1348&lt;Inputs!$B$19,Inputs!$B$20=1)),I1348*Inputs!$C$11/C1348,0)</f>
        <v>40.2739726027397</v>
      </c>
    </row>
    <row r="1349" customFormat="false" ht="15" hidden="false" customHeight="false" outlineLevel="0" collapsed="false">
      <c r="A1349" s="35" t="n">
        <f aca="false">A1348+1</f>
        <v>46156</v>
      </c>
      <c r="B1349" s="35" t="n">
        <f aca="false">EOMONTH(A1349+1,0)</f>
        <v>46173</v>
      </c>
      <c r="C1349" s="36" t="n">
        <f aca="false">IF(MOD(YEAR(A1349),4)=0,366,365)</f>
        <v>365</v>
      </c>
      <c r="D1349" s="37" t="n">
        <f aca="false">Inputs!$B$9-SUMIFS(Cash_Events!$G$6:$G$20,Cash_Events!$C$6:$C$20,"rAGMF",Cash_Events!$B$6:$B$20,"&lt;="&amp;A1349)</f>
        <v>735000</v>
      </c>
      <c r="E1349" s="38" t="n">
        <f aca="false">VLOOKUP(A1349,Inputs!$A$40:$B$48,2,TRUE())</f>
        <v>0.0363225</v>
      </c>
      <c r="F1349" s="38" t="n">
        <f aca="false">E1349+Inputs!$B$10</f>
        <v>0.1038225</v>
      </c>
      <c r="G1349" s="37" t="n">
        <f aca="false">D1349*F1349/C1349</f>
        <v>209.067226027397</v>
      </c>
      <c r="H1349" s="37" t="n">
        <f aca="false">IF(AND(A1349&gt;=Inputs!$B$13,OR(A1349&lt;Inputs!$B$19,Inputs!$B$20=1)),D1349*Inputs!$B$11/C1349,0)</f>
        <v>40.2739726027397</v>
      </c>
      <c r="I1349" s="37" t="n">
        <f aca="false">Inputs!$C$9-SUMIFS(Cash_Events!$G$6:$G$20,Cash_Events!$C$6:$C$20,"FHL",Cash_Events!$B$6:$B$20,"&lt;="&amp;A1349)</f>
        <v>735000</v>
      </c>
      <c r="J1349" s="38" t="n">
        <f aca="false">VLOOKUP(A1349,Inputs!$F$40:$G$48,2,TRUE())</f>
        <v>0.0364054</v>
      </c>
      <c r="K1349" s="38" t="n">
        <f aca="false">J1349+Inputs!$C$10</f>
        <v>0.1039054</v>
      </c>
      <c r="L1349" s="37" t="n">
        <f aca="false">I1349*K1349/C1349</f>
        <v>209.234161643836</v>
      </c>
      <c r="M1349" s="37" t="n">
        <f aca="false">IF(AND(A1349&gt;=Inputs!$C$13,OR(A1349&lt;Inputs!$B$19,Inputs!$B$20=1)),I1349*Inputs!$C$11/C1349,0)</f>
        <v>40.2739726027397</v>
      </c>
    </row>
    <row r="1350" customFormat="false" ht="15" hidden="false" customHeight="false" outlineLevel="0" collapsed="false">
      <c r="A1350" s="35" t="n">
        <f aca="false">A1349+1</f>
        <v>46157</v>
      </c>
      <c r="B1350" s="35" t="n">
        <f aca="false">EOMONTH(A1350+1,0)</f>
        <v>46173</v>
      </c>
      <c r="C1350" s="36" t="n">
        <f aca="false">IF(MOD(YEAR(A1350),4)=0,366,365)</f>
        <v>365</v>
      </c>
      <c r="D1350" s="37" t="n">
        <f aca="false">Inputs!$B$9-SUMIFS(Cash_Events!$G$6:$G$20,Cash_Events!$C$6:$C$20,"rAGMF",Cash_Events!$B$6:$B$20,"&lt;="&amp;A1350)</f>
        <v>735000</v>
      </c>
      <c r="E1350" s="38" t="n">
        <f aca="false">VLOOKUP(A1350,Inputs!$A$40:$B$48,2,TRUE())</f>
        <v>0.0363225</v>
      </c>
      <c r="F1350" s="38" t="n">
        <f aca="false">E1350+Inputs!$B$10</f>
        <v>0.1038225</v>
      </c>
      <c r="G1350" s="37" t="n">
        <f aca="false">D1350*F1350/C1350</f>
        <v>209.067226027397</v>
      </c>
      <c r="H1350" s="37" t="n">
        <f aca="false">IF(AND(A1350&gt;=Inputs!$B$13,OR(A1350&lt;Inputs!$B$19,Inputs!$B$20=1)),D1350*Inputs!$B$11/C1350,0)</f>
        <v>40.2739726027397</v>
      </c>
      <c r="I1350" s="37" t="n">
        <f aca="false">Inputs!$C$9-SUMIFS(Cash_Events!$G$6:$G$20,Cash_Events!$C$6:$C$20,"FHL",Cash_Events!$B$6:$B$20,"&lt;="&amp;A1350)</f>
        <v>735000</v>
      </c>
      <c r="J1350" s="38" t="n">
        <f aca="false">VLOOKUP(A1350,Inputs!$F$40:$G$48,2,TRUE())</f>
        <v>0.0364054</v>
      </c>
      <c r="K1350" s="38" t="n">
        <f aca="false">J1350+Inputs!$C$10</f>
        <v>0.1039054</v>
      </c>
      <c r="L1350" s="37" t="n">
        <f aca="false">I1350*K1350/C1350</f>
        <v>209.234161643836</v>
      </c>
      <c r="M1350" s="37" t="n">
        <f aca="false">IF(AND(A1350&gt;=Inputs!$C$13,OR(A1350&lt;Inputs!$B$19,Inputs!$B$20=1)),I1350*Inputs!$C$11/C1350,0)</f>
        <v>40.2739726027397</v>
      </c>
    </row>
    <row r="1351" customFormat="false" ht="15" hidden="false" customHeight="false" outlineLevel="0" collapsed="false">
      <c r="A1351" s="35" t="n">
        <f aca="false">A1350+1</f>
        <v>46158</v>
      </c>
      <c r="B1351" s="35" t="n">
        <f aca="false">EOMONTH(A1351+1,0)</f>
        <v>46173</v>
      </c>
      <c r="C1351" s="36" t="n">
        <f aca="false">IF(MOD(YEAR(A1351),4)=0,366,365)</f>
        <v>365</v>
      </c>
      <c r="D1351" s="37" t="n">
        <f aca="false">Inputs!$B$9-SUMIFS(Cash_Events!$G$6:$G$20,Cash_Events!$C$6:$C$20,"rAGMF",Cash_Events!$B$6:$B$20,"&lt;="&amp;A1351)</f>
        <v>735000</v>
      </c>
      <c r="E1351" s="38" t="n">
        <f aca="false">VLOOKUP(A1351,Inputs!$A$40:$B$48,2,TRUE())</f>
        <v>0.0363225</v>
      </c>
      <c r="F1351" s="38" t="n">
        <f aca="false">E1351+Inputs!$B$10</f>
        <v>0.1038225</v>
      </c>
      <c r="G1351" s="37" t="n">
        <f aca="false">D1351*F1351/C1351</f>
        <v>209.067226027397</v>
      </c>
      <c r="H1351" s="37" t="n">
        <f aca="false">IF(AND(A1351&gt;=Inputs!$B$13,OR(A1351&lt;Inputs!$B$19,Inputs!$B$20=1)),D1351*Inputs!$B$11/C1351,0)</f>
        <v>40.2739726027397</v>
      </c>
      <c r="I1351" s="37" t="n">
        <f aca="false">Inputs!$C$9-SUMIFS(Cash_Events!$G$6:$G$20,Cash_Events!$C$6:$C$20,"FHL",Cash_Events!$B$6:$B$20,"&lt;="&amp;A1351)</f>
        <v>735000</v>
      </c>
      <c r="J1351" s="38" t="n">
        <f aca="false">VLOOKUP(A1351,Inputs!$F$40:$G$48,2,TRUE())</f>
        <v>0.0364054</v>
      </c>
      <c r="K1351" s="38" t="n">
        <f aca="false">J1351+Inputs!$C$10</f>
        <v>0.1039054</v>
      </c>
      <c r="L1351" s="37" t="n">
        <f aca="false">I1351*K1351/C1351</f>
        <v>209.234161643836</v>
      </c>
      <c r="M1351" s="37" t="n">
        <f aca="false">IF(AND(A1351&gt;=Inputs!$C$13,OR(A1351&lt;Inputs!$B$19,Inputs!$B$20=1)),I1351*Inputs!$C$11/C1351,0)</f>
        <v>40.2739726027397</v>
      </c>
    </row>
    <row r="1352" customFormat="false" ht="15" hidden="false" customHeight="false" outlineLevel="0" collapsed="false">
      <c r="A1352" s="35" t="n">
        <f aca="false">A1351+1</f>
        <v>46159</v>
      </c>
      <c r="B1352" s="35" t="n">
        <f aca="false">EOMONTH(A1352+1,0)</f>
        <v>46173</v>
      </c>
      <c r="C1352" s="36" t="n">
        <f aca="false">IF(MOD(YEAR(A1352),4)=0,366,365)</f>
        <v>365</v>
      </c>
      <c r="D1352" s="37" t="n">
        <f aca="false">Inputs!$B$9-SUMIFS(Cash_Events!$G$6:$G$20,Cash_Events!$C$6:$C$20,"rAGMF",Cash_Events!$B$6:$B$20,"&lt;="&amp;A1352)</f>
        <v>735000</v>
      </c>
      <c r="E1352" s="38" t="n">
        <f aca="false">VLOOKUP(A1352,Inputs!$A$40:$B$48,2,TRUE())</f>
        <v>0.0363225</v>
      </c>
      <c r="F1352" s="38" t="n">
        <f aca="false">E1352+Inputs!$B$10</f>
        <v>0.1038225</v>
      </c>
      <c r="G1352" s="37" t="n">
        <f aca="false">D1352*F1352/C1352</f>
        <v>209.067226027397</v>
      </c>
      <c r="H1352" s="37" t="n">
        <f aca="false">IF(AND(A1352&gt;=Inputs!$B$13,OR(A1352&lt;Inputs!$B$19,Inputs!$B$20=1)),D1352*Inputs!$B$11/C1352,0)</f>
        <v>40.2739726027397</v>
      </c>
      <c r="I1352" s="37" t="n">
        <f aca="false">Inputs!$C$9-SUMIFS(Cash_Events!$G$6:$G$20,Cash_Events!$C$6:$C$20,"FHL",Cash_Events!$B$6:$B$20,"&lt;="&amp;A1352)</f>
        <v>735000</v>
      </c>
      <c r="J1352" s="38" t="n">
        <f aca="false">VLOOKUP(A1352,Inputs!$F$40:$G$48,2,TRUE())</f>
        <v>0.0364054</v>
      </c>
      <c r="K1352" s="38" t="n">
        <f aca="false">J1352+Inputs!$C$10</f>
        <v>0.1039054</v>
      </c>
      <c r="L1352" s="37" t="n">
        <f aca="false">I1352*K1352/C1352</f>
        <v>209.234161643836</v>
      </c>
      <c r="M1352" s="37" t="n">
        <f aca="false">IF(AND(A1352&gt;=Inputs!$C$13,OR(A1352&lt;Inputs!$B$19,Inputs!$B$20=1)),I1352*Inputs!$C$11/C1352,0)</f>
        <v>40.2739726027397</v>
      </c>
    </row>
    <row r="1353" customFormat="false" ht="15" hidden="false" customHeight="false" outlineLevel="0" collapsed="false">
      <c r="A1353" s="35" t="n">
        <f aca="false">A1352+1</f>
        <v>46160</v>
      </c>
      <c r="B1353" s="35" t="n">
        <f aca="false">EOMONTH(A1353+1,0)</f>
        <v>46173</v>
      </c>
      <c r="C1353" s="36" t="n">
        <f aca="false">IF(MOD(YEAR(A1353),4)=0,366,365)</f>
        <v>365</v>
      </c>
      <c r="D1353" s="37" t="n">
        <f aca="false">Inputs!$B$9-SUMIFS(Cash_Events!$G$6:$G$20,Cash_Events!$C$6:$C$20,"rAGMF",Cash_Events!$B$6:$B$20,"&lt;="&amp;A1353)</f>
        <v>735000</v>
      </c>
      <c r="E1353" s="38" t="n">
        <f aca="false">VLOOKUP(A1353,Inputs!$A$40:$B$48,2,TRUE())</f>
        <v>0.0363225</v>
      </c>
      <c r="F1353" s="38" t="n">
        <f aca="false">E1353+Inputs!$B$10</f>
        <v>0.1038225</v>
      </c>
      <c r="G1353" s="37" t="n">
        <f aca="false">D1353*F1353/C1353</f>
        <v>209.067226027397</v>
      </c>
      <c r="H1353" s="37" t="n">
        <f aca="false">IF(AND(A1353&gt;=Inputs!$B$13,OR(A1353&lt;Inputs!$B$19,Inputs!$B$20=1)),D1353*Inputs!$B$11/C1353,0)</f>
        <v>40.2739726027397</v>
      </c>
      <c r="I1353" s="37" t="n">
        <f aca="false">Inputs!$C$9-SUMIFS(Cash_Events!$G$6:$G$20,Cash_Events!$C$6:$C$20,"FHL",Cash_Events!$B$6:$B$20,"&lt;="&amp;A1353)</f>
        <v>735000</v>
      </c>
      <c r="J1353" s="38" t="n">
        <f aca="false">VLOOKUP(A1353,Inputs!$F$40:$G$48,2,TRUE())</f>
        <v>0.0364054</v>
      </c>
      <c r="K1353" s="38" t="n">
        <f aca="false">J1353+Inputs!$C$10</f>
        <v>0.1039054</v>
      </c>
      <c r="L1353" s="37" t="n">
        <f aca="false">I1353*K1353/C1353</f>
        <v>209.234161643836</v>
      </c>
      <c r="M1353" s="37" t="n">
        <f aca="false">IF(AND(A1353&gt;=Inputs!$C$13,OR(A1353&lt;Inputs!$B$19,Inputs!$B$20=1)),I1353*Inputs!$C$11/C1353,0)</f>
        <v>40.2739726027397</v>
      </c>
    </row>
    <row r="1354" customFormat="false" ht="15" hidden="false" customHeight="false" outlineLevel="0" collapsed="false">
      <c r="A1354" s="35" t="n">
        <f aca="false">A1353+1</f>
        <v>46161</v>
      </c>
      <c r="B1354" s="35" t="n">
        <f aca="false">EOMONTH(A1354+1,0)</f>
        <v>46173</v>
      </c>
      <c r="C1354" s="36" t="n">
        <f aca="false">IF(MOD(YEAR(A1354),4)=0,366,365)</f>
        <v>365</v>
      </c>
      <c r="D1354" s="37" t="n">
        <f aca="false">Inputs!$B$9-SUMIFS(Cash_Events!$G$6:$G$20,Cash_Events!$C$6:$C$20,"rAGMF",Cash_Events!$B$6:$B$20,"&lt;="&amp;A1354)</f>
        <v>735000</v>
      </c>
      <c r="E1354" s="38" t="n">
        <f aca="false">VLOOKUP(A1354,Inputs!$A$40:$B$48,2,TRUE())</f>
        <v>0.0363225</v>
      </c>
      <c r="F1354" s="38" t="n">
        <f aca="false">E1354+Inputs!$B$10</f>
        <v>0.1038225</v>
      </c>
      <c r="G1354" s="37" t="n">
        <f aca="false">D1354*F1354/C1354</f>
        <v>209.067226027397</v>
      </c>
      <c r="H1354" s="37" t="n">
        <f aca="false">IF(AND(A1354&gt;=Inputs!$B$13,OR(A1354&lt;Inputs!$B$19,Inputs!$B$20=1)),D1354*Inputs!$B$11/C1354,0)</f>
        <v>40.2739726027397</v>
      </c>
      <c r="I1354" s="37" t="n">
        <f aca="false">Inputs!$C$9-SUMIFS(Cash_Events!$G$6:$G$20,Cash_Events!$C$6:$C$20,"FHL",Cash_Events!$B$6:$B$20,"&lt;="&amp;A1354)</f>
        <v>735000</v>
      </c>
      <c r="J1354" s="38" t="n">
        <f aca="false">VLOOKUP(A1354,Inputs!$F$40:$G$48,2,TRUE())</f>
        <v>0.0364054</v>
      </c>
      <c r="K1354" s="38" t="n">
        <f aca="false">J1354+Inputs!$C$10</f>
        <v>0.1039054</v>
      </c>
      <c r="L1354" s="37" t="n">
        <f aca="false">I1354*K1354/C1354</f>
        <v>209.234161643836</v>
      </c>
      <c r="M1354" s="37" t="n">
        <f aca="false">IF(AND(A1354&gt;=Inputs!$C$13,OR(A1354&lt;Inputs!$B$19,Inputs!$B$20=1)),I1354*Inputs!$C$11/C1354,0)</f>
        <v>40.2739726027397</v>
      </c>
    </row>
    <row r="1355" customFormat="false" ht="15" hidden="false" customHeight="false" outlineLevel="0" collapsed="false">
      <c r="A1355" s="35" t="n">
        <f aca="false">A1354+1</f>
        <v>46162</v>
      </c>
      <c r="B1355" s="35" t="n">
        <f aca="false">EOMONTH(A1355+1,0)</f>
        <v>46173</v>
      </c>
      <c r="C1355" s="36" t="n">
        <f aca="false">IF(MOD(YEAR(A1355),4)=0,366,365)</f>
        <v>365</v>
      </c>
      <c r="D1355" s="37" t="n">
        <f aca="false">Inputs!$B$9-SUMIFS(Cash_Events!$G$6:$G$20,Cash_Events!$C$6:$C$20,"rAGMF",Cash_Events!$B$6:$B$20,"&lt;="&amp;A1355)</f>
        <v>735000</v>
      </c>
      <c r="E1355" s="38" t="n">
        <f aca="false">VLOOKUP(A1355,Inputs!$A$40:$B$48,2,TRUE())</f>
        <v>0.0363225</v>
      </c>
      <c r="F1355" s="38" t="n">
        <f aca="false">E1355+Inputs!$B$10</f>
        <v>0.1038225</v>
      </c>
      <c r="G1355" s="37" t="n">
        <f aca="false">D1355*F1355/C1355</f>
        <v>209.067226027397</v>
      </c>
      <c r="H1355" s="37" t="n">
        <f aca="false">IF(AND(A1355&gt;=Inputs!$B$13,OR(A1355&lt;Inputs!$B$19,Inputs!$B$20=1)),D1355*Inputs!$B$11/C1355,0)</f>
        <v>40.2739726027397</v>
      </c>
      <c r="I1355" s="37" t="n">
        <f aca="false">Inputs!$C$9-SUMIFS(Cash_Events!$G$6:$G$20,Cash_Events!$C$6:$C$20,"FHL",Cash_Events!$B$6:$B$20,"&lt;="&amp;A1355)</f>
        <v>735000</v>
      </c>
      <c r="J1355" s="38" t="n">
        <f aca="false">VLOOKUP(A1355,Inputs!$F$40:$G$48,2,TRUE())</f>
        <v>0.0364054</v>
      </c>
      <c r="K1355" s="38" t="n">
        <f aca="false">J1355+Inputs!$C$10</f>
        <v>0.1039054</v>
      </c>
      <c r="L1355" s="37" t="n">
        <f aca="false">I1355*K1355/C1355</f>
        <v>209.234161643836</v>
      </c>
      <c r="M1355" s="37" t="n">
        <f aca="false">IF(AND(A1355&gt;=Inputs!$C$13,OR(A1355&lt;Inputs!$B$19,Inputs!$B$20=1)),I1355*Inputs!$C$11/C1355,0)</f>
        <v>40.2739726027397</v>
      </c>
    </row>
    <row r="1356" customFormat="false" ht="15" hidden="false" customHeight="false" outlineLevel="0" collapsed="false">
      <c r="A1356" s="35" t="n">
        <f aca="false">A1355+1</f>
        <v>46163</v>
      </c>
      <c r="B1356" s="35" t="n">
        <f aca="false">EOMONTH(A1356+1,0)</f>
        <v>46173</v>
      </c>
      <c r="C1356" s="36" t="n">
        <f aca="false">IF(MOD(YEAR(A1356),4)=0,366,365)</f>
        <v>365</v>
      </c>
      <c r="D1356" s="37" t="n">
        <f aca="false">Inputs!$B$9-SUMIFS(Cash_Events!$G$6:$G$20,Cash_Events!$C$6:$C$20,"rAGMF",Cash_Events!$B$6:$B$20,"&lt;="&amp;A1356)</f>
        <v>735000</v>
      </c>
      <c r="E1356" s="38" t="n">
        <f aca="false">VLOOKUP(A1356,Inputs!$A$40:$B$48,2,TRUE())</f>
        <v>0.0363225</v>
      </c>
      <c r="F1356" s="38" t="n">
        <f aca="false">E1356+Inputs!$B$10</f>
        <v>0.1038225</v>
      </c>
      <c r="G1356" s="37" t="n">
        <f aca="false">D1356*F1356/C1356</f>
        <v>209.067226027397</v>
      </c>
      <c r="H1356" s="37" t="n">
        <f aca="false">IF(AND(A1356&gt;=Inputs!$B$13,OR(A1356&lt;Inputs!$B$19,Inputs!$B$20=1)),D1356*Inputs!$B$11/C1356,0)</f>
        <v>40.2739726027397</v>
      </c>
      <c r="I1356" s="37" t="n">
        <f aca="false">Inputs!$C$9-SUMIFS(Cash_Events!$G$6:$G$20,Cash_Events!$C$6:$C$20,"FHL",Cash_Events!$B$6:$B$20,"&lt;="&amp;A1356)</f>
        <v>735000</v>
      </c>
      <c r="J1356" s="38" t="n">
        <f aca="false">VLOOKUP(A1356,Inputs!$F$40:$G$48,2,TRUE())</f>
        <v>0.0364054</v>
      </c>
      <c r="K1356" s="38" t="n">
        <f aca="false">J1356+Inputs!$C$10</f>
        <v>0.1039054</v>
      </c>
      <c r="L1356" s="37" t="n">
        <f aca="false">I1356*K1356/C1356</f>
        <v>209.234161643836</v>
      </c>
      <c r="M1356" s="37" t="n">
        <f aca="false">IF(AND(A1356&gt;=Inputs!$C$13,OR(A1356&lt;Inputs!$B$19,Inputs!$B$20=1)),I1356*Inputs!$C$11/C1356,0)</f>
        <v>40.2739726027397</v>
      </c>
    </row>
    <row r="1357" customFormat="false" ht="15" hidden="false" customHeight="false" outlineLevel="0" collapsed="false">
      <c r="A1357" s="35" t="n">
        <f aca="false">A1356+1</f>
        <v>46164</v>
      </c>
      <c r="B1357" s="35" t="n">
        <f aca="false">EOMONTH(A1357+1,0)</f>
        <v>46173</v>
      </c>
      <c r="C1357" s="36" t="n">
        <f aca="false">IF(MOD(YEAR(A1357),4)=0,366,365)</f>
        <v>365</v>
      </c>
      <c r="D1357" s="37" t="n">
        <f aca="false">Inputs!$B$9-SUMIFS(Cash_Events!$G$6:$G$20,Cash_Events!$C$6:$C$20,"rAGMF",Cash_Events!$B$6:$B$20,"&lt;="&amp;A1357)</f>
        <v>735000</v>
      </c>
      <c r="E1357" s="38" t="n">
        <f aca="false">VLOOKUP(A1357,Inputs!$A$40:$B$48,2,TRUE())</f>
        <v>0.0363225</v>
      </c>
      <c r="F1357" s="38" t="n">
        <f aca="false">E1357+Inputs!$B$10</f>
        <v>0.1038225</v>
      </c>
      <c r="G1357" s="37" t="n">
        <f aca="false">D1357*F1357/C1357</f>
        <v>209.067226027397</v>
      </c>
      <c r="H1357" s="37" t="n">
        <f aca="false">IF(AND(A1357&gt;=Inputs!$B$13,OR(A1357&lt;Inputs!$B$19,Inputs!$B$20=1)),D1357*Inputs!$B$11/C1357,0)</f>
        <v>40.2739726027397</v>
      </c>
      <c r="I1357" s="37" t="n">
        <f aca="false">Inputs!$C$9-SUMIFS(Cash_Events!$G$6:$G$20,Cash_Events!$C$6:$C$20,"FHL",Cash_Events!$B$6:$B$20,"&lt;="&amp;A1357)</f>
        <v>735000</v>
      </c>
      <c r="J1357" s="38" t="n">
        <f aca="false">VLOOKUP(A1357,Inputs!$F$40:$G$48,2,TRUE())</f>
        <v>0.0364054</v>
      </c>
      <c r="K1357" s="38" t="n">
        <f aca="false">J1357+Inputs!$C$10</f>
        <v>0.1039054</v>
      </c>
      <c r="L1357" s="37" t="n">
        <f aca="false">I1357*K1357/C1357</f>
        <v>209.234161643836</v>
      </c>
      <c r="M1357" s="37" t="n">
        <f aca="false">IF(AND(A1357&gt;=Inputs!$C$13,OR(A1357&lt;Inputs!$B$19,Inputs!$B$20=1)),I1357*Inputs!$C$11/C1357,0)</f>
        <v>40.2739726027397</v>
      </c>
    </row>
    <row r="1358" customFormat="false" ht="15" hidden="false" customHeight="false" outlineLevel="0" collapsed="false">
      <c r="A1358" s="35" t="n">
        <f aca="false">A1357+1</f>
        <v>46165</v>
      </c>
      <c r="B1358" s="35" t="n">
        <f aca="false">EOMONTH(A1358+1,0)</f>
        <v>46173</v>
      </c>
      <c r="C1358" s="36" t="n">
        <f aca="false">IF(MOD(YEAR(A1358),4)=0,366,365)</f>
        <v>365</v>
      </c>
      <c r="D1358" s="37" t="n">
        <f aca="false">Inputs!$B$9-SUMIFS(Cash_Events!$G$6:$G$20,Cash_Events!$C$6:$C$20,"rAGMF",Cash_Events!$B$6:$B$20,"&lt;="&amp;A1358)</f>
        <v>735000</v>
      </c>
      <c r="E1358" s="38" t="n">
        <f aca="false">VLOOKUP(A1358,Inputs!$A$40:$B$48,2,TRUE())</f>
        <v>0.0363225</v>
      </c>
      <c r="F1358" s="38" t="n">
        <f aca="false">E1358+Inputs!$B$10</f>
        <v>0.1038225</v>
      </c>
      <c r="G1358" s="37" t="n">
        <f aca="false">D1358*F1358/C1358</f>
        <v>209.067226027397</v>
      </c>
      <c r="H1358" s="37" t="n">
        <f aca="false">IF(AND(A1358&gt;=Inputs!$B$13,OR(A1358&lt;Inputs!$B$19,Inputs!$B$20=1)),D1358*Inputs!$B$11/C1358,0)</f>
        <v>40.2739726027397</v>
      </c>
      <c r="I1358" s="37" t="n">
        <f aca="false">Inputs!$C$9-SUMIFS(Cash_Events!$G$6:$G$20,Cash_Events!$C$6:$C$20,"FHL",Cash_Events!$B$6:$B$20,"&lt;="&amp;A1358)</f>
        <v>735000</v>
      </c>
      <c r="J1358" s="38" t="n">
        <f aca="false">VLOOKUP(A1358,Inputs!$F$40:$G$48,2,TRUE())</f>
        <v>0.0364054</v>
      </c>
      <c r="K1358" s="38" t="n">
        <f aca="false">J1358+Inputs!$C$10</f>
        <v>0.1039054</v>
      </c>
      <c r="L1358" s="37" t="n">
        <f aca="false">I1358*K1358/C1358</f>
        <v>209.234161643836</v>
      </c>
      <c r="M1358" s="37" t="n">
        <f aca="false">IF(AND(A1358&gt;=Inputs!$C$13,OR(A1358&lt;Inputs!$B$19,Inputs!$B$20=1)),I1358*Inputs!$C$11/C1358,0)</f>
        <v>40.2739726027397</v>
      </c>
    </row>
    <row r="1359" customFormat="false" ht="15" hidden="false" customHeight="false" outlineLevel="0" collapsed="false">
      <c r="A1359" s="35" t="n">
        <f aca="false">A1358+1</f>
        <v>46166</v>
      </c>
      <c r="B1359" s="35" t="n">
        <f aca="false">EOMONTH(A1359+1,0)</f>
        <v>46173</v>
      </c>
      <c r="C1359" s="36" t="n">
        <f aca="false">IF(MOD(YEAR(A1359),4)=0,366,365)</f>
        <v>365</v>
      </c>
      <c r="D1359" s="37" t="n">
        <f aca="false">Inputs!$B$9-SUMIFS(Cash_Events!$G$6:$G$20,Cash_Events!$C$6:$C$20,"rAGMF",Cash_Events!$B$6:$B$20,"&lt;="&amp;A1359)</f>
        <v>735000</v>
      </c>
      <c r="E1359" s="38" t="n">
        <f aca="false">VLOOKUP(A1359,Inputs!$A$40:$B$48,2,TRUE())</f>
        <v>0.0363225</v>
      </c>
      <c r="F1359" s="38" t="n">
        <f aca="false">E1359+Inputs!$B$10</f>
        <v>0.1038225</v>
      </c>
      <c r="G1359" s="37" t="n">
        <f aca="false">D1359*F1359/C1359</f>
        <v>209.067226027397</v>
      </c>
      <c r="H1359" s="37" t="n">
        <f aca="false">IF(AND(A1359&gt;=Inputs!$B$13,OR(A1359&lt;Inputs!$B$19,Inputs!$B$20=1)),D1359*Inputs!$B$11/C1359,0)</f>
        <v>40.2739726027397</v>
      </c>
      <c r="I1359" s="37" t="n">
        <f aca="false">Inputs!$C$9-SUMIFS(Cash_Events!$G$6:$G$20,Cash_Events!$C$6:$C$20,"FHL",Cash_Events!$B$6:$B$20,"&lt;="&amp;A1359)</f>
        <v>735000</v>
      </c>
      <c r="J1359" s="38" t="n">
        <f aca="false">VLOOKUP(A1359,Inputs!$F$40:$G$48,2,TRUE())</f>
        <v>0.0364054</v>
      </c>
      <c r="K1359" s="38" t="n">
        <f aca="false">J1359+Inputs!$C$10</f>
        <v>0.1039054</v>
      </c>
      <c r="L1359" s="37" t="n">
        <f aca="false">I1359*K1359/C1359</f>
        <v>209.234161643836</v>
      </c>
      <c r="M1359" s="37" t="n">
        <f aca="false">IF(AND(A1359&gt;=Inputs!$C$13,OR(A1359&lt;Inputs!$B$19,Inputs!$B$20=1)),I1359*Inputs!$C$11/C1359,0)</f>
        <v>40.2739726027397</v>
      </c>
    </row>
    <row r="1360" customFormat="false" ht="15" hidden="false" customHeight="false" outlineLevel="0" collapsed="false">
      <c r="A1360" s="35" t="n">
        <f aca="false">A1359+1</f>
        <v>46167</v>
      </c>
      <c r="B1360" s="35" t="n">
        <f aca="false">EOMONTH(A1360+1,0)</f>
        <v>46173</v>
      </c>
      <c r="C1360" s="36" t="n">
        <f aca="false">IF(MOD(YEAR(A1360),4)=0,366,365)</f>
        <v>365</v>
      </c>
      <c r="D1360" s="37" t="n">
        <f aca="false">Inputs!$B$9-SUMIFS(Cash_Events!$G$6:$G$20,Cash_Events!$C$6:$C$20,"rAGMF",Cash_Events!$B$6:$B$20,"&lt;="&amp;A1360)</f>
        <v>735000</v>
      </c>
      <c r="E1360" s="38" t="n">
        <f aca="false">VLOOKUP(A1360,Inputs!$A$40:$B$48,2,TRUE())</f>
        <v>0.0363225</v>
      </c>
      <c r="F1360" s="38" t="n">
        <f aca="false">E1360+Inputs!$B$10</f>
        <v>0.1038225</v>
      </c>
      <c r="G1360" s="37" t="n">
        <f aca="false">D1360*F1360/C1360</f>
        <v>209.067226027397</v>
      </c>
      <c r="H1360" s="37" t="n">
        <f aca="false">IF(AND(A1360&gt;=Inputs!$B$13,OR(A1360&lt;Inputs!$B$19,Inputs!$B$20=1)),D1360*Inputs!$B$11/C1360,0)</f>
        <v>40.2739726027397</v>
      </c>
      <c r="I1360" s="37" t="n">
        <f aca="false">Inputs!$C$9-SUMIFS(Cash_Events!$G$6:$G$20,Cash_Events!$C$6:$C$20,"FHL",Cash_Events!$B$6:$B$20,"&lt;="&amp;A1360)</f>
        <v>735000</v>
      </c>
      <c r="J1360" s="38" t="n">
        <f aca="false">VLOOKUP(A1360,Inputs!$F$40:$G$48,2,TRUE())</f>
        <v>0.0364054</v>
      </c>
      <c r="K1360" s="38" t="n">
        <f aca="false">J1360+Inputs!$C$10</f>
        <v>0.1039054</v>
      </c>
      <c r="L1360" s="37" t="n">
        <f aca="false">I1360*K1360/C1360</f>
        <v>209.234161643836</v>
      </c>
      <c r="M1360" s="37" t="n">
        <f aca="false">IF(AND(A1360&gt;=Inputs!$C$13,OR(A1360&lt;Inputs!$B$19,Inputs!$B$20=1)),I1360*Inputs!$C$11/C1360,0)</f>
        <v>40.2739726027397</v>
      </c>
    </row>
    <row r="1361" customFormat="false" ht="15" hidden="false" customHeight="false" outlineLevel="0" collapsed="false">
      <c r="A1361" s="35" t="n">
        <f aca="false">A1360+1</f>
        <v>46168</v>
      </c>
      <c r="B1361" s="35" t="n">
        <f aca="false">EOMONTH(A1361+1,0)</f>
        <v>46173</v>
      </c>
      <c r="C1361" s="36" t="n">
        <f aca="false">IF(MOD(YEAR(A1361),4)=0,366,365)</f>
        <v>365</v>
      </c>
      <c r="D1361" s="37" t="n">
        <f aca="false">Inputs!$B$9-SUMIFS(Cash_Events!$G$6:$G$20,Cash_Events!$C$6:$C$20,"rAGMF",Cash_Events!$B$6:$B$20,"&lt;="&amp;A1361)</f>
        <v>735000</v>
      </c>
      <c r="E1361" s="38" t="n">
        <f aca="false">VLOOKUP(A1361,Inputs!$A$40:$B$48,2,TRUE())</f>
        <v>0.0363225</v>
      </c>
      <c r="F1361" s="38" t="n">
        <f aca="false">E1361+Inputs!$B$10</f>
        <v>0.1038225</v>
      </c>
      <c r="G1361" s="37" t="n">
        <f aca="false">D1361*F1361/C1361</f>
        <v>209.067226027397</v>
      </c>
      <c r="H1361" s="37" t="n">
        <f aca="false">IF(AND(A1361&gt;=Inputs!$B$13,OR(A1361&lt;Inputs!$B$19,Inputs!$B$20=1)),D1361*Inputs!$B$11/C1361,0)</f>
        <v>40.2739726027397</v>
      </c>
      <c r="I1361" s="37" t="n">
        <f aca="false">Inputs!$C$9-SUMIFS(Cash_Events!$G$6:$G$20,Cash_Events!$C$6:$C$20,"FHL",Cash_Events!$B$6:$B$20,"&lt;="&amp;A1361)</f>
        <v>735000</v>
      </c>
      <c r="J1361" s="38" t="n">
        <f aca="false">VLOOKUP(A1361,Inputs!$F$40:$G$48,2,TRUE())</f>
        <v>0.0364054</v>
      </c>
      <c r="K1361" s="38" t="n">
        <f aca="false">J1361+Inputs!$C$10</f>
        <v>0.1039054</v>
      </c>
      <c r="L1361" s="37" t="n">
        <f aca="false">I1361*K1361/C1361</f>
        <v>209.234161643836</v>
      </c>
      <c r="M1361" s="37" t="n">
        <f aca="false">IF(AND(A1361&gt;=Inputs!$C$13,OR(A1361&lt;Inputs!$B$19,Inputs!$B$20=1)),I1361*Inputs!$C$11/C1361,0)</f>
        <v>40.2739726027397</v>
      </c>
    </row>
    <row r="1362" customFormat="false" ht="15" hidden="false" customHeight="false" outlineLevel="0" collapsed="false">
      <c r="A1362" s="35" t="n">
        <f aca="false">A1361+1</f>
        <v>46169</v>
      </c>
      <c r="B1362" s="35" t="n">
        <f aca="false">EOMONTH(A1362+1,0)</f>
        <v>46173</v>
      </c>
      <c r="C1362" s="36" t="n">
        <f aca="false">IF(MOD(YEAR(A1362),4)=0,366,365)</f>
        <v>365</v>
      </c>
      <c r="D1362" s="37" t="n">
        <f aca="false">Inputs!$B$9-SUMIFS(Cash_Events!$G$6:$G$20,Cash_Events!$C$6:$C$20,"rAGMF",Cash_Events!$B$6:$B$20,"&lt;="&amp;A1362)</f>
        <v>735000</v>
      </c>
      <c r="E1362" s="38" t="n">
        <f aca="false">VLOOKUP(A1362,Inputs!$A$40:$B$48,2,TRUE())</f>
        <v>0.0363225</v>
      </c>
      <c r="F1362" s="38" t="n">
        <f aca="false">E1362+Inputs!$B$10</f>
        <v>0.1038225</v>
      </c>
      <c r="G1362" s="37" t="n">
        <f aca="false">D1362*F1362/C1362</f>
        <v>209.067226027397</v>
      </c>
      <c r="H1362" s="37" t="n">
        <f aca="false">IF(AND(A1362&gt;=Inputs!$B$13,OR(A1362&lt;Inputs!$B$19,Inputs!$B$20=1)),D1362*Inputs!$B$11/C1362,0)</f>
        <v>40.2739726027397</v>
      </c>
      <c r="I1362" s="37" t="n">
        <f aca="false">Inputs!$C$9-SUMIFS(Cash_Events!$G$6:$G$20,Cash_Events!$C$6:$C$20,"FHL",Cash_Events!$B$6:$B$20,"&lt;="&amp;A1362)</f>
        <v>735000</v>
      </c>
      <c r="J1362" s="38" t="n">
        <f aca="false">VLOOKUP(A1362,Inputs!$F$40:$G$48,2,TRUE())</f>
        <v>0.0364054</v>
      </c>
      <c r="K1362" s="38" t="n">
        <f aca="false">J1362+Inputs!$C$10</f>
        <v>0.1039054</v>
      </c>
      <c r="L1362" s="37" t="n">
        <f aca="false">I1362*K1362/C1362</f>
        <v>209.234161643836</v>
      </c>
      <c r="M1362" s="37" t="n">
        <f aca="false">IF(AND(A1362&gt;=Inputs!$C$13,OR(A1362&lt;Inputs!$B$19,Inputs!$B$20=1)),I1362*Inputs!$C$11/C1362,0)</f>
        <v>40.2739726027397</v>
      </c>
    </row>
    <row r="1363" customFormat="false" ht="15" hidden="false" customHeight="false" outlineLevel="0" collapsed="false">
      <c r="A1363" s="35" t="n">
        <f aca="false">A1362+1</f>
        <v>46170</v>
      </c>
      <c r="B1363" s="35" t="n">
        <f aca="false">EOMONTH(A1363+1,0)</f>
        <v>46173</v>
      </c>
      <c r="C1363" s="36" t="n">
        <f aca="false">IF(MOD(YEAR(A1363),4)=0,366,365)</f>
        <v>365</v>
      </c>
      <c r="D1363" s="37" t="n">
        <f aca="false">Inputs!$B$9-SUMIFS(Cash_Events!$G$6:$G$20,Cash_Events!$C$6:$C$20,"rAGMF",Cash_Events!$B$6:$B$20,"&lt;="&amp;A1363)</f>
        <v>735000</v>
      </c>
      <c r="E1363" s="38" t="n">
        <f aca="false">VLOOKUP(A1363,Inputs!$A$40:$B$48,2,TRUE())</f>
        <v>0.0363225</v>
      </c>
      <c r="F1363" s="38" t="n">
        <f aca="false">E1363+Inputs!$B$10</f>
        <v>0.1038225</v>
      </c>
      <c r="G1363" s="37" t="n">
        <f aca="false">D1363*F1363/C1363</f>
        <v>209.067226027397</v>
      </c>
      <c r="H1363" s="37" t="n">
        <f aca="false">IF(AND(A1363&gt;=Inputs!$B$13,OR(A1363&lt;Inputs!$B$19,Inputs!$B$20=1)),D1363*Inputs!$B$11/C1363,0)</f>
        <v>40.2739726027397</v>
      </c>
      <c r="I1363" s="37" t="n">
        <f aca="false">Inputs!$C$9-SUMIFS(Cash_Events!$G$6:$G$20,Cash_Events!$C$6:$C$20,"FHL",Cash_Events!$B$6:$B$20,"&lt;="&amp;A1363)</f>
        <v>735000</v>
      </c>
      <c r="J1363" s="38" t="n">
        <f aca="false">VLOOKUP(A1363,Inputs!$F$40:$G$48,2,TRUE())</f>
        <v>0.0364054</v>
      </c>
      <c r="K1363" s="38" t="n">
        <f aca="false">J1363+Inputs!$C$10</f>
        <v>0.1039054</v>
      </c>
      <c r="L1363" s="37" t="n">
        <f aca="false">I1363*K1363/C1363</f>
        <v>209.234161643836</v>
      </c>
      <c r="M1363" s="37" t="n">
        <f aca="false">IF(AND(A1363&gt;=Inputs!$C$13,OR(A1363&lt;Inputs!$B$19,Inputs!$B$20=1)),I1363*Inputs!$C$11/C1363,0)</f>
        <v>40.2739726027397</v>
      </c>
    </row>
    <row r="1364" customFormat="false" ht="15" hidden="false" customHeight="false" outlineLevel="0" collapsed="false">
      <c r="A1364" s="35" t="n">
        <f aca="false">A1363+1</f>
        <v>46171</v>
      </c>
      <c r="B1364" s="35" t="n">
        <f aca="false">EOMONTH(A1364+1,0)</f>
        <v>46173</v>
      </c>
      <c r="C1364" s="36" t="n">
        <f aca="false">IF(MOD(YEAR(A1364),4)=0,366,365)</f>
        <v>365</v>
      </c>
      <c r="D1364" s="37" t="n">
        <f aca="false">Inputs!$B$9-SUMIFS(Cash_Events!$G$6:$G$20,Cash_Events!$C$6:$C$20,"rAGMF",Cash_Events!$B$6:$B$20,"&lt;="&amp;A1364)</f>
        <v>735000</v>
      </c>
      <c r="E1364" s="38" t="n">
        <f aca="false">VLOOKUP(A1364,Inputs!$A$40:$B$48,2,TRUE())</f>
        <v>0.0363225</v>
      </c>
      <c r="F1364" s="38" t="n">
        <f aca="false">E1364+Inputs!$B$10</f>
        <v>0.1038225</v>
      </c>
      <c r="G1364" s="37" t="n">
        <f aca="false">D1364*F1364/C1364</f>
        <v>209.067226027397</v>
      </c>
      <c r="H1364" s="37" t="n">
        <f aca="false">IF(AND(A1364&gt;=Inputs!$B$13,OR(A1364&lt;Inputs!$B$19,Inputs!$B$20=1)),D1364*Inputs!$B$11/C1364,0)</f>
        <v>40.2739726027397</v>
      </c>
      <c r="I1364" s="37" t="n">
        <f aca="false">Inputs!$C$9-SUMIFS(Cash_Events!$G$6:$G$20,Cash_Events!$C$6:$C$20,"FHL",Cash_Events!$B$6:$B$20,"&lt;="&amp;A1364)</f>
        <v>735000</v>
      </c>
      <c r="J1364" s="38" t="n">
        <f aca="false">VLOOKUP(A1364,Inputs!$F$40:$G$48,2,TRUE())</f>
        <v>0.0364054</v>
      </c>
      <c r="K1364" s="38" t="n">
        <f aca="false">J1364+Inputs!$C$10</f>
        <v>0.1039054</v>
      </c>
      <c r="L1364" s="37" t="n">
        <f aca="false">I1364*K1364/C1364</f>
        <v>209.234161643836</v>
      </c>
      <c r="M1364" s="37" t="n">
        <f aca="false">IF(AND(A1364&gt;=Inputs!$C$13,OR(A1364&lt;Inputs!$B$19,Inputs!$B$20=1)),I1364*Inputs!$C$11/C1364,0)</f>
        <v>40.2739726027397</v>
      </c>
    </row>
    <row r="1365" customFormat="false" ht="15" hidden="false" customHeight="false" outlineLevel="0" collapsed="false">
      <c r="A1365" s="35" t="n">
        <f aca="false">A1364+1</f>
        <v>46172</v>
      </c>
      <c r="B1365" s="35" t="n">
        <f aca="false">EOMONTH(A1365+1,0)</f>
        <v>46173</v>
      </c>
      <c r="C1365" s="36" t="n">
        <f aca="false">IF(MOD(YEAR(A1365),4)=0,366,365)</f>
        <v>365</v>
      </c>
      <c r="D1365" s="37" t="n">
        <f aca="false">Inputs!$B$9-SUMIFS(Cash_Events!$G$6:$G$20,Cash_Events!$C$6:$C$20,"rAGMF",Cash_Events!$B$6:$B$20,"&lt;="&amp;A1365)</f>
        <v>735000</v>
      </c>
      <c r="E1365" s="38" t="n">
        <f aca="false">VLOOKUP(A1365,Inputs!$A$40:$B$48,2,TRUE())</f>
        <v>0.0363225</v>
      </c>
      <c r="F1365" s="38" t="n">
        <f aca="false">E1365+Inputs!$B$10</f>
        <v>0.1038225</v>
      </c>
      <c r="G1365" s="37" t="n">
        <f aca="false">D1365*F1365/C1365</f>
        <v>209.067226027397</v>
      </c>
      <c r="H1365" s="37" t="n">
        <f aca="false">IF(AND(A1365&gt;=Inputs!$B$13,OR(A1365&lt;Inputs!$B$19,Inputs!$B$20=1)),D1365*Inputs!$B$11/C1365,0)</f>
        <v>40.2739726027397</v>
      </c>
      <c r="I1365" s="37" t="n">
        <f aca="false">Inputs!$C$9-SUMIFS(Cash_Events!$G$6:$G$20,Cash_Events!$C$6:$C$20,"FHL",Cash_Events!$B$6:$B$20,"&lt;="&amp;A1365)</f>
        <v>735000</v>
      </c>
      <c r="J1365" s="38" t="n">
        <f aca="false">VLOOKUP(A1365,Inputs!$F$40:$G$48,2,TRUE())</f>
        <v>0.0364054</v>
      </c>
      <c r="K1365" s="38" t="n">
        <f aca="false">J1365+Inputs!$C$10</f>
        <v>0.1039054</v>
      </c>
      <c r="L1365" s="37" t="n">
        <f aca="false">I1365*K1365/C1365</f>
        <v>209.234161643836</v>
      </c>
      <c r="M1365" s="37" t="n">
        <f aca="false">IF(AND(A1365&gt;=Inputs!$C$13,OR(A1365&lt;Inputs!$B$19,Inputs!$B$20=1)),I1365*Inputs!$C$11/C1365,0)</f>
        <v>40.2739726027397</v>
      </c>
    </row>
    <row r="1366" customFormat="false" ht="15" hidden="false" customHeight="false" outlineLevel="0" collapsed="false">
      <c r="A1366" s="35" t="n">
        <f aca="false">A1365+1</f>
        <v>46173</v>
      </c>
      <c r="B1366" s="35" t="n">
        <f aca="false">EOMONTH(A1366+1,0)</f>
        <v>46203</v>
      </c>
      <c r="C1366" s="36" t="n">
        <f aca="false">IF(MOD(YEAR(A1366),4)=0,366,365)</f>
        <v>365</v>
      </c>
      <c r="D1366" s="37" t="n">
        <f aca="false">Inputs!$B$9-SUMIFS(Cash_Events!$G$6:$G$20,Cash_Events!$C$6:$C$20,"rAGMF",Cash_Events!$B$6:$B$20,"&lt;="&amp;A1366)</f>
        <v>735000</v>
      </c>
      <c r="E1366" s="38" t="n">
        <f aca="false">VLOOKUP(A1366,Inputs!$A$40:$B$48,2,TRUE())</f>
        <v>0.0363225</v>
      </c>
      <c r="F1366" s="38" t="n">
        <f aca="false">E1366+Inputs!$B$10</f>
        <v>0.1038225</v>
      </c>
      <c r="G1366" s="37" t="n">
        <f aca="false">D1366*F1366/C1366</f>
        <v>209.067226027397</v>
      </c>
      <c r="H1366" s="37" t="n">
        <f aca="false">IF(AND(A1366&gt;=Inputs!$B$13,OR(A1366&lt;Inputs!$B$19,Inputs!$B$20=1)),D1366*Inputs!$B$11/C1366,0)</f>
        <v>40.2739726027397</v>
      </c>
      <c r="I1366" s="37" t="n">
        <f aca="false">Inputs!$C$9-SUMIFS(Cash_Events!$G$6:$G$20,Cash_Events!$C$6:$C$20,"FHL",Cash_Events!$B$6:$B$20,"&lt;="&amp;A1366)</f>
        <v>735000</v>
      </c>
      <c r="J1366" s="38" t="n">
        <f aca="false">VLOOKUP(A1366,Inputs!$F$40:$G$48,2,TRUE())</f>
        <v>0.0364054</v>
      </c>
      <c r="K1366" s="38" t="n">
        <f aca="false">J1366+Inputs!$C$10</f>
        <v>0.1039054</v>
      </c>
      <c r="L1366" s="37" t="n">
        <f aca="false">I1366*K1366/C1366</f>
        <v>209.234161643836</v>
      </c>
      <c r="M1366" s="37" t="n">
        <f aca="false">IF(AND(A1366&gt;=Inputs!$C$13,OR(A1366&lt;Inputs!$B$19,Inputs!$B$20=1)),I1366*Inputs!$C$11/C1366,0)</f>
        <v>40.2739726027397</v>
      </c>
    </row>
    <row r="1367" customFormat="false" ht="15" hidden="false" customHeight="false" outlineLevel="0" collapsed="false">
      <c r="A1367" s="35" t="n">
        <f aca="false">A1366+1</f>
        <v>46174</v>
      </c>
      <c r="B1367" s="35" t="n">
        <f aca="false">EOMONTH(A1367+1,0)</f>
        <v>46203</v>
      </c>
      <c r="C1367" s="36" t="n">
        <f aca="false">IF(MOD(YEAR(A1367),4)=0,366,365)</f>
        <v>365</v>
      </c>
      <c r="D1367" s="37" t="n">
        <f aca="false">Inputs!$B$9-SUMIFS(Cash_Events!$G$6:$G$20,Cash_Events!$C$6:$C$20,"rAGMF",Cash_Events!$B$6:$B$20,"&lt;="&amp;A1367)</f>
        <v>735000</v>
      </c>
      <c r="E1367" s="38" t="n">
        <f aca="false">VLOOKUP(A1367,Inputs!$A$40:$B$48,2,TRUE())</f>
        <v>0.0363225</v>
      </c>
      <c r="F1367" s="38" t="n">
        <f aca="false">E1367+Inputs!$B$10</f>
        <v>0.1038225</v>
      </c>
      <c r="G1367" s="37" t="n">
        <f aca="false">D1367*F1367/C1367</f>
        <v>209.067226027397</v>
      </c>
      <c r="H1367" s="37" t="n">
        <f aca="false">IF(AND(A1367&gt;=Inputs!$B$13,OR(A1367&lt;Inputs!$B$19,Inputs!$B$20=1)),D1367*Inputs!$B$11/C1367,0)</f>
        <v>40.2739726027397</v>
      </c>
      <c r="I1367" s="37" t="n">
        <f aca="false">Inputs!$C$9-SUMIFS(Cash_Events!$G$6:$G$20,Cash_Events!$C$6:$C$20,"FHL",Cash_Events!$B$6:$B$20,"&lt;="&amp;A1367)</f>
        <v>735000</v>
      </c>
      <c r="J1367" s="38" t="n">
        <f aca="false">VLOOKUP(A1367,Inputs!$F$40:$G$48,2,TRUE())</f>
        <v>0.0364054</v>
      </c>
      <c r="K1367" s="38" t="n">
        <f aca="false">J1367+Inputs!$C$10</f>
        <v>0.1039054</v>
      </c>
      <c r="L1367" s="37" t="n">
        <f aca="false">I1367*K1367/C1367</f>
        <v>209.234161643836</v>
      </c>
      <c r="M1367" s="37" t="n">
        <f aca="false">IF(AND(A1367&gt;=Inputs!$C$13,OR(A1367&lt;Inputs!$B$19,Inputs!$B$20=1)),I1367*Inputs!$C$11/C1367,0)</f>
        <v>40.2739726027397</v>
      </c>
    </row>
    <row r="1368" customFormat="false" ht="15" hidden="false" customHeight="false" outlineLevel="0" collapsed="false">
      <c r="A1368" s="35" t="n">
        <f aca="false">A1367+1</f>
        <v>46175</v>
      </c>
      <c r="B1368" s="35" t="n">
        <f aca="false">EOMONTH(A1368+1,0)</f>
        <v>46203</v>
      </c>
      <c r="C1368" s="36" t="n">
        <f aca="false">IF(MOD(YEAR(A1368),4)=0,366,365)</f>
        <v>365</v>
      </c>
      <c r="D1368" s="37" t="n">
        <f aca="false">Inputs!$B$9-SUMIFS(Cash_Events!$G$6:$G$20,Cash_Events!$C$6:$C$20,"rAGMF",Cash_Events!$B$6:$B$20,"&lt;="&amp;A1368)</f>
        <v>735000</v>
      </c>
      <c r="E1368" s="38" t="n">
        <f aca="false">VLOOKUP(A1368,Inputs!$A$40:$B$48,2,TRUE())</f>
        <v>0.0363225</v>
      </c>
      <c r="F1368" s="38" t="n">
        <f aca="false">E1368+Inputs!$B$10</f>
        <v>0.1038225</v>
      </c>
      <c r="G1368" s="37" t="n">
        <f aca="false">D1368*F1368/C1368</f>
        <v>209.067226027397</v>
      </c>
      <c r="H1368" s="37" t="n">
        <f aca="false">IF(AND(A1368&gt;=Inputs!$B$13,OR(A1368&lt;Inputs!$B$19,Inputs!$B$20=1)),D1368*Inputs!$B$11/C1368,0)</f>
        <v>40.2739726027397</v>
      </c>
      <c r="I1368" s="37" t="n">
        <f aca="false">Inputs!$C$9-SUMIFS(Cash_Events!$G$6:$G$20,Cash_Events!$C$6:$C$20,"FHL",Cash_Events!$B$6:$B$20,"&lt;="&amp;A1368)</f>
        <v>735000</v>
      </c>
      <c r="J1368" s="38" t="n">
        <f aca="false">VLOOKUP(A1368,Inputs!$F$40:$G$48,2,TRUE())</f>
        <v>0.0364054</v>
      </c>
      <c r="K1368" s="38" t="n">
        <f aca="false">J1368+Inputs!$C$10</f>
        <v>0.1039054</v>
      </c>
      <c r="L1368" s="37" t="n">
        <f aca="false">I1368*K1368/C1368</f>
        <v>209.234161643836</v>
      </c>
      <c r="M1368" s="37" t="n">
        <f aca="false">IF(AND(A1368&gt;=Inputs!$C$13,OR(A1368&lt;Inputs!$B$19,Inputs!$B$20=1)),I1368*Inputs!$C$11/C1368,0)</f>
        <v>40.2739726027397</v>
      </c>
    </row>
    <row r="1369" customFormat="false" ht="15" hidden="false" customHeight="false" outlineLevel="0" collapsed="false">
      <c r="A1369" s="35" t="n">
        <f aca="false">A1368+1</f>
        <v>46176</v>
      </c>
      <c r="B1369" s="35" t="n">
        <f aca="false">EOMONTH(A1369+1,0)</f>
        <v>46203</v>
      </c>
      <c r="C1369" s="36" t="n">
        <f aca="false">IF(MOD(YEAR(A1369),4)=0,366,365)</f>
        <v>365</v>
      </c>
      <c r="D1369" s="37" t="n">
        <f aca="false">Inputs!$B$9-SUMIFS(Cash_Events!$G$6:$G$20,Cash_Events!$C$6:$C$20,"rAGMF",Cash_Events!$B$6:$B$20,"&lt;="&amp;A1369)</f>
        <v>735000</v>
      </c>
      <c r="E1369" s="38" t="n">
        <f aca="false">VLOOKUP(A1369,Inputs!$A$40:$B$48,2,TRUE())</f>
        <v>0.0363225</v>
      </c>
      <c r="F1369" s="38" t="n">
        <f aca="false">E1369+Inputs!$B$10</f>
        <v>0.1038225</v>
      </c>
      <c r="G1369" s="37" t="n">
        <f aca="false">D1369*F1369/C1369</f>
        <v>209.067226027397</v>
      </c>
      <c r="H1369" s="37" t="n">
        <f aca="false">IF(AND(A1369&gt;=Inputs!$B$13,OR(A1369&lt;Inputs!$B$19,Inputs!$B$20=1)),D1369*Inputs!$B$11/C1369,0)</f>
        <v>40.2739726027397</v>
      </c>
      <c r="I1369" s="37" t="n">
        <f aca="false">Inputs!$C$9-SUMIFS(Cash_Events!$G$6:$G$20,Cash_Events!$C$6:$C$20,"FHL",Cash_Events!$B$6:$B$20,"&lt;="&amp;A1369)</f>
        <v>735000</v>
      </c>
      <c r="J1369" s="38" t="n">
        <f aca="false">VLOOKUP(A1369,Inputs!$F$40:$G$48,2,TRUE())</f>
        <v>0.0364054</v>
      </c>
      <c r="K1369" s="38" t="n">
        <f aca="false">J1369+Inputs!$C$10</f>
        <v>0.1039054</v>
      </c>
      <c r="L1369" s="37" t="n">
        <f aca="false">I1369*K1369/C1369</f>
        <v>209.234161643836</v>
      </c>
      <c r="M1369" s="37" t="n">
        <f aca="false">IF(AND(A1369&gt;=Inputs!$C$13,OR(A1369&lt;Inputs!$B$19,Inputs!$B$20=1)),I1369*Inputs!$C$11/C1369,0)</f>
        <v>40.2739726027397</v>
      </c>
    </row>
    <row r="1370" customFormat="false" ht="15" hidden="false" customHeight="false" outlineLevel="0" collapsed="false">
      <c r="A1370" s="35" t="n">
        <f aca="false">A1369+1</f>
        <v>46177</v>
      </c>
      <c r="B1370" s="35" t="n">
        <f aca="false">EOMONTH(A1370+1,0)</f>
        <v>46203</v>
      </c>
      <c r="C1370" s="36" t="n">
        <f aca="false">IF(MOD(YEAR(A1370),4)=0,366,365)</f>
        <v>365</v>
      </c>
      <c r="D1370" s="37" t="n">
        <f aca="false">Inputs!$B$9-SUMIFS(Cash_Events!$G$6:$G$20,Cash_Events!$C$6:$C$20,"rAGMF",Cash_Events!$B$6:$B$20,"&lt;="&amp;A1370)</f>
        <v>735000</v>
      </c>
      <c r="E1370" s="38" t="n">
        <f aca="false">VLOOKUP(A1370,Inputs!$A$40:$B$48,2,TRUE())</f>
        <v>0.0363225</v>
      </c>
      <c r="F1370" s="38" t="n">
        <f aca="false">E1370+Inputs!$B$10</f>
        <v>0.1038225</v>
      </c>
      <c r="G1370" s="37" t="n">
        <f aca="false">D1370*F1370/C1370</f>
        <v>209.067226027397</v>
      </c>
      <c r="H1370" s="37" t="n">
        <f aca="false">IF(AND(A1370&gt;=Inputs!$B$13,OR(A1370&lt;Inputs!$B$19,Inputs!$B$20=1)),D1370*Inputs!$B$11/C1370,0)</f>
        <v>40.2739726027397</v>
      </c>
      <c r="I1370" s="37" t="n">
        <f aca="false">Inputs!$C$9-SUMIFS(Cash_Events!$G$6:$G$20,Cash_Events!$C$6:$C$20,"FHL",Cash_Events!$B$6:$B$20,"&lt;="&amp;A1370)</f>
        <v>735000</v>
      </c>
      <c r="J1370" s="38" t="n">
        <f aca="false">VLOOKUP(A1370,Inputs!$F$40:$G$48,2,TRUE())</f>
        <v>0.0364054</v>
      </c>
      <c r="K1370" s="38" t="n">
        <f aca="false">J1370+Inputs!$C$10</f>
        <v>0.1039054</v>
      </c>
      <c r="L1370" s="37" t="n">
        <f aca="false">I1370*K1370/C1370</f>
        <v>209.234161643836</v>
      </c>
      <c r="M1370" s="37" t="n">
        <f aca="false">IF(AND(A1370&gt;=Inputs!$C$13,OR(A1370&lt;Inputs!$B$19,Inputs!$B$20=1)),I1370*Inputs!$C$11/C1370,0)</f>
        <v>40.2739726027397</v>
      </c>
    </row>
    <row r="1371" customFormat="false" ht="15" hidden="false" customHeight="false" outlineLevel="0" collapsed="false">
      <c r="A1371" s="35" t="n">
        <f aca="false">A1370+1</f>
        <v>46178</v>
      </c>
      <c r="B1371" s="35" t="n">
        <f aca="false">EOMONTH(A1371+1,0)</f>
        <v>46203</v>
      </c>
      <c r="C1371" s="36" t="n">
        <f aca="false">IF(MOD(YEAR(A1371),4)=0,366,365)</f>
        <v>365</v>
      </c>
      <c r="D1371" s="37" t="n">
        <f aca="false">Inputs!$B$9-SUMIFS(Cash_Events!$G$6:$G$20,Cash_Events!$C$6:$C$20,"rAGMF",Cash_Events!$B$6:$B$20,"&lt;="&amp;A1371)</f>
        <v>735000</v>
      </c>
      <c r="E1371" s="38" t="n">
        <f aca="false">VLOOKUP(A1371,Inputs!$A$40:$B$48,2,TRUE())</f>
        <v>0.0363225</v>
      </c>
      <c r="F1371" s="38" t="n">
        <f aca="false">E1371+Inputs!$B$10</f>
        <v>0.1038225</v>
      </c>
      <c r="G1371" s="37" t="n">
        <f aca="false">D1371*F1371/C1371</f>
        <v>209.067226027397</v>
      </c>
      <c r="H1371" s="37" t="n">
        <f aca="false">IF(AND(A1371&gt;=Inputs!$B$13,OR(A1371&lt;Inputs!$B$19,Inputs!$B$20=1)),D1371*Inputs!$B$11/C1371,0)</f>
        <v>40.2739726027397</v>
      </c>
      <c r="I1371" s="37" t="n">
        <f aca="false">Inputs!$C$9-SUMIFS(Cash_Events!$G$6:$G$20,Cash_Events!$C$6:$C$20,"FHL",Cash_Events!$B$6:$B$20,"&lt;="&amp;A1371)</f>
        <v>735000</v>
      </c>
      <c r="J1371" s="38" t="n">
        <f aca="false">VLOOKUP(A1371,Inputs!$F$40:$G$48,2,TRUE())</f>
        <v>0.0364054</v>
      </c>
      <c r="K1371" s="38" t="n">
        <f aca="false">J1371+Inputs!$C$10</f>
        <v>0.1039054</v>
      </c>
      <c r="L1371" s="37" t="n">
        <f aca="false">I1371*K1371/C1371</f>
        <v>209.234161643836</v>
      </c>
      <c r="M1371" s="37" t="n">
        <f aca="false">IF(AND(A1371&gt;=Inputs!$C$13,OR(A1371&lt;Inputs!$B$19,Inputs!$B$20=1)),I1371*Inputs!$C$11/C1371,0)</f>
        <v>40.2739726027397</v>
      </c>
    </row>
    <row r="1372" customFormat="false" ht="15" hidden="false" customHeight="false" outlineLevel="0" collapsed="false">
      <c r="A1372" s="35" t="n">
        <f aca="false">A1371+1</f>
        <v>46179</v>
      </c>
      <c r="B1372" s="35" t="n">
        <f aca="false">EOMONTH(A1372+1,0)</f>
        <v>46203</v>
      </c>
      <c r="C1372" s="36" t="n">
        <f aca="false">IF(MOD(YEAR(A1372),4)=0,366,365)</f>
        <v>365</v>
      </c>
      <c r="D1372" s="37" t="n">
        <f aca="false">Inputs!$B$9-SUMIFS(Cash_Events!$G$6:$G$20,Cash_Events!$C$6:$C$20,"rAGMF",Cash_Events!$B$6:$B$20,"&lt;="&amp;A1372)</f>
        <v>735000</v>
      </c>
      <c r="E1372" s="38" t="n">
        <f aca="false">VLOOKUP(A1372,Inputs!$A$40:$B$48,2,TRUE())</f>
        <v>0.0363225</v>
      </c>
      <c r="F1372" s="38" t="n">
        <f aca="false">E1372+Inputs!$B$10</f>
        <v>0.1038225</v>
      </c>
      <c r="G1372" s="37" t="n">
        <f aca="false">D1372*F1372/C1372</f>
        <v>209.067226027397</v>
      </c>
      <c r="H1372" s="37" t="n">
        <f aca="false">IF(AND(A1372&gt;=Inputs!$B$13,OR(A1372&lt;Inputs!$B$19,Inputs!$B$20=1)),D1372*Inputs!$B$11/C1372,0)</f>
        <v>40.2739726027397</v>
      </c>
      <c r="I1372" s="37" t="n">
        <f aca="false">Inputs!$C$9-SUMIFS(Cash_Events!$G$6:$G$20,Cash_Events!$C$6:$C$20,"FHL",Cash_Events!$B$6:$B$20,"&lt;="&amp;A1372)</f>
        <v>735000</v>
      </c>
      <c r="J1372" s="38" t="n">
        <f aca="false">VLOOKUP(A1372,Inputs!$F$40:$G$48,2,TRUE())</f>
        <v>0.0364054</v>
      </c>
      <c r="K1372" s="38" t="n">
        <f aca="false">J1372+Inputs!$C$10</f>
        <v>0.1039054</v>
      </c>
      <c r="L1372" s="37" t="n">
        <f aca="false">I1372*K1372/C1372</f>
        <v>209.234161643836</v>
      </c>
      <c r="M1372" s="37" t="n">
        <f aca="false">IF(AND(A1372&gt;=Inputs!$C$13,OR(A1372&lt;Inputs!$B$19,Inputs!$B$20=1)),I1372*Inputs!$C$11/C1372,0)</f>
        <v>40.2739726027397</v>
      </c>
    </row>
    <row r="1373" customFormat="false" ht="15" hidden="false" customHeight="false" outlineLevel="0" collapsed="false">
      <c r="A1373" s="35" t="n">
        <f aca="false">A1372+1</f>
        <v>46180</v>
      </c>
      <c r="B1373" s="35" t="n">
        <f aca="false">EOMONTH(A1373+1,0)</f>
        <v>46203</v>
      </c>
      <c r="C1373" s="36" t="n">
        <f aca="false">IF(MOD(YEAR(A1373),4)=0,366,365)</f>
        <v>365</v>
      </c>
      <c r="D1373" s="37" t="n">
        <f aca="false">Inputs!$B$9-SUMIFS(Cash_Events!$G$6:$G$20,Cash_Events!$C$6:$C$20,"rAGMF",Cash_Events!$B$6:$B$20,"&lt;="&amp;A1373)</f>
        <v>735000</v>
      </c>
      <c r="E1373" s="38" t="n">
        <f aca="false">VLOOKUP(A1373,Inputs!$A$40:$B$48,2,TRUE())</f>
        <v>0.0363225</v>
      </c>
      <c r="F1373" s="38" t="n">
        <f aca="false">E1373+Inputs!$B$10</f>
        <v>0.1038225</v>
      </c>
      <c r="G1373" s="37" t="n">
        <f aca="false">D1373*F1373/C1373</f>
        <v>209.067226027397</v>
      </c>
      <c r="H1373" s="37" t="n">
        <f aca="false">IF(AND(A1373&gt;=Inputs!$B$13,OR(A1373&lt;Inputs!$B$19,Inputs!$B$20=1)),D1373*Inputs!$B$11/C1373,0)</f>
        <v>40.2739726027397</v>
      </c>
      <c r="I1373" s="37" t="n">
        <f aca="false">Inputs!$C$9-SUMIFS(Cash_Events!$G$6:$G$20,Cash_Events!$C$6:$C$20,"FHL",Cash_Events!$B$6:$B$20,"&lt;="&amp;A1373)</f>
        <v>735000</v>
      </c>
      <c r="J1373" s="38" t="n">
        <f aca="false">VLOOKUP(A1373,Inputs!$F$40:$G$48,2,TRUE())</f>
        <v>0.0364054</v>
      </c>
      <c r="K1373" s="38" t="n">
        <f aca="false">J1373+Inputs!$C$10</f>
        <v>0.1039054</v>
      </c>
      <c r="L1373" s="37" t="n">
        <f aca="false">I1373*K1373/C1373</f>
        <v>209.234161643836</v>
      </c>
      <c r="M1373" s="37" t="n">
        <f aca="false">IF(AND(A1373&gt;=Inputs!$C$13,OR(A1373&lt;Inputs!$B$19,Inputs!$B$20=1)),I1373*Inputs!$C$11/C1373,0)</f>
        <v>40.2739726027397</v>
      </c>
    </row>
    <row r="1374" customFormat="false" ht="15" hidden="false" customHeight="false" outlineLevel="0" collapsed="false">
      <c r="A1374" s="35" t="n">
        <f aca="false">A1373+1</f>
        <v>46181</v>
      </c>
      <c r="B1374" s="35" t="n">
        <f aca="false">EOMONTH(A1374+1,0)</f>
        <v>46203</v>
      </c>
      <c r="C1374" s="36" t="n">
        <f aca="false">IF(MOD(YEAR(A1374),4)=0,366,365)</f>
        <v>365</v>
      </c>
      <c r="D1374" s="37" t="n">
        <f aca="false">Inputs!$B$9-SUMIFS(Cash_Events!$G$6:$G$20,Cash_Events!$C$6:$C$20,"rAGMF",Cash_Events!$B$6:$B$20,"&lt;="&amp;A1374)</f>
        <v>735000</v>
      </c>
      <c r="E1374" s="38" t="n">
        <f aca="false">VLOOKUP(A1374,Inputs!$A$40:$B$48,2,TRUE())</f>
        <v>0.0363225</v>
      </c>
      <c r="F1374" s="38" t="n">
        <f aca="false">E1374+Inputs!$B$10</f>
        <v>0.1038225</v>
      </c>
      <c r="G1374" s="37" t="n">
        <f aca="false">D1374*F1374/C1374</f>
        <v>209.067226027397</v>
      </c>
      <c r="H1374" s="37" t="n">
        <f aca="false">IF(AND(A1374&gt;=Inputs!$B$13,OR(A1374&lt;Inputs!$B$19,Inputs!$B$20=1)),D1374*Inputs!$B$11/C1374,0)</f>
        <v>40.2739726027397</v>
      </c>
      <c r="I1374" s="37" t="n">
        <f aca="false">Inputs!$C$9-SUMIFS(Cash_Events!$G$6:$G$20,Cash_Events!$C$6:$C$20,"FHL",Cash_Events!$B$6:$B$20,"&lt;="&amp;A1374)</f>
        <v>735000</v>
      </c>
      <c r="J1374" s="38" t="n">
        <f aca="false">VLOOKUP(A1374,Inputs!$F$40:$G$48,2,TRUE())</f>
        <v>0.0364054</v>
      </c>
      <c r="K1374" s="38" t="n">
        <f aca="false">J1374+Inputs!$C$10</f>
        <v>0.1039054</v>
      </c>
      <c r="L1374" s="37" t="n">
        <f aca="false">I1374*K1374/C1374</f>
        <v>209.234161643836</v>
      </c>
      <c r="M1374" s="37" t="n">
        <f aca="false">IF(AND(A1374&gt;=Inputs!$C$13,OR(A1374&lt;Inputs!$B$19,Inputs!$B$20=1)),I1374*Inputs!$C$11/C1374,0)</f>
        <v>40.2739726027397</v>
      </c>
    </row>
    <row r="1375" customFormat="false" ht="15" hidden="false" customHeight="false" outlineLevel="0" collapsed="false">
      <c r="A1375" s="35" t="n">
        <f aca="false">A1374+1</f>
        <v>46182</v>
      </c>
      <c r="B1375" s="35" t="n">
        <f aca="false">EOMONTH(A1375+1,0)</f>
        <v>46203</v>
      </c>
      <c r="C1375" s="36" t="n">
        <f aca="false">IF(MOD(YEAR(A1375),4)=0,366,365)</f>
        <v>365</v>
      </c>
      <c r="D1375" s="37" t="n">
        <f aca="false">Inputs!$B$9-SUMIFS(Cash_Events!$G$6:$G$20,Cash_Events!$C$6:$C$20,"rAGMF",Cash_Events!$B$6:$B$20,"&lt;="&amp;A1375)</f>
        <v>735000</v>
      </c>
      <c r="E1375" s="38" t="n">
        <f aca="false">VLOOKUP(A1375,Inputs!$A$40:$B$48,2,TRUE())</f>
        <v>0.0363225</v>
      </c>
      <c r="F1375" s="38" t="n">
        <f aca="false">E1375+Inputs!$B$10</f>
        <v>0.1038225</v>
      </c>
      <c r="G1375" s="37" t="n">
        <f aca="false">D1375*F1375/C1375</f>
        <v>209.067226027397</v>
      </c>
      <c r="H1375" s="37" t="n">
        <f aca="false">IF(AND(A1375&gt;=Inputs!$B$13,OR(A1375&lt;Inputs!$B$19,Inputs!$B$20=1)),D1375*Inputs!$B$11/C1375,0)</f>
        <v>40.2739726027397</v>
      </c>
      <c r="I1375" s="37" t="n">
        <f aca="false">Inputs!$C$9-SUMIFS(Cash_Events!$G$6:$G$20,Cash_Events!$C$6:$C$20,"FHL",Cash_Events!$B$6:$B$20,"&lt;="&amp;A1375)</f>
        <v>735000</v>
      </c>
      <c r="J1375" s="38" t="n">
        <f aca="false">VLOOKUP(A1375,Inputs!$F$40:$G$48,2,TRUE())</f>
        <v>0.0364054</v>
      </c>
      <c r="K1375" s="38" t="n">
        <f aca="false">J1375+Inputs!$C$10</f>
        <v>0.1039054</v>
      </c>
      <c r="L1375" s="37" t="n">
        <f aca="false">I1375*K1375/C1375</f>
        <v>209.234161643836</v>
      </c>
      <c r="M1375" s="37" t="n">
        <f aca="false">IF(AND(A1375&gt;=Inputs!$C$13,OR(A1375&lt;Inputs!$B$19,Inputs!$B$20=1)),I1375*Inputs!$C$11/C1375,0)</f>
        <v>40.2739726027397</v>
      </c>
    </row>
    <row r="1376" customFormat="false" ht="15" hidden="false" customHeight="false" outlineLevel="0" collapsed="false">
      <c r="A1376" s="35" t="n">
        <f aca="false">A1375+1</f>
        <v>46183</v>
      </c>
      <c r="B1376" s="35" t="n">
        <f aca="false">EOMONTH(A1376+1,0)</f>
        <v>46203</v>
      </c>
      <c r="C1376" s="36" t="n">
        <f aca="false">IF(MOD(YEAR(A1376),4)=0,366,365)</f>
        <v>365</v>
      </c>
      <c r="D1376" s="37" t="n">
        <f aca="false">Inputs!$B$9-SUMIFS(Cash_Events!$G$6:$G$20,Cash_Events!$C$6:$C$20,"rAGMF",Cash_Events!$B$6:$B$20,"&lt;="&amp;A1376)</f>
        <v>735000</v>
      </c>
      <c r="E1376" s="38" t="n">
        <f aca="false">VLOOKUP(A1376,Inputs!$A$40:$B$48,2,TRUE())</f>
        <v>0.0363225</v>
      </c>
      <c r="F1376" s="38" t="n">
        <f aca="false">E1376+Inputs!$B$10</f>
        <v>0.1038225</v>
      </c>
      <c r="G1376" s="37" t="n">
        <f aca="false">D1376*F1376/C1376</f>
        <v>209.067226027397</v>
      </c>
      <c r="H1376" s="37" t="n">
        <f aca="false">IF(AND(A1376&gt;=Inputs!$B$13,OR(A1376&lt;Inputs!$B$19,Inputs!$B$20=1)),D1376*Inputs!$B$11/C1376,0)</f>
        <v>40.2739726027397</v>
      </c>
      <c r="I1376" s="37" t="n">
        <f aca="false">Inputs!$C$9-SUMIFS(Cash_Events!$G$6:$G$20,Cash_Events!$C$6:$C$20,"FHL",Cash_Events!$B$6:$B$20,"&lt;="&amp;A1376)</f>
        <v>735000</v>
      </c>
      <c r="J1376" s="38" t="n">
        <f aca="false">VLOOKUP(A1376,Inputs!$F$40:$G$48,2,TRUE())</f>
        <v>0.0364054</v>
      </c>
      <c r="K1376" s="38" t="n">
        <f aca="false">J1376+Inputs!$C$10</f>
        <v>0.1039054</v>
      </c>
      <c r="L1376" s="37" t="n">
        <f aca="false">I1376*K1376/C1376</f>
        <v>209.234161643836</v>
      </c>
      <c r="M1376" s="37" t="n">
        <f aca="false">IF(AND(A1376&gt;=Inputs!$C$13,OR(A1376&lt;Inputs!$B$19,Inputs!$B$20=1)),I1376*Inputs!$C$11/C1376,0)</f>
        <v>40.2739726027397</v>
      </c>
    </row>
    <row r="1377" customFormat="false" ht="15" hidden="false" customHeight="false" outlineLevel="0" collapsed="false">
      <c r="A1377" s="35" t="n">
        <f aca="false">A1376+1</f>
        <v>46184</v>
      </c>
      <c r="B1377" s="35" t="n">
        <f aca="false">EOMONTH(A1377+1,0)</f>
        <v>46203</v>
      </c>
      <c r="C1377" s="36" t="n">
        <f aca="false">IF(MOD(YEAR(A1377),4)=0,366,365)</f>
        <v>365</v>
      </c>
      <c r="D1377" s="37" t="n">
        <f aca="false">Inputs!$B$9-SUMIFS(Cash_Events!$G$6:$G$20,Cash_Events!$C$6:$C$20,"rAGMF",Cash_Events!$B$6:$B$20,"&lt;="&amp;A1377)</f>
        <v>735000</v>
      </c>
      <c r="E1377" s="38" t="n">
        <f aca="false">VLOOKUP(A1377,Inputs!$A$40:$B$48,2,TRUE())</f>
        <v>0.0363225</v>
      </c>
      <c r="F1377" s="38" t="n">
        <f aca="false">E1377+Inputs!$B$10</f>
        <v>0.1038225</v>
      </c>
      <c r="G1377" s="37" t="n">
        <f aca="false">D1377*F1377/C1377</f>
        <v>209.067226027397</v>
      </c>
      <c r="H1377" s="37" t="n">
        <f aca="false">IF(AND(A1377&gt;=Inputs!$B$13,OR(A1377&lt;Inputs!$B$19,Inputs!$B$20=1)),D1377*Inputs!$B$11/C1377,0)</f>
        <v>40.2739726027397</v>
      </c>
      <c r="I1377" s="37" t="n">
        <f aca="false">Inputs!$C$9-SUMIFS(Cash_Events!$G$6:$G$20,Cash_Events!$C$6:$C$20,"FHL",Cash_Events!$B$6:$B$20,"&lt;="&amp;A1377)</f>
        <v>735000</v>
      </c>
      <c r="J1377" s="38" t="n">
        <f aca="false">VLOOKUP(A1377,Inputs!$F$40:$G$48,2,TRUE())</f>
        <v>0.0364054</v>
      </c>
      <c r="K1377" s="38" t="n">
        <f aca="false">J1377+Inputs!$C$10</f>
        <v>0.1039054</v>
      </c>
      <c r="L1377" s="37" t="n">
        <f aca="false">I1377*K1377/C1377</f>
        <v>209.234161643836</v>
      </c>
      <c r="M1377" s="37" t="n">
        <f aca="false">IF(AND(A1377&gt;=Inputs!$C$13,OR(A1377&lt;Inputs!$B$19,Inputs!$B$20=1)),I1377*Inputs!$C$11/C1377,0)</f>
        <v>40.2739726027397</v>
      </c>
    </row>
    <row r="1378" customFormat="false" ht="15" hidden="false" customHeight="false" outlineLevel="0" collapsed="false">
      <c r="A1378" s="35" t="n">
        <f aca="false">A1377+1</f>
        <v>46185</v>
      </c>
      <c r="B1378" s="35" t="n">
        <f aca="false">EOMONTH(A1378+1,0)</f>
        <v>46203</v>
      </c>
      <c r="C1378" s="36" t="n">
        <f aca="false">IF(MOD(YEAR(A1378),4)=0,366,365)</f>
        <v>365</v>
      </c>
      <c r="D1378" s="37" t="n">
        <f aca="false">Inputs!$B$9-SUMIFS(Cash_Events!$G$6:$G$20,Cash_Events!$C$6:$C$20,"rAGMF",Cash_Events!$B$6:$B$20,"&lt;="&amp;A1378)</f>
        <v>735000</v>
      </c>
      <c r="E1378" s="38" t="n">
        <f aca="false">VLOOKUP(A1378,Inputs!$A$40:$B$48,2,TRUE())</f>
        <v>0.0363225</v>
      </c>
      <c r="F1378" s="38" t="n">
        <f aca="false">E1378+Inputs!$B$10</f>
        <v>0.1038225</v>
      </c>
      <c r="G1378" s="37" t="n">
        <f aca="false">D1378*F1378/C1378</f>
        <v>209.067226027397</v>
      </c>
      <c r="H1378" s="37" t="n">
        <f aca="false">IF(AND(A1378&gt;=Inputs!$B$13,OR(A1378&lt;Inputs!$B$19,Inputs!$B$20=1)),D1378*Inputs!$B$11/C1378,0)</f>
        <v>40.2739726027397</v>
      </c>
      <c r="I1378" s="37" t="n">
        <f aca="false">Inputs!$C$9-SUMIFS(Cash_Events!$G$6:$G$20,Cash_Events!$C$6:$C$20,"FHL",Cash_Events!$B$6:$B$20,"&lt;="&amp;A1378)</f>
        <v>735000</v>
      </c>
      <c r="J1378" s="38" t="n">
        <f aca="false">VLOOKUP(A1378,Inputs!$F$40:$G$48,2,TRUE())</f>
        <v>0.0364054</v>
      </c>
      <c r="K1378" s="38" t="n">
        <f aca="false">J1378+Inputs!$C$10</f>
        <v>0.1039054</v>
      </c>
      <c r="L1378" s="37" t="n">
        <f aca="false">I1378*K1378/C1378</f>
        <v>209.234161643836</v>
      </c>
      <c r="M1378" s="37" t="n">
        <f aca="false">IF(AND(A1378&gt;=Inputs!$C$13,OR(A1378&lt;Inputs!$B$19,Inputs!$B$20=1)),I1378*Inputs!$C$11/C1378,0)</f>
        <v>40.2739726027397</v>
      </c>
    </row>
    <row r="1379" customFormat="false" ht="15" hidden="false" customHeight="false" outlineLevel="0" collapsed="false">
      <c r="A1379" s="35" t="n">
        <f aca="false">A1378+1</f>
        <v>46186</v>
      </c>
      <c r="B1379" s="35" t="n">
        <f aca="false">EOMONTH(A1379+1,0)</f>
        <v>46203</v>
      </c>
      <c r="C1379" s="36" t="n">
        <f aca="false">IF(MOD(YEAR(A1379),4)=0,366,365)</f>
        <v>365</v>
      </c>
      <c r="D1379" s="37" t="n">
        <f aca="false">Inputs!$B$9-SUMIFS(Cash_Events!$G$6:$G$20,Cash_Events!$C$6:$C$20,"rAGMF",Cash_Events!$B$6:$B$20,"&lt;="&amp;A1379)</f>
        <v>735000</v>
      </c>
      <c r="E1379" s="38" t="n">
        <f aca="false">VLOOKUP(A1379,Inputs!$A$40:$B$48,2,TRUE())</f>
        <v>0.0363225</v>
      </c>
      <c r="F1379" s="38" t="n">
        <f aca="false">E1379+Inputs!$B$10</f>
        <v>0.1038225</v>
      </c>
      <c r="G1379" s="37" t="n">
        <f aca="false">D1379*F1379/C1379</f>
        <v>209.067226027397</v>
      </c>
      <c r="H1379" s="37" t="n">
        <f aca="false">IF(AND(A1379&gt;=Inputs!$B$13,OR(A1379&lt;Inputs!$B$19,Inputs!$B$20=1)),D1379*Inputs!$B$11/C1379,0)</f>
        <v>40.2739726027397</v>
      </c>
      <c r="I1379" s="37" t="n">
        <f aca="false">Inputs!$C$9-SUMIFS(Cash_Events!$G$6:$G$20,Cash_Events!$C$6:$C$20,"FHL",Cash_Events!$B$6:$B$20,"&lt;="&amp;A1379)</f>
        <v>735000</v>
      </c>
      <c r="J1379" s="38" t="n">
        <f aca="false">VLOOKUP(A1379,Inputs!$F$40:$G$48,2,TRUE())</f>
        <v>0.0364054</v>
      </c>
      <c r="K1379" s="38" t="n">
        <f aca="false">J1379+Inputs!$C$10</f>
        <v>0.1039054</v>
      </c>
      <c r="L1379" s="37" t="n">
        <f aca="false">I1379*K1379/C1379</f>
        <v>209.234161643836</v>
      </c>
      <c r="M1379" s="37" t="n">
        <f aca="false">IF(AND(A1379&gt;=Inputs!$C$13,OR(A1379&lt;Inputs!$B$19,Inputs!$B$20=1)),I1379*Inputs!$C$11/C1379,0)</f>
        <v>40.2739726027397</v>
      </c>
    </row>
    <row r="1380" customFormat="false" ht="15" hidden="false" customHeight="false" outlineLevel="0" collapsed="false">
      <c r="A1380" s="35" t="n">
        <f aca="false">A1379+1</f>
        <v>46187</v>
      </c>
      <c r="B1380" s="35" t="n">
        <f aca="false">EOMONTH(A1380+1,0)</f>
        <v>46203</v>
      </c>
      <c r="C1380" s="36" t="n">
        <f aca="false">IF(MOD(YEAR(A1380),4)=0,366,365)</f>
        <v>365</v>
      </c>
      <c r="D1380" s="37" t="n">
        <f aca="false">Inputs!$B$9-SUMIFS(Cash_Events!$G$6:$G$20,Cash_Events!$C$6:$C$20,"rAGMF",Cash_Events!$B$6:$B$20,"&lt;="&amp;A1380)</f>
        <v>735000</v>
      </c>
      <c r="E1380" s="38" t="n">
        <f aca="false">VLOOKUP(A1380,Inputs!$A$40:$B$48,2,TRUE())</f>
        <v>0.0363225</v>
      </c>
      <c r="F1380" s="38" t="n">
        <f aca="false">E1380+Inputs!$B$10</f>
        <v>0.1038225</v>
      </c>
      <c r="G1380" s="37" t="n">
        <f aca="false">D1380*F1380/C1380</f>
        <v>209.067226027397</v>
      </c>
      <c r="H1380" s="37" t="n">
        <f aca="false">IF(AND(A1380&gt;=Inputs!$B$13,OR(A1380&lt;Inputs!$B$19,Inputs!$B$20=1)),D1380*Inputs!$B$11/C1380,0)</f>
        <v>40.2739726027397</v>
      </c>
      <c r="I1380" s="37" t="n">
        <f aca="false">Inputs!$C$9-SUMIFS(Cash_Events!$G$6:$G$20,Cash_Events!$C$6:$C$20,"FHL",Cash_Events!$B$6:$B$20,"&lt;="&amp;A1380)</f>
        <v>735000</v>
      </c>
      <c r="J1380" s="38" t="n">
        <f aca="false">VLOOKUP(A1380,Inputs!$F$40:$G$48,2,TRUE())</f>
        <v>0.0364054</v>
      </c>
      <c r="K1380" s="38" t="n">
        <f aca="false">J1380+Inputs!$C$10</f>
        <v>0.1039054</v>
      </c>
      <c r="L1380" s="37" t="n">
        <f aca="false">I1380*K1380/C1380</f>
        <v>209.234161643836</v>
      </c>
      <c r="M1380" s="37" t="n">
        <f aca="false">IF(AND(A1380&gt;=Inputs!$C$13,OR(A1380&lt;Inputs!$B$19,Inputs!$B$20=1)),I1380*Inputs!$C$11/C1380,0)</f>
        <v>40.2739726027397</v>
      </c>
    </row>
    <row r="1381" customFormat="false" ht="15" hidden="false" customHeight="false" outlineLevel="0" collapsed="false">
      <c r="A1381" s="35" t="n">
        <f aca="false">A1380+1</f>
        <v>46188</v>
      </c>
      <c r="B1381" s="35" t="n">
        <f aca="false">EOMONTH(A1381+1,0)</f>
        <v>46203</v>
      </c>
      <c r="C1381" s="36" t="n">
        <f aca="false">IF(MOD(YEAR(A1381),4)=0,366,365)</f>
        <v>365</v>
      </c>
      <c r="D1381" s="37" t="n">
        <f aca="false">Inputs!$B$9-SUMIFS(Cash_Events!$G$6:$G$20,Cash_Events!$C$6:$C$20,"rAGMF",Cash_Events!$B$6:$B$20,"&lt;="&amp;A1381)</f>
        <v>735000</v>
      </c>
      <c r="E1381" s="38" t="n">
        <f aca="false">VLOOKUP(A1381,Inputs!$A$40:$B$48,2,TRUE())</f>
        <v>0.0363225</v>
      </c>
      <c r="F1381" s="38" t="n">
        <f aca="false">E1381+Inputs!$B$10</f>
        <v>0.1038225</v>
      </c>
      <c r="G1381" s="37" t="n">
        <f aca="false">D1381*F1381/C1381</f>
        <v>209.067226027397</v>
      </c>
      <c r="H1381" s="37" t="n">
        <f aca="false">IF(AND(A1381&gt;=Inputs!$B$13,OR(A1381&lt;Inputs!$B$19,Inputs!$B$20=1)),D1381*Inputs!$B$11/C1381,0)</f>
        <v>40.2739726027397</v>
      </c>
      <c r="I1381" s="37" t="n">
        <f aca="false">Inputs!$C$9-SUMIFS(Cash_Events!$G$6:$G$20,Cash_Events!$C$6:$C$20,"FHL",Cash_Events!$B$6:$B$20,"&lt;="&amp;A1381)</f>
        <v>735000</v>
      </c>
      <c r="J1381" s="38" t="n">
        <f aca="false">VLOOKUP(A1381,Inputs!$F$40:$G$48,2,TRUE())</f>
        <v>0.0364054</v>
      </c>
      <c r="K1381" s="38" t="n">
        <f aca="false">J1381+Inputs!$C$10</f>
        <v>0.1039054</v>
      </c>
      <c r="L1381" s="37" t="n">
        <f aca="false">I1381*K1381/C1381</f>
        <v>209.234161643836</v>
      </c>
      <c r="M1381" s="37" t="n">
        <f aca="false">IF(AND(A1381&gt;=Inputs!$C$13,OR(A1381&lt;Inputs!$B$19,Inputs!$B$20=1)),I1381*Inputs!$C$11/C1381,0)</f>
        <v>40.2739726027397</v>
      </c>
    </row>
    <row r="1382" customFormat="false" ht="15" hidden="false" customHeight="false" outlineLevel="0" collapsed="false">
      <c r="A1382" s="35" t="n">
        <f aca="false">A1381+1</f>
        <v>46189</v>
      </c>
      <c r="B1382" s="35" t="n">
        <f aca="false">EOMONTH(A1382+1,0)</f>
        <v>46203</v>
      </c>
      <c r="C1382" s="36" t="n">
        <f aca="false">IF(MOD(YEAR(A1382),4)=0,366,365)</f>
        <v>365</v>
      </c>
      <c r="D1382" s="37" t="n">
        <f aca="false">Inputs!$B$9-SUMIFS(Cash_Events!$G$6:$G$20,Cash_Events!$C$6:$C$20,"rAGMF",Cash_Events!$B$6:$B$20,"&lt;="&amp;A1382)</f>
        <v>735000</v>
      </c>
      <c r="E1382" s="38" t="n">
        <f aca="false">VLOOKUP(A1382,Inputs!$A$40:$B$48,2,TRUE())</f>
        <v>0.0363225</v>
      </c>
      <c r="F1382" s="38" t="n">
        <f aca="false">E1382+Inputs!$B$10</f>
        <v>0.1038225</v>
      </c>
      <c r="G1382" s="37" t="n">
        <f aca="false">D1382*F1382/C1382</f>
        <v>209.067226027397</v>
      </c>
      <c r="H1382" s="37" t="n">
        <f aca="false">IF(AND(A1382&gt;=Inputs!$B$13,OR(A1382&lt;Inputs!$B$19,Inputs!$B$20=1)),D1382*Inputs!$B$11/C1382,0)</f>
        <v>40.2739726027397</v>
      </c>
      <c r="I1382" s="37" t="n">
        <f aca="false">Inputs!$C$9-SUMIFS(Cash_Events!$G$6:$G$20,Cash_Events!$C$6:$C$20,"FHL",Cash_Events!$B$6:$B$20,"&lt;="&amp;A1382)</f>
        <v>735000</v>
      </c>
      <c r="J1382" s="38" t="n">
        <f aca="false">VLOOKUP(A1382,Inputs!$F$40:$G$48,2,TRUE())</f>
        <v>0.0364054</v>
      </c>
      <c r="K1382" s="38" t="n">
        <f aca="false">J1382+Inputs!$C$10</f>
        <v>0.1039054</v>
      </c>
      <c r="L1382" s="37" t="n">
        <f aca="false">I1382*K1382/C1382</f>
        <v>209.234161643836</v>
      </c>
      <c r="M1382" s="37" t="n">
        <f aca="false">IF(AND(A1382&gt;=Inputs!$C$13,OR(A1382&lt;Inputs!$B$19,Inputs!$B$20=1)),I1382*Inputs!$C$11/C1382,0)</f>
        <v>40.2739726027397</v>
      </c>
    </row>
    <row r="1383" customFormat="false" ht="15" hidden="false" customHeight="false" outlineLevel="0" collapsed="false">
      <c r="A1383" s="35" t="n">
        <f aca="false">A1382+1</f>
        <v>46190</v>
      </c>
      <c r="B1383" s="35" t="n">
        <f aca="false">EOMONTH(A1383+1,0)</f>
        <v>46203</v>
      </c>
      <c r="C1383" s="36" t="n">
        <f aca="false">IF(MOD(YEAR(A1383),4)=0,366,365)</f>
        <v>365</v>
      </c>
      <c r="D1383" s="37" t="n">
        <f aca="false">Inputs!$B$9-SUMIFS(Cash_Events!$G$6:$G$20,Cash_Events!$C$6:$C$20,"rAGMF",Cash_Events!$B$6:$B$20,"&lt;="&amp;A1383)</f>
        <v>735000</v>
      </c>
      <c r="E1383" s="38" t="n">
        <f aca="false">VLOOKUP(A1383,Inputs!$A$40:$B$48,2,TRUE())</f>
        <v>0.0363225</v>
      </c>
      <c r="F1383" s="38" t="n">
        <f aca="false">E1383+Inputs!$B$10</f>
        <v>0.1038225</v>
      </c>
      <c r="G1383" s="37" t="n">
        <f aca="false">D1383*F1383/C1383</f>
        <v>209.067226027397</v>
      </c>
      <c r="H1383" s="37" t="n">
        <f aca="false">IF(AND(A1383&gt;=Inputs!$B$13,OR(A1383&lt;Inputs!$B$19,Inputs!$B$20=1)),D1383*Inputs!$B$11/C1383,0)</f>
        <v>40.2739726027397</v>
      </c>
      <c r="I1383" s="37" t="n">
        <f aca="false">Inputs!$C$9-SUMIFS(Cash_Events!$G$6:$G$20,Cash_Events!$C$6:$C$20,"FHL",Cash_Events!$B$6:$B$20,"&lt;="&amp;A1383)</f>
        <v>735000</v>
      </c>
      <c r="J1383" s="38" t="n">
        <f aca="false">VLOOKUP(A1383,Inputs!$F$40:$G$48,2,TRUE())</f>
        <v>0.0364054</v>
      </c>
      <c r="K1383" s="38" t="n">
        <f aca="false">J1383+Inputs!$C$10</f>
        <v>0.1039054</v>
      </c>
      <c r="L1383" s="37" t="n">
        <f aca="false">I1383*K1383/C1383</f>
        <v>209.234161643836</v>
      </c>
      <c r="M1383" s="37" t="n">
        <f aca="false">IF(AND(A1383&gt;=Inputs!$C$13,OR(A1383&lt;Inputs!$B$19,Inputs!$B$20=1)),I1383*Inputs!$C$11/C1383,0)</f>
        <v>40.2739726027397</v>
      </c>
    </row>
    <row r="1384" customFormat="false" ht="15" hidden="false" customHeight="false" outlineLevel="0" collapsed="false">
      <c r="A1384" s="35" t="n">
        <f aca="false">A1383+1</f>
        <v>46191</v>
      </c>
      <c r="B1384" s="35" t="n">
        <f aca="false">EOMONTH(A1384+1,0)</f>
        <v>46203</v>
      </c>
      <c r="C1384" s="36" t="n">
        <f aca="false">IF(MOD(YEAR(A1384),4)=0,366,365)</f>
        <v>365</v>
      </c>
      <c r="D1384" s="37" t="n">
        <f aca="false">Inputs!$B$9-SUMIFS(Cash_Events!$G$6:$G$20,Cash_Events!$C$6:$C$20,"rAGMF",Cash_Events!$B$6:$B$20,"&lt;="&amp;A1384)</f>
        <v>735000</v>
      </c>
      <c r="E1384" s="38" t="n">
        <f aca="false">VLOOKUP(A1384,Inputs!$A$40:$B$48,2,TRUE())</f>
        <v>0.0363225</v>
      </c>
      <c r="F1384" s="38" t="n">
        <f aca="false">E1384+Inputs!$B$10</f>
        <v>0.1038225</v>
      </c>
      <c r="G1384" s="37" t="n">
        <f aca="false">D1384*F1384/C1384</f>
        <v>209.067226027397</v>
      </c>
      <c r="H1384" s="37" t="n">
        <f aca="false">IF(AND(A1384&gt;=Inputs!$B$13,OR(A1384&lt;Inputs!$B$19,Inputs!$B$20=1)),D1384*Inputs!$B$11/C1384,0)</f>
        <v>40.2739726027397</v>
      </c>
      <c r="I1384" s="37" t="n">
        <f aca="false">Inputs!$C$9-SUMIFS(Cash_Events!$G$6:$G$20,Cash_Events!$C$6:$C$20,"FHL",Cash_Events!$B$6:$B$20,"&lt;="&amp;A1384)</f>
        <v>735000</v>
      </c>
      <c r="J1384" s="38" t="n">
        <f aca="false">VLOOKUP(A1384,Inputs!$F$40:$G$48,2,TRUE())</f>
        <v>0.0364054</v>
      </c>
      <c r="K1384" s="38" t="n">
        <f aca="false">J1384+Inputs!$C$10</f>
        <v>0.1039054</v>
      </c>
      <c r="L1384" s="37" t="n">
        <f aca="false">I1384*K1384/C1384</f>
        <v>209.234161643836</v>
      </c>
      <c r="M1384" s="37" t="n">
        <f aca="false">IF(AND(A1384&gt;=Inputs!$C$13,OR(A1384&lt;Inputs!$B$19,Inputs!$B$20=1)),I1384*Inputs!$C$11/C1384,0)</f>
        <v>40.2739726027397</v>
      </c>
    </row>
    <row r="1385" customFormat="false" ht="15" hidden="false" customHeight="false" outlineLevel="0" collapsed="false">
      <c r="A1385" s="35" t="n">
        <f aca="false">A1384+1</f>
        <v>46192</v>
      </c>
      <c r="B1385" s="35" t="n">
        <f aca="false">EOMONTH(A1385+1,0)</f>
        <v>46203</v>
      </c>
      <c r="C1385" s="36" t="n">
        <f aca="false">IF(MOD(YEAR(A1385),4)=0,366,365)</f>
        <v>365</v>
      </c>
      <c r="D1385" s="37" t="n">
        <f aca="false">Inputs!$B$9-SUMIFS(Cash_Events!$G$6:$G$20,Cash_Events!$C$6:$C$20,"rAGMF",Cash_Events!$B$6:$B$20,"&lt;="&amp;A1385)</f>
        <v>735000</v>
      </c>
      <c r="E1385" s="38" t="n">
        <f aca="false">VLOOKUP(A1385,Inputs!$A$40:$B$48,2,TRUE())</f>
        <v>0.0363225</v>
      </c>
      <c r="F1385" s="38" t="n">
        <f aca="false">E1385+Inputs!$B$10</f>
        <v>0.1038225</v>
      </c>
      <c r="G1385" s="37" t="n">
        <f aca="false">D1385*F1385/C1385</f>
        <v>209.067226027397</v>
      </c>
      <c r="H1385" s="37" t="n">
        <f aca="false">IF(AND(A1385&gt;=Inputs!$B$13,OR(A1385&lt;Inputs!$B$19,Inputs!$B$20=1)),D1385*Inputs!$B$11/C1385,0)</f>
        <v>40.2739726027397</v>
      </c>
      <c r="I1385" s="37" t="n">
        <f aca="false">Inputs!$C$9-SUMIFS(Cash_Events!$G$6:$G$20,Cash_Events!$C$6:$C$20,"FHL",Cash_Events!$B$6:$B$20,"&lt;="&amp;A1385)</f>
        <v>735000</v>
      </c>
      <c r="J1385" s="38" t="n">
        <f aca="false">VLOOKUP(A1385,Inputs!$F$40:$G$48,2,TRUE())</f>
        <v>0.0364054</v>
      </c>
      <c r="K1385" s="38" t="n">
        <f aca="false">J1385+Inputs!$C$10</f>
        <v>0.1039054</v>
      </c>
      <c r="L1385" s="37" t="n">
        <f aca="false">I1385*K1385/C1385</f>
        <v>209.234161643836</v>
      </c>
      <c r="M1385" s="37" t="n">
        <f aca="false">IF(AND(A1385&gt;=Inputs!$C$13,OR(A1385&lt;Inputs!$B$19,Inputs!$B$20=1)),I1385*Inputs!$C$11/C1385,0)</f>
        <v>40.2739726027397</v>
      </c>
    </row>
    <row r="1386" customFormat="false" ht="15" hidden="false" customHeight="false" outlineLevel="0" collapsed="false">
      <c r="A1386" s="35" t="n">
        <f aca="false">A1385+1</f>
        <v>46193</v>
      </c>
      <c r="B1386" s="35" t="n">
        <f aca="false">EOMONTH(A1386+1,0)</f>
        <v>46203</v>
      </c>
      <c r="C1386" s="36" t="n">
        <f aca="false">IF(MOD(YEAR(A1386),4)=0,366,365)</f>
        <v>365</v>
      </c>
      <c r="D1386" s="37" t="n">
        <f aca="false">Inputs!$B$9-SUMIFS(Cash_Events!$G$6:$G$20,Cash_Events!$C$6:$C$20,"rAGMF",Cash_Events!$B$6:$B$20,"&lt;="&amp;A1386)</f>
        <v>735000</v>
      </c>
      <c r="E1386" s="38" t="n">
        <f aca="false">VLOOKUP(A1386,Inputs!$A$40:$B$48,2,TRUE())</f>
        <v>0.0363225</v>
      </c>
      <c r="F1386" s="38" t="n">
        <f aca="false">E1386+Inputs!$B$10</f>
        <v>0.1038225</v>
      </c>
      <c r="G1386" s="37" t="n">
        <f aca="false">D1386*F1386/C1386</f>
        <v>209.067226027397</v>
      </c>
      <c r="H1386" s="37" t="n">
        <f aca="false">IF(AND(A1386&gt;=Inputs!$B$13,OR(A1386&lt;Inputs!$B$19,Inputs!$B$20=1)),D1386*Inputs!$B$11/C1386,0)</f>
        <v>40.2739726027397</v>
      </c>
      <c r="I1386" s="37" t="n">
        <f aca="false">Inputs!$C$9-SUMIFS(Cash_Events!$G$6:$G$20,Cash_Events!$C$6:$C$20,"FHL",Cash_Events!$B$6:$B$20,"&lt;="&amp;A1386)</f>
        <v>735000</v>
      </c>
      <c r="J1386" s="38" t="n">
        <f aca="false">VLOOKUP(A1386,Inputs!$F$40:$G$48,2,TRUE())</f>
        <v>0.0364054</v>
      </c>
      <c r="K1386" s="38" t="n">
        <f aca="false">J1386+Inputs!$C$10</f>
        <v>0.1039054</v>
      </c>
      <c r="L1386" s="37" t="n">
        <f aca="false">I1386*K1386/C1386</f>
        <v>209.234161643836</v>
      </c>
      <c r="M1386" s="37" t="n">
        <f aca="false">IF(AND(A1386&gt;=Inputs!$C$13,OR(A1386&lt;Inputs!$B$19,Inputs!$B$20=1)),I1386*Inputs!$C$11/C1386,0)</f>
        <v>40.2739726027397</v>
      </c>
    </row>
    <row r="1387" customFormat="false" ht="15" hidden="false" customHeight="false" outlineLevel="0" collapsed="false">
      <c r="A1387" s="35" t="n">
        <f aca="false">A1386+1</f>
        <v>46194</v>
      </c>
      <c r="B1387" s="35" t="n">
        <f aca="false">EOMONTH(A1387+1,0)</f>
        <v>46203</v>
      </c>
      <c r="C1387" s="36" t="n">
        <f aca="false">IF(MOD(YEAR(A1387),4)=0,366,365)</f>
        <v>365</v>
      </c>
      <c r="D1387" s="37" t="n">
        <f aca="false">Inputs!$B$9-SUMIFS(Cash_Events!$G$6:$G$20,Cash_Events!$C$6:$C$20,"rAGMF",Cash_Events!$B$6:$B$20,"&lt;="&amp;A1387)</f>
        <v>735000</v>
      </c>
      <c r="E1387" s="38" t="n">
        <f aca="false">VLOOKUP(A1387,Inputs!$A$40:$B$48,2,TRUE())</f>
        <v>0.0363225</v>
      </c>
      <c r="F1387" s="38" t="n">
        <f aca="false">E1387+Inputs!$B$10</f>
        <v>0.1038225</v>
      </c>
      <c r="G1387" s="37" t="n">
        <f aca="false">D1387*F1387/C1387</f>
        <v>209.067226027397</v>
      </c>
      <c r="H1387" s="37" t="n">
        <f aca="false">IF(AND(A1387&gt;=Inputs!$B$13,OR(A1387&lt;Inputs!$B$19,Inputs!$B$20=1)),D1387*Inputs!$B$11/C1387,0)</f>
        <v>40.2739726027397</v>
      </c>
      <c r="I1387" s="37" t="n">
        <f aca="false">Inputs!$C$9-SUMIFS(Cash_Events!$G$6:$G$20,Cash_Events!$C$6:$C$20,"FHL",Cash_Events!$B$6:$B$20,"&lt;="&amp;A1387)</f>
        <v>735000</v>
      </c>
      <c r="J1387" s="38" t="n">
        <f aca="false">VLOOKUP(A1387,Inputs!$F$40:$G$48,2,TRUE())</f>
        <v>0.0364054</v>
      </c>
      <c r="K1387" s="38" t="n">
        <f aca="false">J1387+Inputs!$C$10</f>
        <v>0.1039054</v>
      </c>
      <c r="L1387" s="37" t="n">
        <f aca="false">I1387*K1387/C1387</f>
        <v>209.234161643836</v>
      </c>
      <c r="M1387" s="37" t="n">
        <f aca="false">IF(AND(A1387&gt;=Inputs!$C$13,OR(A1387&lt;Inputs!$B$19,Inputs!$B$20=1)),I1387*Inputs!$C$11/C1387,0)</f>
        <v>40.2739726027397</v>
      </c>
    </row>
    <row r="1388" customFormat="false" ht="15" hidden="false" customHeight="false" outlineLevel="0" collapsed="false">
      <c r="A1388" s="35" t="n">
        <f aca="false">A1387+1</f>
        <v>46195</v>
      </c>
      <c r="B1388" s="35" t="n">
        <f aca="false">EOMONTH(A1388+1,0)</f>
        <v>46203</v>
      </c>
      <c r="C1388" s="36" t="n">
        <f aca="false">IF(MOD(YEAR(A1388),4)=0,366,365)</f>
        <v>365</v>
      </c>
      <c r="D1388" s="37" t="n">
        <f aca="false">Inputs!$B$9-SUMIFS(Cash_Events!$G$6:$G$20,Cash_Events!$C$6:$C$20,"rAGMF",Cash_Events!$B$6:$B$20,"&lt;="&amp;A1388)</f>
        <v>735000</v>
      </c>
      <c r="E1388" s="38" t="n">
        <f aca="false">VLOOKUP(A1388,Inputs!$A$40:$B$48,2,TRUE())</f>
        <v>0.0363225</v>
      </c>
      <c r="F1388" s="38" t="n">
        <f aca="false">E1388+Inputs!$B$10</f>
        <v>0.1038225</v>
      </c>
      <c r="G1388" s="37" t="n">
        <f aca="false">D1388*F1388/C1388</f>
        <v>209.067226027397</v>
      </c>
      <c r="H1388" s="37" t="n">
        <f aca="false">IF(AND(A1388&gt;=Inputs!$B$13,OR(A1388&lt;Inputs!$B$19,Inputs!$B$20=1)),D1388*Inputs!$B$11/C1388,0)</f>
        <v>40.2739726027397</v>
      </c>
      <c r="I1388" s="37" t="n">
        <f aca="false">Inputs!$C$9-SUMIFS(Cash_Events!$G$6:$G$20,Cash_Events!$C$6:$C$20,"FHL",Cash_Events!$B$6:$B$20,"&lt;="&amp;A1388)</f>
        <v>735000</v>
      </c>
      <c r="J1388" s="38" t="n">
        <f aca="false">VLOOKUP(A1388,Inputs!$F$40:$G$48,2,TRUE())</f>
        <v>0.0364054</v>
      </c>
      <c r="K1388" s="38" t="n">
        <f aca="false">J1388+Inputs!$C$10</f>
        <v>0.1039054</v>
      </c>
      <c r="L1388" s="37" t="n">
        <f aca="false">I1388*K1388/C1388</f>
        <v>209.234161643836</v>
      </c>
      <c r="M1388" s="37" t="n">
        <f aca="false">IF(AND(A1388&gt;=Inputs!$C$13,OR(A1388&lt;Inputs!$B$19,Inputs!$B$20=1)),I1388*Inputs!$C$11/C1388,0)</f>
        <v>40.2739726027397</v>
      </c>
    </row>
    <row r="1389" customFormat="false" ht="15" hidden="false" customHeight="false" outlineLevel="0" collapsed="false">
      <c r="A1389" s="35" t="n">
        <f aca="false">A1388+1</f>
        <v>46196</v>
      </c>
      <c r="B1389" s="35" t="n">
        <f aca="false">EOMONTH(A1389+1,0)</f>
        <v>46203</v>
      </c>
      <c r="C1389" s="36" t="n">
        <f aca="false">IF(MOD(YEAR(A1389),4)=0,366,365)</f>
        <v>365</v>
      </c>
      <c r="D1389" s="37" t="n">
        <f aca="false">Inputs!$B$9-SUMIFS(Cash_Events!$G$6:$G$20,Cash_Events!$C$6:$C$20,"rAGMF",Cash_Events!$B$6:$B$20,"&lt;="&amp;A1389)</f>
        <v>735000</v>
      </c>
      <c r="E1389" s="38" t="n">
        <f aca="false">VLOOKUP(A1389,Inputs!$A$40:$B$48,2,TRUE())</f>
        <v>0.0363225</v>
      </c>
      <c r="F1389" s="38" t="n">
        <f aca="false">E1389+Inputs!$B$10</f>
        <v>0.1038225</v>
      </c>
      <c r="G1389" s="37" t="n">
        <f aca="false">D1389*F1389/C1389</f>
        <v>209.067226027397</v>
      </c>
      <c r="H1389" s="37" t="n">
        <f aca="false">IF(AND(A1389&gt;=Inputs!$B$13,OR(A1389&lt;Inputs!$B$19,Inputs!$B$20=1)),D1389*Inputs!$B$11/C1389,0)</f>
        <v>40.2739726027397</v>
      </c>
      <c r="I1389" s="37" t="n">
        <f aca="false">Inputs!$C$9-SUMIFS(Cash_Events!$G$6:$G$20,Cash_Events!$C$6:$C$20,"FHL",Cash_Events!$B$6:$B$20,"&lt;="&amp;A1389)</f>
        <v>735000</v>
      </c>
      <c r="J1389" s="38" t="n">
        <f aca="false">VLOOKUP(A1389,Inputs!$F$40:$G$48,2,TRUE())</f>
        <v>0.0364054</v>
      </c>
      <c r="K1389" s="38" t="n">
        <f aca="false">J1389+Inputs!$C$10</f>
        <v>0.1039054</v>
      </c>
      <c r="L1389" s="37" t="n">
        <f aca="false">I1389*K1389/C1389</f>
        <v>209.234161643836</v>
      </c>
      <c r="M1389" s="37" t="n">
        <f aca="false">IF(AND(A1389&gt;=Inputs!$C$13,OR(A1389&lt;Inputs!$B$19,Inputs!$B$20=1)),I1389*Inputs!$C$11/C1389,0)</f>
        <v>40.2739726027397</v>
      </c>
    </row>
    <row r="1390" customFormat="false" ht="15" hidden="false" customHeight="false" outlineLevel="0" collapsed="false">
      <c r="A1390" s="35" t="n">
        <f aca="false">A1389+1</f>
        <v>46197</v>
      </c>
      <c r="B1390" s="35" t="n">
        <f aca="false">EOMONTH(A1390+1,0)</f>
        <v>46203</v>
      </c>
      <c r="C1390" s="36" t="n">
        <f aca="false">IF(MOD(YEAR(A1390),4)=0,366,365)</f>
        <v>365</v>
      </c>
      <c r="D1390" s="37" t="n">
        <f aca="false">Inputs!$B$9-SUMIFS(Cash_Events!$G$6:$G$20,Cash_Events!$C$6:$C$20,"rAGMF",Cash_Events!$B$6:$B$20,"&lt;="&amp;A1390)</f>
        <v>735000</v>
      </c>
      <c r="E1390" s="38" t="n">
        <f aca="false">VLOOKUP(A1390,Inputs!$A$40:$B$48,2,TRUE())</f>
        <v>0.0363225</v>
      </c>
      <c r="F1390" s="38" t="n">
        <f aca="false">E1390+Inputs!$B$10</f>
        <v>0.1038225</v>
      </c>
      <c r="G1390" s="37" t="n">
        <f aca="false">D1390*F1390/C1390</f>
        <v>209.067226027397</v>
      </c>
      <c r="H1390" s="37" t="n">
        <f aca="false">IF(AND(A1390&gt;=Inputs!$B$13,OR(A1390&lt;Inputs!$B$19,Inputs!$B$20=1)),D1390*Inputs!$B$11/C1390,0)</f>
        <v>40.2739726027397</v>
      </c>
      <c r="I1390" s="37" t="n">
        <f aca="false">Inputs!$C$9-SUMIFS(Cash_Events!$G$6:$G$20,Cash_Events!$C$6:$C$20,"FHL",Cash_Events!$B$6:$B$20,"&lt;="&amp;A1390)</f>
        <v>735000</v>
      </c>
      <c r="J1390" s="38" t="n">
        <f aca="false">VLOOKUP(A1390,Inputs!$F$40:$G$48,2,TRUE())</f>
        <v>0.0364054</v>
      </c>
      <c r="K1390" s="38" t="n">
        <f aca="false">J1390+Inputs!$C$10</f>
        <v>0.1039054</v>
      </c>
      <c r="L1390" s="37" t="n">
        <f aca="false">I1390*K1390/C1390</f>
        <v>209.234161643836</v>
      </c>
      <c r="M1390" s="37" t="n">
        <f aca="false">IF(AND(A1390&gt;=Inputs!$C$13,OR(A1390&lt;Inputs!$B$19,Inputs!$B$20=1)),I1390*Inputs!$C$11/C1390,0)</f>
        <v>40.2739726027397</v>
      </c>
    </row>
    <row r="1391" customFormat="false" ht="15" hidden="false" customHeight="false" outlineLevel="0" collapsed="false">
      <c r="A1391" s="35" t="n">
        <f aca="false">A1390+1</f>
        <v>46198</v>
      </c>
      <c r="B1391" s="35" t="n">
        <f aca="false">EOMONTH(A1391+1,0)</f>
        <v>46203</v>
      </c>
      <c r="C1391" s="36" t="n">
        <f aca="false">IF(MOD(YEAR(A1391),4)=0,366,365)</f>
        <v>365</v>
      </c>
      <c r="D1391" s="37" t="n">
        <f aca="false">Inputs!$B$9-SUMIFS(Cash_Events!$G$6:$G$20,Cash_Events!$C$6:$C$20,"rAGMF",Cash_Events!$B$6:$B$20,"&lt;="&amp;A1391)</f>
        <v>735000</v>
      </c>
      <c r="E1391" s="38" t="n">
        <f aca="false">VLOOKUP(A1391,Inputs!$A$40:$B$48,2,TRUE())</f>
        <v>0.0363225</v>
      </c>
      <c r="F1391" s="38" t="n">
        <f aca="false">E1391+Inputs!$B$10</f>
        <v>0.1038225</v>
      </c>
      <c r="G1391" s="37" t="n">
        <f aca="false">D1391*F1391/C1391</f>
        <v>209.067226027397</v>
      </c>
      <c r="H1391" s="37" t="n">
        <f aca="false">IF(AND(A1391&gt;=Inputs!$B$13,OR(A1391&lt;Inputs!$B$19,Inputs!$B$20=1)),D1391*Inputs!$B$11/C1391,0)</f>
        <v>40.2739726027397</v>
      </c>
      <c r="I1391" s="37" t="n">
        <f aca="false">Inputs!$C$9-SUMIFS(Cash_Events!$G$6:$G$20,Cash_Events!$C$6:$C$20,"FHL",Cash_Events!$B$6:$B$20,"&lt;="&amp;A1391)</f>
        <v>735000</v>
      </c>
      <c r="J1391" s="38" t="n">
        <f aca="false">VLOOKUP(A1391,Inputs!$F$40:$G$48,2,TRUE())</f>
        <v>0.0364054</v>
      </c>
      <c r="K1391" s="38" t="n">
        <f aca="false">J1391+Inputs!$C$10</f>
        <v>0.1039054</v>
      </c>
      <c r="L1391" s="37" t="n">
        <f aca="false">I1391*K1391/C1391</f>
        <v>209.234161643836</v>
      </c>
      <c r="M1391" s="37" t="n">
        <f aca="false">IF(AND(A1391&gt;=Inputs!$C$13,OR(A1391&lt;Inputs!$B$19,Inputs!$B$20=1)),I1391*Inputs!$C$11/C1391,0)</f>
        <v>40.2739726027397</v>
      </c>
    </row>
    <row r="1392" customFormat="false" ht="15" hidden="false" customHeight="false" outlineLevel="0" collapsed="false">
      <c r="A1392" s="35" t="n">
        <f aca="false">A1391+1</f>
        <v>46199</v>
      </c>
      <c r="B1392" s="35" t="n">
        <f aca="false">EOMONTH(A1392+1,0)</f>
        <v>46203</v>
      </c>
      <c r="C1392" s="36" t="n">
        <f aca="false">IF(MOD(YEAR(A1392),4)=0,366,365)</f>
        <v>365</v>
      </c>
      <c r="D1392" s="37" t="n">
        <f aca="false">Inputs!$B$9-SUMIFS(Cash_Events!$G$6:$G$20,Cash_Events!$C$6:$C$20,"rAGMF",Cash_Events!$B$6:$B$20,"&lt;="&amp;A1392)</f>
        <v>735000</v>
      </c>
      <c r="E1392" s="38" t="n">
        <f aca="false">VLOOKUP(A1392,Inputs!$A$40:$B$48,2,TRUE())</f>
        <v>0.0363225</v>
      </c>
      <c r="F1392" s="38" t="n">
        <f aca="false">E1392+Inputs!$B$10</f>
        <v>0.1038225</v>
      </c>
      <c r="G1392" s="37" t="n">
        <f aca="false">D1392*F1392/C1392</f>
        <v>209.067226027397</v>
      </c>
      <c r="H1392" s="37" t="n">
        <f aca="false">IF(AND(A1392&gt;=Inputs!$B$13,OR(A1392&lt;Inputs!$B$19,Inputs!$B$20=1)),D1392*Inputs!$B$11/C1392,0)</f>
        <v>40.2739726027397</v>
      </c>
      <c r="I1392" s="37" t="n">
        <f aca="false">Inputs!$C$9-SUMIFS(Cash_Events!$G$6:$G$20,Cash_Events!$C$6:$C$20,"FHL",Cash_Events!$B$6:$B$20,"&lt;="&amp;A1392)</f>
        <v>735000</v>
      </c>
      <c r="J1392" s="38" t="n">
        <f aca="false">VLOOKUP(A1392,Inputs!$F$40:$G$48,2,TRUE())</f>
        <v>0.0364054</v>
      </c>
      <c r="K1392" s="38" t="n">
        <f aca="false">J1392+Inputs!$C$10</f>
        <v>0.1039054</v>
      </c>
      <c r="L1392" s="37" t="n">
        <f aca="false">I1392*K1392/C1392</f>
        <v>209.234161643836</v>
      </c>
      <c r="M1392" s="37" t="n">
        <f aca="false">IF(AND(A1392&gt;=Inputs!$C$13,OR(A1392&lt;Inputs!$B$19,Inputs!$B$20=1)),I1392*Inputs!$C$11/C1392,0)</f>
        <v>40.2739726027397</v>
      </c>
    </row>
    <row r="1393" customFormat="false" ht="15" hidden="false" customHeight="false" outlineLevel="0" collapsed="false">
      <c r="A1393" s="35" t="n">
        <f aca="false">A1392+1</f>
        <v>46200</v>
      </c>
      <c r="B1393" s="35" t="n">
        <f aca="false">EOMONTH(A1393+1,0)</f>
        <v>46203</v>
      </c>
      <c r="C1393" s="36" t="n">
        <f aca="false">IF(MOD(YEAR(A1393),4)=0,366,365)</f>
        <v>365</v>
      </c>
      <c r="D1393" s="37" t="n">
        <f aca="false">Inputs!$B$9-SUMIFS(Cash_Events!$G$6:$G$20,Cash_Events!$C$6:$C$20,"rAGMF",Cash_Events!$B$6:$B$20,"&lt;="&amp;A1393)</f>
        <v>735000</v>
      </c>
      <c r="E1393" s="38" t="n">
        <f aca="false">VLOOKUP(A1393,Inputs!$A$40:$B$48,2,TRUE())</f>
        <v>0.0363225</v>
      </c>
      <c r="F1393" s="38" t="n">
        <f aca="false">E1393+Inputs!$B$10</f>
        <v>0.1038225</v>
      </c>
      <c r="G1393" s="37" t="n">
        <f aca="false">D1393*F1393/C1393</f>
        <v>209.067226027397</v>
      </c>
      <c r="H1393" s="37" t="n">
        <f aca="false">IF(AND(A1393&gt;=Inputs!$B$13,OR(A1393&lt;Inputs!$B$19,Inputs!$B$20=1)),D1393*Inputs!$B$11/C1393,0)</f>
        <v>40.2739726027397</v>
      </c>
      <c r="I1393" s="37" t="n">
        <f aca="false">Inputs!$C$9-SUMIFS(Cash_Events!$G$6:$G$20,Cash_Events!$C$6:$C$20,"FHL",Cash_Events!$B$6:$B$20,"&lt;="&amp;A1393)</f>
        <v>735000</v>
      </c>
      <c r="J1393" s="38" t="n">
        <f aca="false">VLOOKUP(A1393,Inputs!$F$40:$G$48,2,TRUE())</f>
        <v>0.0364054</v>
      </c>
      <c r="K1393" s="38" t="n">
        <f aca="false">J1393+Inputs!$C$10</f>
        <v>0.1039054</v>
      </c>
      <c r="L1393" s="37" t="n">
        <f aca="false">I1393*K1393/C1393</f>
        <v>209.234161643836</v>
      </c>
      <c r="M1393" s="37" t="n">
        <f aca="false">IF(AND(A1393&gt;=Inputs!$C$13,OR(A1393&lt;Inputs!$B$19,Inputs!$B$20=1)),I1393*Inputs!$C$11/C1393,0)</f>
        <v>40.2739726027397</v>
      </c>
    </row>
    <row r="1394" customFormat="false" ht="15" hidden="false" customHeight="false" outlineLevel="0" collapsed="false">
      <c r="A1394" s="35" t="n">
        <f aca="false">A1393+1</f>
        <v>46201</v>
      </c>
      <c r="B1394" s="35" t="n">
        <f aca="false">EOMONTH(A1394+1,0)</f>
        <v>46203</v>
      </c>
      <c r="C1394" s="36" t="n">
        <f aca="false">IF(MOD(YEAR(A1394),4)=0,366,365)</f>
        <v>365</v>
      </c>
      <c r="D1394" s="37" t="n">
        <f aca="false">Inputs!$B$9-SUMIFS(Cash_Events!$G$6:$G$20,Cash_Events!$C$6:$C$20,"rAGMF",Cash_Events!$B$6:$B$20,"&lt;="&amp;A1394)</f>
        <v>735000</v>
      </c>
      <c r="E1394" s="38" t="n">
        <f aca="false">VLOOKUP(A1394,Inputs!$A$40:$B$48,2,TRUE())</f>
        <v>0.0363225</v>
      </c>
      <c r="F1394" s="38" t="n">
        <f aca="false">E1394+Inputs!$B$10</f>
        <v>0.1038225</v>
      </c>
      <c r="G1394" s="37" t="n">
        <f aca="false">D1394*F1394/C1394</f>
        <v>209.067226027397</v>
      </c>
      <c r="H1394" s="37" t="n">
        <f aca="false">IF(AND(A1394&gt;=Inputs!$B$13,OR(A1394&lt;Inputs!$B$19,Inputs!$B$20=1)),D1394*Inputs!$B$11/C1394,0)</f>
        <v>40.2739726027397</v>
      </c>
      <c r="I1394" s="37" t="n">
        <f aca="false">Inputs!$C$9-SUMIFS(Cash_Events!$G$6:$G$20,Cash_Events!$C$6:$C$20,"FHL",Cash_Events!$B$6:$B$20,"&lt;="&amp;A1394)</f>
        <v>735000</v>
      </c>
      <c r="J1394" s="38" t="n">
        <f aca="false">VLOOKUP(A1394,Inputs!$F$40:$G$48,2,TRUE())</f>
        <v>0.0364054</v>
      </c>
      <c r="K1394" s="38" t="n">
        <f aca="false">J1394+Inputs!$C$10</f>
        <v>0.1039054</v>
      </c>
      <c r="L1394" s="37" t="n">
        <f aca="false">I1394*K1394/C1394</f>
        <v>209.234161643836</v>
      </c>
      <c r="M1394" s="37" t="n">
        <f aca="false">IF(AND(A1394&gt;=Inputs!$C$13,OR(A1394&lt;Inputs!$B$19,Inputs!$B$20=1)),I1394*Inputs!$C$11/C1394,0)</f>
        <v>40.2739726027397</v>
      </c>
    </row>
    <row r="1395" customFormat="false" ht="15" hidden="false" customHeight="false" outlineLevel="0" collapsed="false">
      <c r="A1395" s="35" t="n">
        <f aca="false">A1394+1</f>
        <v>46202</v>
      </c>
      <c r="B1395" s="35" t="n">
        <f aca="false">EOMONTH(A1395+1,0)</f>
        <v>46203</v>
      </c>
      <c r="C1395" s="36" t="n">
        <f aca="false">IF(MOD(YEAR(A1395),4)=0,366,365)</f>
        <v>365</v>
      </c>
      <c r="D1395" s="37" t="n">
        <f aca="false">Inputs!$B$9-SUMIFS(Cash_Events!$G$6:$G$20,Cash_Events!$C$6:$C$20,"rAGMF",Cash_Events!$B$6:$B$20,"&lt;="&amp;A1395)</f>
        <v>735000</v>
      </c>
      <c r="E1395" s="38" t="n">
        <f aca="false">VLOOKUP(A1395,Inputs!$A$40:$B$48,2,TRUE())</f>
        <v>0.0363225</v>
      </c>
      <c r="F1395" s="38" t="n">
        <f aca="false">E1395+Inputs!$B$10</f>
        <v>0.1038225</v>
      </c>
      <c r="G1395" s="37" t="n">
        <f aca="false">D1395*F1395/C1395</f>
        <v>209.067226027397</v>
      </c>
      <c r="H1395" s="37" t="n">
        <f aca="false">IF(AND(A1395&gt;=Inputs!$B$13,OR(A1395&lt;Inputs!$B$19,Inputs!$B$20=1)),D1395*Inputs!$B$11/C1395,0)</f>
        <v>40.2739726027397</v>
      </c>
      <c r="I1395" s="37" t="n">
        <f aca="false">Inputs!$C$9-SUMIFS(Cash_Events!$G$6:$G$20,Cash_Events!$C$6:$C$20,"FHL",Cash_Events!$B$6:$B$20,"&lt;="&amp;A1395)</f>
        <v>735000</v>
      </c>
      <c r="J1395" s="38" t="n">
        <f aca="false">VLOOKUP(A1395,Inputs!$F$40:$G$48,2,TRUE())</f>
        <v>0.0364054</v>
      </c>
      <c r="K1395" s="38" t="n">
        <f aca="false">J1395+Inputs!$C$10</f>
        <v>0.1039054</v>
      </c>
      <c r="L1395" s="37" t="n">
        <f aca="false">I1395*K1395/C1395</f>
        <v>209.234161643836</v>
      </c>
      <c r="M1395" s="37" t="n">
        <f aca="false">IF(AND(A1395&gt;=Inputs!$C$13,OR(A1395&lt;Inputs!$B$19,Inputs!$B$20=1)),I1395*Inputs!$C$11/C1395,0)</f>
        <v>40.2739726027397</v>
      </c>
    </row>
    <row r="1396" customFormat="false" ht="15" hidden="false" customHeight="false" outlineLevel="0" collapsed="false">
      <c r="A1396" s="35" t="n">
        <f aca="false">A1395+1</f>
        <v>46203</v>
      </c>
      <c r="B1396" s="35" t="n">
        <f aca="false">EOMONTH(A1396+1,0)</f>
        <v>46234</v>
      </c>
      <c r="C1396" s="36" t="n">
        <f aca="false">IF(MOD(YEAR(A1396),4)=0,366,365)</f>
        <v>365</v>
      </c>
      <c r="D1396" s="37" t="n">
        <f aca="false">Inputs!$B$9-SUMIFS(Cash_Events!$G$6:$G$20,Cash_Events!$C$6:$C$20,"rAGMF",Cash_Events!$B$6:$B$20,"&lt;="&amp;A1396)</f>
        <v>735000</v>
      </c>
      <c r="E1396" s="38" t="n">
        <f aca="false">VLOOKUP(A1396,Inputs!$A$40:$B$48,2,TRUE())</f>
        <v>0.0363225</v>
      </c>
      <c r="F1396" s="38" t="n">
        <f aca="false">E1396+Inputs!$B$10</f>
        <v>0.1038225</v>
      </c>
      <c r="G1396" s="37" t="n">
        <f aca="false">D1396*F1396/C1396</f>
        <v>209.067226027397</v>
      </c>
      <c r="H1396" s="37" t="n">
        <f aca="false">IF(AND(A1396&gt;=Inputs!$B$13,OR(A1396&lt;Inputs!$B$19,Inputs!$B$20=1)),D1396*Inputs!$B$11/C1396,0)</f>
        <v>40.2739726027397</v>
      </c>
      <c r="I1396" s="37" t="n">
        <f aca="false">Inputs!$C$9-SUMIFS(Cash_Events!$G$6:$G$20,Cash_Events!$C$6:$C$20,"FHL",Cash_Events!$B$6:$B$20,"&lt;="&amp;A1396)</f>
        <v>735000</v>
      </c>
      <c r="J1396" s="38" t="n">
        <f aca="false">VLOOKUP(A1396,Inputs!$F$40:$G$48,2,TRUE())</f>
        <v>0.0364054</v>
      </c>
      <c r="K1396" s="38" t="n">
        <f aca="false">J1396+Inputs!$C$10</f>
        <v>0.1039054</v>
      </c>
      <c r="L1396" s="37" t="n">
        <f aca="false">I1396*K1396/C1396</f>
        <v>209.234161643836</v>
      </c>
      <c r="M1396" s="37" t="n">
        <f aca="false">IF(AND(A1396&gt;=Inputs!$C$13,OR(A1396&lt;Inputs!$B$19,Inputs!$B$20=1)),I1396*Inputs!$C$11/C1396,0)</f>
        <v>40.2739726027397</v>
      </c>
    </row>
    <row r="1397" customFormat="false" ht="15" hidden="false" customHeight="false" outlineLevel="0" collapsed="false">
      <c r="A1397" s="35" t="n">
        <f aca="false">A1396+1</f>
        <v>46204</v>
      </c>
      <c r="B1397" s="35" t="n">
        <f aca="false">EOMONTH(A1397+1,0)</f>
        <v>46234</v>
      </c>
      <c r="C1397" s="36" t="n">
        <f aca="false">IF(MOD(YEAR(A1397),4)=0,366,365)</f>
        <v>365</v>
      </c>
      <c r="D1397" s="37" t="n">
        <f aca="false">Inputs!$B$9-SUMIFS(Cash_Events!$G$6:$G$20,Cash_Events!$C$6:$C$20,"rAGMF",Cash_Events!$B$6:$B$20,"&lt;="&amp;A1397)</f>
        <v>735000</v>
      </c>
      <c r="E1397" s="38" t="n">
        <f aca="false">VLOOKUP(A1397,Inputs!$A$40:$B$48,2,TRUE())</f>
        <v>0.0363225</v>
      </c>
      <c r="F1397" s="38" t="n">
        <f aca="false">E1397+Inputs!$B$10</f>
        <v>0.1038225</v>
      </c>
      <c r="G1397" s="37" t="n">
        <f aca="false">D1397*F1397/C1397</f>
        <v>209.067226027397</v>
      </c>
      <c r="H1397" s="37" t="n">
        <f aca="false">IF(AND(A1397&gt;=Inputs!$B$13,OR(A1397&lt;Inputs!$B$19,Inputs!$B$20=1)),D1397*Inputs!$B$11/C1397,0)</f>
        <v>40.2739726027397</v>
      </c>
      <c r="I1397" s="37" t="n">
        <f aca="false">Inputs!$C$9-SUMIFS(Cash_Events!$G$6:$G$20,Cash_Events!$C$6:$C$20,"FHL",Cash_Events!$B$6:$B$20,"&lt;="&amp;A1397)</f>
        <v>735000</v>
      </c>
      <c r="J1397" s="38" t="n">
        <f aca="false">VLOOKUP(A1397,Inputs!$F$40:$G$48,2,TRUE())</f>
        <v>0.0364054</v>
      </c>
      <c r="K1397" s="38" t="n">
        <f aca="false">J1397+Inputs!$C$10</f>
        <v>0.1039054</v>
      </c>
      <c r="L1397" s="37" t="n">
        <f aca="false">I1397*K1397/C1397</f>
        <v>209.234161643836</v>
      </c>
      <c r="M1397" s="37" t="n">
        <f aca="false">IF(AND(A1397&gt;=Inputs!$C$13,OR(A1397&lt;Inputs!$B$19,Inputs!$B$20=1)),I1397*Inputs!$C$11/C1397,0)</f>
        <v>40.2739726027397</v>
      </c>
    </row>
    <row r="1398" customFormat="false" ht="15" hidden="false" customHeight="false" outlineLevel="0" collapsed="false">
      <c r="A1398" s="35" t="n">
        <f aca="false">A1397+1</f>
        <v>46205</v>
      </c>
      <c r="B1398" s="35" t="n">
        <f aca="false">EOMONTH(A1398+1,0)</f>
        <v>46234</v>
      </c>
      <c r="C1398" s="36" t="n">
        <f aca="false">IF(MOD(YEAR(A1398),4)=0,366,365)</f>
        <v>365</v>
      </c>
      <c r="D1398" s="37" t="n">
        <f aca="false">Inputs!$B$9-SUMIFS(Cash_Events!$G$6:$G$20,Cash_Events!$C$6:$C$20,"rAGMF",Cash_Events!$B$6:$B$20,"&lt;="&amp;A1398)</f>
        <v>735000</v>
      </c>
      <c r="E1398" s="38" t="n">
        <f aca="false">VLOOKUP(A1398,Inputs!$A$40:$B$48,2,TRUE())</f>
        <v>0.0363225</v>
      </c>
      <c r="F1398" s="38" t="n">
        <f aca="false">E1398+Inputs!$B$10</f>
        <v>0.1038225</v>
      </c>
      <c r="G1398" s="37" t="n">
        <f aca="false">D1398*F1398/C1398</f>
        <v>209.067226027397</v>
      </c>
      <c r="H1398" s="37" t="n">
        <f aca="false">IF(AND(A1398&gt;=Inputs!$B$13,OR(A1398&lt;Inputs!$B$19,Inputs!$B$20=1)),D1398*Inputs!$B$11/C1398,0)</f>
        <v>40.2739726027397</v>
      </c>
      <c r="I1398" s="37" t="n">
        <f aca="false">Inputs!$C$9-SUMIFS(Cash_Events!$G$6:$G$20,Cash_Events!$C$6:$C$20,"FHL",Cash_Events!$B$6:$B$20,"&lt;="&amp;A1398)</f>
        <v>735000</v>
      </c>
      <c r="J1398" s="38" t="n">
        <f aca="false">VLOOKUP(A1398,Inputs!$F$40:$G$48,2,TRUE())</f>
        <v>0.0364054</v>
      </c>
      <c r="K1398" s="38" t="n">
        <f aca="false">J1398+Inputs!$C$10</f>
        <v>0.1039054</v>
      </c>
      <c r="L1398" s="37" t="n">
        <f aca="false">I1398*K1398/C1398</f>
        <v>209.234161643836</v>
      </c>
      <c r="M1398" s="37" t="n">
        <f aca="false">IF(AND(A1398&gt;=Inputs!$C$13,OR(A1398&lt;Inputs!$B$19,Inputs!$B$20=1)),I1398*Inputs!$C$11/C1398,0)</f>
        <v>40.2739726027397</v>
      </c>
    </row>
    <row r="1399" customFormat="false" ht="15" hidden="false" customHeight="false" outlineLevel="0" collapsed="false">
      <c r="A1399" s="35" t="n">
        <f aca="false">A1398+1</f>
        <v>46206</v>
      </c>
      <c r="B1399" s="35" t="n">
        <f aca="false">EOMONTH(A1399+1,0)</f>
        <v>46234</v>
      </c>
      <c r="C1399" s="36" t="n">
        <f aca="false">IF(MOD(YEAR(A1399),4)=0,366,365)</f>
        <v>365</v>
      </c>
      <c r="D1399" s="37" t="n">
        <f aca="false">Inputs!$B$9-SUMIFS(Cash_Events!$G$6:$G$20,Cash_Events!$C$6:$C$20,"rAGMF",Cash_Events!$B$6:$B$20,"&lt;="&amp;A1399)</f>
        <v>735000</v>
      </c>
      <c r="E1399" s="38" t="n">
        <f aca="false">VLOOKUP(A1399,Inputs!$A$40:$B$48,2,TRUE())</f>
        <v>0.0363225</v>
      </c>
      <c r="F1399" s="38" t="n">
        <f aca="false">E1399+Inputs!$B$10</f>
        <v>0.1038225</v>
      </c>
      <c r="G1399" s="37" t="n">
        <f aca="false">D1399*F1399/C1399</f>
        <v>209.067226027397</v>
      </c>
      <c r="H1399" s="37" t="n">
        <f aca="false">IF(AND(A1399&gt;=Inputs!$B$13,OR(A1399&lt;Inputs!$B$19,Inputs!$B$20=1)),D1399*Inputs!$B$11/C1399,0)</f>
        <v>40.2739726027397</v>
      </c>
      <c r="I1399" s="37" t="n">
        <f aca="false">Inputs!$C$9-SUMIFS(Cash_Events!$G$6:$G$20,Cash_Events!$C$6:$C$20,"FHL",Cash_Events!$B$6:$B$20,"&lt;="&amp;A1399)</f>
        <v>735000</v>
      </c>
      <c r="J1399" s="38" t="n">
        <f aca="false">VLOOKUP(A1399,Inputs!$F$40:$G$48,2,TRUE())</f>
        <v>0.0364054</v>
      </c>
      <c r="K1399" s="38" t="n">
        <f aca="false">J1399+Inputs!$C$10</f>
        <v>0.1039054</v>
      </c>
      <c r="L1399" s="37" t="n">
        <f aca="false">I1399*K1399/C1399</f>
        <v>209.234161643836</v>
      </c>
      <c r="M1399" s="37" t="n">
        <f aca="false">IF(AND(A1399&gt;=Inputs!$C$13,OR(A1399&lt;Inputs!$B$19,Inputs!$B$20=1)),I1399*Inputs!$C$11/C1399,0)</f>
        <v>40.2739726027397</v>
      </c>
    </row>
    <row r="1400" customFormat="false" ht="15" hidden="false" customHeight="false" outlineLevel="0" collapsed="false">
      <c r="A1400" s="35" t="n">
        <f aca="false">A1399+1</f>
        <v>46207</v>
      </c>
      <c r="B1400" s="35" t="n">
        <f aca="false">EOMONTH(A1400+1,0)</f>
        <v>46234</v>
      </c>
      <c r="C1400" s="36" t="n">
        <f aca="false">IF(MOD(YEAR(A1400),4)=0,366,365)</f>
        <v>365</v>
      </c>
      <c r="D1400" s="37" t="n">
        <f aca="false">Inputs!$B$9-SUMIFS(Cash_Events!$G$6:$G$20,Cash_Events!$C$6:$C$20,"rAGMF",Cash_Events!$B$6:$B$20,"&lt;="&amp;A1400)</f>
        <v>735000</v>
      </c>
      <c r="E1400" s="38" t="n">
        <f aca="false">VLOOKUP(A1400,Inputs!$A$40:$B$48,2,TRUE())</f>
        <v>0.0363225</v>
      </c>
      <c r="F1400" s="38" t="n">
        <f aca="false">E1400+Inputs!$B$10</f>
        <v>0.1038225</v>
      </c>
      <c r="G1400" s="37" t="n">
        <f aca="false">D1400*F1400/C1400</f>
        <v>209.067226027397</v>
      </c>
      <c r="H1400" s="37" t="n">
        <f aca="false">IF(AND(A1400&gt;=Inputs!$B$13,OR(A1400&lt;Inputs!$B$19,Inputs!$B$20=1)),D1400*Inputs!$B$11/C1400,0)</f>
        <v>40.2739726027397</v>
      </c>
      <c r="I1400" s="37" t="n">
        <f aca="false">Inputs!$C$9-SUMIFS(Cash_Events!$G$6:$G$20,Cash_Events!$C$6:$C$20,"FHL",Cash_Events!$B$6:$B$20,"&lt;="&amp;A1400)</f>
        <v>735000</v>
      </c>
      <c r="J1400" s="38" t="n">
        <f aca="false">VLOOKUP(A1400,Inputs!$F$40:$G$48,2,TRUE())</f>
        <v>0.0364054</v>
      </c>
      <c r="K1400" s="38" t="n">
        <f aca="false">J1400+Inputs!$C$10</f>
        <v>0.1039054</v>
      </c>
      <c r="L1400" s="37" t="n">
        <f aca="false">I1400*K1400/C1400</f>
        <v>209.234161643836</v>
      </c>
      <c r="M1400" s="37" t="n">
        <f aca="false">IF(AND(A1400&gt;=Inputs!$C$13,OR(A1400&lt;Inputs!$B$19,Inputs!$B$20=1)),I1400*Inputs!$C$11/C1400,0)</f>
        <v>40.2739726027397</v>
      </c>
    </row>
    <row r="1401" customFormat="false" ht="15" hidden="false" customHeight="false" outlineLevel="0" collapsed="false">
      <c r="A1401" s="35" t="n">
        <f aca="false">A1400+1</f>
        <v>46208</v>
      </c>
      <c r="B1401" s="35" t="n">
        <f aca="false">EOMONTH(A1401+1,0)</f>
        <v>46234</v>
      </c>
      <c r="C1401" s="36" t="n">
        <f aca="false">IF(MOD(YEAR(A1401),4)=0,366,365)</f>
        <v>365</v>
      </c>
      <c r="D1401" s="37" t="n">
        <f aca="false">Inputs!$B$9-SUMIFS(Cash_Events!$G$6:$G$20,Cash_Events!$C$6:$C$20,"rAGMF",Cash_Events!$B$6:$B$20,"&lt;="&amp;A1401)</f>
        <v>735000</v>
      </c>
      <c r="E1401" s="38" t="n">
        <f aca="false">VLOOKUP(A1401,Inputs!$A$40:$B$48,2,TRUE())</f>
        <v>0.0363225</v>
      </c>
      <c r="F1401" s="38" t="n">
        <f aca="false">E1401+Inputs!$B$10</f>
        <v>0.1038225</v>
      </c>
      <c r="G1401" s="37" t="n">
        <f aca="false">D1401*F1401/C1401</f>
        <v>209.067226027397</v>
      </c>
      <c r="H1401" s="37" t="n">
        <f aca="false">IF(AND(A1401&gt;=Inputs!$B$13,OR(A1401&lt;Inputs!$B$19,Inputs!$B$20=1)),D1401*Inputs!$B$11/C1401,0)</f>
        <v>40.2739726027397</v>
      </c>
      <c r="I1401" s="37" t="n">
        <f aca="false">Inputs!$C$9-SUMIFS(Cash_Events!$G$6:$G$20,Cash_Events!$C$6:$C$20,"FHL",Cash_Events!$B$6:$B$20,"&lt;="&amp;A1401)</f>
        <v>735000</v>
      </c>
      <c r="J1401" s="38" t="n">
        <f aca="false">VLOOKUP(A1401,Inputs!$F$40:$G$48,2,TRUE())</f>
        <v>0.0364054</v>
      </c>
      <c r="K1401" s="38" t="n">
        <f aca="false">J1401+Inputs!$C$10</f>
        <v>0.1039054</v>
      </c>
      <c r="L1401" s="37" t="n">
        <f aca="false">I1401*K1401/C1401</f>
        <v>209.234161643836</v>
      </c>
      <c r="M1401" s="37" t="n">
        <f aca="false">IF(AND(A1401&gt;=Inputs!$C$13,OR(A1401&lt;Inputs!$B$19,Inputs!$B$20=1)),I1401*Inputs!$C$11/C1401,0)</f>
        <v>40.2739726027397</v>
      </c>
    </row>
    <row r="1402" customFormat="false" ht="15" hidden="false" customHeight="false" outlineLevel="0" collapsed="false">
      <c r="A1402" s="35" t="n">
        <f aca="false">A1401+1</f>
        <v>46209</v>
      </c>
      <c r="B1402" s="35" t="n">
        <f aca="false">EOMONTH(A1402+1,0)</f>
        <v>46234</v>
      </c>
      <c r="C1402" s="36" t="n">
        <f aca="false">IF(MOD(YEAR(A1402),4)=0,366,365)</f>
        <v>365</v>
      </c>
      <c r="D1402" s="37" t="n">
        <f aca="false">Inputs!$B$9-SUMIFS(Cash_Events!$G$6:$G$20,Cash_Events!$C$6:$C$20,"rAGMF",Cash_Events!$B$6:$B$20,"&lt;="&amp;A1402)</f>
        <v>735000</v>
      </c>
      <c r="E1402" s="38" t="n">
        <f aca="false">VLOOKUP(A1402,Inputs!$A$40:$B$48,2,TRUE())</f>
        <v>0.0363225</v>
      </c>
      <c r="F1402" s="38" t="n">
        <f aca="false">E1402+Inputs!$B$10</f>
        <v>0.1038225</v>
      </c>
      <c r="G1402" s="37" t="n">
        <f aca="false">D1402*F1402/C1402</f>
        <v>209.067226027397</v>
      </c>
      <c r="H1402" s="37" t="n">
        <f aca="false">IF(AND(A1402&gt;=Inputs!$B$13,OR(A1402&lt;Inputs!$B$19,Inputs!$B$20=1)),D1402*Inputs!$B$11/C1402,0)</f>
        <v>40.2739726027397</v>
      </c>
      <c r="I1402" s="37" t="n">
        <f aca="false">Inputs!$C$9-SUMIFS(Cash_Events!$G$6:$G$20,Cash_Events!$C$6:$C$20,"FHL",Cash_Events!$B$6:$B$20,"&lt;="&amp;A1402)</f>
        <v>735000</v>
      </c>
      <c r="J1402" s="38" t="n">
        <f aca="false">VLOOKUP(A1402,Inputs!$F$40:$G$48,2,TRUE())</f>
        <v>0.0364054</v>
      </c>
      <c r="K1402" s="38" t="n">
        <f aca="false">J1402+Inputs!$C$10</f>
        <v>0.1039054</v>
      </c>
      <c r="L1402" s="37" t="n">
        <f aca="false">I1402*K1402/C1402</f>
        <v>209.234161643836</v>
      </c>
      <c r="M1402" s="37" t="n">
        <f aca="false">IF(AND(A1402&gt;=Inputs!$C$13,OR(A1402&lt;Inputs!$B$19,Inputs!$B$20=1)),I1402*Inputs!$C$11/C1402,0)</f>
        <v>40.2739726027397</v>
      </c>
    </row>
    <row r="1403" customFormat="false" ht="15" hidden="false" customHeight="false" outlineLevel="0" collapsed="false">
      <c r="A1403" s="35" t="n">
        <f aca="false">A1402+1</f>
        <v>46210</v>
      </c>
      <c r="B1403" s="35" t="n">
        <f aca="false">EOMONTH(A1403+1,0)</f>
        <v>46234</v>
      </c>
      <c r="C1403" s="36" t="n">
        <f aca="false">IF(MOD(YEAR(A1403),4)=0,366,365)</f>
        <v>365</v>
      </c>
      <c r="D1403" s="37" t="n">
        <f aca="false">Inputs!$B$9-SUMIFS(Cash_Events!$G$6:$G$20,Cash_Events!$C$6:$C$20,"rAGMF",Cash_Events!$B$6:$B$20,"&lt;="&amp;A1403)</f>
        <v>735000</v>
      </c>
      <c r="E1403" s="38" t="n">
        <f aca="false">VLOOKUP(A1403,Inputs!$A$40:$B$48,2,TRUE())</f>
        <v>0.0363225</v>
      </c>
      <c r="F1403" s="38" t="n">
        <f aca="false">E1403+Inputs!$B$10</f>
        <v>0.1038225</v>
      </c>
      <c r="G1403" s="37" t="n">
        <f aca="false">D1403*F1403/C1403</f>
        <v>209.067226027397</v>
      </c>
      <c r="H1403" s="37" t="n">
        <f aca="false">IF(AND(A1403&gt;=Inputs!$B$13,OR(A1403&lt;Inputs!$B$19,Inputs!$B$20=1)),D1403*Inputs!$B$11/C1403,0)</f>
        <v>40.2739726027397</v>
      </c>
      <c r="I1403" s="37" t="n">
        <f aca="false">Inputs!$C$9-SUMIFS(Cash_Events!$G$6:$G$20,Cash_Events!$C$6:$C$20,"FHL",Cash_Events!$B$6:$B$20,"&lt;="&amp;A1403)</f>
        <v>735000</v>
      </c>
      <c r="J1403" s="38" t="n">
        <f aca="false">VLOOKUP(A1403,Inputs!$F$40:$G$48,2,TRUE())</f>
        <v>0.0364054</v>
      </c>
      <c r="K1403" s="38" t="n">
        <f aca="false">J1403+Inputs!$C$10</f>
        <v>0.1039054</v>
      </c>
      <c r="L1403" s="37" t="n">
        <f aca="false">I1403*K1403/C1403</f>
        <v>209.234161643836</v>
      </c>
      <c r="M1403" s="37" t="n">
        <f aca="false">IF(AND(A1403&gt;=Inputs!$C$13,OR(A1403&lt;Inputs!$B$19,Inputs!$B$20=1)),I1403*Inputs!$C$11/C1403,0)</f>
        <v>40.2739726027397</v>
      </c>
    </row>
    <row r="1404" customFormat="false" ht="15" hidden="false" customHeight="false" outlineLevel="0" collapsed="false">
      <c r="A1404" s="35" t="n">
        <f aca="false">A1403+1</f>
        <v>46211</v>
      </c>
      <c r="B1404" s="35" t="n">
        <f aca="false">EOMONTH(A1404+1,0)</f>
        <v>46234</v>
      </c>
      <c r="C1404" s="36" t="n">
        <f aca="false">IF(MOD(YEAR(A1404),4)=0,366,365)</f>
        <v>365</v>
      </c>
      <c r="D1404" s="37" t="n">
        <f aca="false">Inputs!$B$9-SUMIFS(Cash_Events!$G$6:$G$20,Cash_Events!$C$6:$C$20,"rAGMF",Cash_Events!$B$6:$B$20,"&lt;="&amp;A1404)</f>
        <v>735000</v>
      </c>
      <c r="E1404" s="38" t="n">
        <f aca="false">VLOOKUP(A1404,Inputs!$A$40:$B$48,2,TRUE())</f>
        <v>0.0363225</v>
      </c>
      <c r="F1404" s="38" t="n">
        <f aca="false">E1404+Inputs!$B$10</f>
        <v>0.1038225</v>
      </c>
      <c r="G1404" s="37" t="n">
        <f aca="false">D1404*F1404/C1404</f>
        <v>209.067226027397</v>
      </c>
      <c r="H1404" s="37" t="n">
        <f aca="false">IF(AND(A1404&gt;=Inputs!$B$13,OR(A1404&lt;Inputs!$B$19,Inputs!$B$20=1)),D1404*Inputs!$B$11/C1404,0)</f>
        <v>40.2739726027397</v>
      </c>
      <c r="I1404" s="37" t="n">
        <f aca="false">Inputs!$C$9-SUMIFS(Cash_Events!$G$6:$G$20,Cash_Events!$C$6:$C$20,"FHL",Cash_Events!$B$6:$B$20,"&lt;="&amp;A1404)</f>
        <v>735000</v>
      </c>
      <c r="J1404" s="38" t="n">
        <f aca="false">VLOOKUP(A1404,Inputs!$F$40:$G$48,2,TRUE())</f>
        <v>0.0364054</v>
      </c>
      <c r="K1404" s="38" t="n">
        <f aca="false">J1404+Inputs!$C$10</f>
        <v>0.1039054</v>
      </c>
      <c r="L1404" s="37" t="n">
        <f aca="false">I1404*K1404/C1404</f>
        <v>209.234161643836</v>
      </c>
      <c r="M1404" s="37" t="n">
        <f aca="false">IF(AND(A1404&gt;=Inputs!$C$13,OR(A1404&lt;Inputs!$B$19,Inputs!$B$20=1)),I1404*Inputs!$C$11/C1404,0)</f>
        <v>40.2739726027397</v>
      </c>
    </row>
    <row r="1405" customFormat="false" ht="15" hidden="false" customHeight="false" outlineLevel="0" collapsed="false">
      <c r="A1405" s="35" t="n">
        <f aca="false">A1404+1</f>
        <v>46212</v>
      </c>
      <c r="B1405" s="35" t="n">
        <f aca="false">EOMONTH(A1405+1,0)</f>
        <v>46234</v>
      </c>
      <c r="C1405" s="36" t="n">
        <f aca="false">IF(MOD(YEAR(A1405),4)=0,366,365)</f>
        <v>365</v>
      </c>
      <c r="D1405" s="37" t="n">
        <f aca="false">Inputs!$B$9-SUMIFS(Cash_Events!$G$6:$G$20,Cash_Events!$C$6:$C$20,"rAGMF",Cash_Events!$B$6:$B$20,"&lt;="&amp;A1405)</f>
        <v>735000</v>
      </c>
      <c r="E1405" s="38" t="n">
        <f aca="false">VLOOKUP(A1405,Inputs!$A$40:$B$48,2,TRUE())</f>
        <v>0.0363225</v>
      </c>
      <c r="F1405" s="38" t="n">
        <f aca="false">E1405+Inputs!$B$10</f>
        <v>0.1038225</v>
      </c>
      <c r="G1405" s="37" t="n">
        <f aca="false">D1405*F1405/C1405</f>
        <v>209.067226027397</v>
      </c>
      <c r="H1405" s="37" t="n">
        <f aca="false">IF(AND(A1405&gt;=Inputs!$B$13,OR(A1405&lt;Inputs!$B$19,Inputs!$B$20=1)),D1405*Inputs!$B$11/C1405,0)</f>
        <v>40.2739726027397</v>
      </c>
      <c r="I1405" s="37" t="n">
        <f aca="false">Inputs!$C$9-SUMIFS(Cash_Events!$G$6:$G$20,Cash_Events!$C$6:$C$20,"FHL",Cash_Events!$B$6:$B$20,"&lt;="&amp;A1405)</f>
        <v>735000</v>
      </c>
      <c r="J1405" s="38" t="n">
        <f aca="false">VLOOKUP(A1405,Inputs!$F$40:$G$48,2,TRUE())</f>
        <v>0.0364054</v>
      </c>
      <c r="K1405" s="38" t="n">
        <f aca="false">J1405+Inputs!$C$10</f>
        <v>0.1039054</v>
      </c>
      <c r="L1405" s="37" t="n">
        <f aca="false">I1405*K1405/C1405</f>
        <v>209.234161643836</v>
      </c>
      <c r="M1405" s="37" t="n">
        <f aca="false">IF(AND(A1405&gt;=Inputs!$C$13,OR(A1405&lt;Inputs!$B$19,Inputs!$B$20=1)),I1405*Inputs!$C$11/C1405,0)</f>
        <v>40.2739726027397</v>
      </c>
    </row>
    <row r="1406" customFormat="false" ht="15" hidden="false" customHeight="false" outlineLevel="0" collapsed="false">
      <c r="A1406" s="35" t="n">
        <f aca="false">A1405+1</f>
        <v>46213</v>
      </c>
      <c r="B1406" s="35" t="n">
        <f aca="false">EOMONTH(A1406+1,0)</f>
        <v>46234</v>
      </c>
      <c r="C1406" s="36" t="n">
        <f aca="false">IF(MOD(YEAR(A1406),4)=0,366,365)</f>
        <v>365</v>
      </c>
      <c r="D1406" s="37" t="n">
        <f aca="false">Inputs!$B$9-SUMIFS(Cash_Events!$G$6:$G$20,Cash_Events!$C$6:$C$20,"rAGMF",Cash_Events!$B$6:$B$20,"&lt;="&amp;A1406)</f>
        <v>735000</v>
      </c>
      <c r="E1406" s="38" t="n">
        <f aca="false">VLOOKUP(A1406,Inputs!$A$40:$B$48,2,TRUE())</f>
        <v>0.0363225</v>
      </c>
      <c r="F1406" s="38" t="n">
        <f aca="false">E1406+Inputs!$B$10</f>
        <v>0.1038225</v>
      </c>
      <c r="G1406" s="37" t="n">
        <f aca="false">D1406*F1406/C1406</f>
        <v>209.067226027397</v>
      </c>
      <c r="H1406" s="37" t="n">
        <f aca="false">IF(AND(A1406&gt;=Inputs!$B$13,OR(A1406&lt;Inputs!$B$19,Inputs!$B$20=1)),D1406*Inputs!$B$11/C1406,0)</f>
        <v>40.2739726027397</v>
      </c>
      <c r="I1406" s="37" t="n">
        <f aca="false">Inputs!$C$9-SUMIFS(Cash_Events!$G$6:$G$20,Cash_Events!$C$6:$C$20,"FHL",Cash_Events!$B$6:$B$20,"&lt;="&amp;A1406)</f>
        <v>735000</v>
      </c>
      <c r="J1406" s="38" t="n">
        <f aca="false">VLOOKUP(A1406,Inputs!$F$40:$G$48,2,TRUE())</f>
        <v>0.0364054</v>
      </c>
      <c r="K1406" s="38" t="n">
        <f aca="false">J1406+Inputs!$C$10</f>
        <v>0.1039054</v>
      </c>
      <c r="L1406" s="37" t="n">
        <f aca="false">I1406*K1406/C1406</f>
        <v>209.234161643836</v>
      </c>
      <c r="M1406" s="37" t="n">
        <f aca="false">IF(AND(A1406&gt;=Inputs!$C$13,OR(A1406&lt;Inputs!$B$19,Inputs!$B$20=1)),I1406*Inputs!$C$11/C1406,0)</f>
        <v>40.2739726027397</v>
      </c>
    </row>
    <row r="1407" customFormat="false" ht="15" hidden="false" customHeight="false" outlineLevel="0" collapsed="false">
      <c r="A1407" s="35" t="n">
        <f aca="false">A1406+1</f>
        <v>46214</v>
      </c>
      <c r="B1407" s="35" t="n">
        <f aca="false">EOMONTH(A1407+1,0)</f>
        <v>46234</v>
      </c>
      <c r="C1407" s="36" t="n">
        <f aca="false">IF(MOD(YEAR(A1407),4)=0,366,365)</f>
        <v>365</v>
      </c>
      <c r="D1407" s="37" t="n">
        <f aca="false">Inputs!$B$9-SUMIFS(Cash_Events!$G$6:$G$20,Cash_Events!$C$6:$C$20,"rAGMF",Cash_Events!$B$6:$B$20,"&lt;="&amp;A1407)</f>
        <v>735000</v>
      </c>
      <c r="E1407" s="38" t="n">
        <f aca="false">VLOOKUP(A1407,Inputs!$A$40:$B$48,2,TRUE())</f>
        <v>0.0363225</v>
      </c>
      <c r="F1407" s="38" t="n">
        <f aca="false">E1407+Inputs!$B$10</f>
        <v>0.1038225</v>
      </c>
      <c r="G1407" s="37" t="n">
        <f aca="false">D1407*F1407/C1407</f>
        <v>209.067226027397</v>
      </c>
      <c r="H1407" s="37" t="n">
        <f aca="false">IF(AND(A1407&gt;=Inputs!$B$13,OR(A1407&lt;Inputs!$B$19,Inputs!$B$20=1)),D1407*Inputs!$B$11/C1407,0)</f>
        <v>40.2739726027397</v>
      </c>
      <c r="I1407" s="37" t="n">
        <f aca="false">Inputs!$C$9-SUMIFS(Cash_Events!$G$6:$G$20,Cash_Events!$C$6:$C$20,"FHL",Cash_Events!$B$6:$B$20,"&lt;="&amp;A1407)</f>
        <v>735000</v>
      </c>
      <c r="J1407" s="38" t="n">
        <f aca="false">VLOOKUP(A1407,Inputs!$F$40:$G$48,2,TRUE())</f>
        <v>0.0364054</v>
      </c>
      <c r="K1407" s="38" t="n">
        <f aca="false">J1407+Inputs!$C$10</f>
        <v>0.1039054</v>
      </c>
      <c r="L1407" s="37" t="n">
        <f aca="false">I1407*K1407/C1407</f>
        <v>209.234161643836</v>
      </c>
      <c r="M1407" s="37" t="n">
        <f aca="false">IF(AND(A1407&gt;=Inputs!$C$13,OR(A1407&lt;Inputs!$B$19,Inputs!$B$20=1)),I1407*Inputs!$C$11/C1407,0)</f>
        <v>40.2739726027397</v>
      </c>
    </row>
    <row r="1408" customFormat="false" ht="15" hidden="false" customHeight="false" outlineLevel="0" collapsed="false">
      <c r="A1408" s="35" t="n">
        <f aca="false">A1407+1</f>
        <v>46215</v>
      </c>
      <c r="B1408" s="35" t="n">
        <f aca="false">EOMONTH(A1408+1,0)</f>
        <v>46234</v>
      </c>
      <c r="C1408" s="36" t="n">
        <f aca="false">IF(MOD(YEAR(A1408),4)=0,366,365)</f>
        <v>365</v>
      </c>
      <c r="D1408" s="37" t="n">
        <f aca="false">Inputs!$B$9-SUMIFS(Cash_Events!$G$6:$G$20,Cash_Events!$C$6:$C$20,"rAGMF",Cash_Events!$B$6:$B$20,"&lt;="&amp;A1408)</f>
        <v>735000</v>
      </c>
      <c r="E1408" s="38" t="n">
        <f aca="false">VLOOKUP(A1408,Inputs!$A$40:$B$48,2,TRUE())</f>
        <v>0.0363225</v>
      </c>
      <c r="F1408" s="38" t="n">
        <f aca="false">E1408+Inputs!$B$10</f>
        <v>0.1038225</v>
      </c>
      <c r="G1408" s="37" t="n">
        <f aca="false">D1408*F1408/C1408</f>
        <v>209.067226027397</v>
      </c>
      <c r="H1408" s="37" t="n">
        <f aca="false">IF(AND(A1408&gt;=Inputs!$B$13,OR(A1408&lt;Inputs!$B$19,Inputs!$B$20=1)),D1408*Inputs!$B$11/C1408,0)</f>
        <v>40.2739726027397</v>
      </c>
      <c r="I1408" s="37" t="n">
        <f aca="false">Inputs!$C$9-SUMIFS(Cash_Events!$G$6:$G$20,Cash_Events!$C$6:$C$20,"FHL",Cash_Events!$B$6:$B$20,"&lt;="&amp;A1408)</f>
        <v>735000</v>
      </c>
      <c r="J1408" s="38" t="n">
        <f aca="false">VLOOKUP(A1408,Inputs!$F$40:$G$48,2,TRUE())</f>
        <v>0.0364054</v>
      </c>
      <c r="K1408" s="38" t="n">
        <f aca="false">J1408+Inputs!$C$10</f>
        <v>0.1039054</v>
      </c>
      <c r="L1408" s="37" t="n">
        <f aca="false">I1408*K1408/C1408</f>
        <v>209.234161643836</v>
      </c>
      <c r="M1408" s="37" t="n">
        <f aca="false">IF(AND(A1408&gt;=Inputs!$C$13,OR(A1408&lt;Inputs!$B$19,Inputs!$B$20=1)),I1408*Inputs!$C$11/C1408,0)</f>
        <v>40.2739726027397</v>
      </c>
    </row>
    <row r="1409" customFormat="false" ht="15" hidden="false" customHeight="false" outlineLevel="0" collapsed="false">
      <c r="A1409" s="35" t="n">
        <f aca="false">A1408+1</f>
        <v>46216</v>
      </c>
      <c r="B1409" s="35" t="n">
        <f aca="false">EOMONTH(A1409+1,0)</f>
        <v>46234</v>
      </c>
      <c r="C1409" s="36" t="n">
        <f aca="false">IF(MOD(YEAR(A1409),4)=0,366,365)</f>
        <v>365</v>
      </c>
      <c r="D1409" s="37" t="n">
        <f aca="false">Inputs!$B$9-SUMIFS(Cash_Events!$G$6:$G$20,Cash_Events!$C$6:$C$20,"rAGMF",Cash_Events!$B$6:$B$20,"&lt;="&amp;A1409)</f>
        <v>735000</v>
      </c>
      <c r="E1409" s="38" t="n">
        <f aca="false">VLOOKUP(A1409,Inputs!$A$40:$B$48,2,TRUE())</f>
        <v>0.0363225</v>
      </c>
      <c r="F1409" s="38" t="n">
        <f aca="false">E1409+Inputs!$B$10</f>
        <v>0.1038225</v>
      </c>
      <c r="G1409" s="37" t="n">
        <f aca="false">D1409*F1409/C1409</f>
        <v>209.067226027397</v>
      </c>
      <c r="H1409" s="37" t="n">
        <f aca="false">IF(AND(A1409&gt;=Inputs!$B$13,OR(A1409&lt;Inputs!$B$19,Inputs!$B$20=1)),D1409*Inputs!$B$11/C1409,0)</f>
        <v>40.2739726027397</v>
      </c>
      <c r="I1409" s="37" t="n">
        <f aca="false">Inputs!$C$9-SUMIFS(Cash_Events!$G$6:$G$20,Cash_Events!$C$6:$C$20,"FHL",Cash_Events!$B$6:$B$20,"&lt;="&amp;A1409)</f>
        <v>735000</v>
      </c>
      <c r="J1409" s="38" t="n">
        <f aca="false">VLOOKUP(A1409,Inputs!$F$40:$G$48,2,TRUE())</f>
        <v>0.0364054</v>
      </c>
      <c r="K1409" s="38" t="n">
        <f aca="false">J1409+Inputs!$C$10</f>
        <v>0.1039054</v>
      </c>
      <c r="L1409" s="37" t="n">
        <f aca="false">I1409*K1409/C1409</f>
        <v>209.234161643836</v>
      </c>
      <c r="M1409" s="37" t="n">
        <f aca="false">IF(AND(A1409&gt;=Inputs!$C$13,OR(A1409&lt;Inputs!$B$19,Inputs!$B$20=1)),I1409*Inputs!$C$11/C1409,0)</f>
        <v>40.2739726027397</v>
      </c>
    </row>
    <row r="1410" customFormat="false" ht="15" hidden="false" customHeight="false" outlineLevel="0" collapsed="false">
      <c r="A1410" s="35" t="n">
        <f aca="false">A1409+1</f>
        <v>46217</v>
      </c>
      <c r="B1410" s="35" t="n">
        <f aca="false">EOMONTH(A1410+1,0)</f>
        <v>46234</v>
      </c>
      <c r="C1410" s="36" t="n">
        <f aca="false">IF(MOD(YEAR(A1410),4)=0,366,365)</f>
        <v>365</v>
      </c>
      <c r="D1410" s="37" t="n">
        <f aca="false">Inputs!$B$9-SUMIFS(Cash_Events!$G$6:$G$20,Cash_Events!$C$6:$C$20,"rAGMF",Cash_Events!$B$6:$B$20,"&lt;="&amp;A1410)</f>
        <v>735000</v>
      </c>
      <c r="E1410" s="38" t="n">
        <f aca="false">VLOOKUP(A1410,Inputs!$A$40:$B$48,2,TRUE())</f>
        <v>0.0363225</v>
      </c>
      <c r="F1410" s="38" t="n">
        <f aca="false">E1410+Inputs!$B$10</f>
        <v>0.1038225</v>
      </c>
      <c r="G1410" s="37" t="n">
        <f aca="false">D1410*F1410/C1410</f>
        <v>209.067226027397</v>
      </c>
      <c r="H1410" s="37" t="n">
        <f aca="false">IF(AND(A1410&gt;=Inputs!$B$13,OR(A1410&lt;Inputs!$B$19,Inputs!$B$20=1)),D1410*Inputs!$B$11/C1410,0)</f>
        <v>40.2739726027397</v>
      </c>
      <c r="I1410" s="37" t="n">
        <f aca="false">Inputs!$C$9-SUMIFS(Cash_Events!$G$6:$G$20,Cash_Events!$C$6:$C$20,"FHL",Cash_Events!$B$6:$B$20,"&lt;="&amp;A1410)</f>
        <v>735000</v>
      </c>
      <c r="J1410" s="38" t="n">
        <f aca="false">VLOOKUP(A1410,Inputs!$F$40:$G$48,2,TRUE())</f>
        <v>0.0364054</v>
      </c>
      <c r="K1410" s="38" t="n">
        <f aca="false">J1410+Inputs!$C$10</f>
        <v>0.1039054</v>
      </c>
      <c r="L1410" s="37" t="n">
        <f aca="false">I1410*K1410/C1410</f>
        <v>209.234161643836</v>
      </c>
      <c r="M1410" s="37" t="n">
        <f aca="false">IF(AND(A1410&gt;=Inputs!$C$13,OR(A1410&lt;Inputs!$B$19,Inputs!$B$20=1)),I1410*Inputs!$C$11/C1410,0)</f>
        <v>40.2739726027397</v>
      </c>
    </row>
    <row r="1411" customFormat="false" ht="15" hidden="false" customHeight="false" outlineLevel="0" collapsed="false">
      <c r="A1411" s="35" t="n">
        <f aca="false">A1410+1</f>
        <v>46218</v>
      </c>
      <c r="B1411" s="35" t="n">
        <f aca="false">EOMONTH(A1411+1,0)</f>
        <v>46234</v>
      </c>
      <c r="C1411" s="36" t="n">
        <f aca="false">IF(MOD(YEAR(A1411),4)=0,366,365)</f>
        <v>365</v>
      </c>
      <c r="D1411" s="37" t="n">
        <f aca="false">Inputs!$B$9-SUMIFS(Cash_Events!$G$6:$G$20,Cash_Events!$C$6:$C$20,"rAGMF",Cash_Events!$B$6:$B$20,"&lt;="&amp;A1411)</f>
        <v>735000</v>
      </c>
      <c r="E1411" s="38" t="n">
        <f aca="false">VLOOKUP(A1411,Inputs!$A$40:$B$48,2,TRUE())</f>
        <v>0.0363225</v>
      </c>
      <c r="F1411" s="38" t="n">
        <f aca="false">E1411+Inputs!$B$10</f>
        <v>0.1038225</v>
      </c>
      <c r="G1411" s="37" t="n">
        <f aca="false">D1411*F1411/C1411</f>
        <v>209.067226027397</v>
      </c>
      <c r="H1411" s="37" t="n">
        <f aca="false">IF(AND(A1411&gt;=Inputs!$B$13,OR(A1411&lt;Inputs!$B$19,Inputs!$B$20=1)),D1411*Inputs!$B$11/C1411,0)</f>
        <v>40.2739726027397</v>
      </c>
      <c r="I1411" s="37" t="n">
        <f aca="false">Inputs!$C$9-SUMIFS(Cash_Events!$G$6:$G$20,Cash_Events!$C$6:$C$20,"FHL",Cash_Events!$B$6:$B$20,"&lt;="&amp;A1411)</f>
        <v>735000</v>
      </c>
      <c r="J1411" s="38" t="n">
        <f aca="false">VLOOKUP(A1411,Inputs!$F$40:$G$48,2,TRUE())</f>
        <v>0.0364054</v>
      </c>
      <c r="K1411" s="38" t="n">
        <f aca="false">J1411+Inputs!$C$10</f>
        <v>0.1039054</v>
      </c>
      <c r="L1411" s="37" t="n">
        <f aca="false">I1411*K1411/C1411</f>
        <v>209.234161643836</v>
      </c>
      <c r="M1411" s="37" t="n">
        <f aca="false">IF(AND(A1411&gt;=Inputs!$C$13,OR(A1411&lt;Inputs!$B$19,Inputs!$B$20=1)),I1411*Inputs!$C$11/C1411,0)</f>
        <v>40.2739726027397</v>
      </c>
    </row>
    <row r="1412" customFormat="false" ht="15" hidden="false" customHeight="false" outlineLevel="0" collapsed="false">
      <c r="A1412" s="35" t="n">
        <f aca="false">A1411+1</f>
        <v>46219</v>
      </c>
      <c r="B1412" s="35" t="n">
        <f aca="false">EOMONTH(A1412+1,0)</f>
        <v>46234</v>
      </c>
      <c r="C1412" s="36" t="n">
        <f aca="false">IF(MOD(YEAR(A1412),4)=0,366,365)</f>
        <v>365</v>
      </c>
      <c r="D1412" s="37" t="n">
        <f aca="false">Inputs!$B$9-SUMIFS(Cash_Events!$G$6:$G$20,Cash_Events!$C$6:$C$20,"rAGMF",Cash_Events!$B$6:$B$20,"&lt;="&amp;A1412)</f>
        <v>735000</v>
      </c>
      <c r="E1412" s="38" t="n">
        <f aca="false">VLOOKUP(A1412,Inputs!$A$40:$B$48,2,TRUE())</f>
        <v>0.0363225</v>
      </c>
      <c r="F1412" s="38" t="n">
        <f aca="false">E1412+Inputs!$B$10</f>
        <v>0.1038225</v>
      </c>
      <c r="G1412" s="37" t="n">
        <f aca="false">D1412*F1412/C1412</f>
        <v>209.067226027397</v>
      </c>
      <c r="H1412" s="37" t="n">
        <f aca="false">IF(AND(A1412&gt;=Inputs!$B$13,OR(A1412&lt;Inputs!$B$19,Inputs!$B$20=1)),D1412*Inputs!$B$11/C1412,0)</f>
        <v>40.2739726027397</v>
      </c>
      <c r="I1412" s="37" t="n">
        <f aca="false">Inputs!$C$9-SUMIFS(Cash_Events!$G$6:$G$20,Cash_Events!$C$6:$C$20,"FHL",Cash_Events!$B$6:$B$20,"&lt;="&amp;A1412)</f>
        <v>735000</v>
      </c>
      <c r="J1412" s="38" t="n">
        <f aca="false">VLOOKUP(A1412,Inputs!$F$40:$G$48,2,TRUE())</f>
        <v>0.0364054</v>
      </c>
      <c r="K1412" s="38" t="n">
        <f aca="false">J1412+Inputs!$C$10</f>
        <v>0.1039054</v>
      </c>
      <c r="L1412" s="37" t="n">
        <f aca="false">I1412*K1412/C1412</f>
        <v>209.234161643836</v>
      </c>
      <c r="M1412" s="37" t="n">
        <f aca="false">IF(AND(A1412&gt;=Inputs!$C$13,OR(A1412&lt;Inputs!$B$19,Inputs!$B$20=1)),I1412*Inputs!$C$11/C1412,0)</f>
        <v>40.2739726027397</v>
      </c>
    </row>
    <row r="1413" customFormat="false" ht="15" hidden="false" customHeight="false" outlineLevel="0" collapsed="false">
      <c r="A1413" s="35" t="n">
        <f aca="false">A1412+1</f>
        <v>46220</v>
      </c>
      <c r="B1413" s="35" t="n">
        <f aca="false">EOMONTH(A1413+1,0)</f>
        <v>46234</v>
      </c>
      <c r="C1413" s="36" t="n">
        <f aca="false">IF(MOD(YEAR(A1413),4)=0,366,365)</f>
        <v>365</v>
      </c>
      <c r="D1413" s="37" t="n">
        <f aca="false">Inputs!$B$9-SUMIFS(Cash_Events!$G$6:$G$20,Cash_Events!$C$6:$C$20,"rAGMF",Cash_Events!$B$6:$B$20,"&lt;="&amp;A1413)</f>
        <v>735000</v>
      </c>
      <c r="E1413" s="38" t="n">
        <f aca="false">VLOOKUP(A1413,Inputs!$A$40:$B$48,2,TRUE())</f>
        <v>0.0363225</v>
      </c>
      <c r="F1413" s="38" t="n">
        <f aca="false">E1413+Inputs!$B$10</f>
        <v>0.1038225</v>
      </c>
      <c r="G1413" s="37" t="n">
        <f aca="false">D1413*F1413/C1413</f>
        <v>209.067226027397</v>
      </c>
      <c r="H1413" s="37" t="n">
        <f aca="false">IF(AND(A1413&gt;=Inputs!$B$13,OR(A1413&lt;Inputs!$B$19,Inputs!$B$20=1)),D1413*Inputs!$B$11/C1413,0)</f>
        <v>40.2739726027397</v>
      </c>
      <c r="I1413" s="37" t="n">
        <f aca="false">Inputs!$C$9-SUMIFS(Cash_Events!$G$6:$G$20,Cash_Events!$C$6:$C$20,"FHL",Cash_Events!$B$6:$B$20,"&lt;="&amp;A1413)</f>
        <v>735000</v>
      </c>
      <c r="J1413" s="38" t="n">
        <f aca="false">VLOOKUP(A1413,Inputs!$F$40:$G$48,2,TRUE())</f>
        <v>0.0364054</v>
      </c>
      <c r="K1413" s="38" t="n">
        <f aca="false">J1413+Inputs!$C$10</f>
        <v>0.1039054</v>
      </c>
      <c r="L1413" s="37" t="n">
        <f aca="false">I1413*K1413/C1413</f>
        <v>209.234161643836</v>
      </c>
      <c r="M1413" s="37" t="n">
        <f aca="false">IF(AND(A1413&gt;=Inputs!$C$13,OR(A1413&lt;Inputs!$B$19,Inputs!$B$20=1)),I1413*Inputs!$C$11/C1413,0)</f>
        <v>40.2739726027397</v>
      </c>
    </row>
    <row r="1414" customFormat="false" ht="15" hidden="false" customHeight="false" outlineLevel="0" collapsed="false">
      <c r="A1414" s="35" t="n">
        <f aca="false">A1413+1</f>
        <v>46221</v>
      </c>
      <c r="B1414" s="35" t="n">
        <f aca="false">EOMONTH(A1414+1,0)</f>
        <v>46234</v>
      </c>
      <c r="C1414" s="36" t="n">
        <f aca="false">IF(MOD(YEAR(A1414),4)=0,366,365)</f>
        <v>365</v>
      </c>
      <c r="D1414" s="37" t="n">
        <f aca="false">Inputs!$B$9-SUMIFS(Cash_Events!$G$6:$G$20,Cash_Events!$C$6:$C$20,"rAGMF",Cash_Events!$B$6:$B$20,"&lt;="&amp;A1414)</f>
        <v>735000</v>
      </c>
      <c r="E1414" s="38" t="n">
        <f aca="false">VLOOKUP(A1414,Inputs!$A$40:$B$48,2,TRUE())</f>
        <v>0.0363225</v>
      </c>
      <c r="F1414" s="38" t="n">
        <f aca="false">E1414+Inputs!$B$10</f>
        <v>0.1038225</v>
      </c>
      <c r="G1414" s="37" t="n">
        <f aca="false">D1414*F1414/C1414</f>
        <v>209.067226027397</v>
      </c>
      <c r="H1414" s="37" t="n">
        <f aca="false">IF(AND(A1414&gt;=Inputs!$B$13,OR(A1414&lt;Inputs!$B$19,Inputs!$B$20=1)),D1414*Inputs!$B$11/C1414,0)</f>
        <v>40.2739726027397</v>
      </c>
      <c r="I1414" s="37" t="n">
        <f aca="false">Inputs!$C$9-SUMIFS(Cash_Events!$G$6:$G$20,Cash_Events!$C$6:$C$20,"FHL",Cash_Events!$B$6:$B$20,"&lt;="&amp;A1414)</f>
        <v>735000</v>
      </c>
      <c r="J1414" s="38" t="n">
        <f aca="false">VLOOKUP(A1414,Inputs!$F$40:$G$48,2,TRUE())</f>
        <v>0.0364054</v>
      </c>
      <c r="K1414" s="38" t="n">
        <f aca="false">J1414+Inputs!$C$10</f>
        <v>0.1039054</v>
      </c>
      <c r="L1414" s="37" t="n">
        <f aca="false">I1414*K1414/C1414</f>
        <v>209.234161643836</v>
      </c>
      <c r="M1414" s="37" t="n">
        <f aca="false">IF(AND(A1414&gt;=Inputs!$C$13,OR(A1414&lt;Inputs!$B$19,Inputs!$B$20=1)),I1414*Inputs!$C$11/C1414,0)</f>
        <v>40.2739726027397</v>
      </c>
    </row>
    <row r="1415" customFormat="false" ht="15" hidden="false" customHeight="false" outlineLevel="0" collapsed="false">
      <c r="A1415" s="35" t="n">
        <f aca="false">A1414+1</f>
        <v>46222</v>
      </c>
      <c r="B1415" s="35" t="n">
        <f aca="false">EOMONTH(A1415+1,0)</f>
        <v>46234</v>
      </c>
      <c r="C1415" s="36" t="n">
        <f aca="false">IF(MOD(YEAR(A1415),4)=0,366,365)</f>
        <v>365</v>
      </c>
      <c r="D1415" s="37" t="n">
        <f aca="false">Inputs!$B$9-SUMIFS(Cash_Events!$G$6:$G$20,Cash_Events!$C$6:$C$20,"rAGMF",Cash_Events!$B$6:$B$20,"&lt;="&amp;A1415)</f>
        <v>735000</v>
      </c>
      <c r="E1415" s="38" t="n">
        <f aca="false">VLOOKUP(A1415,Inputs!$A$40:$B$48,2,TRUE())</f>
        <v>0.0363225</v>
      </c>
      <c r="F1415" s="38" t="n">
        <f aca="false">E1415+Inputs!$B$10</f>
        <v>0.1038225</v>
      </c>
      <c r="G1415" s="37" t="n">
        <f aca="false">D1415*F1415/C1415</f>
        <v>209.067226027397</v>
      </c>
      <c r="H1415" s="37" t="n">
        <f aca="false">IF(AND(A1415&gt;=Inputs!$B$13,OR(A1415&lt;Inputs!$B$19,Inputs!$B$20=1)),D1415*Inputs!$B$11/C1415,0)</f>
        <v>40.2739726027397</v>
      </c>
      <c r="I1415" s="37" t="n">
        <f aca="false">Inputs!$C$9-SUMIFS(Cash_Events!$G$6:$G$20,Cash_Events!$C$6:$C$20,"FHL",Cash_Events!$B$6:$B$20,"&lt;="&amp;A1415)</f>
        <v>735000</v>
      </c>
      <c r="J1415" s="38" t="n">
        <f aca="false">VLOOKUP(A1415,Inputs!$F$40:$G$48,2,TRUE())</f>
        <v>0.0364054</v>
      </c>
      <c r="K1415" s="38" t="n">
        <f aca="false">J1415+Inputs!$C$10</f>
        <v>0.1039054</v>
      </c>
      <c r="L1415" s="37" t="n">
        <f aca="false">I1415*K1415/C1415</f>
        <v>209.234161643836</v>
      </c>
      <c r="M1415" s="37" t="n">
        <f aca="false">IF(AND(A1415&gt;=Inputs!$C$13,OR(A1415&lt;Inputs!$B$19,Inputs!$B$20=1)),I1415*Inputs!$C$11/C1415,0)</f>
        <v>40.2739726027397</v>
      </c>
    </row>
    <row r="1416" customFormat="false" ht="15" hidden="false" customHeight="false" outlineLevel="0" collapsed="false">
      <c r="A1416" s="35" t="n">
        <f aca="false">A1415+1</f>
        <v>46223</v>
      </c>
      <c r="B1416" s="35" t="n">
        <f aca="false">EOMONTH(A1416+1,0)</f>
        <v>46234</v>
      </c>
      <c r="C1416" s="36" t="n">
        <f aca="false">IF(MOD(YEAR(A1416),4)=0,366,365)</f>
        <v>365</v>
      </c>
      <c r="D1416" s="37" t="n">
        <f aca="false">Inputs!$B$9-SUMIFS(Cash_Events!$G$6:$G$20,Cash_Events!$C$6:$C$20,"rAGMF",Cash_Events!$B$6:$B$20,"&lt;="&amp;A1416)</f>
        <v>735000</v>
      </c>
      <c r="E1416" s="38" t="n">
        <f aca="false">VLOOKUP(A1416,Inputs!$A$40:$B$48,2,TRUE())</f>
        <v>0.0363225</v>
      </c>
      <c r="F1416" s="38" t="n">
        <f aca="false">E1416+Inputs!$B$10</f>
        <v>0.1038225</v>
      </c>
      <c r="G1416" s="37" t="n">
        <f aca="false">D1416*F1416/C1416</f>
        <v>209.067226027397</v>
      </c>
      <c r="H1416" s="37" t="n">
        <f aca="false">IF(AND(A1416&gt;=Inputs!$B$13,OR(A1416&lt;Inputs!$B$19,Inputs!$B$20=1)),D1416*Inputs!$B$11/C1416,0)</f>
        <v>40.2739726027397</v>
      </c>
      <c r="I1416" s="37" t="n">
        <f aca="false">Inputs!$C$9-SUMIFS(Cash_Events!$G$6:$G$20,Cash_Events!$C$6:$C$20,"FHL",Cash_Events!$B$6:$B$20,"&lt;="&amp;A1416)</f>
        <v>735000</v>
      </c>
      <c r="J1416" s="38" t="n">
        <f aca="false">VLOOKUP(A1416,Inputs!$F$40:$G$48,2,TRUE())</f>
        <v>0.0364054</v>
      </c>
      <c r="K1416" s="38" t="n">
        <f aca="false">J1416+Inputs!$C$10</f>
        <v>0.1039054</v>
      </c>
      <c r="L1416" s="37" t="n">
        <f aca="false">I1416*K1416/C1416</f>
        <v>209.234161643836</v>
      </c>
      <c r="M1416" s="37" t="n">
        <f aca="false">IF(AND(A1416&gt;=Inputs!$C$13,OR(A1416&lt;Inputs!$B$19,Inputs!$B$20=1)),I1416*Inputs!$C$11/C1416,0)</f>
        <v>40.2739726027397</v>
      </c>
    </row>
    <row r="1417" customFormat="false" ht="15" hidden="false" customHeight="false" outlineLevel="0" collapsed="false">
      <c r="A1417" s="35" t="n">
        <f aca="false">A1416+1</f>
        <v>46224</v>
      </c>
      <c r="B1417" s="35" t="n">
        <f aca="false">EOMONTH(A1417+1,0)</f>
        <v>46234</v>
      </c>
      <c r="C1417" s="36" t="n">
        <f aca="false">IF(MOD(YEAR(A1417),4)=0,366,365)</f>
        <v>365</v>
      </c>
      <c r="D1417" s="37" t="n">
        <f aca="false">Inputs!$B$9-SUMIFS(Cash_Events!$G$6:$G$20,Cash_Events!$C$6:$C$20,"rAGMF",Cash_Events!$B$6:$B$20,"&lt;="&amp;A1417)</f>
        <v>735000</v>
      </c>
      <c r="E1417" s="38" t="n">
        <f aca="false">VLOOKUP(A1417,Inputs!$A$40:$B$48,2,TRUE())</f>
        <v>0.0363225</v>
      </c>
      <c r="F1417" s="38" t="n">
        <f aca="false">E1417+Inputs!$B$10</f>
        <v>0.1038225</v>
      </c>
      <c r="G1417" s="37" t="n">
        <f aca="false">D1417*F1417/C1417</f>
        <v>209.067226027397</v>
      </c>
      <c r="H1417" s="37" t="n">
        <f aca="false">IF(AND(A1417&gt;=Inputs!$B$13,OR(A1417&lt;Inputs!$B$19,Inputs!$B$20=1)),D1417*Inputs!$B$11/C1417,0)</f>
        <v>40.2739726027397</v>
      </c>
      <c r="I1417" s="37" t="n">
        <f aca="false">Inputs!$C$9-SUMIFS(Cash_Events!$G$6:$G$20,Cash_Events!$C$6:$C$20,"FHL",Cash_Events!$B$6:$B$20,"&lt;="&amp;A1417)</f>
        <v>735000</v>
      </c>
      <c r="J1417" s="38" t="n">
        <f aca="false">VLOOKUP(A1417,Inputs!$F$40:$G$48,2,TRUE())</f>
        <v>0.0364054</v>
      </c>
      <c r="K1417" s="38" t="n">
        <f aca="false">J1417+Inputs!$C$10</f>
        <v>0.1039054</v>
      </c>
      <c r="L1417" s="37" t="n">
        <f aca="false">I1417*K1417/C1417</f>
        <v>209.234161643836</v>
      </c>
      <c r="M1417" s="37" t="n">
        <f aca="false">IF(AND(A1417&gt;=Inputs!$C$13,OR(A1417&lt;Inputs!$B$19,Inputs!$B$20=1)),I1417*Inputs!$C$11/C1417,0)</f>
        <v>40.2739726027397</v>
      </c>
    </row>
    <row r="1418" customFormat="false" ht="15" hidden="false" customHeight="false" outlineLevel="0" collapsed="false">
      <c r="A1418" s="35" t="n">
        <f aca="false">A1417+1</f>
        <v>46225</v>
      </c>
      <c r="B1418" s="35" t="n">
        <f aca="false">EOMONTH(A1418+1,0)</f>
        <v>46234</v>
      </c>
      <c r="C1418" s="36" t="n">
        <f aca="false">IF(MOD(YEAR(A1418),4)=0,366,365)</f>
        <v>365</v>
      </c>
      <c r="D1418" s="37" t="n">
        <f aca="false">Inputs!$B$9-SUMIFS(Cash_Events!$G$6:$G$20,Cash_Events!$C$6:$C$20,"rAGMF",Cash_Events!$B$6:$B$20,"&lt;="&amp;A1418)</f>
        <v>735000</v>
      </c>
      <c r="E1418" s="38" t="n">
        <f aca="false">VLOOKUP(A1418,Inputs!$A$40:$B$48,2,TRUE())</f>
        <v>0.0363225</v>
      </c>
      <c r="F1418" s="38" t="n">
        <f aca="false">E1418+Inputs!$B$10</f>
        <v>0.1038225</v>
      </c>
      <c r="G1418" s="37" t="n">
        <f aca="false">D1418*F1418/C1418</f>
        <v>209.067226027397</v>
      </c>
      <c r="H1418" s="37" t="n">
        <f aca="false">IF(AND(A1418&gt;=Inputs!$B$13,OR(A1418&lt;Inputs!$B$19,Inputs!$B$20=1)),D1418*Inputs!$B$11/C1418,0)</f>
        <v>40.2739726027397</v>
      </c>
      <c r="I1418" s="37" t="n">
        <f aca="false">Inputs!$C$9-SUMIFS(Cash_Events!$G$6:$G$20,Cash_Events!$C$6:$C$20,"FHL",Cash_Events!$B$6:$B$20,"&lt;="&amp;A1418)</f>
        <v>735000</v>
      </c>
      <c r="J1418" s="38" t="n">
        <f aca="false">VLOOKUP(A1418,Inputs!$F$40:$G$48,2,TRUE())</f>
        <v>0.0364054</v>
      </c>
      <c r="K1418" s="38" t="n">
        <f aca="false">J1418+Inputs!$C$10</f>
        <v>0.1039054</v>
      </c>
      <c r="L1418" s="37" t="n">
        <f aca="false">I1418*K1418/C1418</f>
        <v>209.234161643836</v>
      </c>
      <c r="M1418" s="37" t="n">
        <f aca="false">IF(AND(A1418&gt;=Inputs!$C$13,OR(A1418&lt;Inputs!$B$19,Inputs!$B$20=1)),I1418*Inputs!$C$11/C1418,0)</f>
        <v>40.2739726027397</v>
      </c>
    </row>
    <row r="1419" customFormat="false" ht="15" hidden="false" customHeight="false" outlineLevel="0" collapsed="false">
      <c r="A1419" s="35" t="n">
        <f aca="false">A1418+1</f>
        <v>46226</v>
      </c>
      <c r="B1419" s="35" t="n">
        <f aca="false">EOMONTH(A1419+1,0)</f>
        <v>46234</v>
      </c>
      <c r="C1419" s="36" t="n">
        <f aca="false">IF(MOD(YEAR(A1419),4)=0,366,365)</f>
        <v>365</v>
      </c>
      <c r="D1419" s="37" t="n">
        <f aca="false">Inputs!$B$9-SUMIFS(Cash_Events!$G$6:$G$20,Cash_Events!$C$6:$C$20,"rAGMF",Cash_Events!$B$6:$B$20,"&lt;="&amp;A1419)</f>
        <v>735000</v>
      </c>
      <c r="E1419" s="38" t="n">
        <f aca="false">VLOOKUP(A1419,Inputs!$A$40:$B$48,2,TRUE())</f>
        <v>0.0363225</v>
      </c>
      <c r="F1419" s="38" t="n">
        <f aca="false">E1419+Inputs!$B$10</f>
        <v>0.1038225</v>
      </c>
      <c r="G1419" s="37" t="n">
        <f aca="false">D1419*F1419/C1419</f>
        <v>209.067226027397</v>
      </c>
      <c r="H1419" s="37" t="n">
        <f aca="false">IF(AND(A1419&gt;=Inputs!$B$13,OR(A1419&lt;Inputs!$B$19,Inputs!$B$20=1)),D1419*Inputs!$B$11/C1419,0)</f>
        <v>40.2739726027397</v>
      </c>
      <c r="I1419" s="37" t="n">
        <f aca="false">Inputs!$C$9-SUMIFS(Cash_Events!$G$6:$G$20,Cash_Events!$C$6:$C$20,"FHL",Cash_Events!$B$6:$B$20,"&lt;="&amp;A1419)</f>
        <v>735000</v>
      </c>
      <c r="J1419" s="38" t="n">
        <f aca="false">VLOOKUP(A1419,Inputs!$F$40:$G$48,2,TRUE())</f>
        <v>0.0364054</v>
      </c>
      <c r="K1419" s="38" t="n">
        <f aca="false">J1419+Inputs!$C$10</f>
        <v>0.1039054</v>
      </c>
      <c r="L1419" s="37" t="n">
        <f aca="false">I1419*K1419/C1419</f>
        <v>209.234161643836</v>
      </c>
      <c r="M1419" s="37" t="n">
        <f aca="false">IF(AND(A1419&gt;=Inputs!$C$13,OR(A1419&lt;Inputs!$B$19,Inputs!$B$20=1)),I1419*Inputs!$C$11/C1419,0)</f>
        <v>40.2739726027397</v>
      </c>
    </row>
    <row r="1420" customFormat="false" ht="15" hidden="false" customHeight="false" outlineLevel="0" collapsed="false">
      <c r="A1420" s="35" t="n">
        <f aca="false">A1419+1</f>
        <v>46227</v>
      </c>
      <c r="B1420" s="35" t="n">
        <f aca="false">EOMONTH(A1420+1,0)</f>
        <v>46234</v>
      </c>
      <c r="C1420" s="36" t="n">
        <f aca="false">IF(MOD(YEAR(A1420),4)=0,366,365)</f>
        <v>365</v>
      </c>
      <c r="D1420" s="37" t="n">
        <f aca="false">Inputs!$B$9-SUMIFS(Cash_Events!$G$6:$G$20,Cash_Events!$C$6:$C$20,"rAGMF",Cash_Events!$B$6:$B$20,"&lt;="&amp;A1420)</f>
        <v>735000</v>
      </c>
      <c r="E1420" s="38" t="n">
        <f aca="false">VLOOKUP(A1420,Inputs!$A$40:$B$48,2,TRUE())</f>
        <v>0.0363225</v>
      </c>
      <c r="F1420" s="38" t="n">
        <f aca="false">E1420+Inputs!$B$10</f>
        <v>0.1038225</v>
      </c>
      <c r="G1420" s="37" t="n">
        <f aca="false">D1420*F1420/C1420</f>
        <v>209.067226027397</v>
      </c>
      <c r="H1420" s="37" t="n">
        <f aca="false">IF(AND(A1420&gt;=Inputs!$B$13,OR(A1420&lt;Inputs!$B$19,Inputs!$B$20=1)),D1420*Inputs!$B$11/C1420,0)</f>
        <v>40.2739726027397</v>
      </c>
      <c r="I1420" s="37" t="n">
        <f aca="false">Inputs!$C$9-SUMIFS(Cash_Events!$G$6:$G$20,Cash_Events!$C$6:$C$20,"FHL",Cash_Events!$B$6:$B$20,"&lt;="&amp;A1420)</f>
        <v>735000</v>
      </c>
      <c r="J1420" s="38" t="n">
        <f aca="false">VLOOKUP(A1420,Inputs!$F$40:$G$48,2,TRUE())</f>
        <v>0.0364054</v>
      </c>
      <c r="K1420" s="38" t="n">
        <f aca="false">J1420+Inputs!$C$10</f>
        <v>0.1039054</v>
      </c>
      <c r="L1420" s="37" t="n">
        <f aca="false">I1420*K1420/C1420</f>
        <v>209.234161643836</v>
      </c>
      <c r="M1420" s="37" t="n">
        <f aca="false">IF(AND(A1420&gt;=Inputs!$C$13,OR(A1420&lt;Inputs!$B$19,Inputs!$B$20=1)),I1420*Inputs!$C$11/C1420,0)</f>
        <v>40.2739726027397</v>
      </c>
    </row>
    <row r="1421" customFormat="false" ht="15" hidden="false" customHeight="false" outlineLevel="0" collapsed="false">
      <c r="A1421" s="35" t="n">
        <f aca="false">A1420+1</f>
        <v>46228</v>
      </c>
      <c r="B1421" s="35" t="n">
        <f aca="false">EOMONTH(A1421+1,0)</f>
        <v>46234</v>
      </c>
      <c r="C1421" s="36" t="n">
        <f aca="false">IF(MOD(YEAR(A1421),4)=0,366,365)</f>
        <v>365</v>
      </c>
      <c r="D1421" s="37" t="n">
        <f aca="false">Inputs!$B$9-SUMIFS(Cash_Events!$G$6:$G$20,Cash_Events!$C$6:$C$20,"rAGMF",Cash_Events!$B$6:$B$20,"&lt;="&amp;A1421)</f>
        <v>735000</v>
      </c>
      <c r="E1421" s="38" t="n">
        <f aca="false">VLOOKUP(A1421,Inputs!$A$40:$B$48,2,TRUE())</f>
        <v>0.0363225</v>
      </c>
      <c r="F1421" s="38" t="n">
        <f aca="false">E1421+Inputs!$B$10</f>
        <v>0.1038225</v>
      </c>
      <c r="G1421" s="37" t="n">
        <f aca="false">D1421*F1421/C1421</f>
        <v>209.067226027397</v>
      </c>
      <c r="H1421" s="37" t="n">
        <f aca="false">IF(AND(A1421&gt;=Inputs!$B$13,OR(A1421&lt;Inputs!$B$19,Inputs!$B$20=1)),D1421*Inputs!$B$11/C1421,0)</f>
        <v>40.2739726027397</v>
      </c>
      <c r="I1421" s="37" t="n">
        <f aca="false">Inputs!$C$9-SUMIFS(Cash_Events!$G$6:$G$20,Cash_Events!$C$6:$C$20,"FHL",Cash_Events!$B$6:$B$20,"&lt;="&amp;A1421)</f>
        <v>735000</v>
      </c>
      <c r="J1421" s="38" t="n">
        <f aca="false">VLOOKUP(A1421,Inputs!$F$40:$G$48,2,TRUE())</f>
        <v>0.0364054</v>
      </c>
      <c r="K1421" s="38" t="n">
        <f aca="false">J1421+Inputs!$C$10</f>
        <v>0.1039054</v>
      </c>
      <c r="L1421" s="37" t="n">
        <f aca="false">I1421*K1421/C1421</f>
        <v>209.234161643836</v>
      </c>
      <c r="M1421" s="37" t="n">
        <f aca="false">IF(AND(A1421&gt;=Inputs!$C$13,OR(A1421&lt;Inputs!$B$19,Inputs!$B$20=1)),I1421*Inputs!$C$11/C1421,0)</f>
        <v>40.2739726027397</v>
      </c>
    </row>
    <row r="1422" customFormat="false" ht="15" hidden="false" customHeight="false" outlineLevel="0" collapsed="false">
      <c r="A1422" s="35" t="n">
        <f aca="false">A1421+1</f>
        <v>46229</v>
      </c>
      <c r="B1422" s="35" t="n">
        <f aca="false">EOMONTH(A1422+1,0)</f>
        <v>46234</v>
      </c>
      <c r="C1422" s="36" t="n">
        <f aca="false">IF(MOD(YEAR(A1422),4)=0,366,365)</f>
        <v>365</v>
      </c>
      <c r="D1422" s="37" t="n">
        <f aca="false">Inputs!$B$9-SUMIFS(Cash_Events!$G$6:$G$20,Cash_Events!$C$6:$C$20,"rAGMF",Cash_Events!$B$6:$B$20,"&lt;="&amp;A1422)</f>
        <v>735000</v>
      </c>
      <c r="E1422" s="38" t="n">
        <f aca="false">VLOOKUP(A1422,Inputs!$A$40:$B$48,2,TRUE())</f>
        <v>0.0363225</v>
      </c>
      <c r="F1422" s="38" t="n">
        <f aca="false">E1422+Inputs!$B$10</f>
        <v>0.1038225</v>
      </c>
      <c r="G1422" s="37" t="n">
        <f aca="false">D1422*F1422/C1422</f>
        <v>209.067226027397</v>
      </c>
      <c r="H1422" s="37" t="n">
        <f aca="false">IF(AND(A1422&gt;=Inputs!$B$13,OR(A1422&lt;Inputs!$B$19,Inputs!$B$20=1)),D1422*Inputs!$B$11/C1422,0)</f>
        <v>40.2739726027397</v>
      </c>
      <c r="I1422" s="37" t="n">
        <f aca="false">Inputs!$C$9-SUMIFS(Cash_Events!$G$6:$G$20,Cash_Events!$C$6:$C$20,"FHL",Cash_Events!$B$6:$B$20,"&lt;="&amp;A1422)</f>
        <v>735000</v>
      </c>
      <c r="J1422" s="38" t="n">
        <f aca="false">VLOOKUP(A1422,Inputs!$F$40:$G$48,2,TRUE())</f>
        <v>0.0364054</v>
      </c>
      <c r="K1422" s="38" t="n">
        <f aca="false">J1422+Inputs!$C$10</f>
        <v>0.1039054</v>
      </c>
      <c r="L1422" s="37" t="n">
        <f aca="false">I1422*K1422/C1422</f>
        <v>209.234161643836</v>
      </c>
      <c r="M1422" s="37" t="n">
        <f aca="false">IF(AND(A1422&gt;=Inputs!$C$13,OR(A1422&lt;Inputs!$B$19,Inputs!$B$20=1)),I1422*Inputs!$C$11/C1422,0)</f>
        <v>40.2739726027397</v>
      </c>
    </row>
    <row r="1423" customFormat="false" ht="15" hidden="false" customHeight="false" outlineLevel="0" collapsed="false">
      <c r="A1423" s="35" t="n">
        <f aca="false">A1422+1</f>
        <v>46230</v>
      </c>
      <c r="B1423" s="35" t="n">
        <f aca="false">EOMONTH(A1423+1,0)</f>
        <v>46234</v>
      </c>
      <c r="C1423" s="36" t="n">
        <f aca="false">IF(MOD(YEAR(A1423),4)=0,366,365)</f>
        <v>365</v>
      </c>
      <c r="D1423" s="37" t="n">
        <f aca="false">Inputs!$B$9-SUMIFS(Cash_Events!$G$6:$G$20,Cash_Events!$C$6:$C$20,"rAGMF",Cash_Events!$B$6:$B$20,"&lt;="&amp;A1423)</f>
        <v>735000</v>
      </c>
      <c r="E1423" s="38" t="n">
        <f aca="false">VLOOKUP(A1423,Inputs!$A$40:$B$48,2,TRUE())</f>
        <v>0.0363225</v>
      </c>
      <c r="F1423" s="38" t="n">
        <f aca="false">E1423+Inputs!$B$10</f>
        <v>0.1038225</v>
      </c>
      <c r="G1423" s="37" t="n">
        <f aca="false">D1423*F1423/C1423</f>
        <v>209.067226027397</v>
      </c>
      <c r="H1423" s="37" t="n">
        <f aca="false">IF(AND(A1423&gt;=Inputs!$B$13,OR(A1423&lt;Inputs!$B$19,Inputs!$B$20=1)),D1423*Inputs!$B$11/C1423,0)</f>
        <v>40.2739726027397</v>
      </c>
      <c r="I1423" s="37" t="n">
        <f aca="false">Inputs!$C$9-SUMIFS(Cash_Events!$G$6:$G$20,Cash_Events!$C$6:$C$20,"FHL",Cash_Events!$B$6:$B$20,"&lt;="&amp;A1423)</f>
        <v>735000</v>
      </c>
      <c r="J1423" s="38" t="n">
        <f aca="false">VLOOKUP(A1423,Inputs!$F$40:$G$48,2,TRUE())</f>
        <v>0.0364054</v>
      </c>
      <c r="K1423" s="38" t="n">
        <f aca="false">J1423+Inputs!$C$10</f>
        <v>0.1039054</v>
      </c>
      <c r="L1423" s="37" t="n">
        <f aca="false">I1423*K1423/C1423</f>
        <v>209.234161643836</v>
      </c>
      <c r="M1423" s="37" t="n">
        <f aca="false">IF(AND(A1423&gt;=Inputs!$C$13,OR(A1423&lt;Inputs!$B$19,Inputs!$B$20=1)),I1423*Inputs!$C$11/C1423,0)</f>
        <v>40.2739726027397</v>
      </c>
    </row>
    <row r="1424" customFormat="false" ht="15" hidden="false" customHeight="false" outlineLevel="0" collapsed="false">
      <c r="A1424" s="35" t="n">
        <f aca="false">A1423+1</f>
        <v>46231</v>
      </c>
      <c r="B1424" s="35" t="n">
        <f aca="false">EOMONTH(A1424+1,0)</f>
        <v>46234</v>
      </c>
      <c r="C1424" s="36" t="n">
        <f aca="false">IF(MOD(YEAR(A1424),4)=0,366,365)</f>
        <v>365</v>
      </c>
      <c r="D1424" s="37" t="n">
        <f aca="false">Inputs!$B$9-SUMIFS(Cash_Events!$G$6:$G$20,Cash_Events!$C$6:$C$20,"rAGMF",Cash_Events!$B$6:$B$20,"&lt;="&amp;A1424)</f>
        <v>735000</v>
      </c>
      <c r="E1424" s="38" t="n">
        <f aca="false">VLOOKUP(A1424,Inputs!$A$40:$B$48,2,TRUE())</f>
        <v>0.0363225</v>
      </c>
      <c r="F1424" s="38" t="n">
        <f aca="false">E1424+Inputs!$B$10</f>
        <v>0.1038225</v>
      </c>
      <c r="G1424" s="37" t="n">
        <f aca="false">D1424*F1424/C1424</f>
        <v>209.067226027397</v>
      </c>
      <c r="H1424" s="37" t="n">
        <f aca="false">IF(AND(A1424&gt;=Inputs!$B$13,OR(A1424&lt;Inputs!$B$19,Inputs!$B$20=1)),D1424*Inputs!$B$11/C1424,0)</f>
        <v>40.2739726027397</v>
      </c>
      <c r="I1424" s="37" t="n">
        <f aca="false">Inputs!$C$9-SUMIFS(Cash_Events!$G$6:$G$20,Cash_Events!$C$6:$C$20,"FHL",Cash_Events!$B$6:$B$20,"&lt;="&amp;A1424)</f>
        <v>735000</v>
      </c>
      <c r="J1424" s="38" t="n">
        <f aca="false">VLOOKUP(A1424,Inputs!$F$40:$G$48,2,TRUE())</f>
        <v>0.0364054</v>
      </c>
      <c r="K1424" s="38" t="n">
        <f aca="false">J1424+Inputs!$C$10</f>
        <v>0.1039054</v>
      </c>
      <c r="L1424" s="37" t="n">
        <f aca="false">I1424*K1424/C1424</f>
        <v>209.234161643836</v>
      </c>
      <c r="M1424" s="37" t="n">
        <f aca="false">IF(AND(A1424&gt;=Inputs!$C$13,OR(A1424&lt;Inputs!$B$19,Inputs!$B$20=1)),I1424*Inputs!$C$11/C1424,0)</f>
        <v>40.2739726027397</v>
      </c>
    </row>
    <row r="1425" customFormat="false" ht="15" hidden="false" customHeight="false" outlineLevel="0" collapsed="false">
      <c r="A1425" s="35" t="n">
        <f aca="false">A1424+1</f>
        <v>46232</v>
      </c>
      <c r="B1425" s="35" t="n">
        <f aca="false">EOMONTH(A1425+1,0)</f>
        <v>46234</v>
      </c>
      <c r="C1425" s="36" t="n">
        <f aca="false">IF(MOD(YEAR(A1425),4)=0,366,365)</f>
        <v>365</v>
      </c>
      <c r="D1425" s="37" t="n">
        <f aca="false">Inputs!$B$9-SUMIFS(Cash_Events!$G$6:$G$20,Cash_Events!$C$6:$C$20,"rAGMF",Cash_Events!$B$6:$B$20,"&lt;="&amp;A1425)</f>
        <v>735000</v>
      </c>
      <c r="E1425" s="38" t="n">
        <f aca="false">VLOOKUP(A1425,Inputs!$A$40:$B$48,2,TRUE())</f>
        <v>0.0363225</v>
      </c>
      <c r="F1425" s="38" t="n">
        <f aca="false">E1425+Inputs!$B$10</f>
        <v>0.1038225</v>
      </c>
      <c r="G1425" s="37" t="n">
        <f aca="false">D1425*F1425/C1425</f>
        <v>209.067226027397</v>
      </c>
      <c r="H1425" s="37" t="n">
        <f aca="false">IF(AND(A1425&gt;=Inputs!$B$13,OR(A1425&lt;Inputs!$B$19,Inputs!$B$20=1)),D1425*Inputs!$B$11/C1425,0)</f>
        <v>40.2739726027397</v>
      </c>
      <c r="I1425" s="37" t="n">
        <f aca="false">Inputs!$C$9-SUMIFS(Cash_Events!$G$6:$G$20,Cash_Events!$C$6:$C$20,"FHL",Cash_Events!$B$6:$B$20,"&lt;="&amp;A1425)</f>
        <v>735000</v>
      </c>
      <c r="J1425" s="38" t="n">
        <f aca="false">VLOOKUP(A1425,Inputs!$F$40:$G$48,2,TRUE())</f>
        <v>0.0364054</v>
      </c>
      <c r="K1425" s="38" t="n">
        <f aca="false">J1425+Inputs!$C$10</f>
        <v>0.1039054</v>
      </c>
      <c r="L1425" s="37" t="n">
        <f aca="false">I1425*K1425/C1425</f>
        <v>209.234161643836</v>
      </c>
      <c r="M1425" s="37" t="n">
        <f aca="false">IF(AND(A1425&gt;=Inputs!$C$13,OR(A1425&lt;Inputs!$B$19,Inputs!$B$20=1)),I1425*Inputs!$C$11/C1425,0)</f>
        <v>40.2739726027397</v>
      </c>
    </row>
    <row r="1426" customFormat="false" ht="15" hidden="false" customHeight="false" outlineLevel="0" collapsed="false">
      <c r="A1426" s="35" t="n">
        <f aca="false">A1425+1</f>
        <v>46233</v>
      </c>
      <c r="B1426" s="35" t="n">
        <f aca="false">EOMONTH(A1426+1,0)</f>
        <v>46234</v>
      </c>
      <c r="C1426" s="36" t="n">
        <f aca="false">IF(MOD(YEAR(A1426),4)=0,366,365)</f>
        <v>365</v>
      </c>
      <c r="D1426" s="37" t="n">
        <f aca="false">Inputs!$B$9-SUMIFS(Cash_Events!$G$6:$G$20,Cash_Events!$C$6:$C$20,"rAGMF",Cash_Events!$B$6:$B$20,"&lt;="&amp;A1426)</f>
        <v>735000</v>
      </c>
      <c r="E1426" s="38" t="n">
        <f aca="false">VLOOKUP(A1426,Inputs!$A$40:$B$48,2,TRUE())</f>
        <v>0.0363225</v>
      </c>
      <c r="F1426" s="38" t="n">
        <f aca="false">E1426+Inputs!$B$10</f>
        <v>0.1038225</v>
      </c>
      <c r="G1426" s="37" t="n">
        <f aca="false">D1426*F1426/C1426</f>
        <v>209.067226027397</v>
      </c>
      <c r="H1426" s="37" t="n">
        <f aca="false">IF(AND(A1426&gt;=Inputs!$B$13,OR(A1426&lt;Inputs!$B$19,Inputs!$B$20=1)),D1426*Inputs!$B$11/C1426,0)</f>
        <v>40.2739726027397</v>
      </c>
      <c r="I1426" s="37" t="n">
        <f aca="false">Inputs!$C$9-SUMIFS(Cash_Events!$G$6:$G$20,Cash_Events!$C$6:$C$20,"FHL",Cash_Events!$B$6:$B$20,"&lt;="&amp;A1426)</f>
        <v>735000</v>
      </c>
      <c r="J1426" s="38" t="n">
        <f aca="false">VLOOKUP(A1426,Inputs!$F$40:$G$48,2,TRUE())</f>
        <v>0.0364054</v>
      </c>
      <c r="K1426" s="38" t="n">
        <f aca="false">J1426+Inputs!$C$10</f>
        <v>0.1039054</v>
      </c>
      <c r="L1426" s="37" t="n">
        <f aca="false">I1426*K1426/C1426</f>
        <v>209.234161643836</v>
      </c>
      <c r="M1426" s="37" t="n">
        <f aca="false">IF(AND(A1426&gt;=Inputs!$C$13,OR(A1426&lt;Inputs!$B$19,Inputs!$B$20=1)),I1426*Inputs!$C$11/C1426,0)</f>
        <v>40.2739726027397</v>
      </c>
    </row>
    <row r="1427" customFormat="false" ht="15" hidden="false" customHeight="false" outlineLevel="0" collapsed="false">
      <c r="A1427" s="35" t="n">
        <f aca="false">A1426+1</f>
        <v>46234</v>
      </c>
      <c r="B1427" s="35" t="n">
        <f aca="false">EOMONTH(A1427+1,0)</f>
        <v>46265</v>
      </c>
      <c r="C1427" s="36" t="n">
        <f aca="false">IF(MOD(YEAR(A1427),4)=0,366,365)</f>
        <v>365</v>
      </c>
      <c r="D1427" s="37" t="n">
        <f aca="false">Inputs!$B$9-SUMIFS(Cash_Events!$G$6:$G$20,Cash_Events!$C$6:$C$20,"rAGMF",Cash_Events!$B$6:$B$20,"&lt;="&amp;A1427)</f>
        <v>735000</v>
      </c>
      <c r="E1427" s="38" t="n">
        <f aca="false">VLOOKUP(A1427,Inputs!$A$40:$B$48,2,TRUE())</f>
        <v>0.0363225</v>
      </c>
      <c r="F1427" s="38" t="n">
        <f aca="false">E1427+Inputs!$B$10</f>
        <v>0.1038225</v>
      </c>
      <c r="G1427" s="37" t="n">
        <f aca="false">D1427*F1427/C1427</f>
        <v>209.067226027397</v>
      </c>
      <c r="H1427" s="37" t="n">
        <f aca="false">IF(AND(A1427&gt;=Inputs!$B$13,OR(A1427&lt;Inputs!$B$19,Inputs!$B$20=1)),D1427*Inputs!$B$11/C1427,0)</f>
        <v>40.2739726027397</v>
      </c>
      <c r="I1427" s="37" t="n">
        <f aca="false">Inputs!$C$9-SUMIFS(Cash_Events!$G$6:$G$20,Cash_Events!$C$6:$C$20,"FHL",Cash_Events!$B$6:$B$20,"&lt;="&amp;A1427)</f>
        <v>735000</v>
      </c>
      <c r="J1427" s="38" t="n">
        <f aca="false">VLOOKUP(A1427,Inputs!$F$40:$G$48,2,TRUE())</f>
        <v>0.0364054</v>
      </c>
      <c r="K1427" s="38" t="n">
        <f aca="false">J1427+Inputs!$C$10</f>
        <v>0.1039054</v>
      </c>
      <c r="L1427" s="37" t="n">
        <f aca="false">I1427*K1427/C1427</f>
        <v>209.234161643836</v>
      </c>
      <c r="M1427" s="37" t="n">
        <f aca="false">IF(AND(A1427&gt;=Inputs!$C$13,OR(A1427&lt;Inputs!$B$19,Inputs!$B$20=1)),I1427*Inputs!$C$11/C1427,0)</f>
        <v>40.2739726027397</v>
      </c>
    </row>
    <row r="1428" customFormat="false" ht="15" hidden="false" customHeight="false" outlineLevel="0" collapsed="false">
      <c r="A1428" s="35" t="n">
        <f aca="false">A1427+1</f>
        <v>46235</v>
      </c>
      <c r="B1428" s="35" t="n">
        <f aca="false">EOMONTH(A1428+1,0)</f>
        <v>46265</v>
      </c>
      <c r="C1428" s="36" t="n">
        <f aca="false">IF(MOD(YEAR(A1428),4)=0,366,365)</f>
        <v>365</v>
      </c>
      <c r="D1428" s="37" t="n">
        <f aca="false">Inputs!$B$9-SUMIFS(Cash_Events!$G$6:$G$20,Cash_Events!$C$6:$C$20,"rAGMF",Cash_Events!$B$6:$B$20,"&lt;="&amp;A1428)</f>
        <v>735000</v>
      </c>
      <c r="E1428" s="38" t="n">
        <f aca="false">VLOOKUP(A1428,Inputs!$A$40:$B$48,2,TRUE())</f>
        <v>0.0363225</v>
      </c>
      <c r="F1428" s="38" t="n">
        <f aca="false">E1428+Inputs!$B$10</f>
        <v>0.1038225</v>
      </c>
      <c r="G1428" s="37" t="n">
        <f aca="false">D1428*F1428/C1428</f>
        <v>209.067226027397</v>
      </c>
      <c r="H1428" s="37" t="n">
        <f aca="false">IF(AND(A1428&gt;=Inputs!$B$13,OR(A1428&lt;Inputs!$B$19,Inputs!$B$20=1)),D1428*Inputs!$B$11/C1428,0)</f>
        <v>40.2739726027397</v>
      </c>
      <c r="I1428" s="37" t="n">
        <f aca="false">Inputs!$C$9-SUMIFS(Cash_Events!$G$6:$G$20,Cash_Events!$C$6:$C$20,"FHL",Cash_Events!$B$6:$B$20,"&lt;="&amp;A1428)</f>
        <v>735000</v>
      </c>
      <c r="J1428" s="38" t="n">
        <f aca="false">VLOOKUP(A1428,Inputs!$F$40:$G$48,2,TRUE())</f>
        <v>0.0364054</v>
      </c>
      <c r="K1428" s="38" t="n">
        <f aca="false">J1428+Inputs!$C$10</f>
        <v>0.1039054</v>
      </c>
      <c r="L1428" s="37" t="n">
        <f aca="false">I1428*K1428/C1428</f>
        <v>209.234161643836</v>
      </c>
      <c r="M1428" s="37" t="n">
        <f aca="false">IF(AND(A1428&gt;=Inputs!$C$13,OR(A1428&lt;Inputs!$B$19,Inputs!$B$20=1)),I1428*Inputs!$C$11/C1428,0)</f>
        <v>40.2739726027397</v>
      </c>
    </row>
    <row r="1429" customFormat="false" ht="15" hidden="false" customHeight="false" outlineLevel="0" collapsed="false">
      <c r="A1429" s="35" t="n">
        <f aca="false">A1428+1</f>
        <v>46236</v>
      </c>
      <c r="B1429" s="35" t="n">
        <f aca="false">EOMONTH(A1429+1,0)</f>
        <v>46265</v>
      </c>
      <c r="C1429" s="36" t="n">
        <f aca="false">IF(MOD(YEAR(A1429),4)=0,366,365)</f>
        <v>365</v>
      </c>
      <c r="D1429" s="37" t="n">
        <f aca="false">Inputs!$B$9-SUMIFS(Cash_Events!$G$6:$G$20,Cash_Events!$C$6:$C$20,"rAGMF",Cash_Events!$B$6:$B$20,"&lt;="&amp;A1429)</f>
        <v>735000</v>
      </c>
      <c r="E1429" s="38" t="n">
        <f aca="false">VLOOKUP(A1429,Inputs!$A$40:$B$48,2,TRUE())</f>
        <v>0.0363225</v>
      </c>
      <c r="F1429" s="38" t="n">
        <f aca="false">E1429+Inputs!$B$10</f>
        <v>0.1038225</v>
      </c>
      <c r="G1429" s="37" t="n">
        <f aca="false">D1429*F1429/C1429</f>
        <v>209.067226027397</v>
      </c>
      <c r="H1429" s="37" t="n">
        <f aca="false">IF(AND(A1429&gt;=Inputs!$B$13,OR(A1429&lt;Inputs!$B$19,Inputs!$B$20=1)),D1429*Inputs!$B$11/C1429,0)</f>
        <v>40.2739726027397</v>
      </c>
      <c r="I1429" s="37" t="n">
        <f aca="false">Inputs!$C$9-SUMIFS(Cash_Events!$G$6:$G$20,Cash_Events!$C$6:$C$20,"FHL",Cash_Events!$B$6:$B$20,"&lt;="&amp;A1429)</f>
        <v>735000</v>
      </c>
      <c r="J1429" s="38" t="n">
        <f aca="false">VLOOKUP(A1429,Inputs!$F$40:$G$48,2,TRUE())</f>
        <v>0.0364054</v>
      </c>
      <c r="K1429" s="38" t="n">
        <f aca="false">J1429+Inputs!$C$10</f>
        <v>0.1039054</v>
      </c>
      <c r="L1429" s="37" t="n">
        <f aca="false">I1429*K1429/C1429</f>
        <v>209.234161643836</v>
      </c>
      <c r="M1429" s="37" t="n">
        <f aca="false">IF(AND(A1429&gt;=Inputs!$C$13,OR(A1429&lt;Inputs!$B$19,Inputs!$B$20=1)),I1429*Inputs!$C$11/C1429,0)</f>
        <v>40.2739726027397</v>
      </c>
    </row>
    <row r="1430" customFormat="false" ht="15" hidden="false" customHeight="false" outlineLevel="0" collapsed="false">
      <c r="A1430" s="35" t="n">
        <f aca="false">A1429+1</f>
        <v>46237</v>
      </c>
      <c r="B1430" s="35" t="n">
        <f aca="false">EOMONTH(A1430+1,0)</f>
        <v>46265</v>
      </c>
      <c r="C1430" s="36" t="n">
        <f aca="false">IF(MOD(YEAR(A1430),4)=0,366,365)</f>
        <v>365</v>
      </c>
      <c r="D1430" s="37" t="n">
        <f aca="false">Inputs!$B$9-SUMIFS(Cash_Events!$G$6:$G$20,Cash_Events!$C$6:$C$20,"rAGMF",Cash_Events!$B$6:$B$20,"&lt;="&amp;A1430)</f>
        <v>735000</v>
      </c>
      <c r="E1430" s="38" t="n">
        <f aca="false">VLOOKUP(A1430,Inputs!$A$40:$B$48,2,TRUE())</f>
        <v>0.0363225</v>
      </c>
      <c r="F1430" s="38" t="n">
        <f aca="false">E1430+Inputs!$B$10</f>
        <v>0.1038225</v>
      </c>
      <c r="G1430" s="37" t="n">
        <f aca="false">D1430*F1430/C1430</f>
        <v>209.067226027397</v>
      </c>
      <c r="H1430" s="37" t="n">
        <f aca="false">IF(AND(A1430&gt;=Inputs!$B$13,OR(A1430&lt;Inputs!$B$19,Inputs!$B$20=1)),D1430*Inputs!$B$11/C1430,0)</f>
        <v>40.2739726027397</v>
      </c>
      <c r="I1430" s="37" t="n">
        <f aca="false">Inputs!$C$9-SUMIFS(Cash_Events!$G$6:$G$20,Cash_Events!$C$6:$C$20,"FHL",Cash_Events!$B$6:$B$20,"&lt;="&amp;A1430)</f>
        <v>735000</v>
      </c>
      <c r="J1430" s="38" t="n">
        <f aca="false">VLOOKUP(A1430,Inputs!$F$40:$G$48,2,TRUE())</f>
        <v>0.0364054</v>
      </c>
      <c r="K1430" s="38" t="n">
        <f aca="false">J1430+Inputs!$C$10</f>
        <v>0.1039054</v>
      </c>
      <c r="L1430" s="37" t="n">
        <f aca="false">I1430*K1430/C1430</f>
        <v>209.234161643836</v>
      </c>
      <c r="M1430" s="37" t="n">
        <f aca="false">IF(AND(A1430&gt;=Inputs!$C$13,OR(A1430&lt;Inputs!$B$19,Inputs!$B$20=1)),I1430*Inputs!$C$11/C1430,0)</f>
        <v>40.2739726027397</v>
      </c>
    </row>
    <row r="1431" customFormat="false" ht="15" hidden="false" customHeight="false" outlineLevel="0" collapsed="false">
      <c r="A1431" s="35" t="n">
        <f aca="false">A1430+1</f>
        <v>46238</v>
      </c>
      <c r="B1431" s="35" t="n">
        <f aca="false">EOMONTH(A1431+1,0)</f>
        <v>46265</v>
      </c>
      <c r="C1431" s="36" t="n">
        <f aca="false">IF(MOD(YEAR(A1431),4)=0,366,365)</f>
        <v>365</v>
      </c>
      <c r="D1431" s="37" t="n">
        <f aca="false">Inputs!$B$9-SUMIFS(Cash_Events!$G$6:$G$20,Cash_Events!$C$6:$C$20,"rAGMF",Cash_Events!$B$6:$B$20,"&lt;="&amp;A1431)</f>
        <v>735000</v>
      </c>
      <c r="E1431" s="38" t="n">
        <f aca="false">VLOOKUP(A1431,Inputs!$A$40:$B$48,2,TRUE())</f>
        <v>0.0363225</v>
      </c>
      <c r="F1431" s="38" t="n">
        <f aca="false">E1431+Inputs!$B$10</f>
        <v>0.1038225</v>
      </c>
      <c r="G1431" s="37" t="n">
        <f aca="false">D1431*F1431/C1431</f>
        <v>209.067226027397</v>
      </c>
      <c r="H1431" s="37" t="n">
        <f aca="false">IF(AND(A1431&gt;=Inputs!$B$13,OR(A1431&lt;Inputs!$B$19,Inputs!$B$20=1)),D1431*Inputs!$B$11/C1431,0)</f>
        <v>40.2739726027397</v>
      </c>
      <c r="I1431" s="37" t="n">
        <f aca="false">Inputs!$C$9-SUMIFS(Cash_Events!$G$6:$G$20,Cash_Events!$C$6:$C$20,"FHL",Cash_Events!$B$6:$B$20,"&lt;="&amp;A1431)</f>
        <v>735000</v>
      </c>
      <c r="J1431" s="38" t="n">
        <f aca="false">VLOOKUP(A1431,Inputs!$F$40:$G$48,2,TRUE())</f>
        <v>0.0364054</v>
      </c>
      <c r="K1431" s="38" t="n">
        <f aca="false">J1431+Inputs!$C$10</f>
        <v>0.1039054</v>
      </c>
      <c r="L1431" s="37" t="n">
        <f aca="false">I1431*K1431/C1431</f>
        <v>209.234161643836</v>
      </c>
      <c r="M1431" s="37" t="n">
        <f aca="false">IF(AND(A1431&gt;=Inputs!$C$13,OR(A1431&lt;Inputs!$B$19,Inputs!$B$20=1)),I1431*Inputs!$C$11/C1431,0)</f>
        <v>40.2739726027397</v>
      </c>
    </row>
    <row r="1432" customFormat="false" ht="15" hidden="false" customHeight="false" outlineLevel="0" collapsed="false">
      <c r="A1432" s="35" t="n">
        <f aca="false">A1431+1</f>
        <v>46239</v>
      </c>
      <c r="B1432" s="35" t="n">
        <f aca="false">EOMONTH(A1432+1,0)</f>
        <v>46265</v>
      </c>
      <c r="C1432" s="36" t="n">
        <f aca="false">IF(MOD(YEAR(A1432),4)=0,366,365)</f>
        <v>365</v>
      </c>
      <c r="D1432" s="37" t="n">
        <f aca="false">Inputs!$B$9-SUMIFS(Cash_Events!$G$6:$G$20,Cash_Events!$C$6:$C$20,"rAGMF",Cash_Events!$B$6:$B$20,"&lt;="&amp;A1432)</f>
        <v>735000</v>
      </c>
      <c r="E1432" s="38" t="n">
        <f aca="false">VLOOKUP(A1432,Inputs!$A$40:$B$48,2,TRUE())</f>
        <v>0.0363225</v>
      </c>
      <c r="F1432" s="38" t="n">
        <f aca="false">E1432+Inputs!$B$10</f>
        <v>0.1038225</v>
      </c>
      <c r="G1432" s="37" t="n">
        <f aca="false">D1432*F1432/C1432</f>
        <v>209.067226027397</v>
      </c>
      <c r="H1432" s="37" t="n">
        <f aca="false">IF(AND(A1432&gt;=Inputs!$B$13,OR(A1432&lt;Inputs!$B$19,Inputs!$B$20=1)),D1432*Inputs!$B$11/C1432,0)</f>
        <v>40.2739726027397</v>
      </c>
      <c r="I1432" s="37" t="n">
        <f aca="false">Inputs!$C$9-SUMIFS(Cash_Events!$G$6:$G$20,Cash_Events!$C$6:$C$20,"FHL",Cash_Events!$B$6:$B$20,"&lt;="&amp;A1432)</f>
        <v>735000</v>
      </c>
      <c r="J1432" s="38" t="n">
        <f aca="false">VLOOKUP(A1432,Inputs!$F$40:$G$48,2,TRUE())</f>
        <v>0.0364054</v>
      </c>
      <c r="K1432" s="38" t="n">
        <f aca="false">J1432+Inputs!$C$10</f>
        <v>0.1039054</v>
      </c>
      <c r="L1432" s="37" t="n">
        <f aca="false">I1432*K1432/C1432</f>
        <v>209.234161643836</v>
      </c>
      <c r="M1432" s="37" t="n">
        <f aca="false">IF(AND(A1432&gt;=Inputs!$C$13,OR(A1432&lt;Inputs!$B$19,Inputs!$B$20=1)),I1432*Inputs!$C$11/C1432,0)</f>
        <v>40.2739726027397</v>
      </c>
    </row>
    <row r="1433" customFormat="false" ht="15" hidden="false" customHeight="false" outlineLevel="0" collapsed="false">
      <c r="A1433" s="35" t="n">
        <f aca="false">A1432+1</f>
        <v>46240</v>
      </c>
      <c r="B1433" s="35" t="n">
        <f aca="false">EOMONTH(A1433+1,0)</f>
        <v>46265</v>
      </c>
      <c r="C1433" s="36" t="n">
        <f aca="false">IF(MOD(YEAR(A1433),4)=0,366,365)</f>
        <v>365</v>
      </c>
      <c r="D1433" s="37" t="n">
        <f aca="false">Inputs!$B$9-SUMIFS(Cash_Events!$G$6:$G$20,Cash_Events!$C$6:$C$20,"rAGMF",Cash_Events!$B$6:$B$20,"&lt;="&amp;A1433)</f>
        <v>735000</v>
      </c>
      <c r="E1433" s="38" t="n">
        <f aca="false">VLOOKUP(A1433,Inputs!$A$40:$B$48,2,TRUE())</f>
        <v>0.0363225</v>
      </c>
      <c r="F1433" s="38" t="n">
        <f aca="false">E1433+Inputs!$B$10</f>
        <v>0.1038225</v>
      </c>
      <c r="G1433" s="37" t="n">
        <f aca="false">D1433*F1433/C1433</f>
        <v>209.067226027397</v>
      </c>
      <c r="H1433" s="37" t="n">
        <f aca="false">IF(AND(A1433&gt;=Inputs!$B$13,OR(A1433&lt;Inputs!$B$19,Inputs!$B$20=1)),D1433*Inputs!$B$11/C1433,0)</f>
        <v>40.2739726027397</v>
      </c>
      <c r="I1433" s="37" t="n">
        <f aca="false">Inputs!$C$9-SUMIFS(Cash_Events!$G$6:$G$20,Cash_Events!$C$6:$C$20,"FHL",Cash_Events!$B$6:$B$20,"&lt;="&amp;A1433)</f>
        <v>735000</v>
      </c>
      <c r="J1433" s="38" t="n">
        <f aca="false">VLOOKUP(A1433,Inputs!$F$40:$G$48,2,TRUE())</f>
        <v>0.0364054</v>
      </c>
      <c r="K1433" s="38" t="n">
        <f aca="false">J1433+Inputs!$C$10</f>
        <v>0.1039054</v>
      </c>
      <c r="L1433" s="37" t="n">
        <f aca="false">I1433*K1433/C1433</f>
        <v>209.234161643836</v>
      </c>
      <c r="M1433" s="37" t="n">
        <f aca="false">IF(AND(A1433&gt;=Inputs!$C$13,OR(A1433&lt;Inputs!$B$19,Inputs!$B$20=1)),I1433*Inputs!$C$11/C1433,0)</f>
        <v>40.2739726027397</v>
      </c>
    </row>
    <row r="1434" customFormat="false" ht="15" hidden="false" customHeight="false" outlineLevel="0" collapsed="false">
      <c r="A1434" s="35" t="n">
        <f aca="false">A1433+1</f>
        <v>46241</v>
      </c>
      <c r="B1434" s="35" t="n">
        <f aca="false">EOMONTH(A1434+1,0)</f>
        <v>46265</v>
      </c>
      <c r="C1434" s="36" t="n">
        <f aca="false">IF(MOD(YEAR(A1434),4)=0,366,365)</f>
        <v>365</v>
      </c>
      <c r="D1434" s="37" t="n">
        <f aca="false">Inputs!$B$9-SUMIFS(Cash_Events!$G$6:$G$20,Cash_Events!$C$6:$C$20,"rAGMF",Cash_Events!$B$6:$B$20,"&lt;="&amp;A1434)</f>
        <v>735000</v>
      </c>
      <c r="E1434" s="38" t="n">
        <f aca="false">VLOOKUP(A1434,Inputs!$A$40:$B$48,2,TRUE())</f>
        <v>0.0363225</v>
      </c>
      <c r="F1434" s="38" t="n">
        <f aca="false">E1434+Inputs!$B$10</f>
        <v>0.1038225</v>
      </c>
      <c r="G1434" s="37" t="n">
        <f aca="false">D1434*F1434/C1434</f>
        <v>209.067226027397</v>
      </c>
      <c r="H1434" s="37" t="n">
        <f aca="false">IF(AND(A1434&gt;=Inputs!$B$13,OR(A1434&lt;Inputs!$B$19,Inputs!$B$20=1)),D1434*Inputs!$B$11/C1434,0)</f>
        <v>40.2739726027397</v>
      </c>
      <c r="I1434" s="37" t="n">
        <f aca="false">Inputs!$C$9-SUMIFS(Cash_Events!$G$6:$G$20,Cash_Events!$C$6:$C$20,"FHL",Cash_Events!$B$6:$B$20,"&lt;="&amp;A1434)</f>
        <v>735000</v>
      </c>
      <c r="J1434" s="38" t="n">
        <f aca="false">VLOOKUP(A1434,Inputs!$F$40:$G$48,2,TRUE())</f>
        <v>0.0364054</v>
      </c>
      <c r="K1434" s="38" t="n">
        <f aca="false">J1434+Inputs!$C$10</f>
        <v>0.1039054</v>
      </c>
      <c r="L1434" s="37" t="n">
        <f aca="false">I1434*K1434/C1434</f>
        <v>209.234161643836</v>
      </c>
      <c r="M1434" s="37" t="n">
        <f aca="false">IF(AND(A1434&gt;=Inputs!$C$13,OR(A1434&lt;Inputs!$B$19,Inputs!$B$20=1)),I1434*Inputs!$C$11/C1434,0)</f>
        <v>40.2739726027397</v>
      </c>
    </row>
    <row r="1435" customFormat="false" ht="15" hidden="false" customHeight="false" outlineLevel="0" collapsed="false">
      <c r="A1435" s="35" t="n">
        <f aca="false">A1434+1</f>
        <v>46242</v>
      </c>
      <c r="B1435" s="35" t="n">
        <f aca="false">EOMONTH(A1435+1,0)</f>
        <v>46265</v>
      </c>
      <c r="C1435" s="36" t="n">
        <f aca="false">IF(MOD(YEAR(A1435),4)=0,366,365)</f>
        <v>365</v>
      </c>
      <c r="D1435" s="37" t="n">
        <f aca="false">Inputs!$B$9-SUMIFS(Cash_Events!$G$6:$G$20,Cash_Events!$C$6:$C$20,"rAGMF",Cash_Events!$B$6:$B$20,"&lt;="&amp;A1435)</f>
        <v>735000</v>
      </c>
      <c r="E1435" s="38" t="n">
        <f aca="false">VLOOKUP(A1435,Inputs!$A$40:$B$48,2,TRUE())</f>
        <v>0.0363225</v>
      </c>
      <c r="F1435" s="38" t="n">
        <f aca="false">E1435+Inputs!$B$10</f>
        <v>0.1038225</v>
      </c>
      <c r="G1435" s="37" t="n">
        <f aca="false">D1435*F1435/C1435</f>
        <v>209.067226027397</v>
      </c>
      <c r="H1435" s="37" t="n">
        <f aca="false">IF(AND(A1435&gt;=Inputs!$B$13,OR(A1435&lt;Inputs!$B$19,Inputs!$B$20=1)),D1435*Inputs!$B$11/C1435,0)</f>
        <v>40.2739726027397</v>
      </c>
      <c r="I1435" s="37" t="n">
        <f aca="false">Inputs!$C$9-SUMIFS(Cash_Events!$G$6:$G$20,Cash_Events!$C$6:$C$20,"FHL",Cash_Events!$B$6:$B$20,"&lt;="&amp;A1435)</f>
        <v>735000</v>
      </c>
      <c r="J1435" s="38" t="n">
        <f aca="false">VLOOKUP(A1435,Inputs!$F$40:$G$48,2,TRUE())</f>
        <v>0.0364054</v>
      </c>
      <c r="K1435" s="38" t="n">
        <f aca="false">J1435+Inputs!$C$10</f>
        <v>0.1039054</v>
      </c>
      <c r="L1435" s="37" t="n">
        <f aca="false">I1435*K1435/C1435</f>
        <v>209.234161643836</v>
      </c>
      <c r="M1435" s="37" t="n">
        <f aca="false">IF(AND(A1435&gt;=Inputs!$C$13,OR(A1435&lt;Inputs!$B$19,Inputs!$B$20=1)),I1435*Inputs!$C$11/C1435,0)</f>
        <v>40.2739726027397</v>
      </c>
    </row>
    <row r="1436" customFormat="false" ht="15" hidden="false" customHeight="false" outlineLevel="0" collapsed="false">
      <c r="A1436" s="35" t="n">
        <f aca="false">A1435+1</f>
        <v>46243</v>
      </c>
      <c r="B1436" s="35" t="n">
        <f aca="false">EOMONTH(A1436+1,0)</f>
        <v>46265</v>
      </c>
      <c r="C1436" s="36" t="n">
        <f aca="false">IF(MOD(YEAR(A1436),4)=0,366,365)</f>
        <v>365</v>
      </c>
      <c r="D1436" s="37" t="n">
        <f aca="false">Inputs!$B$9-SUMIFS(Cash_Events!$G$6:$G$20,Cash_Events!$C$6:$C$20,"rAGMF",Cash_Events!$B$6:$B$20,"&lt;="&amp;A1436)</f>
        <v>735000</v>
      </c>
      <c r="E1436" s="38" t="n">
        <f aca="false">VLOOKUP(A1436,Inputs!$A$40:$B$48,2,TRUE())</f>
        <v>0.0363225</v>
      </c>
      <c r="F1436" s="38" t="n">
        <f aca="false">E1436+Inputs!$B$10</f>
        <v>0.1038225</v>
      </c>
      <c r="G1436" s="37" t="n">
        <f aca="false">D1436*F1436/C1436</f>
        <v>209.067226027397</v>
      </c>
      <c r="H1436" s="37" t="n">
        <f aca="false">IF(AND(A1436&gt;=Inputs!$B$13,OR(A1436&lt;Inputs!$B$19,Inputs!$B$20=1)),D1436*Inputs!$B$11/C1436,0)</f>
        <v>40.2739726027397</v>
      </c>
      <c r="I1436" s="37" t="n">
        <f aca="false">Inputs!$C$9-SUMIFS(Cash_Events!$G$6:$G$20,Cash_Events!$C$6:$C$20,"FHL",Cash_Events!$B$6:$B$20,"&lt;="&amp;A1436)</f>
        <v>735000</v>
      </c>
      <c r="J1436" s="38" t="n">
        <f aca="false">VLOOKUP(A1436,Inputs!$F$40:$G$48,2,TRUE())</f>
        <v>0.0364054</v>
      </c>
      <c r="K1436" s="38" t="n">
        <f aca="false">J1436+Inputs!$C$10</f>
        <v>0.1039054</v>
      </c>
      <c r="L1436" s="37" t="n">
        <f aca="false">I1436*K1436/C1436</f>
        <v>209.234161643836</v>
      </c>
      <c r="M1436" s="37" t="n">
        <f aca="false">IF(AND(A1436&gt;=Inputs!$C$13,OR(A1436&lt;Inputs!$B$19,Inputs!$B$20=1)),I1436*Inputs!$C$11/C1436,0)</f>
        <v>40.2739726027397</v>
      </c>
    </row>
    <row r="1437" customFormat="false" ht="15" hidden="false" customHeight="false" outlineLevel="0" collapsed="false">
      <c r="A1437" s="35" t="n">
        <f aca="false">A1436+1</f>
        <v>46244</v>
      </c>
      <c r="B1437" s="35" t="n">
        <f aca="false">EOMONTH(A1437+1,0)</f>
        <v>46265</v>
      </c>
      <c r="C1437" s="36" t="n">
        <f aca="false">IF(MOD(YEAR(A1437),4)=0,366,365)</f>
        <v>365</v>
      </c>
      <c r="D1437" s="37" t="n">
        <f aca="false">Inputs!$B$9-SUMIFS(Cash_Events!$G$6:$G$20,Cash_Events!$C$6:$C$20,"rAGMF",Cash_Events!$B$6:$B$20,"&lt;="&amp;A1437)</f>
        <v>735000</v>
      </c>
      <c r="E1437" s="38" t="n">
        <f aca="false">VLOOKUP(A1437,Inputs!$A$40:$B$48,2,TRUE())</f>
        <v>0.0363225</v>
      </c>
      <c r="F1437" s="38" t="n">
        <f aca="false">E1437+Inputs!$B$10</f>
        <v>0.1038225</v>
      </c>
      <c r="G1437" s="37" t="n">
        <f aca="false">D1437*F1437/C1437</f>
        <v>209.067226027397</v>
      </c>
      <c r="H1437" s="37" t="n">
        <f aca="false">IF(AND(A1437&gt;=Inputs!$B$13,OR(A1437&lt;Inputs!$B$19,Inputs!$B$20=1)),D1437*Inputs!$B$11/C1437,0)</f>
        <v>40.2739726027397</v>
      </c>
      <c r="I1437" s="37" t="n">
        <f aca="false">Inputs!$C$9-SUMIFS(Cash_Events!$G$6:$G$20,Cash_Events!$C$6:$C$20,"FHL",Cash_Events!$B$6:$B$20,"&lt;="&amp;A1437)</f>
        <v>735000</v>
      </c>
      <c r="J1437" s="38" t="n">
        <f aca="false">VLOOKUP(A1437,Inputs!$F$40:$G$48,2,TRUE())</f>
        <v>0.0364054</v>
      </c>
      <c r="K1437" s="38" t="n">
        <f aca="false">J1437+Inputs!$C$10</f>
        <v>0.1039054</v>
      </c>
      <c r="L1437" s="37" t="n">
        <f aca="false">I1437*K1437/C1437</f>
        <v>209.234161643836</v>
      </c>
      <c r="M1437" s="37" t="n">
        <f aca="false">IF(AND(A1437&gt;=Inputs!$C$13,OR(A1437&lt;Inputs!$B$19,Inputs!$B$20=1)),I1437*Inputs!$C$11/C1437,0)</f>
        <v>40.2739726027397</v>
      </c>
    </row>
    <row r="1438" customFormat="false" ht="15" hidden="false" customHeight="false" outlineLevel="0" collapsed="false">
      <c r="A1438" s="35" t="n">
        <f aca="false">A1437+1</f>
        <v>46245</v>
      </c>
      <c r="B1438" s="35" t="n">
        <f aca="false">EOMONTH(A1438+1,0)</f>
        <v>46265</v>
      </c>
      <c r="C1438" s="36" t="n">
        <f aca="false">IF(MOD(YEAR(A1438),4)=0,366,365)</f>
        <v>365</v>
      </c>
      <c r="D1438" s="37" t="n">
        <f aca="false">Inputs!$B$9-SUMIFS(Cash_Events!$G$6:$G$20,Cash_Events!$C$6:$C$20,"rAGMF",Cash_Events!$B$6:$B$20,"&lt;="&amp;A1438)</f>
        <v>735000</v>
      </c>
      <c r="E1438" s="38" t="n">
        <f aca="false">VLOOKUP(A1438,Inputs!$A$40:$B$48,2,TRUE())</f>
        <v>0.0363225</v>
      </c>
      <c r="F1438" s="38" t="n">
        <f aca="false">E1438+Inputs!$B$10</f>
        <v>0.1038225</v>
      </c>
      <c r="G1438" s="37" t="n">
        <f aca="false">D1438*F1438/C1438</f>
        <v>209.067226027397</v>
      </c>
      <c r="H1438" s="37" t="n">
        <f aca="false">IF(AND(A1438&gt;=Inputs!$B$13,OR(A1438&lt;Inputs!$B$19,Inputs!$B$20=1)),D1438*Inputs!$B$11/C1438,0)</f>
        <v>40.2739726027397</v>
      </c>
      <c r="I1438" s="37" t="n">
        <f aca="false">Inputs!$C$9-SUMIFS(Cash_Events!$G$6:$G$20,Cash_Events!$C$6:$C$20,"FHL",Cash_Events!$B$6:$B$20,"&lt;="&amp;A1438)</f>
        <v>735000</v>
      </c>
      <c r="J1438" s="38" t="n">
        <f aca="false">VLOOKUP(A1438,Inputs!$F$40:$G$48,2,TRUE())</f>
        <v>0.0364054</v>
      </c>
      <c r="K1438" s="38" t="n">
        <f aca="false">J1438+Inputs!$C$10</f>
        <v>0.1039054</v>
      </c>
      <c r="L1438" s="37" t="n">
        <f aca="false">I1438*K1438/C1438</f>
        <v>209.234161643836</v>
      </c>
      <c r="M1438" s="37" t="n">
        <f aca="false">IF(AND(A1438&gt;=Inputs!$C$13,OR(A1438&lt;Inputs!$B$19,Inputs!$B$20=1)),I1438*Inputs!$C$11/C1438,0)</f>
        <v>40.2739726027397</v>
      </c>
    </row>
    <row r="1439" customFormat="false" ht="15" hidden="false" customHeight="false" outlineLevel="0" collapsed="false">
      <c r="A1439" s="35" t="n">
        <f aca="false">A1438+1</f>
        <v>46246</v>
      </c>
      <c r="B1439" s="35" t="n">
        <f aca="false">EOMONTH(A1439+1,0)</f>
        <v>46265</v>
      </c>
      <c r="C1439" s="36" t="n">
        <f aca="false">IF(MOD(YEAR(A1439),4)=0,366,365)</f>
        <v>365</v>
      </c>
      <c r="D1439" s="37" t="n">
        <f aca="false">Inputs!$B$9-SUMIFS(Cash_Events!$G$6:$G$20,Cash_Events!$C$6:$C$20,"rAGMF",Cash_Events!$B$6:$B$20,"&lt;="&amp;A1439)</f>
        <v>735000</v>
      </c>
      <c r="E1439" s="38" t="n">
        <f aca="false">VLOOKUP(A1439,Inputs!$A$40:$B$48,2,TRUE())</f>
        <v>0.0363225</v>
      </c>
      <c r="F1439" s="38" t="n">
        <f aca="false">E1439+Inputs!$B$10</f>
        <v>0.1038225</v>
      </c>
      <c r="G1439" s="37" t="n">
        <f aca="false">D1439*F1439/C1439</f>
        <v>209.067226027397</v>
      </c>
      <c r="H1439" s="37" t="n">
        <f aca="false">IF(AND(A1439&gt;=Inputs!$B$13,OR(A1439&lt;Inputs!$B$19,Inputs!$B$20=1)),D1439*Inputs!$B$11/C1439,0)</f>
        <v>40.2739726027397</v>
      </c>
      <c r="I1439" s="37" t="n">
        <f aca="false">Inputs!$C$9-SUMIFS(Cash_Events!$G$6:$G$20,Cash_Events!$C$6:$C$20,"FHL",Cash_Events!$B$6:$B$20,"&lt;="&amp;A1439)</f>
        <v>735000</v>
      </c>
      <c r="J1439" s="38" t="n">
        <f aca="false">VLOOKUP(A1439,Inputs!$F$40:$G$48,2,TRUE())</f>
        <v>0.0364054</v>
      </c>
      <c r="K1439" s="38" t="n">
        <f aca="false">J1439+Inputs!$C$10</f>
        <v>0.1039054</v>
      </c>
      <c r="L1439" s="37" t="n">
        <f aca="false">I1439*K1439/C1439</f>
        <v>209.234161643836</v>
      </c>
      <c r="M1439" s="37" t="n">
        <f aca="false">IF(AND(A1439&gt;=Inputs!$C$13,OR(A1439&lt;Inputs!$B$19,Inputs!$B$20=1)),I1439*Inputs!$C$11/C1439,0)</f>
        <v>40.2739726027397</v>
      </c>
    </row>
    <row r="1440" customFormat="false" ht="15" hidden="false" customHeight="false" outlineLevel="0" collapsed="false">
      <c r="A1440" s="35" t="n">
        <f aca="false">A1439+1</f>
        <v>46247</v>
      </c>
      <c r="B1440" s="35" t="n">
        <f aca="false">EOMONTH(A1440+1,0)</f>
        <v>46265</v>
      </c>
      <c r="C1440" s="36" t="n">
        <f aca="false">IF(MOD(YEAR(A1440),4)=0,366,365)</f>
        <v>365</v>
      </c>
      <c r="D1440" s="37" t="n">
        <f aca="false">Inputs!$B$9-SUMIFS(Cash_Events!$G$6:$G$20,Cash_Events!$C$6:$C$20,"rAGMF",Cash_Events!$B$6:$B$20,"&lt;="&amp;A1440)</f>
        <v>735000</v>
      </c>
      <c r="E1440" s="38" t="n">
        <f aca="false">VLOOKUP(A1440,Inputs!$A$40:$B$48,2,TRUE())</f>
        <v>0.0363225</v>
      </c>
      <c r="F1440" s="38" t="n">
        <f aca="false">E1440+Inputs!$B$10</f>
        <v>0.1038225</v>
      </c>
      <c r="G1440" s="37" t="n">
        <f aca="false">D1440*F1440/C1440</f>
        <v>209.067226027397</v>
      </c>
      <c r="H1440" s="37" t="n">
        <f aca="false">IF(AND(A1440&gt;=Inputs!$B$13,OR(A1440&lt;Inputs!$B$19,Inputs!$B$20=1)),D1440*Inputs!$B$11/C1440,0)</f>
        <v>40.2739726027397</v>
      </c>
      <c r="I1440" s="37" t="n">
        <f aca="false">Inputs!$C$9-SUMIFS(Cash_Events!$G$6:$G$20,Cash_Events!$C$6:$C$20,"FHL",Cash_Events!$B$6:$B$20,"&lt;="&amp;A1440)</f>
        <v>735000</v>
      </c>
      <c r="J1440" s="38" t="n">
        <f aca="false">VLOOKUP(A1440,Inputs!$F$40:$G$48,2,TRUE())</f>
        <v>0.0364054</v>
      </c>
      <c r="K1440" s="38" t="n">
        <f aca="false">J1440+Inputs!$C$10</f>
        <v>0.1039054</v>
      </c>
      <c r="L1440" s="37" t="n">
        <f aca="false">I1440*K1440/C1440</f>
        <v>209.234161643836</v>
      </c>
      <c r="M1440" s="37" t="n">
        <f aca="false">IF(AND(A1440&gt;=Inputs!$C$13,OR(A1440&lt;Inputs!$B$19,Inputs!$B$20=1)),I1440*Inputs!$C$11/C1440,0)</f>
        <v>40.2739726027397</v>
      </c>
    </row>
    <row r="1441" customFormat="false" ht="15" hidden="false" customHeight="false" outlineLevel="0" collapsed="false">
      <c r="A1441" s="35" t="n">
        <f aca="false">A1440+1</f>
        <v>46248</v>
      </c>
      <c r="B1441" s="35" t="n">
        <f aca="false">EOMONTH(A1441+1,0)</f>
        <v>46265</v>
      </c>
      <c r="C1441" s="36" t="n">
        <f aca="false">IF(MOD(YEAR(A1441),4)=0,366,365)</f>
        <v>365</v>
      </c>
      <c r="D1441" s="37" t="n">
        <f aca="false">Inputs!$B$9-SUMIFS(Cash_Events!$G$6:$G$20,Cash_Events!$C$6:$C$20,"rAGMF",Cash_Events!$B$6:$B$20,"&lt;="&amp;A1441)</f>
        <v>735000</v>
      </c>
      <c r="E1441" s="38" t="n">
        <f aca="false">VLOOKUP(A1441,Inputs!$A$40:$B$48,2,TRUE())</f>
        <v>0.0363225</v>
      </c>
      <c r="F1441" s="38" t="n">
        <f aca="false">E1441+Inputs!$B$10</f>
        <v>0.1038225</v>
      </c>
      <c r="G1441" s="37" t="n">
        <f aca="false">D1441*F1441/C1441</f>
        <v>209.067226027397</v>
      </c>
      <c r="H1441" s="37" t="n">
        <f aca="false">IF(AND(A1441&gt;=Inputs!$B$13,OR(A1441&lt;Inputs!$B$19,Inputs!$B$20=1)),D1441*Inputs!$B$11/C1441,0)</f>
        <v>40.2739726027397</v>
      </c>
      <c r="I1441" s="37" t="n">
        <f aca="false">Inputs!$C$9-SUMIFS(Cash_Events!$G$6:$G$20,Cash_Events!$C$6:$C$20,"FHL",Cash_Events!$B$6:$B$20,"&lt;="&amp;A1441)</f>
        <v>735000</v>
      </c>
      <c r="J1441" s="38" t="n">
        <f aca="false">VLOOKUP(A1441,Inputs!$F$40:$G$48,2,TRUE())</f>
        <v>0.0364054</v>
      </c>
      <c r="K1441" s="38" t="n">
        <f aca="false">J1441+Inputs!$C$10</f>
        <v>0.1039054</v>
      </c>
      <c r="L1441" s="37" t="n">
        <f aca="false">I1441*K1441/C1441</f>
        <v>209.234161643836</v>
      </c>
      <c r="M1441" s="37" t="n">
        <f aca="false">IF(AND(A1441&gt;=Inputs!$C$13,OR(A1441&lt;Inputs!$B$19,Inputs!$B$20=1)),I1441*Inputs!$C$11/C1441,0)</f>
        <v>40.2739726027397</v>
      </c>
    </row>
    <row r="1442" customFormat="false" ht="15" hidden="false" customHeight="false" outlineLevel="0" collapsed="false">
      <c r="A1442" s="35" t="n">
        <f aca="false">A1441+1</f>
        <v>46249</v>
      </c>
      <c r="B1442" s="35" t="n">
        <f aca="false">EOMONTH(A1442+1,0)</f>
        <v>46265</v>
      </c>
      <c r="C1442" s="36" t="n">
        <f aca="false">IF(MOD(YEAR(A1442),4)=0,366,365)</f>
        <v>365</v>
      </c>
      <c r="D1442" s="37" t="n">
        <f aca="false">Inputs!$B$9-SUMIFS(Cash_Events!$G$6:$G$20,Cash_Events!$C$6:$C$20,"rAGMF",Cash_Events!$B$6:$B$20,"&lt;="&amp;A1442)</f>
        <v>735000</v>
      </c>
      <c r="E1442" s="38" t="n">
        <f aca="false">VLOOKUP(A1442,Inputs!$A$40:$B$48,2,TRUE())</f>
        <v>0.0363225</v>
      </c>
      <c r="F1442" s="38" t="n">
        <f aca="false">E1442+Inputs!$B$10</f>
        <v>0.1038225</v>
      </c>
      <c r="G1442" s="37" t="n">
        <f aca="false">D1442*F1442/C1442</f>
        <v>209.067226027397</v>
      </c>
      <c r="H1442" s="37" t="n">
        <f aca="false">IF(AND(A1442&gt;=Inputs!$B$13,OR(A1442&lt;Inputs!$B$19,Inputs!$B$20=1)),D1442*Inputs!$B$11/C1442,0)</f>
        <v>40.2739726027397</v>
      </c>
      <c r="I1442" s="37" t="n">
        <f aca="false">Inputs!$C$9-SUMIFS(Cash_Events!$G$6:$G$20,Cash_Events!$C$6:$C$20,"FHL",Cash_Events!$B$6:$B$20,"&lt;="&amp;A1442)</f>
        <v>735000</v>
      </c>
      <c r="J1442" s="38" t="n">
        <f aca="false">VLOOKUP(A1442,Inputs!$F$40:$G$48,2,TRUE())</f>
        <v>0.0364054</v>
      </c>
      <c r="K1442" s="38" t="n">
        <f aca="false">J1442+Inputs!$C$10</f>
        <v>0.1039054</v>
      </c>
      <c r="L1442" s="37" t="n">
        <f aca="false">I1442*K1442/C1442</f>
        <v>209.234161643836</v>
      </c>
      <c r="M1442" s="37" t="n">
        <f aca="false">IF(AND(A1442&gt;=Inputs!$C$13,OR(A1442&lt;Inputs!$B$19,Inputs!$B$20=1)),I1442*Inputs!$C$11/C1442,0)</f>
        <v>40.2739726027397</v>
      </c>
    </row>
    <row r="1443" customFormat="false" ht="15" hidden="false" customHeight="false" outlineLevel="0" collapsed="false">
      <c r="A1443" s="35" t="n">
        <f aca="false">A1442+1</f>
        <v>46250</v>
      </c>
      <c r="B1443" s="35" t="n">
        <f aca="false">EOMONTH(A1443+1,0)</f>
        <v>46265</v>
      </c>
      <c r="C1443" s="36" t="n">
        <f aca="false">IF(MOD(YEAR(A1443),4)=0,366,365)</f>
        <v>365</v>
      </c>
      <c r="D1443" s="37" t="n">
        <f aca="false">Inputs!$B$9-SUMIFS(Cash_Events!$G$6:$G$20,Cash_Events!$C$6:$C$20,"rAGMF",Cash_Events!$B$6:$B$20,"&lt;="&amp;A1443)</f>
        <v>735000</v>
      </c>
      <c r="E1443" s="38" t="n">
        <f aca="false">VLOOKUP(A1443,Inputs!$A$40:$B$48,2,TRUE())</f>
        <v>0.0363225</v>
      </c>
      <c r="F1443" s="38" t="n">
        <f aca="false">E1443+Inputs!$B$10</f>
        <v>0.1038225</v>
      </c>
      <c r="G1443" s="37" t="n">
        <f aca="false">D1443*F1443/C1443</f>
        <v>209.067226027397</v>
      </c>
      <c r="H1443" s="37" t="n">
        <f aca="false">IF(AND(A1443&gt;=Inputs!$B$13,OR(A1443&lt;Inputs!$B$19,Inputs!$B$20=1)),D1443*Inputs!$B$11/C1443,0)</f>
        <v>40.2739726027397</v>
      </c>
      <c r="I1443" s="37" t="n">
        <f aca="false">Inputs!$C$9-SUMIFS(Cash_Events!$G$6:$G$20,Cash_Events!$C$6:$C$20,"FHL",Cash_Events!$B$6:$B$20,"&lt;="&amp;A1443)</f>
        <v>735000</v>
      </c>
      <c r="J1443" s="38" t="n">
        <f aca="false">VLOOKUP(A1443,Inputs!$F$40:$G$48,2,TRUE())</f>
        <v>0.0364054</v>
      </c>
      <c r="K1443" s="38" t="n">
        <f aca="false">J1443+Inputs!$C$10</f>
        <v>0.1039054</v>
      </c>
      <c r="L1443" s="37" t="n">
        <f aca="false">I1443*K1443/C1443</f>
        <v>209.234161643836</v>
      </c>
      <c r="M1443" s="37" t="n">
        <f aca="false">IF(AND(A1443&gt;=Inputs!$C$13,OR(A1443&lt;Inputs!$B$19,Inputs!$B$20=1)),I1443*Inputs!$C$11/C1443,0)</f>
        <v>40.2739726027397</v>
      </c>
    </row>
    <row r="1444" customFormat="false" ht="15" hidden="false" customHeight="false" outlineLevel="0" collapsed="false">
      <c r="A1444" s="35" t="n">
        <f aca="false">A1443+1</f>
        <v>46251</v>
      </c>
      <c r="B1444" s="35" t="n">
        <f aca="false">EOMONTH(A1444+1,0)</f>
        <v>46265</v>
      </c>
      <c r="C1444" s="36" t="n">
        <f aca="false">IF(MOD(YEAR(A1444),4)=0,366,365)</f>
        <v>365</v>
      </c>
      <c r="D1444" s="37" t="n">
        <f aca="false">Inputs!$B$9-SUMIFS(Cash_Events!$G$6:$G$20,Cash_Events!$C$6:$C$20,"rAGMF",Cash_Events!$B$6:$B$20,"&lt;="&amp;A1444)</f>
        <v>735000</v>
      </c>
      <c r="E1444" s="38" t="n">
        <f aca="false">VLOOKUP(A1444,Inputs!$A$40:$B$48,2,TRUE())</f>
        <v>0.0363225</v>
      </c>
      <c r="F1444" s="38" t="n">
        <f aca="false">E1444+Inputs!$B$10</f>
        <v>0.1038225</v>
      </c>
      <c r="G1444" s="37" t="n">
        <f aca="false">D1444*F1444/C1444</f>
        <v>209.067226027397</v>
      </c>
      <c r="H1444" s="37" t="n">
        <f aca="false">IF(AND(A1444&gt;=Inputs!$B$13,OR(A1444&lt;Inputs!$B$19,Inputs!$B$20=1)),D1444*Inputs!$B$11/C1444,0)</f>
        <v>40.2739726027397</v>
      </c>
      <c r="I1444" s="37" t="n">
        <f aca="false">Inputs!$C$9-SUMIFS(Cash_Events!$G$6:$G$20,Cash_Events!$C$6:$C$20,"FHL",Cash_Events!$B$6:$B$20,"&lt;="&amp;A1444)</f>
        <v>735000</v>
      </c>
      <c r="J1444" s="38" t="n">
        <f aca="false">VLOOKUP(A1444,Inputs!$F$40:$G$48,2,TRUE())</f>
        <v>0.0364054</v>
      </c>
      <c r="K1444" s="38" t="n">
        <f aca="false">J1444+Inputs!$C$10</f>
        <v>0.1039054</v>
      </c>
      <c r="L1444" s="37" t="n">
        <f aca="false">I1444*K1444/C1444</f>
        <v>209.234161643836</v>
      </c>
      <c r="M1444" s="37" t="n">
        <f aca="false">IF(AND(A1444&gt;=Inputs!$C$13,OR(A1444&lt;Inputs!$B$19,Inputs!$B$20=1)),I1444*Inputs!$C$11/C1444,0)</f>
        <v>40.2739726027397</v>
      </c>
    </row>
    <row r="1445" customFormat="false" ht="15" hidden="false" customHeight="false" outlineLevel="0" collapsed="false">
      <c r="A1445" s="35" t="n">
        <f aca="false">A1444+1</f>
        <v>46252</v>
      </c>
      <c r="B1445" s="35" t="n">
        <f aca="false">EOMONTH(A1445+1,0)</f>
        <v>46265</v>
      </c>
      <c r="C1445" s="36" t="n">
        <f aca="false">IF(MOD(YEAR(A1445),4)=0,366,365)</f>
        <v>365</v>
      </c>
      <c r="D1445" s="37" t="n">
        <f aca="false">Inputs!$B$9-SUMIFS(Cash_Events!$G$6:$G$20,Cash_Events!$C$6:$C$20,"rAGMF",Cash_Events!$B$6:$B$20,"&lt;="&amp;A1445)</f>
        <v>735000</v>
      </c>
      <c r="E1445" s="38" t="n">
        <f aca="false">VLOOKUP(A1445,Inputs!$A$40:$B$48,2,TRUE())</f>
        <v>0.0363225</v>
      </c>
      <c r="F1445" s="38" t="n">
        <f aca="false">E1445+Inputs!$B$10</f>
        <v>0.1038225</v>
      </c>
      <c r="G1445" s="37" t="n">
        <f aca="false">D1445*F1445/C1445</f>
        <v>209.067226027397</v>
      </c>
      <c r="H1445" s="37" t="n">
        <f aca="false">IF(AND(A1445&gt;=Inputs!$B$13,OR(A1445&lt;Inputs!$B$19,Inputs!$B$20=1)),D1445*Inputs!$B$11/C1445,0)</f>
        <v>40.2739726027397</v>
      </c>
      <c r="I1445" s="37" t="n">
        <f aca="false">Inputs!$C$9-SUMIFS(Cash_Events!$G$6:$G$20,Cash_Events!$C$6:$C$20,"FHL",Cash_Events!$B$6:$B$20,"&lt;="&amp;A1445)</f>
        <v>735000</v>
      </c>
      <c r="J1445" s="38" t="n">
        <f aca="false">VLOOKUP(A1445,Inputs!$F$40:$G$48,2,TRUE())</f>
        <v>0.0364054</v>
      </c>
      <c r="K1445" s="38" t="n">
        <f aca="false">J1445+Inputs!$C$10</f>
        <v>0.1039054</v>
      </c>
      <c r="L1445" s="37" t="n">
        <f aca="false">I1445*K1445/C1445</f>
        <v>209.234161643836</v>
      </c>
      <c r="M1445" s="37" t="n">
        <f aca="false">IF(AND(A1445&gt;=Inputs!$C$13,OR(A1445&lt;Inputs!$B$19,Inputs!$B$20=1)),I1445*Inputs!$C$11/C1445,0)</f>
        <v>40.2739726027397</v>
      </c>
    </row>
    <row r="1446" customFormat="false" ht="15" hidden="false" customHeight="false" outlineLevel="0" collapsed="false">
      <c r="A1446" s="35" t="n">
        <f aca="false">A1445+1</f>
        <v>46253</v>
      </c>
      <c r="B1446" s="35" t="n">
        <f aca="false">EOMONTH(A1446+1,0)</f>
        <v>46265</v>
      </c>
      <c r="C1446" s="36" t="n">
        <f aca="false">IF(MOD(YEAR(A1446),4)=0,366,365)</f>
        <v>365</v>
      </c>
      <c r="D1446" s="37" t="n">
        <f aca="false">Inputs!$B$9-SUMIFS(Cash_Events!$G$6:$G$20,Cash_Events!$C$6:$C$20,"rAGMF",Cash_Events!$B$6:$B$20,"&lt;="&amp;A1446)</f>
        <v>735000</v>
      </c>
      <c r="E1446" s="38" t="n">
        <f aca="false">VLOOKUP(A1446,Inputs!$A$40:$B$48,2,TRUE())</f>
        <v>0.0363225</v>
      </c>
      <c r="F1446" s="38" t="n">
        <f aca="false">E1446+Inputs!$B$10</f>
        <v>0.1038225</v>
      </c>
      <c r="G1446" s="37" t="n">
        <f aca="false">D1446*F1446/C1446</f>
        <v>209.067226027397</v>
      </c>
      <c r="H1446" s="37" t="n">
        <f aca="false">IF(AND(A1446&gt;=Inputs!$B$13,OR(A1446&lt;Inputs!$B$19,Inputs!$B$20=1)),D1446*Inputs!$B$11/C1446,0)</f>
        <v>40.2739726027397</v>
      </c>
      <c r="I1446" s="37" t="n">
        <f aca="false">Inputs!$C$9-SUMIFS(Cash_Events!$G$6:$G$20,Cash_Events!$C$6:$C$20,"FHL",Cash_Events!$B$6:$B$20,"&lt;="&amp;A1446)</f>
        <v>735000</v>
      </c>
      <c r="J1446" s="38" t="n">
        <f aca="false">VLOOKUP(A1446,Inputs!$F$40:$G$48,2,TRUE())</f>
        <v>0.0364054</v>
      </c>
      <c r="K1446" s="38" t="n">
        <f aca="false">J1446+Inputs!$C$10</f>
        <v>0.1039054</v>
      </c>
      <c r="L1446" s="37" t="n">
        <f aca="false">I1446*K1446/C1446</f>
        <v>209.234161643836</v>
      </c>
      <c r="M1446" s="37" t="n">
        <f aca="false">IF(AND(A1446&gt;=Inputs!$C$13,OR(A1446&lt;Inputs!$B$19,Inputs!$B$20=1)),I1446*Inputs!$C$11/C1446,0)</f>
        <v>40.2739726027397</v>
      </c>
    </row>
    <row r="1447" customFormat="false" ht="15" hidden="false" customHeight="false" outlineLevel="0" collapsed="false">
      <c r="A1447" s="35" t="n">
        <f aca="false">A1446+1</f>
        <v>46254</v>
      </c>
      <c r="B1447" s="35" t="n">
        <f aca="false">EOMONTH(A1447+1,0)</f>
        <v>46265</v>
      </c>
      <c r="C1447" s="36" t="n">
        <f aca="false">IF(MOD(YEAR(A1447),4)=0,366,365)</f>
        <v>365</v>
      </c>
      <c r="D1447" s="37" t="n">
        <f aca="false">Inputs!$B$9-SUMIFS(Cash_Events!$G$6:$G$20,Cash_Events!$C$6:$C$20,"rAGMF",Cash_Events!$B$6:$B$20,"&lt;="&amp;A1447)</f>
        <v>735000</v>
      </c>
      <c r="E1447" s="38" t="n">
        <f aca="false">VLOOKUP(A1447,Inputs!$A$40:$B$48,2,TRUE())</f>
        <v>0.0363225</v>
      </c>
      <c r="F1447" s="38" t="n">
        <f aca="false">E1447+Inputs!$B$10</f>
        <v>0.1038225</v>
      </c>
      <c r="G1447" s="37" t="n">
        <f aca="false">D1447*F1447/C1447</f>
        <v>209.067226027397</v>
      </c>
      <c r="H1447" s="37" t="n">
        <f aca="false">IF(AND(A1447&gt;=Inputs!$B$13,OR(A1447&lt;Inputs!$B$19,Inputs!$B$20=1)),D1447*Inputs!$B$11/C1447,0)</f>
        <v>40.2739726027397</v>
      </c>
      <c r="I1447" s="37" t="n">
        <f aca="false">Inputs!$C$9-SUMIFS(Cash_Events!$G$6:$G$20,Cash_Events!$C$6:$C$20,"FHL",Cash_Events!$B$6:$B$20,"&lt;="&amp;A1447)</f>
        <v>735000</v>
      </c>
      <c r="J1447" s="38" t="n">
        <f aca="false">VLOOKUP(A1447,Inputs!$F$40:$G$48,2,TRUE())</f>
        <v>0.0364054</v>
      </c>
      <c r="K1447" s="38" t="n">
        <f aca="false">J1447+Inputs!$C$10</f>
        <v>0.1039054</v>
      </c>
      <c r="L1447" s="37" t="n">
        <f aca="false">I1447*K1447/C1447</f>
        <v>209.234161643836</v>
      </c>
      <c r="M1447" s="37" t="n">
        <f aca="false">IF(AND(A1447&gt;=Inputs!$C$13,OR(A1447&lt;Inputs!$B$19,Inputs!$B$20=1)),I1447*Inputs!$C$11/C1447,0)</f>
        <v>40.2739726027397</v>
      </c>
    </row>
    <row r="1448" customFormat="false" ht="15" hidden="false" customHeight="false" outlineLevel="0" collapsed="false">
      <c r="A1448" s="35" t="n">
        <f aca="false">A1447+1</f>
        <v>46255</v>
      </c>
      <c r="B1448" s="35" t="n">
        <f aca="false">EOMONTH(A1448+1,0)</f>
        <v>46265</v>
      </c>
      <c r="C1448" s="36" t="n">
        <f aca="false">IF(MOD(YEAR(A1448),4)=0,366,365)</f>
        <v>365</v>
      </c>
      <c r="D1448" s="37" t="n">
        <f aca="false">Inputs!$B$9-SUMIFS(Cash_Events!$G$6:$G$20,Cash_Events!$C$6:$C$20,"rAGMF",Cash_Events!$B$6:$B$20,"&lt;="&amp;A1448)</f>
        <v>735000</v>
      </c>
      <c r="E1448" s="38" t="n">
        <f aca="false">VLOOKUP(A1448,Inputs!$A$40:$B$48,2,TRUE())</f>
        <v>0.0363225</v>
      </c>
      <c r="F1448" s="38" t="n">
        <f aca="false">E1448+Inputs!$B$10</f>
        <v>0.1038225</v>
      </c>
      <c r="G1448" s="37" t="n">
        <f aca="false">D1448*F1448/C1448</f>
        <v>209.067226027397</v>
      </c>
      <c r="H1448" s="37" t="n">
        <f aca="false">IF(AND(A1448&gt;=Inputs!$B$13,OR(A1448&lt;Inputs!$B$19,Inputs!$B$20=1)),D1448*Inputs!$B$11/C1448,0)</f>
        <v>40.2739726027397</v>
      </c>
      <c r="I1448" s="37" t="n">
        <f aca="false">Inputs!$C$9-SUMIFS(Cash_Events!$G$6:$G$20,Cash_Events!$C$6:$C$20,"FHL",Cash_Events!$B$6:$B$20,"&lt;="&amp;A1448)</f>
        <v>735000</v>
      </c>
      <c r="J1448" s="38" t="n">
        <f aca="false">VLOOKUP(A1448,Inputs!$F$40:$G$48,2,TRUE())</f>
        <v>0.0364054</v>
      </c>
      <c r="K1448" s="38" t="n">
        <f aca="false">J1448+Inputs!$C$10</f>
        <v>0.1039054</v>
      </c>
      <c r="L1448" s="37" t="n">
        <f aca="false">I1448*K1448/C1448</f>
        <v>209.234161643836</v>
      </c>
      <c r="M1448" s="37" t="n">
        <f aca="false">IF(AND(A1448&gt;=Inputs!$C$13,OR(A1448&lt;Inputs!$B$19,Inputs!$B$20=1)),I1448*Inputs!$C$11/C1448,0)</f>
        <v>40.2739726027397</v>
      </c>
    </row>
    <row r="1449" customFormat="false" ht="15" hidden="false" customHeight="false" outlineLevel="0" collapsed="false">
      <c r="A1449" s="35" t="n">
        <f aca="false">A1448+1</f>
        <v>46256</v>
      </c>
      <c r="B1449" s="35" t="n">
        <f aca="false">EOMONTH(A1449+1,0)</f>
        <v>46265</v>
      </c>
      <c r="C1449" s="36" t="n">
        <f aca="false">IF(MOD(YEAR(A1449),4)=0,366,365)</f>
        <v>365</v>
      </c>
      <c r="D1449" s="37" t="n">
        <f aca="false">Inputs!$B$9-SUMIFS(Cash_Events!$G$6:$G$20,Cash_Events!$C$6:$C$20,"rAGMF",Cash_Events!$B$6:$B$20,"&lt;="&amp;A1449)</f>
        <v>735000</v>
      </c>
      <c r="E1449" s="38" t="n">
        <f aca="false">VLOOKUP(A1449,Inputs!$A$40:$B$48,2,TRUE())</f>
        <v>0.0363225</v>
      </c>
      <c r="F1449" s="38" t="n">
        <f aca="false">E1449+Inputs!$B$10</f>
        <v>0.1038225</v>
      </c>
      <c r="G1449" s="37" t="n">
        <f aca="false">D1449*F1449/C1449</f>
        <v>209.067226027397</v>
      </c>
      <c r="H1449" s="37" t="n">
        <f aca="false">IF(AND(A1449&gt;=Inputs!$B$13,OR(A1449&lt;Inputs!$B$19,Inputs!$B$20=1)),D1449*Inputs!$B$11/C1449,0)</f>
        <v>40.2739726027397</v>
      </c>
      <c r="I1449" s="37" t="n">
        <f aca="false">Inputs!$C$9-SUMIFS(Cash_Events!$G$6:$G$20,Cash_Events!$C$6:$C$20,"FHL",Cash_Events!$B$6:$B$20,"&lt;="&amp;A1449)</f>
        <v>735000</v>
      </c>
      <c r="J1449" s="38" t="n">
        <f aca="false">VLOOKUP(A1449,Inputs!$F$40:$G$48,2,TRUE())</f>
        <v>0.0364054</v>
      </c>
      <c r="K1449" s="38" t="n">
        <f aca="false">J1449+Inputs!$C$10</f>
        <v>0.1039054</v>
      </c>
      <c r="L1449" s="37" t="n">
        <f aca="false">I1449*K1449/C1449</f>
        <v>209.234161643836</v>
      </c>
      <c r="M1449" s="37" t="n">
        <f aca="false">IF(AND(A1449&gt;=Inputs!$C$13,OR(A1449&lt;Inputs!$B$19,Inputs!$B$20=1)),I1449*Inputs!$C$11/C1449,0)</f>
        <v>40.2739726027397</v>
      </c>
    </row>
    <row r="1450" customFormat="false" ht="15" hidden="false" customHeight="false" outlineLevel="0" collapsed="false">
      <c r="A1450" s="35" t="n">
        <f aca="false">A1449+1</f>
        <v>46257</v>
      </c>
      <c r="B1450" s="35" t="n">
        <f aca="false">EOMONTH(A1450+1,0)</f>
        <v>46265</v>
      </c>
      <c r="C1450" s="36" t="n">
        <f aca="false">IF(MOD(YEAR(A1450),4)=0,366,365)</f>
        <v>365</v>
      </c>
      <c r="D1450" s="37" t="n">
        <f aca="false">Inputs!$B$9-SUMIFS(Cash_Events!$G$6:$G$20,Cash_Events!$C$6:$C$20,"rAGMF",Cash_Events!$B$6:$B$20,"&lt;="&amp;A1450)</f>
        <v>735000</v>
      </c>
      <c r="E1450" s="38" t="n">
        <f aca="false">VLOOKUP(A1450,Inputs!$A$40:$B$48,2,TRUE())</f>
        <v>0.0363225</v>
      </c>
      <c r="F1450" s="38" t="n">
        <f aca="false">E1450+Inputs!$B$10</f>
        <v>0.1038225</v>
      </c>
      <c r="G1450" s="37" t="n">
        <f aca="false">D1450*F1450/C1450</f>
        <v>209.067226027397</v>
      </c>
      <c r="H1450" s="37" t="n">
        <f aca="false">IF(AND(A1450&gt;=Inputs!$B$13,OR(A1450&lt;Inputs!$B$19,Inputs!$B$20=1)),D1450*Inputs!$B$11/C1450,0)</f>
        <v>40.2739726027397</v>
      </c>
      <c r="I1450" s="37" t="n">
        <f aca="false">Inputs!$C$9-SUMIFS(Cash_Events!$G$6:$G$20,Cash_Events!$C$6:$C$20,"FHL",Cash_Events!$B$6:$B$20,"&lt;="&amp;A1450)</f>
        <v>735000</v>
      </c>
      <c r="J1450" s="38" t="n">
        <f aca="false">VLOOKUP(A1450,Inputs!$F$40:$G$48,2,TRUE())</f>
        <v>0.0364054</v>
      </c>
      <c r="K1450" s="38" t="n">
        <f aca="false">J1450+Inputs!$C$10</f>
        <v>0.1039054</v>
      </c>
      <c r="L1450" s="37" t="n">
        <f aca="false">I1450*K1450/C1450</f>
        <v>209.234161643836</v>
      </c>
      <c r="M1450" s="37" t="n">
        <f aca="false">IF(AND(A1450&gt;=Inputs!$C$13,OR(A1450&lt;Inputs!$B$19,Inputs!$B$20=1)),I1450*Inputs!$C$11/C1450,0)</f>
        <v>40.2739726027397</v>
      </c>
    </row>
    <row r="1451" customFormat="false" ht="15" hidden="false" customHeight="false" outlineLevel="0" collapsed="false">
      <c r="A1451" s="35" t="n">
        <f aca="false">A1450+1</f>
        <v>46258</v>
      </c>
      <c r="B1451" s="35" t="n">
        <f aca="false">EOMONTH(A1451+1,0)</f>
        <v>46265</v>
      </c>
      <c r="C1451" s="36" t="n">
        <f aca="false">IF(MOD(YEAR(A1451),4)=0,366,365)</f>
        <v>365</v>
      </c>
      <c r="D1451" s="37" t="n">
        <f aca="false">Inputs!$B$9-SUMIFS(Cash_Events!$G$6:$G$20,Cash_Events!$C$6:$C$20,"rAGMF",Cash_Events!$B$6:$B$20,"&lt;="&amp;A1451)</f>
        <v>735000</v>
      </c>
      <c r="E1451" s="38" t="n">
        <f aca="false">VLOOKUP(A1451,Inputs!$A$40:$B$48,2,TRUE())</f>
        <v>0.0363225</v>
      </c>
      <c r="F1451" s="38" t="n">
        <f aca="false">E1451+Inputs!$B$10</f>
        <v>0.1038225</v>
      </c>
      <c r="G1451" s="37" t="n">
        <f aca="false">D1451*F1451/C1451</f>
        <v>209.067226027397</v>
      </c>
      <c r="H1451" s="37" t="n">
        <f aca="false">IF(AND(A1451&gt;=Inputs!$B$13,OR(A1451&lt;Inputs!$B$19,Inputs!$B$20=1)),D1451*Inputs!$B$11/C1451,0)</f>
        <v>40.2739726027397</v>
      </c>
      <c r="I1451" s="37" t="n">
        <f aca="false">Inputs!$C$9-SUMIFS(Cash_Events!$G$6:$G$20,Cash_Events!$C$6:$C$20,"FHL",Cash_Events!$B$6:$B$20,"&lt;="&amp;A1451)</f>
        <v>735000</v>
      </c>
      <c r="J1451" s="38" t="n">
        <f aca="false">VLOOKUP(A1451,Inputs!$F$40:$G$48,2,TRUE())</f>
        <v>0.0364054</v>
      </c>
      <c r="K1451" s="38" t="n">
        <f aca="false">J1451+Inputs!$C$10</f>
        <v>0.1039054</v>
      </c>
      <c r="L1451" s="37" t="n">
        <f aca="false">I1451*K1451/C1451</f>
        <v>209.234161643836</v>
      </c>
      <c r="M1451" s="37" t="n">
        <f aca="false">IF(AND(A1451&gt;=Inputs!$C$13,OR(A1451&lt;Inputs!$B$19,Inputs!$B$20=1)),I1451*Inputs!$C$11/C1451,0)</f>
        <v>40.2739726027397</v>
      </c>
    </row>
    <row r="1452" customFormat="false" ht="15" hidden="false" customHeight="false" outlineLevel="0" collapsed="false">
      <c r="A1452" s="35" t="n">
        <f aca="false">A1451+1</f>
        <v>46259</v>
      </c>
      <c r="B1452" s="35" t="n">
        <f aca="false">EOMONTH(A1452+1,0)</f>
        <v>46265</v>
      </c>
      <c r="C1452" s="36" t="n">
        <f aca="false">IF(MOD(YEAR(A1452),4)=0,366,365)</f>
        <v>365</v>
      </c>
      <c r="D1452" s="37" t="n">
        <f aca="false">Inputs!$B$9-SUMIFS(Cash_Events!$G$6:$G$20,Cash_Events!$C$6:$C$20,"rAGMF",Cash_Events!$B$6:$B$20,"&lt;="&amp;A1452)</f>
        <v>735000</v>
      </c>
      <c r="E1452" s="38" t="n">
        <f aca="false">VLOOKUP(A1452,Inputs!$A$40:$B$48,2,TRUE())</f>
        <v>0.0363225</v>
      </c>
      <c r="F1452" s="38" t="n">
        <f aca="false">E1452+Inputs!$B$10</f>
        <v>0.1038225</v>
      </c>
      <c r="G1452" s="37" t="n">
        <f aca="false">D1452*F1452/C1452</f>
        <v>209.067226027397</v>
      </c>
      <c r="H1452" s="37" t="n">
        <f aca="false">IF(AND(A1452&gt;=Inputs!$B$13,OR(A1452&lt;Inputs!$B$19,Inputs!$B$20=1)),D1452*Inputs!$B$11/C1452,0)</f>
        <v>40.2739726027397</v>
      </c>
      <c r="I1452" s="37" t="n">
        <f aca="false">Inputs!$C$9-SUMIFS(Cash_Events!$G$6:$G$20,Cash_Events!$C$6:$C$20,"FHL",Cash_Events!$B$6:$B$20,"&lt;="&amp;A1452)</f>
        <v>735000</v>
      </c>
      <c r="J1452" s="38" t="n">
        <f aca="false">VLOOKUP(A1452,Inputs!$F$40:$G$48,2,TRUE())</f>
        <v>0.0364054</v>
      </c>
      <c r="K1452" s="38" t="n">
        <f aca="false">J1452+Inputs!$C$10</f>
        <v>0.1039054</v>
      </c>
      <c r="L1452" s="37" t="n">
        <f aca="false">I1452*K1452/C1452</f>
        <v>209.234161643836</v>
      </c>
      <c r="M1452" s="37" t="n">
        <f aca="false">IF(AND(A1452&gt;=Inputs!$C$13,OR(A1452&lt;Inputs!$B$19,Inputs!$B$20=1)),I1452*Inputs!$C$11/C1452,0)</f>
        <v>40.2739726027397</v>
      </c>
    </row>
    <row r="1453" customFormat="false" ht="15" hidden="false" customHeight="false" outlineLevel="0" collapsed="false">
      <c r="A1453" s="35" t="n">
        <f aca="false">A1452+1</f>
        <v>46260</v>
      </c>
      <c r="B1453" s="35" t="n">
        <f aca="false">EOMONTH(A1453+1,0)</f>
        <v>46265</v>
      </c>
      <c r="C1453" s="36" t="n">
        <f aca="false">IF(MOD(YEAR(A1453),4)=0,366,365)</f>
        <v>365</v>
      </c>
      <c r="D1453" s="37" t="n">
        <f aca="false">Inputs!$B$9-SUMIFS(Cash_Events!$G$6:$G$20,Cash_Events!$C$6:$C$20,"rAGMF",Cash_Events!$B$6:$B$20,"&lt;="&amp;A1453)</f>
        <v>735000</v>
      </c>
      <c r="E1453" s="38" t="n">
        <f aca="false">VLOOKUP(A1453,Inputs!$A$40:$B$48,2,TRUE())</f>
        <v>0.0363225</v>
      </c>
      <c r="F1453" s="38" t="n">
        <f aca="false">E1453+Inputs!$B$10</f>
        <v>0.1038225</v>
      </c>
      <c r="G1453" s="37" t="n">
        <f aca="false">D1453*F1453/C1453</f>
        <v>209.067226027397</v>
      </c>
      <c r="H1453" s="37" t="n">
        <f aca="false">IF(AND(A1453&gt;=Inputs!$B$13,OR(A1453&lt;Inputs!$B$19,Inputs!$B$20=1)),D1453*Inputs!$B$11/C1453,0)</f>
        <v>40.2739726027397</v>
      </c>
      <c r="I1453" s="37" t="n">
        <f aca="false">Inputs!$C$9-SUMIFS(Cash_Events!$G$6:$G$20,Cash_Events!$C$6:$C$20,"FHL",Cash_Events!$B$6:$B$20,"&lt;="&amp;A1453)</f>
        <v>735000</v>
      </c>
      <c r="J1453" s="38" t="n">
        <f aca="false">VLOOKUP(A1453,Inputs!$F$40:$G$48,2,TRUE())</f>
        <v>0.0364054</v>
      </c>
      <c r="K1453" s="38" t="n">
        <f aca="false">J1453+Inputs!$C$10</f>
        <v>0.1039054</v>
      </c>
      <c r="L1453" s="37" t="n">
        <f aca="false">I1453*K1453/C1453</f>
        <v>209.234161643836</v>
      </c>
      <c r="M1453" s="37" t="n">
        <f aca="false">IF(AND(A1453&gt;=Inputs!$C$13,OR(A1453&lt;Inputs!$B$19,Inputs!$B$20=1)),I1453*Inputs!$C$11/C1453,0)</f>
        <v>40.2739726027397</v>
      </c>
    </row>
    <row r="1454" customFormat="false" ht="15" hidden="false" customHeight="false" outlineLevel="0" collapsed="false">
      <c r="A1454" s="35" t="n">
        <f aca="false">A1453+1</f>
        <v>46261</v>
      </c>
      <c r="B1454" s="35" t="n">
        <f aca="false">EOMONTH(A1454+1,0)</f>
        <v>46265</v>
      </c>
      <c r="C1454" s="36" t="n">
        <f aca="false">IF(MOD(YEAR(A1454),4)=0,366,365)</f>
        <v>365</v>
      </c>
      <c r="D1454" s="37" t="n">
        <f aca="false">Inputs!$B$9-SUMIFS(Cash_Events!$G$6:$G$20,Cash_Events!$C$6:$C$20,"rAGMF",Cash_Events!$B$6:$B$20,"&lt;="&amp;A1454)</f>
        <v>735000</v>
      </c>
      <c r="E1454" s="38" t="n">
        <f aca="false">VLOOKUP(A1454,Inputs!$A$40:$B$48,2,TRUE())</f>
        <v>0.0363225</v>
      </c>
      <c r="F1454" s="38" t="n">
        <f aca="false">E1454+Inputs!$B$10</f>
        <v>0.1038225</v>
      </c>
      <c r="G1454" s="37" t="n">
        <f aca="false">D1454*F1454/C1454</f>
        <v>209.067226027397</v>
      </c>
      <c r="H1454" s="37" t="n">
        <f aca="false">IF(AND(A1454&gt;=Inputs!$B$13,OR(A1454&lt;Inputs!$B$19,Inputs!$B$20=1)),D1454*Inputs!$B$11/C1454,0)</f>
        <v>40.2739726027397</v>
      </c>
      <c r="I1454" s="37" t="n">
        <f aca="false">Inputs!$C$9-SUMIFS(Cash_Events!$G$6:$G$20,Cash_Events!$C$6:$C$20,"FHL",Cash_Events!$B$6:$B$20,"&lt;="&amp;A1454)</f>
        <v>735000</v>
      </c>
      <c r="J1454" s="38" t="n">
        <f aca="false">VLOOKUP(A1454,Inputs!$F$40:$G$48,2,TRUE())</f>
        <v>0.0364054</v>
      </c>
      <c r="K1454" s="38" t="n">
        <f aca="false">J1454+Inputs!$C$10</f>
        <v>0.1039054</v>
      </c>
      <c r="L1454" s="37" t="n">
        <f aca="false">I1454*K1454/C1454</f>
        <v>209.234161643836</v>
      </c>
      <c r="M1454" s="37" t="n">
        <f aca="false">IF(AND(A1454&gt;=Inputs!$C$13,OR(A1454&lt;Inputs!$B$19,Inputs!$B$20=1)),I1454*Inputs!$C$11/C1454,0)</f>
        <v>40.2739726027397</v>
      </c>
    </row>
    <row r="1455" customFormat="false" ht="15" hidden="false" customHeight="false" outlineLevel="0" collapsed="false">
      <c r="A1455" s="35" t="n">
        <f aca="false">A1454+1</f>
        <v>46262</v>
      </c>
      <c r="B1455" s="35" t="n">
        <f aca="false">EOMONTH(A1455+1,0)</f>
        <v>46265</v>
      </c>
      <c r="C1455" s="36" t="n">
        <f aca="false">IF(MOD(YEAR(A1455),4)=0,366,365)</f>
        <v>365</v>
      </c>
      <c r="D1455" s="37" t="n">
        <f aca="false">Inputs!$B$9-SUMIFS(Cash_Events!$G$6:$G$20,Cash_Events!$C$6:$C$20,"rAGMF",Cash_Events!$B$6:$B$20,"&lt;="&amp;A1455)</f>
        <v>735000</v>
      </c>
      <c r="E1455" s="38" t="n">
        <f aca="false">VLOOKUP(A1455,Inputs!$A$40:$B$48,2,TRUE())</f>
        <v>0.0363225</v>
      </c>
      <c r="F1455" s="38" t="n">
        <f aca="false">E1455+Inputs!$B$10</f>
        <v>0.1038225</v>
      </c>
      <c r="G1455" s="37" t="n">
        <f aca="false">D1455*F1455/C1455</f>
        <v>209.067226027397</v>
      </c>
      <c r="H1455" s="37" t="n">
        <f aca="false">IF(AND(A1455&gt;=Inputs!$B$13,OR(A1455&lt;Inputs!$B$19,Inputs!$B$20=1)),D1455*Inputs!$B$11/C1455,0)</f>
        <v>40.2739726027397</v>
      </c>
      <c r="I1455" s="37" t="n">
        <f aca="false">Inputs!$C$9-SUMIFS(Cash_Events!$G$6:$G$20,Cash_Events!$C$6:$C$20,"FHL",Cash_Events!$B$6:$B$20,"&lt;="&amp;A1455)</f>
        <v>735000</v>
      </c>
      <c r="J1455" s="38" t="n">
        <f aca="false">VLOOKUP(A1455,Inputs!$F$40:$G$48,2,TRUE())</f>
        <v>0.0364054</v>
      </c>
      <c r="K1455" s="38" t="n">
        <f aca="false">J1455+Inputs!$C$10</f>
        <v>0.1039054</v>
      </c>
      <c r="L1455" s="37" t="n">
        <f aca="false">I1455*K1455/C1455</f>
        <v>209.234161643836</v>
      </c>
      <c r="M1455" s="37" t="n">
        <f aca="false">IF(AND(A1455&gt;=Inputs!$C$13,OR(A1455&lt;Inputs!$B$19,Inputs!$B$20=1)),I1455*Inputs!$C$11/C1455,0)</f>
        <v>40.2739726027397</v>
      </c>
    </row>
    <row r="1456" customFormat="false" ht="15" hidden="false" customHeight="false" outlineLevel="0" collapsed="false">
      <c r="A1456" s="35" t="n">
        <f aca="false">A1455+1</f>
        <v>46263</v>
      </c>
      <c r="B1456" s="35" t="n">
        <f aca="false">EOMONTH(A1456+1,0)</f>
        <v>46265</v>
      </c>
      <c r="C1456" s="36" t="n">
        <f aca="false">IF(MOD(YEAR(A1456),4)=0,366,365)</f>
        <v>365</v>
      </c>
      <c r="D1456" s="37" t="n">
        <f aca="false">Inputs!$B$9-SUMIFS(Cash_Events!$G$6:$G$20,Cash_Events!$C$6:$C$20,"rAGMF",Cash_Events!$B$6:$B$20,"&lt;="&amp;A1456)</f>
        <v>735000</v>
      </c>
      <c r="E1456" s="38" t="n">
        <f aca="false">VLOOKUP(A1456,Inputs!$A$40:$B$48,2,TRUE())</f>
        <v>0.0363225</v>
      </c>
      <c r="F1456" s="38" t="n">
        <f aca="false">E1456+Inputs!$B$10</f>
        <v>0.1038225</v>
      </c>
      <c r="G1456" s="37" t="n">
        <f aca="false">D1456*F1456/C1456</f>
        <v>209.067226027397</v>
      </c>
      <c r="H1456" s="37" t="n">
        <f aca="false">IF(AND(A1456&gt;=Inputs!$B$13,OR(A1456&lt;Inputs!$B$19,Inputs!$B$20=1)),D1456*Inputs!$B$11/C1456,0)</f>
        <v>40.2739726027397</v>
      </c>
      <c r="I1456" s="37" t="n">
        <f aca="false">Inputs!$C$9-SUMIFS(Cash_Events!$G$6:$G$20,Cash_Events!$C$6:$C$20,"FHL",Cash_Events!$B$6:$B$20,"&lt;="&amp;A1456)</f>
        <v>735000</v>
      </c>
      <c r="J1456" s="38" t="n">
        <f aca="false">VLOOKUP(A1456,Inputs!$F$40:$G$48,2,TRUE())</f>
        <v>0.0364054</v>
      </c>
      <c r="K1456" s="38" t="n">
        <f aca="false">J1456+Inputs!$C$10</f>
        <v>0.1039054</v>
      </c>
      <c r="L1456" s="37" t="n">
        <f aca="false">I1456*K1456/C1456</f>
        <v>209.234161643836</v>
      </c>
      <c r="M1456" s="37" t="n">
        <f aca="false">IF(AND(A1456&gt;=Inputs!$C$13,OR(A1456&lt;Inputs!$B$19,Inputs!$B$20=1)),I1456*Inputs!$C$11/C1456,0)</f>
        <v>40.2739726027397</v>
      </c>
    </row>
    <row r="1457" customFormat="false" ht="15" hidden="false" customHeight="false" outlineLevel="0" collapsed="false">
      <c r="A1457" s="35" t="n">
        <f aca="false">A1456+1</f>
        <v>46264</v>
      </c>
      <c r="B1457" s="35" t="n">
        <f aca="false">EOMONTH(A1457+1,0)</f>
        <v>46265</v>
      </c>
      <c r="C1457" s="36" t="n">
        <f aca="false">IF(MOD(YEAR(A1457),4)=0,366,365)</f>
        <v>365</v>
      </c>
      <c r="D1457" s="37" t="n">
        <f aca="false">Inputs!$B$9-SUMIFS(Cash_Events!$G$6:$G$20,Cash_Events!$C$6:$C$20,"rAGMF",Cash_Events!$B$6:$B$20,"&lt;="&amp;A1457)</f>
        <v>735000</v>
      </c>
      <c r="E1457" s="38" t="n">
        <f aca="false">VLOOKUP(A1457,Inputs!$A$40:$B$48,2,TRUE())</f>
        <v>0.0363225</v>
      </c>
      <c r="F1457" s="38" t="n">
        <f aca="false">E1457+Inputs!$B$10</f>
        <v>0.1038225</v>
      </c>
      <c r="G1457" s="37" t="n">
        <f aca="false">D1457*F1457/C1457</f>
        <v>209.067226027397</v>
      </c>
      <c r="H1457" s="37" t="n">
        <f aca="false">IF(AND(A1457&gt;=Inputs!$B$13,OR(A1457&lt;Inputs!$B$19,Inputs!$B$20=1)),D1457*Inputs!$B$11/C1457,0)</f>
        <v>40.2739726027397</v>
      </c>
      <c r="I1457" s="37" t="n">
        <f aca="false">Inputs!$C$9-SUMIFS(Cash_Events!$G$6:$G$20,Cash_Events!$C$6:$C$20,"FHL",Cash_Events!$B$6:$B$20,"&lt;="&amp;A1457)</f>
        <v>735000</v>
      </c>
      <c r="J1457" s="38" t="n">
        <f aca="false">VLOOKUP(A1457,Inputs!$F$40:$G$48,2,TRUE())</f>
        <v>0.0364054</v>
      </c>
      <c r="K1457" s="38" t="n">
        <f aca="false">J1457+Inputs!$C$10</f>
        <v>0.1039054</v>
      </c>
      <c r="L1457" s="37" t="n">
        <f aca="false">I1457*K1457/C1457</f>
        <v>209.234161643836</v>
      </c>
      <c r="M1457" s="37" t="n">
        <f aca="false">IF(AND(A1457&gt;=Inputs!$C$13,OR(A1457&lt;Inputs!$B$19,Inputs!$B$20=1)),I1457*Inputs!$C$11/C1457,0)</f>
        <v>40.2739726027397</v>
      </c>
    </row>
    <row r="1458" customFormat="false" ht="15" hidden="false" customHeight="false" outlineLevel="0" collapsed="false">
      <c r="A1458" s="35" t="n">
        <f aca="false">A1457+1</f>
        <v>46265</v>
      </c>
      <c r="B1458" s="35" t="n">
        <f aca="false">EOMONTH(A1458+1,0)</f>
        <v>46295</v>
      </c>
      <c r="C1458" s="36" t="n">
        <f aca="false">IF(MOD(YEAR(A1458),4)=0,366,365)</f>
        <v>365</v>
      </c>
      <c r="D1458" s="37" t="n">
        <f aca="false">Inputs!$B$9-SUMIFS(Cash_Events!$G$6:$G$20,Cash_Events!$C$6:$C$20,"rAGMF",Cash_Events!$B$6:$B$20,"&lt;="&amp;A1458)</f>
        <v>735000</v>
      </c>
      <c r="E1458" s="38" t="n">
        <f aca="false">VLOOKUP(A1458,Inputs!$A$40:$B$48,2,TRUE())</f>
        <v>0.0363225</v>
      </c>
      <c r="F1458" s="38" t="n">
        <f aca="false">E1458+Inputs!$B$10</f>
        <v>0.1038225</v>
      </c>
      <c r="G1458" s="37" t="n">
        <f aca="false">D1458*F1458/C1458</f>
        <v>209.067226027397</v>
      </c>
      <c r="H1458" s="37" t="n">
        <f aca="false">IF(AND(A1458&gt;=Inputs!$B$13,OR(A1458&lt;Inputs!$B$19,Inputs!$B$20=1)),D1458*Inputs!$B$11/C1458,0)</f>
        <v>40.2739726027397</v>
      </c>
      <c r="I1458" s="37" t="n">
        <f aca="false">Inputs!$C$9-SUMIFS(Cash_Events!$G$6:$G$20,Cash_Events!$C$6:$C$20,"FHL",Cash_Events!$B$6:$B$20,"&lt;="&amp;A1458)</f>
        <v>735000</v>
      </c>
      <c r="J1458" s="38" t="n">
        <f aca="false">VLOOKUP(A1458,Inputs!$F$40:$G$48,2,TRUE())</f>
        <v>0.0364054</v>
      </c>
      <c r="K1458" s="38" t="n">
        <f aca="false">J1458+Inputs!$C$10</f>
        <v>0.1039054</v>
      </c>
      <c r="L1458" s="37" t="n">
        <f aca="false">I1458*K1458/C1458</f>
        <v>209.234161643836</v>
      </c>
      <c r="M1458" s="37" t="n">
        <f aca="false">IF(AND(A1458&gt;=Inputs!$C$13,OR(A1458&lt;Inputs!$B$19,Inputs!$B$20=1)),I1458*Inputs!$C$11/C1458,0)</f>
        <v>40.2739726027397</v>
      </c>
    </row>
    <row r="1459" customFormat="false" ht="15" hidden="false" customHeight="false" outlineLevel="0" collapsed="false">
      <c r="A1459" s="35" t="n">
        <f aca="false">A1458+1</f>
        <v>46266</v>
      </c>
      <c r="B1459" s="35" t="n">
        <f aca="false">EOMONTH(A1459+1,0)</f>
        <v>46295</v>
      </c>
      <c r="C1459" s="36" t="n">
        <f aca="false">IF(MOD(YEAR(A1459),4)=0,366,365)</f>
        <v>365</v>
      </c>
      <c r="D1459" s="37" t="n">
        <f aca="false">Inputs!$B$9-SUMIFS(Cash_Events!$G$6:$G$20,Cash_Events!$C$6:$C$20,"rAGMF",Cash_Events!$B$6:$B$20,"&lt;="&amp;A1459)</f>
        <v>735000</v>
      </c>
      <c r="E1459" s="38" t="n">
        <f aca="false">VLOOKUP(A1459,Inputs!$A$40:$B$48,2,TRUE())</f>
        <v>0.0363225</v>
      </c>
      <c r="F1459" s="38" t="n">
        <f aca="false">E1459+Inputs!$B$10</f>
        <v>0.1038225</v>
      </c>
      <c r="G1459" s="37" t="n">
        <f aca="false">D1459*F1459/C1459</f>
        <v>209.067226027397</v>
      </c>
      <c r="H1459" s="37" t="n">
        <f aca="false">IF(AND(A1459&gt;=Inputs!$B$13,OR(A1459&lt;Inputs!$B$19,Inputs!$B$20=1)),D1459*Inputs!$B$11/C1459,0)</f>
        <v>40.2739726027397</v>
      </c>
      <c r="I1459" s="37" t="n">
        <f aca="false">Inputs!$C$9-SUMIFS(Cash_Events!$G$6:$G$20,Cash_Events!$C$6:$C$20,"FHL",Cash_Events!$B$6:$B$20,"&lt;="&amp;A1459)</f>
        <v>735000</v>
      </c>
      <c r="J1459" s="38" t="n">
        <f aca="false">VLOOKUP(A1459,Inputs!$F$40:$G$48,2,TRUE())</f>
        <v>0.0364054</v>
      </c>
      <c r="K1459" s="38" t="n">
        <f aca="false">J1459+Inputs!$C$10</f>
        <v>0.1039054</v>
      </c>
      <c r="L1459" s="37" t="n">
        <f aca="false">I1459*K1459/C1459</f>
        <v>209.234161643836</v>
      </c>
      <c r="M1459" s="37" t="n">
        <f aca="false">IF(AND(A1459&gt;=Inputs!$C$13,OR(A1459&lt;Inputs!$B$19,Inputs!$B$20=1)),I1459*Inputs!$C$11/C1459,0)</f>
        <v>40.2739726027397</v>
      </c>
    </row>
    <row r="1460" customFormat="false" ht="15" hidden="false" customHeight="false" outlineLevel="0" collapsed="false">
      <c r="A1460" s="35" t="n">
        <f aca="false">A1459+1</f>
        <v>46267</v>
      </c>
      <c r="B1460" s="35" t="n">
        <f aca="false">EOMONTH(A1460+1,0)</f>
        <v>46295</v>
      </c>
      <c r="C1460" s="36" t="n">
        <f aca="false">IF(MOD(YEAR(A1460),4)=0,366,365)</f>
        <v>365</v>
      </c>
      <c r="D1460" s="37" t="n">
        <f aca="false">Inputs!$B$9-SUMIFS(Cash_Events!$G$6:$G$20,Cash_Events!$C$6:$C$20,"rAGMF",Cash_Events!$B$6:$B$20,"&lt;="&amp;A1460)</f>
        <v>735000</v>
      </c>
      <c r="E1460" s="38" t="n">
        <f aca="false">VLOOKUP(A1460,Inputs!$A$40:$B$48,2,TRUE())</f>
        <v>0.0363225</v>
      </c>
      <c r="F1460" s="38" t="n">
        <f aca="false">E1460+Inputs!$B$10</f>
        <v>0.1038225</v>
      </c>
      <c r="G1460" s="37" t="n">
        <f aca="false">D1460*F1460/C1460</f>
        <v>209.067226027397</v>
      </c>
      <c r="H1460" s="37" t="n">
        <f aca="false">IF(AND(A1460&gt;=Inputs!$B$13,OR(A1460&lt;Inputs!$B$19,Inputs!$B$20=1)),D1460*Inputs!$B$11/C1460,0)</f>
        <v>40.2739726027397</v>
      </c>
      <c r="I1460" s="37" t="n">
        <f aca="false">Inputs!$C$9-SUMIFS(Cash_Events!$G$6:$G$20,Cash_Events!$C$6:$C$20,"FHL",Cash_Events!$B$6:$B$20,"&lt;="&amp;A1460)</f>
        <v>735000</v>
      </c>
      <c r="J1460" s="38" t="n">
        <f aca="false">VLOOKUP(A1460,Inputs!$F$40:$G$48,2,TRUE())</f>
        <v>0.0364054</v>
      </c>
      <c r="K1460" s="38" t="n">
        <f aca="false">J1460+Inputs!$C$10</f>
        <v>0.1039054</v>
      </c>
      <c r="L1460" s="37" t="n">
        <f aca="false">I1460*K1460/C1460</f>
        <v>209.234161643836</v>
      </c>
      <c r="M1460" s="37" t="n">
        <f aca="false">IF(AND(A1460&gt;=Inputs!$C$13,OR(A1460&lt;Inputs!$B$19,Inputs!$B$20=1)),I1460*Inputs!$C$11/C1460,0)</f>
        <v>40.2739726027397</v>
      </c>
    </row>
    <row r="1461" customFormat="false" ht="15" hidden="false" customHeight="false" outlineLevel="0" collapsed="false">
      <c r="A1461" s="35" t="n">
        <f aca="false">A1460+1</f>
        <v>46268</v>
      </c>
      <c r="B1461" s="35" t="n">
        <f aca="false">EOMONTH(A1461+1,0)</f>
        <v>46295</v>
      </c>
      <c r="C1461" s="36" t="n">
        <f aca="false">IF(MOD(YEAR(A1461),4)=0,366,365)</f>
        <v>365</v>
      </c>
      <c r="D1461" s="37" t="n">
        <f aca="false">Inputs!$B$9-SUMIFS(Cash_Events!$G$6:$G$20,Cash_Events!$C$6:$C$20,"rAGMF",Cash_Events!$B$6:$B$20,"&lt;="&amp;A1461)</f>
        <v>735000</v>
      </c>
      <c r="E1461" s="38" t="n">
        <f aca="false">VLOOKUP(A1461,Inputs!$A$40:$B$48,2,TRUE())</f>
        <v>0.0363225</v>
      </c>
      <c r="F1461" s="38" t="n">
        <f aca="false">E1461+Inputs!$B$10</f>
        <v>0.1038225</v>
      </c>
      <c r="G1461" s="37" t="n">
        <f aca="false">D1461*F1461/C1461</f>
        <v>209.067226027397</v>
      </c>
      <c r="H1461" s="37" t="n">
        <f aca="false">IF(AND(A1461&gt;=Inputs!$B$13,OR(A1461&lt;Inputs!$B$19,Inputs!$B$20=1)),D1461*Inputs!$B$11/C1461,0)</f>
        <v>40.2739726027397</v>
      </c>
      <c r="I1461" s="37" t="n">
        <f aca="false">Inputs!$C$9-SUMIFS(Cash_Events!$G$6:$G$20,Cash_Events!$C$6:$C$20,"FHL",Cash_Events!$B$6:$B$20,"&lt;="&amp;A1461)</f>
        <v>735000</v>
      </c>
      <c r="J1461" s="38" t="n">
        <f aca="false">VLOOKUP(A1461,Inputs!$F$40:$G$48,2,TRUE())</f>
        <v>0.0364054</v>
      </c>
      <c r="K1461" s="38" t="n">
        <f aca="false">J1461+Inputs!$C$10</f>
        <v>0.1039054</v>
      </c>
      <c r="L1461" s="37" t="n">
        <f aca="false">I1461*K1461/C1461</f>
        <v>209.234161643836</v>
      </c>
      <c r="M1461" s="37" t="n">
        <f aca="false">IF(AND(A1461&gt;=Inputs!$C$13,OR(A1461&lt;Inputs!$B$19,Inputs!$B$20=1)),I1461*Inputs!$C$11/C1461,0)</f>
        <v>40.2739726027397</v>
      </c>
    </row>
    <row r="1462" customFormat="false" ht="15" hidden="false" customHeight="false" outlineLevel="0" collapsed="false">
      <c r="A1462" s="35" t="n">
        <f aca="false">A1461+1</f>
        <v>46269</v>
      </c>
      <c r="B1462" s="35" t="n">
        <f aca="false">EOMONTH(A1462+1,0)</f>
        <v>46295</v>
      </c>
      <c r="C1462" s="36" t="n">
        <f aca="false">IF(MOD(YEAR(A1462),4)=0,366,365)</f>
        <v>365</v>
      </c>
      <c r="D1462" s="37" t="n">
        <f aca="false">Inputs!$B$9-SUMIFS(Cash_Events!$G$6:$G$20,Cash_Events!$C$6:$C$20,"rAGMF",Cash_Events!$B$6:$B$20,"&lt;="&amp;A1462)</f>
        <v>735000</v>
      </c>
      <c r="E1462" s="38" t="n">
        <f aca="false">VLOOKUP(A1462,Inputs!$A$40:$B$48,2,TRUE())</f>
        <v>0.0363225</v>
      </c>
      <c r="F1462" s="38" t="n">
        <f aca="false">E1462+Inputs!$B$10</f>
        <v>0.1038225</v>
      </c>
      <c r="G1462" s="37" t="n">
        <f aca="false">D1462*F1462/C1462</f>
        <v>209.067226027397</v>
      </c>
      <c r="H1462" s="37" t="n">
        <f aca="false">IF(AND(A1462&gt;=Inputs!$B$13,OR(A1462&lt;Inputs!$B$19,Inputs!$B$20=1)),D1462*Inputs!$B$11/C1462,0)</f>
        <v>40.2739726027397</v>
      </c>
      <c r="I1462" s="37" t="n">
        <f aca="false">Inputs!$C$9-SUMIFS(Cash_Events!$G$6:$G$20,Cash_Events!$C$6:$C$20,"FHL",Cash_Events!$B$6:$B$20,"&lt;="&amp;A1462)</f>
        <v>735000</v>
      </c>
      <c r="J1462" s="38" t="n">
        <f aca="false">VLOOKUP(A1462,Inputs!$F$40:$G$48,2,TRUE())</f>
        <v>0.0364054</v>
      </c>
      <c r="K1462" s="38" t="n">
        <f aca="false">J1462+Inputs!$C$10</f>
        <v>0.1039054</v>
      </c>
      <c r="L1462" s="37" t="n">
        <f aca="false">I1462*K1462/C1462</f>
        <v>209.234161643836</v>
      </c>
      <c r="M1462" s="37" t="n">
        <f aca="false">IF(AND(A1462&gt;=Inputs!$C$13,OR(A1462&lt;Inputs!$B$19,Inputs!$B$20=1)),I1462*Inputs!$C$11/C1462,0)</f>
        <v>40.2739726027397</v>
      </c>
    </row>
    <row r="1463" customFormat="false" ht="15" hidden="false" customHeight="false" outlineLevel="0" collapsed="false">
      <c r="A1463" s="35" t="n">
        <f aca="false">A1462+1</f>
        <v>46270</v>
      </c>
      <c r="B1463" s="35" t="n">
        <f aca="false">EOMONTH(A1463+1,0)</f>
        <v>46295</v>
      </c>
      <c r="C1463" s="36" t="n">
        <f aca="false">IF(MOD(YEAR(A1463),4)=0,366,365)</f>
        <v>365</v>
      </c>
      <c r="D1463" s="37" t="n">
        <f aca="false">Inputs!$B$9-SUMIFS(Cash_Events!$G$6:$G$20,Cash_Events!$C$6:$C$20,"rAGMF",Cash_Events!$B$6:$B$20,"&lt;="&amp;A1463)</f>
        <v>735000</v>
      </c>
      <c r="E1463" s="38" t="n">
        <f aca="false">VLOOKUP(A1463,Inputs!$A$40:$B$48,2,TRUE())</f>
        <v>0.0363225</v>
      </c>
      <c r="F1463" s="38" t="n">
        <f aca="false">E1463+Inputs!$B$10</f>
        <v>0.1038225</v>
      </c>
      <c r="G1463" s="37" t="n">
        <f aca="false">D1463*F1463/C1463</f>
        <v>209.067226027397</v>
      </c>
      <c r="H1463" s="37" t="n">
        <f aca="false">IF(AND(A1463&gt;=Inputs!$B$13,OR(A1463&lt;Inputs!$B$19,Inputs!$B$20=1)),D1463*Inputs!$B$11/C1463,0)</f>
        <v>40.2739726027397</v>
      </c>
      <c r="I1463" s="37" t="n">
        <f aca="false">Inputs!$C$9-SUMIFS(Cash_Events!$G$6:$G$20,Cash_Events!$C$6:$C$20,"FHL",Cash_Events!$B$6:$B$20,"&lt;="&amp;A1463)</f>
        <v>735000</v>
      </c>
      <c r="J1463" s="38" t="n">
        <f aca="false">VLOOKUP(A1463,Inputs!$F$40:$G$48,2,TRUE())</f>
        <v>0.0364054</v>
      </c>
      <c r="K1463" s="38" t="n">
        <f aca="false">J1463+Inputs!$C$10</f>
        <v>0.1039054</v>
      </c>
      <c r="L1463" s="37" t="n">
        <f aca="false">I1463*K1463/C1463</f>
        <v>209.234161643836</v>
      </c>
      <c r="M1463" s="37" t="n">
        <f aca="false">IF(AND(A1463&gt;=Inputs!$C$13,OR(A1463&lt;Inputs!$B$19,Inputs!$B$20=1)),I1463*Inputs!$C$11/C1463,0)</f>
        <v>40.2739726027397</v>
      </c>
    </row>
    <row r="1464" customFormat="false" ht="15" hidden="false" customHeight="false" outlineLevel="0" collapsed="false">
      <c r="A1464" s="35" t="n">
        <f aca="false">A1463+1</f>
        <v>46271</v>
      </c>
      <c r="B1464" s="35" t="n">
        <f aca="false">EOMONTH(A1464+1,0)</f>
        <v>46295</v>
      </c>
      <c r="C1464" s="36" t="n">
        <f aca="false">IF(MOD(YEAR(A1464),4)=0,366,365)</f>
        <v>365</v>
      </c>
      <c r="D1464" s="37" t="n">
        <f aca="false">Inputs!$B$9-SUMIFS(Cash_Events!$G$6:$G$20,Cash_Events!$C$6:$C$20,"rAGMF",Cash_Events!$B$6:$B$20,"&lt;="&amp;A1464)</f>
        <v>735000</v>
      </c>
      <c r="E1464" s="38" t="n">
        <f aca="false">VLOOKUP(A1464,Inputs!$A$40:$B$48,2,TRUE())</f>
        <v>0.0363225</v>
      </c>
      <c r="F1464" s="38" t="n">
        <f aca="false">E1464+Inputs!$B$10</f>
        <v>0.1038225</v>
      </c>
      <c r="G1464" s="37" t="n">
        <f aca="false">D1464*F1464/C1464</f>
        <v>209.067226027397</v>
      </c>
      <c r="H1464" s="37" t="n">
        <f aca="false">IF(AND(A1464&gt;=Inputs!$B$13,OR(A1464&lt;Inputs!$B$19,Inputs!$B$20=1)),D1464*Inputs!$B$11/C1464,0)</f>
        <v>40.2739726027397</v>
      </c>
      <c r="I1464" s="37" t="n">
        <f aca="false">Inputs!$C$9-SUMIFS(Cash_Events!$G$6:$G$20,Cash_Events!$C$6:$C$20,"FHL",Cash_Events!$B$6:$B$20,"&lt;="&amp;A1464)</f>
        <v>735000</v>
      </c>
      <c r="J1464" s="38" t="n">
        <f aca="false">VLOOKUP(A1464,Inputs!$F$40:$G$48,2,TRUE())</f>
        <v>0.0364054</v>
      </c>
      <c r="K1464" s="38" t="n">
        <f aca="false">J1464+Inputs!$C$10</f>
        <v>0.1039054</v>
      </c>
      <c r="L1464" s="37" t="n">
        <f aca="false">I1464*K1464/C1464</f>
        <v>209.234161643836</v>
      </c>
      <c r="M1464" s="37" t="n">
        <f aca="false">IF(AND(A1464&gt;=Inputs!$C$13,OR(A1464&lt;Inputs!$B$19,Inputs!$B$20=1)),I1464*Inputs!$C$11/C1464,0)</f>
        <v>40.2739726027397</v>
      </c>
    </row>
    <row r="1465" customFormat="false" ht="15" hidden="false" customHeight="false" outlineLevel="0" collapsed="false">
      <c r="A1465" s="35" t="n">
        <f aca="false">A1464+1</f>
        <v>46272</v>
      </c>
      <c r="B1465" s="35" t="n">
        <f aca="false">EOMONTH(A1465+1,0)</f>
        <v>46295</v>
      </c>
      <c r="C1465" s="36" t="n">
        <f aca="false">IF(MOD(YEAR(A1465),4)=0,366,365)</f>
        <v>365</v>
      </c>
      <c r="D1465" s="37" t="n">
        <f aca="false">Inputs!$B$9-SUMIFS(Cash_Events!$G$6:$G$20,Cash_Events!$C$6:$C$20,"rAGMF",Cash_Events!$B$6:$B$20,"&lt;="&amp;A1465)</f>
        <v>735000</v>
      </c>
      <c r="E1465" s="38" t="n">
        <f aca="false">VLOOKUP(A1465,Inputs!$A$40:$B$48,2,TRUE())</f>
        <v>0.0363225</v>
      </c>
      <c r="F1465" s="38" t="n">
        <f aca="false">E1465+Inputs!$B$10</f>
        <v>0.1038225</v>
      </c>
      <c r="G1465" s="37" t="n">
        <f aca="false">D1465*F1465/C1465</f>
        <v>209.067226027397</v>
      </c>
      <c r="H1465" s="37" t="n">
        <f aca="false">IF(AND(A1465&gt;=Inputs!$B$13,OR(A1465&lt;Inputs!$B$19,Inputs!$B$20=1)),D1465*Inputs!$B$11/C1465,0)</f>
        <v>40.2739726027397</v>
      </c>
      <c r="I1465" s="37" t="n">
        <f aca="false">Inputs!$C$9-SUMIFS(Cash_Events!$G$6:$G$20,Cash_Events!$C$6:$C$20,"FHL",Cash_Events!$B$6:$B$20,"&lt;="&amp;A1465)</f>
        <v>735000</v>
      </c>
      <c r="J1465" s="38" t="n">
        <f aca="false">VLOOKUP(A1465,Inputs!$F$40:$G$48,2,TRUE())</f>
        <v>0.0364054</v>
      </c>
      <c r="K1465" s="38" t="n">
        <f aca="false">J1465+Inputs!$C$10</f>
        <v>0.1039054</v>
      </c>
      <c r="L1465" s="37" t="n">
        <f aca="false">I1465*K1465/C1465</f>
        <v>209.234161643836</v>
      </c>
      <c r="M1465" s="37" t="n">
        <f aca="false">IF(AND(A1465&gt;=Inputs!$C$13,OR(A1465&lt;Inputs!$B$19,Inputs!$B$20=1)),I1465*Inputs!$C$11/C1465,0)</f>
        <v>40.2739726027397</v>
      </c>
    </row>
    <row r="1466" customFormat="false" ht="15" hidden="false" customHeight="false" outlineLevel="0" collapsed="false">
      <c r="A1466" s="35" t="n">
        <f aca="false">A1465+1</f>
        <v>46273</v>
      </c>
      <c r="B1466" s="35" t="n">
        <f aca="false">EOMONTH(A1466+1,0)</f>
        <v>46295</v>
      </c>
      <c r="C1466" s="36" t="n">
        <f aca="false">IF(MOD(YEAR(A1466),4)=0,366,365)</f>
        <v>365</v>
      </c>
      <c r="D1466" s="37" t="n">
        <f aca="false">Inputs!$B$9-SUMIFS(Cash_Events!$G$6:$G$20,Cash_Events!$C$6:$C$20,"rAGMF",Cash_Events!$B$6:$B$20,"&lt;="&amp;A1466)</f>
        <v>735000</v>
      </c>
      <c r="E1466" s="38" t="n">
        <f aca="false">VLOOKUP(A1466,Inputs!$A$40:$B$48,2,TRUE())</f>
        <v>0.0363225</v>
      </c>
      <c r="F1466" s="38" t="n">
        <f aca="false">E1466+Inputs!$B$10</f>
        <v>0.1038225</v>
      </c>
      <c r="G1466" s="37" t="n">
        <f aca="false">D1466*F1466/C1466</f>
        <v>209.067226027397</v>
      </c>
      <c r="H1466" s="37" t="n">
        <f aca="false">IF(AND(A1466&gt;=Inputs!$B$13,OR(A1466&lt;Inputs!$B$19,Inputs!$B$20=1)),D1466*Inputs!$B$11/C1466,0)</f>
        <v>40.2739726027397</v>
      </c>
      <c r="I1466" s="37" t="n">
        <f aca="false">Inputs!$C$9-SUMIFS(Cash_Events!$G$6:$G$20,Cash_Events!$C$6:$C$20,"FHL",Cash_Events!$B$6:$B$20,"&lt;="&amp;A1466)</f>
        <v>735000</v>
      </c>
      <c r="J1466" s="38" t="n">
        <f aca="false">VLOOKUP(A1466,Inputs!$F$40:$G$48,2,TRUE())</f>
        <v>0.0364054</v>
      </c>
      <c r="K1466" s="38" t="n">
        <f aca="false">J1466+Inputs!$C$10</f>
        <v>0.1039054</v>
      </c>
      <c r="L1466" s="37" t="n">
        <f aca="false">I1466*K1466/C1466</f>
        <v>209.234161643836</v>
      </c>
      <c r="M1466" s="37" t="n">
        <f aca="false">IF(AND(A1466&gt;=Inputs!$C$13,OR(A1466&lt;Inputs!$B$19,Inputs!$B$20=1)),I1466*Inputs!$C$11/C1466,0)</f>
        <v>40.2739726027397</v>
      </c>
    </row>
    <row r="1467" customFormat="false" ht="15" hidden="false" customHeight="false" outlineLevel="0" collapsed="false">
      <c r="A1467" s="35" t="n">
        <f aca="false">A1466+1</f>
        <v>46274</v>
      </c>
      <c r="B1467" s="35" t="n">
        <f aca="false">EOMONTH(A1467+1,0)</f>
        <v>46295</v>
      </c>
      <c r="C1467" s="36" t="n">
        <f aca="false">IF(MOD(YEAR(A1467),4)=0,366,365)</f>
        <v>365</v>
      </c>
      <c r="D1467" s="37" t="n">
        <f aca="false">Inputs!$B$9-SUMIFS(Cash_Events!$G$6:$G$20,Cash_Events!$C$6:$C$20,"rAGMF",Cash_Events!$B$6:$B$20,"&lt;="&amp;A1467)</f>
        <v>735000</v>
      </c>
      <c r="E1467" s="38" t="n">
        <f aca="false">VLOOKUP(A1467,Inputs!$A$40:$B$48,2,TRUE())</f>
        <v>0.0363225</v>
      </c>
      <c r="F1467" s="38" t="n">
        <f aca="false">E1467+Inputs!$B$10</f>
        <v>0.1038225</v>
      </c>
      <c r="G1467" s="37" t="n">
        <f aca="false">D1467*F1467/C1467</f>
        <v>209.067226027397</v>
      </c>
      <c r="H1467" s="37" t="n">
        <f aca="false">IF(AND(A1467&gt;=Inputs!$B$13,OR(A1467&lt;Inputs!$B$19,Inputs!$B$20=1)),D1467*Inputs!$B$11/C1467,0)</f>
        <v>40.2739726027397</v>
      </c>
      <c r="I1467" s="37" t="n">
        <f aca="false">Inputs!$C$9-SUMIFS(Cash_Events!$G$6:$G$20,Cash_Events!$C$6:$C$20,"FHL",Cash_Events!$B$6:$B$20,"&lt;="&amp;A1467)</f>
        <v>735000</v>
      </c>
      <c r="J1467" s="38" t="n">
        <f aca="false">VLOOKUP(A1467,Inputs!$F$40:$G$48,2,TRUE())</f>
        <v>0.0364054</v>
      </c>
      <c r="K1467" s="38" t="n">
        <f aca="false">J1467+Inputs!$C$10</f>
        <v>0.1039054</v>
      </c>
      <c r="L1467" s="37" t="n">
        <f aca="false">I1467*K1467/C1467</f>
        <v>209.234161643836</v>
      </c>
      <c r="M1467" s="37" t="n">
        <f aca="false">IF(AND(A1467&gt;=Inputs!$C$13,OR(A1467&lt;Inputs!$B$19,Inputs!$B$20=1)),I1467*Inputs!$C$11/C1467,0)</f>
        <v>40.2739726027397</v>
      </c>
    </row>
    <row r="1468" customFormat="false" ht="15" hidden="false" customHeight="false" outlineLevel="0" collapsed="false">
      <c r="A1468" s="35" t="n">
        <f aca="false">A1467+1</f>
        <v>46275</v>
      </c>
      <c r="B1468" s="35" t="n">
        <f aca="false">EOMONTH(A1468+1,0)</f>
        <v>46295</v>
      </c>
      <c r="C1468" s="36" t="n">
        <f aca="false">IF(MOD(YEAR(A1468),4)=0,366,365)</f>
        <v>365</v>
      </c>
      <c r="D1468" s="37" t="n">
        <f aca="false">Inputs!$B$9-SUMIFS(Cash_Events!$G$6:$G$20,Cash_Events!$C$6:$C$20,"rAGMF",Cash_Events!$B$6:$B$20,"&lt;="&amp;A1468)</f>
        <v>735000</v>
      </c>
      <c r="E1468" s="38" t="n">
        <f aca="false">VLOOKUP(A1468,Inputs!$A$40:$B$48,2,TRUE())</f>
        <v>0.0363225</v>
      </c>
      <c r="F1468" s="38" t="n">
        <f aca="false">E1468+Inputs!$B$10</f>
        <v>0.1038225</v>
      </c>
      <c r="G1468" s="37" t="n">
        <f aca="false">D1468*F1468/C1468</f>
        <v>209.067226027397</v>
      </c>
      <c r="H1468" s="37" t="n">
        <f aca="false">IF(AND(A1468&gt;=Inputs!$B$13,OR(A1468&lt;Inputs!$B$19,Inputs!$B$20=1)),D1468*Inputs!$B$11/C1468,0)</f>
        <v>40.2739726027397</v>
      </c>
      <c r="I1468" s="37" t="n">
        <f aca="false">Inputs!$C$9-SUMIFS(Cash_Events!$G$6:$G$20,Cash_Events!$C$6:$C$20,"FHL",Cash_Events!$B$6:$B$20,"&lt;="&amp;A1468)</f>
        <v>735000</v>
      </c>
      <c r="J1468" s="38" t="n">
        <f aca="false">VLOOKUP(A1468,Inputs!$F$40:$G$48,2,TRUE())</f>
        <v>0.0364054</v>
      </c>
      <c r="K1468" s="38" t="n">
        <f aca="false">J1468+Inputs!$C$10</f>
        <v>0.1039054</v>
      </c>
      <c r="L1468" s="37" t="n">
        <f aca="false">I1468*K1468/C1468</f>
        <v>209.234161643836</v>
      </c>
      <c r="M1468" s="37" t="n">
        <f aca="false">IF(AND(A1468&gt;=Inputs!$C$13,OR(A1468&lt;Inputs!$B$19,Inputs!$B$20=1)),I1468*Inputs!$C$11/C1468,0)</f>
        <v>40.2739726027397</v>
      </c>
    </row>
    <row r="1469" customFormat="false" ht="15" hidden="false" customHeight="false" outlineLevel="0" collapsed="false">
      <c r="A1469" s="35" t="n">
        <f aca="false">A1468+1</f>
        <v>46276</v>
      </c>
      <c r="B1469" s="35" t="n">
        <f aca="false">EOMONTH(A1469+1,0)</f>
        <v>46295</v>
      </c>
      <c r="C1469" s="36" t="n">
        <f aca="false">IF(MOD(YEAR(A1469),4)=0,366,365)</f>
        <v>365</v>
      </c>
      <c r="D1469" s="37" t="n">
        <f aca="false">Inputs!$B$9-SUMIFS(Cash_Events!$G$6:$G$20,Cash_Events!$C$6:$C$20,"rAGMF",Cash_Events!$B$6:$B$20,"&lt;="&amp;A1469)</f>
        <v>735000</v>
      </c>
      <c r="E1469" s="38" t="n">
        <f aca="false">VLOOKUP(A1469,Inputs!$A$40:$B$48,2,TRUE())</f>
        <v>0.0363225</v>
      </c>
      <c r="F1469" s="38" t="n">
        <f aca="false">E1469+Inputs!$B$10</f>
        <v>0.1038225</v>
      </c>
      <c r="G1469" s="37" t="n">
        <f aca="false">D1469*F1469/C1469</f>
        <v>209.067226027397</v>
      </c>
      <c r="H1469" s="37" t="n">
        <f aca="false">IF(AND(A1469&gt;=Inputs!$B$13,OR(A1469&lt;Inputs!$B$19,Inputs!$B$20=1)),D1469*Inputs!$B$11/C1469,0)</f>
        <v>40.2739726027397</v>
      </c>
      <c r="I1469" s="37" t="n">
        <f aca="false">Inputs!$C$9-SUMIFS(Cash_Events!$G$6:$G$20,Cash_Events!$C$6:$C$20,"FHL",Cash_Events!$B$6:$B$20,"&lt;="&amp;A1469)</f>
        <v>735000</v>
      </c>
      <c r="J1469" s="38" t="n">
        <f aca="false">VLOOKUP(A1469,Inputs!$F$40:$G$48,2,TRUE())</f>
        <v>0.0364054</v>
      </c>
      <c r="K1469" s="38" t="n">
        <f aca="false">J1469+Inputs!$C$10</f>
        <v>0.1039054</v>
      </c>
      <c r="L1469" s="37" t="n">
        <f aca="false">I1469*K1469/C1469</f>
        <v>209.234161643836</v>
      </c>
      <c r="M1469" s="37" t="n">
        <f aca="false">IF(AND(A1469&gt;=Inputs!$C$13,OR(A1469&lt;Inputs!$B$19,Inputs!$B$20=1)),I1469*Inputs!$C$11/C1469,0)</f>
        <v>40.2739726027397</v>
      </c>
    </row>
    <row r="1470" customFormat="false" ht="15" hidden="false" customHeight="false" outlineLevel="0" collapsed="false">
      <c r="A1470" s="35" t="n">
        <f aca="false">A1469+1</f>
        <v>46277</v>
      </c>
      <c r="B1470" s="35" t="n">
        <f aca="false">EOMONTH(A1470+1,0)</f>
        <v>46295</v>
      </c>
      <c r="C1470" s="36" t="n">
        <f aca="false">IF(MOD(YEAR(A1470),4)=0,366,365)</f>
        <v>365</v>
      </c>
      <c r="D1470" s="37" t="n">
        <f aca="false">Inputs!$B$9-SUMIFS(Cash_Events!$G$6:$G$20,Cash_Events!$C$6:$C$20,"rAGMF",Cash_Events!$B$6:$B$20,"&lt;="&amp;A1470)</f>
        <v>735000</v>
      </c>
      <c r="E1470" s="38" t="n">
        <f aca="false">VLOOKUP(A1470,Inputs!$A$40:$B$48,2,TRUE())</f>
        <v>0.0363225</v>
      </c>
      <c r="F1470" s="38" t="n">
        <f aca="false">E1470+Inputs!$B$10</f>
        <v>0.1038225</v>
      </c>
      <c r="G1470" s="37" t="n">
        <f aca="false">D1470*F1470/C1470</f>
        <v>209.067226027397</v>
      </c>
      <c r="H1470" s="37" t="n">
        <f aca="false">IF(AND(A1470&gt;=Inputs!$B$13,OR(A1470&lt;Inputs!$B$19,Inputs!$B$20=1)),D1470*Inputs!$B$11/C1470,0)</f>
        <v>40.2739726027397</v>
      </c>
      <c r="I1470" s="37" t="n">
        <f aca="false">Inputs!$C$9-SUMIFS(Cash_Events!$G$6:$G$20,Cash_Events!$C$6:$C$20,"FHL",Cash_Events!$B$6:$B$20,"&lt;="&amp;A1470)</f>
        <v>735000</v>
      </c>
      <c r="J1470" s="38" t="n">
        <f aca="false">VLOOKUP(A1470,Inputs!$F$40:$G$48,2,TRUE())</f>
        <v>0.0364054</v>
      </c>
      <c r="K1470" s="38" t="n">
        <f aca="false">J1470+Inputs!$C$10</f>
        <v>0.1039054</v>
      </c>
      <c r="L1470" s="37" t="n">
        <f aca="false">I1470*K1470/C1470</f>
        <v>209.234161643836</v>
      </c>
      <c r="M1470" s="37" t="n">
        <f aca="false">IF(AND(A1470&gt;=Inputs!$C$13,OR(A1470&lt;Inputs!$B$19,Inputs!$B$20=1)),I1470*Inputs!$C$11/C1470,0)</f>
        <v>40.2739726027397</v>
      </c>
    </row>
    <row r="1471" customFormat="false" ht="15" hidden="false" customHeight="false" outlineLevel="0" collapsed="false">
      <c r="A1471" s="35" t="n">
        <f aca="false">A1470+1</f>
        <v>46278</v>
      </c>
      <c r="B1471" s="35" t="n">
        <f aca="false">EOMONTH(A1471+1,0)</f>
        <v>46295</v>
      </c>
      <c r="C1471" s="36" t="n">
        <f aca="false">IF(MOD(YEAR(A1471),4)=0,366,365)</f>
        <v>365</v>
      </c>
      <c r="D1471" s="37" t="n">
        <f aca="false">Inputs!$B$9-SUMIFS(Cash_Events!$G$6:$G$20,Cash_Events!$C$6:$C$20,"rAGMF",Cash_Events!$B$6:$B$20,"&lt;="&amp;A1471)</f>
        <v>735000</v>
      </c>
      <c r="E1471" s="38" t="n">
        <f aca="false">VLOOKUP(A1471,Inputs!$A$40:$B$48,2,TRUE())</f>
        <v>0.0363225</v>
      </c>
      <c r="F1471" s="38" t="n">
        <f aca="false">E1471+Inputs!$B$10</f>
        <v>0.1038225</v>
      </c>
      <c r="G1471" s="37" t="n">
        <f aca="false">D1471*F1471/C1471</f>
        <v>209.067226027397</v>
      </c>
      <c r="H1471" s="37" t="n">
        <f aca="false">IF(AND(A1471&gt;=Inputs!$B$13,OR(A1471&lt;Inputs!$B$19,Inputs!$B$20=1)),D1471*Inputs!$B$11/C1471,0)</f>
        <v>40.2739726027397</v>
      </c>
      <c r="I1471" s="37" t="n">
        <f aca="false">Inputs!$C$9-SUMIFS(Cash_Events!$G$6:$G$20,Cash_Events!$C$6:$C$20,"FHL",Cash_Events!$B$6:$B$20,"&lt;="&amp;A1471)</f>
        <v>735000</v>
      </c>
      <c r="J1471" s="38" t="n">
        <f aca="false">VLOOKUP(A1471,Inputs!$F$40:$G$48,2,TRUE())</f>
        <v>0.0364054</v>
      </c>
      <c r="K1471" s="38" t="n">
        <f aca="false">J1471+Inputs!$C$10</f>
        <v>0.1039054</v>
      </c>
      <c r="L1471" s="37" t="n">
        <f aca="false">I1471*K1471/C1471</f>
        <v>209.234161643836</v>
      </c>
      <c r="M1471" s="37" t="n">
        <f aca="false">IF(AND(A1471&gt;=Inputs!$C$13,OR(A1471&lt;Inputs!$B$19,Inputs!$B$20=1)),I1471*Inputs!$C$11/C1471,0)</f>
        <v>40.2739726027397</v>
      </c>
    </row>
    <row r="1472" customFormat="false" ht="15" hidden="false" customHeight="false" outlineLevel="0" collapsed="false">
      <c r="A1472" s="35" t="n">
        <f aca="false">A1471+1</f>
        <v>46279</v>
      </c>
      <c r="B1472" s="35" t="n">
        <f aca="false">EOMONTH(A1472+1,0)</f>
        <v>46295</v>
      </c>
      <c r="C1472" s="36" t="n">
        <f aca="false">IF(MOD(YEAR(A1472),4)=0,366,365)</f>
        <v>365</v>
      </c>
      <c r="D1472" s="37" t="n">
        <f aca="false">Inputs!$B$9-SUMIFS(Cash_Events!$G$6:$G$20,Cash_Events!$C$6:$C$20,"rAGMF",Cash_Events!$B$6:$B$20,"&lt;="&amp;A1472)</f>
        <v>735000</v>
      </c>
      <c r="E1472" s="38" t="n">
        <f aca="false">VLOOKUP(A1472,Inputs!$A$40:$B$48,2,TRUE())</f>
        <v>0.0363225</v>
      </c>
      <c r="F1472" s="38" t="n">
        <f aca="false">E1472+Inputs!$B$10</f>
        <v>0.1038225</v>
      </c>
      <c r="G1472" s="37" t="n">
        <f aca="false">D1472*F1472/C1472</f>
        <v>209.067226027397</v>
      </c>
      <c r="H1472" s="37" t="n">
        <f aca="false">IF(AND(A1472&gt;=Inputs!$B$13,OR(A1472&lt;Inputs!$B$19,Inputs!$B$20=1)),D1472*Inputs!$B$11/C1472,0)</f>
        <v>40.2739726027397</v>
      </c>
      <c r="I1472" s="37" t="n">
        <f aca="false">Inputs!$C$9-SUMIFS(Cash_Events!$G$6:$G$20,Cash_Events!$C$6:$C$20,"FHL",Cash_Events!$B$6:$B$20,"&lt;="&amp;A1472)</f>
        <v>735000</v>
      </c>
      <c r="J1472" s="38" t="n">
        <f aca="false">VLOOKUP(A1472,Inputs!$F$40:$G$48,2,TRUE())</f>
        <v>0.0364054</v>
      </c>
      <c r="K1472" s="38" t="n">
        <f aca="false">J1472+Inputs!$C$10</f>
        <v>0.1039054</v>
      </c>
      <c r="L1472" s="37" t="n">
        <f aca="false">I1472*K1472/C1472</f>
        <v>209.234161643836</v>
      </c>
      <c r="M1472" s="37" t="n">
        <f aca="false">IF(AND(A1472&gt;=Inputs!$C$13,OR(A1472&lt;Inputs!$B$19,Inputs!$B$20=1)),I1472*Inputs!$C$11/C1472,0)</f>
        <v>40.2739726027397</v>
      </c>
    </row>
    <row r="1473" customFormat="false" ht="15" hidden="false" customHeight="false" outlineLevel="0" collapsed="false">
      <c r="A1473" s="35" t="n">
        <f aca="false">A1472+1</f>
        <v>46280</v>
      </c>
      <c r="B1473" s="35" t="n">
        <f aca="false">EOMONTH(A1473+1,0)</f>
        <v>46295</v>
      </c>
      <c r="C1473" s="36" t="n">
        <f aca="false">IF(MOD(YEAR(A1473),4)=0,366,365)</f>
        <v>365</v>
      </c>
      <c r="D1473" s="37" t="n">
        <f aca="false">Inputs!$B$9-SUMIFS(Cash_Events!$G$6:$G$20,Cash_Events!$C$6:$C$20,"rAGMF",Cash_Events!$B$6:$B$20,"&lt;="&amp;A1473)</f>
        <v>735000</v>
      </c>
      <c r="E1473" s="38" t="n">
        <f aca="false">VLOOKUP(A1473,Inputs!$A$40:$B$48,2,TRUE())</f>
        <v>0.0363225</v>
      </c>
      <c r="F1473" s="38" t="n">
        <f aca="false">E1473+Inputs!$B$10</f>
        <v>0.1038225</v>
      </c>
      <c r="G1473" s="37" t="n">
        <f aca="false">D1473*F1473/C1473</f>
        <v>209.067226027397</v>
      </c>
      <c r="H1473" s="37" t="n">
        <f aca="false">IF(AND(A1473&gt;=Inputs!$B$13,OR(A1473&lt;Inputs!$B$19,Inputs!$B$20=1)),D1473*Inputs!$B$11/C1473,0)</f>
        <v>40.2739726027397</v>
      </c>
      <c r="I1473" s="37" t="n">
        <f aca="false">Inputs!$C$9-SUMIFS(Cash_Events!$G$6:$G$20,Cash_Events!$C$6:$C$20,"FHL",Cash_Events!$B$6:$B$20,"&lt;="&amp;A1473)</f>
        <v>735000</v>
      </c>
      <c r="J1473" s="38" t="n">
        <f aca="false">VLOOKUP(A1473,Inputs!$F$40:$G$48,2,TRUE())</f>
        <v>0.0364054</v>
      </c>
      <c r="K1473" s="38" t="n">
        <f aca="false">J1473+Inputs!$C$10</f>
        <v>0.1039054</v>
      </c>
      <c r="L1473" s="37" t="n">
        <f aca="false">I1473*K1473/C1473</f>
        <v>209.234161643836</v>
      </c>
      <c r="M1473" s="37" t="n">
        <f aca="false">IF(AND(A1473&gt;=Inputs!$C$13,OR(A1473&lt;Inputs!$B$19,Inputs!$B$20=1)),I1473*Inputs!$C$11/C1473,0)</f>
        <v>40.2739726027397</v>
      </c>
    </row>
    <row r="1474" customFormat="false" ht="15" hidden="false" customHeight="false" outlineLevel="0" collapsed="false">
      <c r="A1474" s="35" t="n">
        <f aca="false">A1473+1</f>
        <v>46281</v>
      </c>
      <c r="B1474" s="35" t="n">
        <f aca="false">EOMONTH(A1474+1,0)</f>
        <v>46295</v>
      </c>
      <c r="C1474" s="36" t="n">
        <f aca="false">IF(MOD(YEAR(A1474),4)=0,366,365)</f>
        <v>365</v>
      </c>
      <c r="D1474" s="37" t="n">
        <f aca="false">Inputs!$B$9-SUMIFS(Cash_Events!$G$6:$G$20,Cash_Events!$C$6:$C$20,"rAGMF",Cash_Events!$B$6:$B$20,"&lt;="&amp;A1474)</f>
        <v>735000</v>
      </c>
      <c r="E1474" s="38" t="n">
        <f aca="false">VLOOKUP(A1474,Inputs!$A$40:$B$48,2,TRUE())</f>
        <v>0.0363225</v>
      </c>
      <c r="F1474" s="38" t="n">
        <f aca="false">E1474+Inputs!$B$10</f>
        <v>0.1038225</v>
      </c>
      <c r="G1474" s="37" t="n">
        <f aca="false">D1474*F1474/C1474</f>
        <v>209.067226027397</v>
      </c>
      <c r="H1474" s="37" t="n">
        <f aca="false">IF(AND(A1474&gt;=Inputs!$B$13,OR(A1474&lt;Inputs!$B$19,Inputs!$B$20=1)),D1474*Inputs!$B$11/C1474,0)</f>
        <v>40.2739726027397</v>
      </c>
      <c r="I1474" s="37" t="n">
        <f aca="false">Inputs!$C$9-SUMIFS(Cash_Events!$G$6:$G$20,Cash_Events!$C$6:$C$20,"FHL",Cash_Events!$B$6:$B$20,"&lt;="&amp;A1474)</f>
        <v>735000</v>
      </c>
      <c r="J1474" s="38" t="n">
        <f aca="false">VLOOKUP(A1474,Inputs!$F$40:$G$48,2,TRUE())</f>
        <v>0.0364054</v>
      </c>
      <c r="K1474" s="38" t="n">
        <f aca="false">J1474+Inputs!$C$10</f>
        <v>0.1039054</v>
      </c>
      <c r="L1474" s="37" t="n">
        <f aca="false">I1474*K1474/C1474</f>
        <v>209.234161643836</v>
      </c>
      <c r="M1474" s="37" t="n">
        <f aca="false">IF(AND(A1474&gt;=Inputs!$C$13,OR(A1474&lt;Inputs!$B$19,Inputs!$B$20=1)),I1474*Inputs!$C$11/C1474,0)</f>
        <v>40.2739726027397</v>
      </c>
    </row>
    <row r="1475" customFormat="false" ht="15" hidden="false" customHeight="false" outlineLevel="0" collapsed="false">
      <c r="A1475" s="35" t="n">
        <f aca="false">A1474+1</f>
        <v>46282</v>
      </c>
      <c r="B1475" s="35" t="n">
        <f aca="false">EOMONTH(A1475+1,0)</f>
        <v>46295</v>
      </c>
      <c r="C1475" s="36" t="n">
        <f aca="false">IF(MOD(YEAR(A1475),4)=0,366,365)</f>
        <v>365</v>
      </c>
      <c r="D1475" s="37" t="n">
        <f aca="false">Inputs!$B$9-SUMIFS(Cash_Events!$G$6:$G$20,Cash_Events!$C$6:$C$20,"rAGMF",Cash_Events!$B$6:$B$20,"&lt;="&amp;A1475)</f>
        <v>735000</v>
      </c>
      <c r="E1475" s="38" t="n">
        <f aca="false">VLOOKUP(A1475,Inputs!$A$40:$B$48,2,TRUE())</f>
        <v>0.0363225</v>
      </c>
      <c r="F1475" s="38" t="n">
        <f aca="false">E1475+Inputs!$B$10</f>
        <v>0.1038225</v>
      </c>
      <c r="G1475" s="37" t="n">
        <f aca="false">D1475*F1475/C1475</f>
        <v>209.067226027397</v>
      </c>
      <c r="H1475" s="37" t="n">
        <f aca="false">IF(AND(A1475&gt;=Inputs!$B$13,OR(A1475&lt;Inputs!$B$19,Inputs!$B$20=1)),D1475*Inputs!$B$11/C1475,0)</f>
        <v>40.2739726027397</v>
      </c>
      <c r="I1475" s="37" t="n">
        <f aca="false">Inputs!$C$9-SUMIFS(Cash_Events!$G$6:$G$20,Cash_Events!$C$6:$C$20,"FHL",Cash_Events!$B$6:$B$20,"&lt;="&amp;A1475)</f>
        <v>735000</v>
      </c>
      <c r="J1475" s="38" t="n">
        <f aca="false">VLOOKUP(A1475,Inputs!$F$40:$G$48,2,TRUE())</f>
        <v>0.0364054</v>
      </c>
      <c r="K1475" s="38" t="n">
        <f aca="false">J1475+Inputs!$C$10</f>
        <v>0.1039054</v>
      </c>
      <c r="L1475" s="37" t="n">
        <f aca="false">I1475*K1475/C1475</f>
        <v>209.234161643836</v>
      </c>
      <c r="M1475" s="37" t="n">
        <f aca="false">IF(AND(A1475&gt;=Inputs!$C$13,OR(A1475&lt;Inputs!$B$19,Inputs!$B$20=1)),I1475*Inputs!$C$11/C1475,0)</f>
        <v>40.2739726027397</v>
      </c>
    </row>
    <row r="1476" customFormat="false" ht="15" hidden="false" customHeight="false" outlineLevel="0" collapsed="false">
      <c r="A1476" s="35" t="n">
        <f aca="false">A1475+1</f>
        <v>46283</v>
      </c>
      <c r="B1476" s="35" t="n">
        <f aca="false">EOMONTH(A1476+1,0)</f>
        <v>46295</v>
      </c>
      <c r="C1476" s="36" t="n">
        <f aca="false">IF(MOD(YEAR(A1476),4)=0,366,365)</f>
        <v>365</v>
      </c>
      <c r="D1476" s="37" t="n">
        <f aca="false">Inputs!$B$9-SUMIFS(Cash_Events!$G$6:$G$20,Cash_Events!$C$6:$C$20,"rAGMF",Cash_Events!$B$6:$B$20,"&lt;="&amp;A1476)</f>
        <v>735000</v>
      </c>
      <c r="E1476" s="38" t="n">
        <f aca="false">VLOOKUP(A1476,Inputs!$A$40:$B$48,2,TRUE())</f>
        <v>0.0363225</v>
      </c>
      <c r="F1476" s="38" t="n">
        <f aca="false">E1476+Inputs!$B$10</f>
        <v>0.1038225</v>
      </c>
      <c r="G1476" s="37" t="n">
        <f aca="false">D1476*F1476/C1476</f>
        <v>209.067226027397</v>
      </c>
      <c r="H1476" s="37" t="n">
        <f aca="false">IF(AND(A1476&gt;=Inputs!$B$13,OR(A1476&lt;Inputs!$B$19,Inputs!$B$20=1)),D1476*Inputs!$B$11/C1476,0)</f>
        <v>40.2739726027397</v>
      </c>
      <c r="I1476" s="37" t="n">
        <f aca="false">Inputs!$C$9-SUMIFS(Cash_Events!$G$6:$G$20,Cash_Events!$C$6:$C$20,"FHL",Cash_Events!$B$6:$B$20,"&lt;="&amp;A1476)</f>
        <v>735000</v>
      </c>
      <c r="J1476" s="38" t="n">
        <f aca="false">VLOOKUP(A1476,Inputs!$F$40:$G$48,2,TRUE())</f>
        <v>0.0364054</v>
      </c>
      <c r="K1476" s="38" t="n">
        <f aca="false">J1476+Inputs!$C$10</f>
        <v>0.1039054</v>
      </c>
      <c r="L1476" s="37" t="n">
        <f aca="false">I1476*K1476/C1476</f>
        <v>209.234161643836</v>
      </c>
      <c r="M1476" s="37" t="n">
        <f aca="false">IF(AND(A1476&gt;=Inputs!$C$13,OR(A1476&lt;Inputs!$B$19,Inputs!$B$20=1)),I1476*Inputs!$C$11/C1476,0)</f>
        <v>40.2739726027397</v>
      </c>
    </row>
    <row r="1477" customFormat="false" ht="15" hidden="false" customHeight="false" outlineLevel="0" collapsed="false">
      <c r="A1477" s="35" t="n">
        <f aca="false">A1476+1</f>
        <v>46284</v>
      </c>
      <c r="B1477" s="35" t="n">
        <f aca="false">EOMONTH(A1477+1,0)</f>
        <v>46295</v>
      </c>
      <c r="C1477" s="36" t="n">
        <f aca="false">IF(MOD(YEAR(A1477),4)=0,366,365)</f>
        <v>365</v>
      </c>
      <c r="D1477" s="37" t="n">
        <f aca="false">Inputs!$B$9-SUMIFS(Cash_Events!$G$6:$G$20,Cash_Events!$C$6:$C$20,"rAGMF",Cash_Events!$B$6:$B$20,"&lt;="&amp;A1477)</f>
        <v>735000</v>
      </c>
      <c r="E1477" s="38" t="n">
        <f aca="false">VLOOKUP(A1477,Inputs!$A$40:$B$48,2,TRUE())</f>
        <v>0.0363225</v>
      </c>
      <c r="F1477" s="38" t="n">
        <f aca="false">E1477+Inputs!$B$10</f>
        <v>0.1038225</v>
      </c>
      <c r="G1477" s="37" t="n">
        <f aca="false">D1477*F1477/C1477</f>
        <v>209.067226027397</v>
      </c>
      <c r="H1477" s="37" t="n">
        <f aca="false">IF(AND(A1477&gt;=Inputs!$B$13,OR(A1477&lt;Inputs!$B$19,Inputs!$B$20=1)),D1477*Inputs!$B$11/C1477,0)</f>
        <v>40.2739726027397</v>
      </c>
      <c r="I1477" s="37" t="n">
        <f aca="false">Inputs!$C$9-SUMIFS(Cash_Events!$G$6:$G$20,Cash_Events!$C$6:$C$20,"FHL",Cash_Events!$B$6:$B$20,"&lt;="&amp;A1477)</f>
        <v>735000</v>
      </c>
      <c r="J1477" s="38" t="n">
        <f aca="false">VLOOKUP(A1477,Inputs!$F$40:$G$48,2,TRUE())</f>
        <v>0.0364054</v>
      </c>
      <c r="K1477" s="38" t="n">
        <f aca="false">J1477+Inputs!$C$10</f>
        <v>0.1039054</v>
      </c>
      <c r="L1477" s="37" t="n">
        <f aca="false">I1477*K1477/C1477</f>
        <v>209.234161643836</v>
      </c>
      <c r="M1477" s="37" t="n">
        <f aca="false">IF(AND(A1477&gt;=Inputs!$C$13,OR(A1477&lt;Inputs!$B$19,Inputs!$B$20=1)),I1477*Inputs!$C$11/C1477,0)</f>
        <v>40.2739726027397</v>
      </c>
    </row>
    <row r="1478" customFormat="false" ht="15" hidden="false" customHeight="false" outlineLevel="0" collapsed="false">
      <c r="A1478" s="35" t="n">
        <f aca="false">A1477+1</f>
        <v>46285</v>
      </c>
      <c r="B1478" s="35" t="n">
        <f aca="false">EOMONTH(A1478+1,0)</f>
        <v>46295</v>
      </c>
      <c r="C1478" s="36" t="n">
        <f aca="false">IF(MOD(YEAR(A1478),4)=0,366,365)</f>
        <v>365</v>
      </c>
      <c r="D1478" s="37" t="n">
        <f aca="false">Inputs!$B$9-SUMIFS(Cash_Events!$G$6:$G$20,Cash_Events!$C$6:$C$20,"rAGMF",Cash_Events!$B$6:$B$20,"&lt;="&amp;A1478)</f>
        <v>735000</v>
      </c>
      <c r="E1478" s="38" t="n">
        <f aca="false">VLOOKUP(A1478,Inputs!$A$40:$B$48,2,TRUE())</f>
        <v>0.0363225</v>
      </c>
      <c r="F1478" s="38" t="n">
        <f aca="false">E1478+Inputs!$B$10</f>
        <v>0.1038225</v>
      </c>
      <c r="G1478" s="37" t="n">
        <f aca="false">D1478*F1478/C1478</f>
        <v>209.067226027397</v>
      </c>
      <c r="H1478" s="37" t="n">
        <f aca="false">IF(AND(A1478&gt;=Inputs!$B$13,OR(A1478&lt;Inputs!$B$19,Inputs!$B$20=1)),D1478*Inputs!$B$11/C1478,0)</f>
        <v>40.2739726027397</v>
      </c>
      <c r="I1478" s="37" t="n">
        <f aca="false">Inputs!$C$9-SUMIFS(Cash_Events!$G$6:$G$20,Cash_Events!$C$6:$C$20,"FHL",Cash_Events!$B$6:$B$20,"&lt;="&amp;A1478)</f>
        <v>735000</v>
      </c>
      <c r="J1478" s="38" t="n">
        <f aca="false">VLOOKUP(A1478,Inputs!$F$40:$G$48,2,TRUE())</f>
        <v>0.0364054</v>
      </c>
      <c r="K1478" s="38" t="n">
        <f aca="false">J1478+Inputs!$C$10</f>
        <v>0.1039054</v>
      </c>
      <c r="L1478" s="37" t="n">
        <f aca="false">I1478*K1478/C1478</f>
        <v>209.234161643836</v>
      </c>
      <c r="M1478" s="37" t="n">
        <f aca="false">IF(AND(A1478&gt;=Inputs!$C$13,OR(A1478&lt;Inputs!$B$19,Inputs!$B$20=1)),I1478*Inputs!$C$11/C1478,0)</f>
        <v>40.2739726027397</v>
      </c>
    </row>
    <row r="1479" customFormat="false" ht="15" hidden="false" customHeight="false" outlineLevel="0" collapsed="false">
      <c r="A1479" s="35" t="n">
        <f aca="false">A1478+1</f>
        <v>46286</v>
      </c>
      <c r="B1479" s="35" t="n">
        <f aca="false">EOMONTH(A1479+1,0)</f>
        <v>46295</v>
      </c>
      <c r="C1479" s="36" t="n">
        <f aca="false">IF(MOD(YEAR(A1479),4)=0,366,365)</f>
        <v>365</v>
      </c>
      <c r="D1479" s="37" t="n">
        <f aca="false">Inputs!$B$9-SUMIFS(Cash_Events!$G$6:$G$20,Cash_Events!$C$6:$C$20,"rAGMF",Cash_Events!$B$6:$B$20,"&lt;="&amp;A1479)</f>
        <v>735000</v>
      </c>
      <c r="E1479" s="38" t="n">
        <f aca="false">VLOOKUP(A1479,Inputs!$A$40:$B$48,2,TRUE())</f>
        <v>0.0363225</v>
      </c>
      <c r="F1479" s="38" t="n">
        <f aca="false">E1479+Inputs!$B$10</f>
        <v>0.1038225</v>
      </c>
      <c r="G1479" s="37" t="n">
        <f aca="false">D1479*F1479/C1479</f>
        <v>209.067226027397</v>
      </c>
      <c r="H1479" s="37" t="n">
        <f aca="false">IF(AND(A1479&gt;=Inputs!$B$13,OR(A1479&lt;Inputs!$B$19,Inputs!$B$20=1)),D1479*Inputs!$B$11/C1479,0)</f>
        <v>40.2739726027397</v>
      </c>
      <c r="I1479" s="37" t="n">
        <f aca="false">Inputs!$C$9-SUMIFS(Cash_Events!$G$6:$G$20,Cash_Events!$C$6:$C$20,"FHL",Cash_Events!$B$6:$B$20,"&lt;="&amp;A1479)</f>
        <v>735000</v>
      </c>
      <c r="J1479" s="38" t="n">
        <f aca="false">VLOOKUP(A1479,Inputs!$F$40:$G$48,2,TRUE())</f>
        <v>0.0364054</v>
      </c>
      <c r="K1479" s="38" t="n">
        <f aca="false">J1479+Inputs!$C$10</f>
        <v>0.1039054</v>
      </c>
      <c r="L1479" s="37" t="n">
        <f aca="false">I1479*K1479/C1479</f>
        <v>209.234161643836</v>
      </c>
      <c r="M1479" s="37" t="n">
        <f aca="false">IF(AND(A1479&gt;=Inputs!$C$13,OR(A1479&lt;Inputs!$B$19,Inputs!$B$20=1)),I1479*Inputs!$C$11/C1479,0)</f>
        <v>40.2739726027397</v>
      </c>
    </row>
    <row r="1480" customFormat="false" ht="15" hidden="false" customHeight="false" outlineLevel="0" collapsed="false">
      <c r="A1480" s="35" t="n">
        <f aca="false">A1479+1</f>
        <v>46287</v>
      </c>
      <c r="B1480" s="35" t="n">
        <f aca="false">EOMONTH(A1480+1,0)</f>
        <v>46295</v>
      </c>
      <c r="C1480" s="36" t="n">
        <f aca="false">IF(MOD(YEAR(A1480),4)=0,366,365)</f>
        <v>365</v>
      </c>
      <c r="D1480" s="37" t="n">
        <f aca="false">Inputs!$B$9-SUMIFS(Cash_Events!$G$6:$G$20,Cash_Events!$C$6:$C$20,"rAGMF",Cash_Events!$B$6:$B$20,"&lt;="&amp;A1480)</f>
        <v>735000</v>
      </c>
      <c r="E1480" s="38" t="n">
        <f aca="false">VLOOKUP(A1480,Inputs!$A$40:$B$48,2,TRUE())</f>
        <v>0.0363225</v>
      </c>
      <c r="F1480" s="38" t="n">
        <f aca="false">E1480+Inputs!$B$10</f>
        <v>0.1038225</v>
      </c>
      <c r="G1480" s="37" t="n">
        <f aca="false">D1480*F1480/C1480</f>
        <v>209.067226027397</v>
      </c>
      <c r="H1480" s="37" t="n">
        <f aca="false">IF(AND(A1480&gt;=Inputs!$B$13,OR(A1480&lt;Inputs!$B$19,Inputs!$B$20=1)),D1480*Inputs!$B$11/C1480,0)</f>
        <v>40.2739726027397</v>
      </c>
      <c r="I1480" s="37" t="n">
        <f aca="false">Inputs!$C$9-SUMIFS(Cash_Events!$G$6:$G$20,Cash_Events!$C$6:$C$20,"FHL",Cash_Events!$B$6:$B$20,"&lt;="&amp;A1480)</f>
        <v>735000</v>
      </c>
      <c r="J1480" s="38" t="n">
        <f aca="false">VLOOKUP(A1480,Inputs!$F$40:$G$48,2,TRUE())</f>
        <v>0.0364054</v>
      </c>
      <c r="K1480" s="38" t="n">
        <f aca="false">J1480+Inputs!$C$10</f>
        <v>0.1039054</v>
      </c>
      <c r="L1480" s="37" t="n">
        <f aca="false">I1480*K1480/C1480</f>
        <v>209.234161643836</v>
      </c>
      <c r="M1480" s="37" t="n">
        <f aca="false">IF(AND(A1480&gt;=Inputs!$C$13,OR(A1480&lt;Inputs!$B$19,Inputs!$B$20=1)),I1480*Inputs!$C$11/C1480,0)</f>
        <v>40.2739726027397</v>
      </c>
    </row>
    <row r="1481" customFormat="false" ht="15" hidden="false" customHeight="false" outlineLevel="0" collapsed="false">
      <c r="A1481" s="35" t="n">
        <f aca="false">A1480+1</f>
        <v>46288</v>
      </c>
      <c r="B1481" s="35" t="n">
        <f aca="false">EOMONTH(A1481+1,0)</f>
        <v>46295</v>
      </c>
      <c r="C1481" s="36" t="n">
        <f aca="false">IF(MOD(YEAR(A1481),4)=0,366,365)</f>
        <v>365</v>
      </c>
      <c r="D1481" s="37" t="n">
        <f aca="false">Inputs!$B$9-SUMIFS(Cash_Events!$G$6:$G$20,Cash_Events!$C$6:$C$20,"rAGMF",Cash_Events!$B$6:$B$20,"&lt;="&amp;A1481)</f>
        <v>735000</v>
      </c>
      <c r="E1481" s="38" t="n">
        <f aca="false">VLOOKUP(A1481,Inputs!$A$40:$B$48,2,TRUE())</f>
        <v>0.0363225</v>
      </c>
      <c r="F1481" s="38" t="n">
        <f aca="false">E1481+Inputs!$B$10</f>
        <v>0.1038225</v>
      </c>
      <c r="G1481" s="37" t="n">
        <f aca="false">D1481*F1481/C1481</f>
        <v>209.067226027397</v>
      </c>
      <c r="H1481" s="37" t="n">
        <f aca="false">IF(AND(A1481&gt;=Inputs!$B$13,OR(A1481&lt;Inputs!$B$19,Inputs!$B$20=1)),D1481*Inputs!$B$11/C1481,0)</f>
        <v>40.2739726027397</v>
      </c>
      <c r="I1481" s="37" t="n">
        <f aca="false">Inputs!$C$9-SUMIFS(Cash_Events!$G$6:$G$20,Cash_Events!$C$6:$C$20,"FHL",Cash_Events!$B$6:$B$20,"&lt;="&amp;A1481)</f>
        <v>735000</v>
      </c>
      <c r="J1481" s="38" t="n">
        <f aca="false">VLOOKUP(A1481,Inputs!$F$40:$G$48,2,TRUE())</f>
        <v>0.0364054</v>
      </c>
      <c r="K1481" s="38" t="n">
        <f aca="false">J1481+Inputs!$C$10</f>
        <v>0.1039054</v>
      </c>
      <c r="L1481" s="37" t="n">
        <f aca="false">I1481*K1481/C1481</f>
        <v>209.234161643836</v>
      </c>
      <c r="M1481" s="37" t="n">
        <f aca="false">IF(AND(A1481&gt;=Inputs!$C$13,OR(A1481&lt;Inputs!$B$19,Inputs!$B$20=1)),I1481*Inputs!$C$11/C1481,0)</f>
        <v>40.2739726027397</v>
      </c>
    </row>
    <row r="1482" customFormat="false" ht="15" hidden="false" customHeight="false" outlineLevel="0" collapsed="false">
      <c r="A1482" s="35" t="n">
        <f aca="false">A1481+1</f>
        <v>46289</v>
      </c>
      <c r="B1482" s="35" t="n">
        <f aca="false">EOMONTH(A1482+1,0)</f>
        <v>46295</v>
      </c>
      <c r="C1482" s="36" t="n">
        <f aca="false">IF(MOD(YEAR(A1482),4)=0,366,365)</f>
        <v>365</v>
      </c>
      <c r="D1482" s="37" t="n">
        <f aca="false">Inputs!$B$9-SUMIFS(Cash_Events!$G$6:$G$20,Cash_Events!$C$6:$C$20,"rAGMF",Cash_Events!$B$6:$B$20,"&lt;="&amp;A1482)</f>
        <v>735000</v>
      </c>
      <c r="E1482" s="38" t="n">
        <f aca="false">VLOOKUP(A1482,Inputs!$A$40:$B$48,2,TRUE())</f>
        <v>0.0363225</v>
      </c>
      <c r="F1482" s="38" t="n">
        <f aca="false">E1482+Inputs!$B$10</f>
        <v>0.1038225</v>
      </c>
      <c r="G1482" s="37" t="n">
        <f aca="false">D1482*F1482/C1482</f>
        <v>209.067226027397</v>
      </c>
      <c r="H1482" s="37" t="n">
        <f aca="false">IF(AND(A1482&gt;=Inputs!$B$13,OR(A1482&lt;Inputs!$B$19,Inputs!$B$20=1)),D1482*Inputs!$B$11/C1482,0)</f>
        <v>40.2739726027397</v>
      </c>
      <c r="I1482" s="37" t="n">
        <f aca="false">Inputs!$C$9-SUMIFS(Cash_Events!$G$6:$G$20,Cash_Events!$C$6:$C$20,"FHL",Cash_Events!$B$6:$B$20,"&lt;="&amp;A1482)</f>
        <v>735000</v>
      </c>
      <c r="J1482" s="38" t="n">
        <f aca="false">VLOOKUP(A1482,Inputs!$F$40:$G$48,2,TRUE())</f>
        <v>0.0364054</v>
      </c>
      <c r="K1482" s="38" t="n">
        <f aca="false">J1482+Inputs!$C$10</f>
        <v>0.1039054</v>
      </c>
      <c r="L1482" s="37" t="n">
        <f aca="false">I1482*K1482/C1482</f>
        <v>209.234161643836</v>
      </c>
      <c r="M1482" s="37" t="n">
        <f aca="false">IF(AND(A1482&gt;=Inputs!$C$13,OR(A1482&lt;Inputs!$B$19,Inputs!$B$20=1)),I1482*Inputs!$C$11/C1482,0)</f>
        <v>40.2739726027397</v>
      </c>
    </row>
    <row r="1483" customFormat="false" ht="15" hidden="false" customHeight="false" outlineLevel="0" collapsed="false">
      <c r="A1483" s="35" t="n">
        <f aca="false">A1482+1</f>
        <v>46290</v>
      </c>
      <c r="B1483" s="35" t="n">
        <f aca="false">EOMONTH(A1483+1,0)</f>
        <v>46295</v>
      </c>
      <c r="C1483" s="36" t="n">
        <f aca="false">IF(MOD(YEAR(A1483),4)=0,366,365)</f>
        <v>365</v>
      </c>
      <c r="D1483" s="37" t="n">
        <f aca="false">Inputs!$B$9-SUMIFS(Cash_Events!$G$6:$G$20,Cash_Events!$C$6:$C$20,"rAGMF",Cash_Events!$B$6:$B$20,"&lt;="&amp;A1483)</f>
        <v>735000</v>
      </c>
      <c r="E1483" s="38" t="n">
        <f aca="false">VLOOKUP(A1483,Inputs!$A$40:$B$48,2,TRUE())</f>
        <v>0.0363225</v>
      </c>
      <c r="F1483" s="38" t="n">
        <f aca="false">E1483+Inputs!$B$10</f>
        <v>0.1038225</v>
      </c>
      <c r="G1483" s="37" t="n">
        <f aca="false">D1483*F1483/C1483</f>
        <v>209.067226027397</v>
      </c>
      <c r="H1483" s="37" t="n">
        <f aca="false">IF(AND(A1483&gt;=Inputs!$B$13,OR(A1483&lt;Inputs!$B$19,Inputs!$B$20=1)),D1483*Inputs!$B$11/C1483,0)</f>
        <v>40.2739726027397</v>
      </c>
      <c r="I1483" s="37" t="n">
        <f aca="false">Inputs!$C$9-SUMIFS(Cash_Events!$G$6:$G$20,Cash_Events!$C$6:$C$20,"FHL",Cash_Events!$B$6:$B$20,"&lt;="&amp;A1483)</f>
        <v>735000</v>
      </c>
      <c r="J1483" s="38" t="n">
        <f aca="false">VLOOKUP(A1483,Inputs!$F$40:$G$48,2,TRUE())</f>
        <v>0.0364054</v>
      </c>
      <c r="K1483" s="38" t="n">
        <f aca="false">J1483+Inputs!$C$10</f>
        <v>0.1039054</v>
      </c>
      <c r="L1483" s="37" t="n">
        <f aca="false">I1483*K1483/C1483</f>
        <v>209.234161643836</v>
      </c>
      <c r="M1483" s="37" t="n">
        <f aca="false">IF(AND(A1483&gt;=Inputs!$C$13,OR(A1483&lt;Inputs!$B$19,Inputs!$B$20=1)),I1483*Inputs!$C$11/C1483,0)</f>
        <v>40.2739726027397</v>
      </c>
    </row>
    <row r="1484" customFormat="false" ht="15" hidden="false" customHeight="false" outlineLevel="0" collapsed="false">
      <c r="A1484" s="35" t="n">
        <f aca="false">A1483+1</f>
        <v>46291</v>
      </c>
      <c r="B1484" s="35" t="n">
        <f aca="false">EOMONTH(A1484+1,0)</f>
        <v>46295</v>
      </c>
      <c r="C1484" s="36" t="n">
        <f aca="false">IF(MOD(YEAR(A1484),4)=0,366,365)</f>
        <v>365</v>
      </c>
      <c r="D1484" s="37" t="n">
        <f aca="false">Inputs!$B$9-SUMIFS(Cash_Events!$G$6:$G$20,Cash_Events!$C$6:$C$20,"rAGMF",Cash_Events!$B$6:$B$20,"&lt;="&amp;A1484)</f>
        <v>735000</v>
      </c>
      <c r="E1484" s="38" t="n">
        <f aca="false">VLOOKUP(A1484,Inputs!$A$40:$B$48,2,TRUE())</f>
        <v>0.0363225</v>
      </c>
      <c r="F1484" s="38" t="n">
        <f aca="false">E1484+Inputs!$B$10</f>
        <v>0.1038225</v>
      </c>
      <c r="G1484" s="37" t="n">
        <f aca="false">D1484*F1484/C1484</f>
        <v>209.067226027397</v>
      </c>
      <c r="H1484" s="37" t="n">
        <f aca="false">IF(AND(A1484&gt;=Inputs!$B$13,OR(A1484&lt;Inputs!$B$19,Inputs!$B$20=1)),D1484*Inputs!$B$11/C1484,0)</f>
        <v>40.2739726027397</v>
      </c>
      <c r="I1484" s="37" t="n">
        <f aca="false">Inputs!$C$9-SUMIFS(Cash_Events!$G$6:$G$20,Cash_Events!$C$6:$C$20,"FHL",Cash_Events!$B$6:$B$20,"&lt;="&amp;A1484)</f>
        <v>735000</v>
      </c>
      <c r="J1484" s="38" t="n">
        <f aca="false">VLOOKUP(A1484,Inputs!$F$40:$G$48,2,TRUE())</f>
        <v>0.0364054</v>
      </c>
      <c r="K1484" s="38" t="n">
        <f aca="false">J1484+Inputs!$C$10</f>
        <v>0.1039054</v>
      </c>
      <c r="L1484" s="37" t="n">
        <f aca="false">I1484*K1484/C1484</f>
        <v>209.234161643836</v>
      </c>
      <c r="M1484" s="37" t="n">
        <f aca="false">IF(AND(A1484&gt;=Inputs!$C$13,OR(A1484&lt;Inputs!$B$19,Inputs!$B$20=1)),I1484*Inputs!$C$11/C1484,0)</f>
        <v>40.2739726027397</v>
      </c>
    </row>
    <row r="1485" customFormat="false" ht="15" hidden="false" customHeight="false" outlineLevel="0" collapsed="false">
      <c r="A1485" s="35" t="n">
        <f aca="false">A1484+1</f>
        <v>46292</v>
      </c>
      <c r="B1485" s="35" t="n">
        <f aca="false">EOMONTH(A1485+1,0)</f>
        <v>46295</v>
      </c>
      <c r="C1485" s="36" t="n">
        <f aca="false">IF(MOD(YEAR(A1485),4)=0,366,365)</f>
        <v>365</v>
      </c>
      <c r="D1485" s="37" t="n">
        <f aca="false">Inputs!$B$9-SUMIFS(Cash_Events!$G$6:$G$20,Cash_Events!$C$6:$C$20,"rAGMF",Cash_Events!$B$6:$B$20,"&lt;="&amp;A1485)</f>
        <v>735000</v>
      </c>
      <c r="E1485" s="38" t="n">
        <f aca="false">VLOOKUP(A1485,Inputs!$A$40:$B$48,2,TRUE())</f>
        <v>0.0363225</v>
      </c>
      <c r="F1485" s="38" t="n">
        <f aca="false">E1485+Inputs!$B$10</f>
        <v>0.1038225</v>
      </c>
      <c r="G1485" s="37" t="n">
        <f aca="false">D1485*F1485/C1485</f>
        <v>209.067226027397</v>
      </c>
      <c r="H1485" s="37" t="n">
        <f aca="false">IF(AND(A1485&gt;=Inputs!$B$13,OR(A1485&lt;Inputs!$B$19,Inputs!$B$20=1)),D1485*Inputs!$B$11/C1485,0)</f>
        <v>40.2739726027397</v>
      </c>
      <c r="I1485" s="37" t="n">
        <f aca="false">Inputs!$C$9-SUMIFS(Cash_Events!$G$6:$G$20,Cash_Events!$C$6:$C$20,"FHL",Cash_Events!$B$6:$B$20,"&lt;="&amp;A1485)</f>
        <v>735000</v>
      </c>
      <c r="J1485" s="38" t="n">
        <f aca="false">VLOOKUP(A1485,Inputs!$F$40:$G$48,2,TRUE())</f>
        <v>0.0364054</v>
      </c>
      <c r="K1485" s="38" t="n">
        <f aca="false">J1485+Inputs!$C$10</f>
        <v>0.1039054</v>
      </c>
      <c r="L1485" s="37" t="n">
        <f aca="false">I1485*K1485/C1485</f>
        <v>209.234161643836</v>
      </c>
      <c r="M1485" s="37" t="n">
        <f aca="false">IF(AND(A1485&gt;=Inputs!$C$13,OR(A1485&lt;Inputs!$B$19,Inputs!$B$20=1)),I1485*Inputs!$C$11/C1485,0)</f>
        <v>40.2739726027397</v>
      </c>
    </row>
    <row r="1486" customFormat="false" ht="15" hidden="false" customHeight="false" outlineLevel="0" collapsed="false">
      <c r="A1486" s="35" t="n">
        <f aca="false">A1485+1</f>
        <v>46293</v>
      </c>
      <c r="B1486" s="35" t="n">
        <f aca="false">EOMONTH(A1486+1,0)</f>
        <v>46295</v>
      </c>
      <c r="C1486" s="36" t="n">
        <f aca="false">IF(MOD(YEAR(A1486),4)=0,366,365)</f>
        <v>365</v>
      </c>
      <c r="D1486" s="37" t="n">
        <f aca="false">Inputs!$B$9-SUMIFS(Cash_Events!$G$6:$G$20,Cash_Events!$C$6:$C$20,"rAGMF",Cash_Events!$B$6:$B$20,"&lt;="&amp;A1486)</f>
        <v>735000</v>
      </c>
      <c r="E1486" s="38" t="n">
        <f aca="false">VLOOKUP(A1486,Inputs!$A$40:$B$48,2,TRUE())</f>
        <v>0.0363225</v>
      </c>
      <c r="F1486" s="38" t="n">
        <f aca="false">E1486+Inputs!$B$10</f>
        <v>0.1038225</v>
      </c>
      <c r="G1486" s="37" t="n">
        <f aca="false">D1486*F1486/C1486</f>
        <v>209.067226027397</v>
      </c>
      <c r="H1486" s="37" t="n">
        <f aca="false">IF(AND(A1486&gt;=Inputs!$B$13,OR(A1486&lt;Inputs!$B$19,Inputs!$B$20=1)),D1486*Inputs!$B$11/C1486,0)</f>
        <v>40.2739726027397</v>
      </c>
      <c r="I1486" s="37" t="n">
        <f aca="false">Inputs!$C$9-SUMIFS(Cash_Events!$G$6:$G$20,Cash_Events!$C$6:$C$20,"FHL",Cash_Events!$B$6:$B$20,"&lt;="&amp;A1486)</f>
        <v>735000</v>
      </c>
      <c r="J1486" s="38" t="n">
        <f aca="false">VLOOKUP(A1486,Inputs!$F$40:$G$48,2,TRUE())</f>
        <v>0.0364054</v>
      </c>
      <c r="K1486" s="38" t="n">
        <f aca="false">J1486+Inputs!$C$10</f>
        <v>0.1039054</v>
      </c>
      <c r="L1486" s="37" t="n">
        <f aca="false">I1486*K1486/C1486</f>
        <v>209.234161643836</v>
      </c>
      <c r="M1486" s="37" t="n">
        <f aca="false">IF(AND(A1486&gt;=Inputs!$C$13,OR(A1486&lt;Inputs!$B$19,Inputs!$B$20=1)),I1486*Inputs!$C$11/C1486,0)</f>
        <v>40.2739726027397</v>
      </c>
    </row>
    <row r="1487" customFormat="false" ht="15" hidden="false" customHeight="false" outlineLevel="0" collapsed="false">
      <c r="A1487" s="35" t="n">
        <f aca="false">A1486+1</f>
        <v>46294</v>
      </c>
      <c r="B1487" s="35" t="n">
        <f aca="false">EOMONTH(A1487+1,0)</f>
        <v>46295</v>
      </c>
      <c r="C1487" s="36" t="n">
        <f aca="false">IF(MOD(YEAR(A1487),4)=0,366,365)</f>
        <v>365</v>
      </c>
      <c r="D1487" s="37" t="n">
        <f aca="false">Inputs!$B$9-SUMIFS(Cash_Events!$G$6:$G$20,Cash_Events!$C$6:$C$20,"rAGMF",Cash_Events!$B$6:$B$20,"&lt;="&amp;A1487)</f>
        <v>735000</v>
      </c>
      <c r="E1487" s="38" t="n">
        <f aca="false">VLOOKUP(A1487,Inputs!$A$40:$B$48,2,TRUE())</f>
        <v>0.0363225</v>
      </c>
      <c r="F1487" s="38" t="n">
        <f aca="false">E1487+Inputs!$B$10</f>
        <v>0.1038225</v>
      </c>
      <c r="G1487" s="37" t="n">
        <f aca="false">D1487*F1487/C1487</f>
        <v>209.067226027397</v>
      </c>
      <c r="H1487" s="37" t="n">
        <f aca="false">IF(AND(A1487&gt;=Inputs!$B$13,OR(A1487&lt;Inputs!$B$19,Inputs!$B$20=1)),D1487*Inputs!$B$11/C1487,0)</f>
        <v>40.2739726027397</v>
      </c>
      <c r="I1487" s="37" t="n">
        <f aca="false">Inputs!$C$9-SUMIFS(Cash_Events!$G$6:$G$20,Cash_Events!$C$6:$C$20,"FHL",Cash_Events!$B$6:$B$20,"&lt;="&amp;A1487)</f>
        <v>735000</v>
      </c>
      <c r="J1487" s="38" t="n">
        <f aca="false">VLOOKUP(A1487,Inputs!$F$40:$G$48,2,TRUE())</f>
        <v>0.0364054</v>
      </c>
      <c r="K1487" s="38" t="n">
        <f aca="false">J1487+Inputs!$C$10</f>
        <v>0.1039054</v>
      </c>
      <c r="L1487" s="37" t="n">
        <f aca="false">I1487*K1487/C1487</f>
        <v>209.234161643836</v>
      </c>
      <c r="M1487" s="37" t="n">
        <f aca="false">IF(AND(A1487&gt;=Inputs!$C$13,OR(A1487&lt;Inputs!$B$19,Inputs!$B$20=1)),I1487*Inputs!$C$11/C1487,0)</f>
        <v>40.2739726027397</v>
      </c>
    </row>
    <row r="1488" customFormat="false" ht="15" hidden="false" customHeight="false" outlineLevel="0" collapsed="false">
      <c r="A1488" s="35" t="n">
        <f aca="false">A1487+1</f>
        <v>46295</v>
      </c>
      <c r="B1488" s="35" t="n">
        <f aca="false">EOMONTH(A1488+1,0)</f>
        <v>46326</v>
      </c>
      <c r="C1488" s="36" t="n">
        <f aca="false">IF(MOD(YEAR(A1488),4)=0,366,365)</f>
        <v>365</v>
      </c>
      <c r="D1488" s="37" t="n">
        <f aca="false">Inputs!$B$9-SUMIFS(Cash_Events!$G$6:$G$20,Cash_Events!$C$6:$C$20,"rAGMF",Cash_Events!$B$6:$B$20,"&lt;="&amp;A1488)</f>
        <v>735000</v>
      </c>
      <c r="E1488" s="38" t="n">
        <f aca="false">VLOOKUP(A1488,Inputs!$A$40:$B$48,2,TRUE())</f>
        <v>0.0363225</v>
      </c>
      <c r="F1488" s="38" t="n">
        <f aca="false">E1488+Inputs!$B$10</f>
        <v>0.1038225</v>
      </c>
      <c r="G1488" s="37" t="n">
        <f aca="false">D1488*F1488/C1488</f>
        <v>209.067226027397</v>
      </c>
      <c r="H1488" s="37" t="n">
        <f aca="false">IF(AND(A1488&gt;=Inputs!$B$13,OR(A1488&lt;Inputs!$B$19,Inputs!$B$20=1)),D1488*Inputs!$B$11/C1488,0)</f>
        <v>40.2739726027397</v>
      </c>
      <c r="I1488" s="37" t="n">
        <f aca="false">Inputs!$C$9-SUMIFS(Cash_Events!$G$6:$G$20,Cash_Events!$C$6:$C$20,"FHL",Cash_Events!$B$6:$B$20,"&lt;="&amp;A1488)</f>
        <v>735000</v>
      </c>
      <c r="J1488" s="38" t="n">
        <f aca="false">VLOOKUP(A1488,Inputs!$F$40:$G$48,2,TRUE())</f>
        <v>0.0364054</v>
      </c>
      <c r="K1488" s="38" t="n">
        <f aca="false">J1488+Inputs!$C$10</f>
        <v>0.1039054</v>
      </c>
      <c r="L1488" s="37" t="n">
        <f aca="false">I1488*K1488/C1488</f>
        <v>209.234161643836</v>
      </c>
      <c r="M1488" s="37" t="n">
        <f aca="false">IF(AND(A1488&gt;=Inputs!$C$13,OR(A1488&lt;Inputs!$B$19,Inputs!$B$20=1)),I1488*Inputs!$C$11/C1488,0)</f>
        <v>40.2739726027397</v>
      </c>
    </row>
    <row r="1489" customFormat="false" ht="15" hidden="false" customHeight="false" outlineLevel="0" collapsed="false">
      <c r="A1489" s="35" t="n">
        <f aca="false">A1488+1</f>
        <v>46296</v>
      </c>
      <c r="B1489" s="35" t="n">
        <f aca="false">EOMONTH(A1489+1,0)</f>
        <v>46326</v>
      </c>
      <c r="C1489" s="36" t="n">
        <f aca="false">IF(MOD(YEAR(A1489),4)=0,366,365)</f>
        <v>365</v>
      </c>
      <c r="D1489" s="37" t="n">
        <f aca="false">Inputs!$B$9-SUMIFS(Cash_Events!$G$6:$G$20,Cash_Events!$C$6:$C$20,"rAGMF",Cash_Events!$B$6:$B$20,"&lt;="&amp;A1489)</f>
        <v>735000</v>
      </c>
      <c r="E1489" s="38" t="n">
        <f aca="false">VLOOKUP(A1489,Inputs!$A$40:$B$48,2,TRUE())</f>
        <v>0.0363225</v>
      </c>
      <c r="F1489" s="38" t="n">
        <f aca="false">E1489+Inputs!$B$10</f>
        <v>0.1038225</v>
      </c>
      <c r="G1489" s="37" t="n">
        <f aca="false">D1489*F1489/C1489</f>
        <v>209.067226027397</v>
      </c>
      <c r="H1489" s="37" t="n">
        <f aca="false">IF(AND(A1489&gt;=Inputs!$B$13,OR(A1489&lt;Inputs!$B$19,Inputs!$B$20=1)),D1489*Inputs!$B$11/C1489,0)</f>
        <v>40.2739726027397</v>
      </c>
      <c r="I1489" s="37" t="n">
        <f aca="false">Inputs!$C$9-SUMIFS(Cash_Events!$G$6:$G$20,Cash_Events!$C$6:$C$20,"FHL",Cash_Events!$B$6:$B$20,"&lt;="&amp;A1489)</f>
        <v>735000</v>
      </c>
      <c r="J1489" s="38" t="n">
        <f aca="false">VLOOKUP(A1489,Inputs!$F$40:$G$48,2,TRUE())</f>
        <v>0.0364054</v>
      </c>
      <c r="K1489" s="38" t="n">
        <f aca="false">J1489+Inputs!$C$10</f>
        <v>0.1039054</v>
      </c>
      <c r="L1489" s="37" t="n">
        <f aca="false">I1489*K1489/C1489</f>
        <v>209.234161643836</v>
      </c>
      <c r="M1489" s="37" t="n">
        <f aca="false">IF(AND(A1489&gt;=Inputs!$C$13,OR(A1489&lt;Inputs!$B$19,Inputs!$B$20=1)),I1489*Inputs!$C$11/C1489,0)</f>
        <v>40.2739726027397</v>
      </c>
    </row>
    <row r="1490" customFormat="false" ht="15" hidden="false" customHeight="false" outlineLevel="0" collapsed="false">
      <c r="A1490" s="35" t="n">
        <f aca="false">A1489+1</f>
        <v>46297</v>
      </c>
      <c r="B1490" s="35" t="n">
        <f aca="false">EOMONTH(A1490+1,0)</f>
        <v>46326</v>
      </c>
      <c r="C1490" s="36" t="n">
        <f aca="false">IF(MOD(YEAR(A1490),4)=0,366,365)</f>
        <v>365</v>
      </c>
      <c r="D1490" s="37" t="n">
        <f aca="false">Inputs!$B$9-SUMIFS(Cash_Events!$G$6:$G$20,Cash_Events!$C$6:$C$20,"rAGMF",Cash_Events!$B$6:$B$20,"&lt;="&amp;A1490)</f>
        <v>735000</v>
      </c>
      <c r="E1490" s="38" t="n">
        <f aca="false">VLOOKUP(A1490,Inputs!$A$40:$B$48,2,TRUE())</f>
        <v>0.0363225</v>
      </c>
      <c r="F1490" s="38" t="n">
        <f aca="false">E1490+Inputs!$B$10</f>
        <v>0.1038225</v>
      </c>
      <c r="G1490" s="37" t="n">
        <f aca="false">D1490*F1490/C1490</f>
        <v>209.067226027397</v>
      </c>
      <c r="H1490" s="37" t="n">
        <f aca="false">IF(AND(A1490&gt;=Inputs!$B$13,OR(A1490&lt;Inputs!$B$19,Inputs!$B$20=1)),D1490*Inputs!$B$11/C1490,0)</f>
        <v>40.2739726027397</v>
      </c>
      <c r="I1490" s="37" t="n">
        <f aca="false">Inputs!$C$9-SUMIFS(Cash_Events!$G$6:$G$20,Cash_Events!$C$6:$C$20,"FHL",Cash_Events!$B$6:$B$20,"&lt;="&amp;A1490)</f>
        <v>735000</v>
      </c>
      <c r="J1490" s="38" t="n">
        <f aca="false">VLOOKUP(A1490,Inputs!$F$40:$G$48,2,TRUE())</f>
        <v>0.0364054</v>
      </c>
      <c r="K1490" s="38" t="n">
        <f aca="false">J1490+Inputs!$C$10</f>
        <v>0.1039054</v>
      </c>
      <c r="L1490" s="37" t="n">
        <f aca="false">I1490*K1490/C1490</f>
        <v>209.234161643836</v>
      </c>
      <c r="M1490" s="37" t="n">
        <f aca="false">IF(AND(A1490&gt;=Inputs!$C$13,OR(A1490&lt;Inputs!$B$19,Inputs!$B$20=1)),I1490*Inputs!$C$11/C1490,0)</f>
        <v>40.2739726027397</v>
      </c>
    </row>
    <row r="1491" customFormat="false" ht="15" hidden="false" customHeight="false" outlineLevel="0" collapsed="false">
      <c r="A1491" s="35" t="n">
        <f aca="false">A1490+1</f>
        <v>46298</v>
      </c>
      <c r="B1491" s="35" t="n">
        <f aca="false">EOMONTH(A1491+1,0)</f>
        <v>46326</v>
      </c>
      <c r="C1491" s="36" t="n">
        <f aca="false">IF(MOD(YEAR(A1491),4)=0,366,365)</f>
        <v>365</v>
      </c>
      <c r="D1491" s="37" t="n">
        <f aca="false">Inputs!$B$9-SUMIFS(Cash_Events!$G$6:$G$20,Cash_Events!$C$6:$C$20,"rAGMF",Cash_Events!$B$6:$B$20,"&lt;="&amp;A1491)</f>
        <v>735000</v>
      </c>
      <c r="E1491" s="38" t="n">
        <f aca="false">VLOOKUP(A1491,Inputs!$A$40:$B$48,2,TRUE())</f>
        <v>0.0363225</v>
      </c>
      <c r="F1491" s="38" t="n">
        <f aca="false">E1491+Inputs!$B$10</f>
        <v>0.1038225</v>
      </c>
      <c r="G1491" s="37" t="n">
        <f aca="false">D1491*F1491/C1491</f>
        <v>209.067226027397</v>
      </c>
      <c r="H1491" s="37" t="n">
        <f aca="false">IF(AND(A1491&gt;=Inputs!$B$13,OR(A1491&lt;Inputs!$B$19,Inputs!$B$20=1)),D1491*Inputs!$B$11/C1491,0)</f>
        <v>40.2739726027397</v>
      </c>
      <c r="I1491" s="37" t="n">
        <f aca="false">Inputs!$C$9-SUMIFS(Cash_Events!$G$6:$G$20,Cash_Events!$C$6:$C$20,"FHL",Cash_Events!$B$6:$B$20,"&lt;="&amp;A1491)</f>
        <v>735000</v>
      </c>
      <c r="J1491" s="38" t="n">
        <f aca="false">VLOOKUP(A1491,Inputs!$F$40:$G$48,2,TRUE())</f>
        <v>0.0364054</v>
      </c>
      <c r="K1491" s="38" t="n">
        <f aca="false">J1491+Inputs!$C$10</f>
        <v>0.1039054</v>
      </c>
      <c r="L1491" s="37" t="n">
        <f aca="false">I1491*K1491/C1491</f>
        <v>209.234161643836</v>
      </c>
      <c r="M1491" s="37" t="n">
        <f aca="false">IF(AND(A1491&gt;=Inputs!$C$13,OR(A1491&lt;Inputs!$B$19,Inputs!$B$20=1)),I1491*Inputs!$C$11/C1491,0)</f>
        <v>40.2739726027397</v>
      </c>
    </row>
    <row r="1492" customFormat="false" ht="15" hidden="false" customHeight="false" outlineLevel="0" collapsed="false">
      <c r="A1492" s="35" t="n">
        <f aca="false">A1491+1</f>
        <v>46299</v>
      </c>
      <c r="B1492" s="35" t="n">
        <f aca="false">EOMONTH(A1492+1,0)</f>
        <v>46326</v>
      </c>
      <c r="C1492" s="36" t="n">
        <f aca="false">IF(MOD(YEAR(A1492),4)=0,366,365)</f>
        <v>365</v>
      </c>
      <c r="D1492" s="37" t="n">
        <f aca="false">Inputs!$B$9-SUMIFS(Cash_Events!$G$6:$G$20,Cash_Events!$C$6:$C$20,"rAGMF",Cash_Events!$B$6:$B$20,"&lt;="&amp;A1492)</f>
        <v>735000</v>
      </c>
      <c r="E1492" s="38" t="n">
        <f aca="false">VLOOKUP(A1492,Inputs!$A$40:$B$48,2,TRUE())</f>
        <v>0.0363225</v>
      </c>
      <c r="F1492" s="38" t="n">
        <f aca="false">E1492+Inputs!$B$10</f>
        <v>0.1038225</v>
      </c>
      <c r="G1492" s="37" t="n">
        <f aca="false">D1492*F1492/C1492</f>
        <v>209.067226027397</v>
      </c>
      <c r="H1492" s="37" t="n">
        <f aca="false">IF(AND(A1492&gt;=Inputs!$B$13,OR(A1492&lt;Inputs!$B$19,Inputs!$B$20=1)),D1492*Inputs!$B$11/C1492,0)</f>
        <v>40.2739726027397</v>
      </c>
      <c r="I1492" s="37" t="n">
        <f aca="false">Inputs!$C$9-SUMIFS(Cash_Events!$G$6:$G$20,Cash_Events!$C$6:$C$20,"FHL",Cash_Events!$B$6:$B$20,"&lt;="&amp;A1492)</f>
        <v>735000</v>
      </c>
      <c r="J1492" s="38" t="n">
        <f aca="false">VLOOKUP(A1492,Inputs!$F$40:$G$48,2,TRUE())</f>
        <v>0.0364054</v>
      </c>
      <c r="K1492" s="38" t="n">
        <f aca="false">J1492+Inputs!$C$10</f>
        <v>0.1039054</v>
      </c>
      <c r="L1492" s="37" t="n">
        <f aca="false">I1492*K1492/C1492</f>
        <v>209.234161643836</v>
      </c>
      <c r="M1492" s="37" t="n">
        <f aca="false">IF(AND(A1492&gt;=Inputs!$C$13,OR(A1492&lt;Inputs!$B$19,Inputs!$B$20=1)),I1492*Inputs!$C$11/C1492,0)</f>
        <v>40.2739726027397</v>
      </c>
    </row>
    <row r="1493" customFormat="false" ht="15" hidden="false" customHeight="false" outlineLevel="0" collapsed="false">
      <c r="A1493" s="35" t="n">
        <f aca="false">A1492+1</f>
        <v>46300</v>
      </c>
      <c r="B1493" s="35" t="n">
        <f aca="false">EOMONTH(A1493+1,0)</f>
        <v>46326</v>
      </c>
      <c r="C1493" s="36" t="n">
        <f aca="false">IF(MOD(YEAR(A1493),4)=0,366,365)</f>
        <v>365</v>
      </c>
      <c r="D1493" s="37" t="n">
        <f aca="false">Inputs!$B$9-SUMIFS(Cash_Events!$G$6:$G$20,Cash_Events!$C$6:$C$20,"rAGMF",Cash_Events!$B$6:$B$20,"&lt;="&amp;A1493)</f>
        <v>735000</v>
      </c>
      <c r="E1493" s="38" t="n">
        <f aca="false">VLOOKUP(A1493,Inputs!$A$40:$B$48,2,TRUE())</f>
        <v>0.0363225</v>
      </c>
      <c r="F1493" s="38" t="n">
        <f aca="false">E1493+Inputs!$B$10</f>
        <v>0.1038225</v>
      </c>
      <c r="G1493" s="37" t="n">
        <f aca="false">D1493*F1493/C1493</f>
        <v>209.067226027397</v>
      </c>
      <c r="H1493" s="37" t="n">
        <f aca="false">IF(AND(A1493&gt;=Inputs!$B$13,OR(A1493&lt;Inputs!$B$19,Inputs!$B$20=1)),D1493*Inputs!$B$11/C1493,0)</f>
        <v>40.2739726027397</v>
      </c>
      <c r="I1493" s="37" t="n">
        <f aca="false">Inputs!$C$9-SUMIFS(Cash_Events!$G$6:$G$20,Cash_Events!$C$6:$C$20,"FHL",Cash_Events!$B$6:$B$20,"&lt;="&amp;A1493)</f>
        <v>735000</v>
      </c>
      <c r="J1493" s="38" t="n">
        <f aca="false">VLOOKUP(A1493,Inputs!$F$40:$G$48,2,TRUE())</f>
        <v>0.0364054</v>
      </c>
      <c r="K1493" s="38" t="n">
        <f aca="false">J1493+Inputs!$C$10</f>
        <v>0.1039054</v>
      </c>
      <c r="L1493" s="37" t="n">
        <f aca="false">I1493*K1493/C1493</f>
        <v>209.234161643836</v>
      </c>
      <c r="M1493" s="37" t="n">
        <f aca="false">IF(AND(A1493&gt;=Inputs!$C$13,OR(A1493&lt;Inputs!$B$19,Inputs!$B$20=1)),I1493*Inputs!$C$11/C1493,0)</f>
        <v>40.2739726027397</v>
      </c>
    </row>
    <row r="1494" customFormat="false" ht="15" hidden="false" customHeight="false" outlineLevel="0" collapsed="false">
      <c r="A1494" s="35" t="n">
        <f aca="false">A1493+1</f>
        <v>46301</v>
      </c>
      <c r="B1494" s="35" t="n">
        <f aca="false">EOMONTH(A1494+1,0)</f>
        <v>46326</v>
      </c>
      <c r="C1494" s="36" t="n">
        <f aca="false">IF(MOD(YEAR(A1494),4)=0,366,365)</f>
        <v>365</v>
      </c>
      <c r="D1494" s="37" t="n">
        <f aca="false">Inputs!$B$9-SUMIFS(Cash_Events!$G$6:$G$20,Cash_Events!$C$6:$C$20,"rAGMF",Cash_Events!$B$6:$B$20,"&lt;="&amp;A1494)</f>
        <v>735000</v>
      </c>
      <c r="E1494" s="38" t="n">
        <f aca="false">VLOOKUP(A1494,Inputs!$A$40:$B$48,2,TRUE())</f>
        <v>0.0363225</v>
      </c>
      <c r="F1494" s="38" t="n">
        <f aca="false">E1494+Inputs!$B$10</f>
        <v>0.1038225</v>
      </c>
      <c r="G1494" s="37" t="n">
        <f aca="false">D1494*F1494/C1494</f>
        <v>209.067226027397</v>
      </c>
      <c r="H1494" s="37" t="n">
        <f aca="false">IF(AND(A1494&gt;=Inputs!$B$13,OR(A1494&lt;Inputs!$B$19,Inputs!$B$20=1)),D1494*Inputs!$B$11/C1494,0)</f>
        <v>40.2739726027397</v>
      </c>
      <c r="I1494" s="37" t="n">
        <f aca="false">Inputs!$C$9-SUMIFS(Cash_Events!$G$6:$G$20,Cash_Events!$C$6:$C$20,"FHL",Cash_Events!$B$6:$B$20,"&lt;="&amp;A1494)</f>
        <v>735000</v>
      </c>
      <c r="J1494" s="38" t="n">
        <f aca="false">VLOOKUP(A1494,Inputs!$F$40:$G$48,2,TRUE())</f>
        <v>0.0364054</v>
      </c>
      <c r="K1494" s="38" t="n">
        <f aca="false">J1494+Inputs!$C$10</f>
        <v>0.1039054</v>
      </c>
      <c r="L1494" s="37" t="n">
        <f aca="false">I1494*K1494/C1494</f>
        <v>209.234161643836</v>
      </c>
      <c r="M1494" s="37" t="n">
        <f aca="false">IF(AND(A1494&gt;=Inputs!$C$13,OR(A1494&lt;Inputs!$B$19,Inputs!$B$20=1)),I1494*Inputs!$C$11/C1494,0)</f>
        <v>40.2739726027397</v>
      </c>
    </row>
    <row r="1495" customFormat="false" ht="15" hidden="false" customHeight="false" outlineLevel="0" collapsed="false">
      <c r="A1495" s="35" t="n">
        <f aca="false">A1494+1</f>
        <v>46302</v>
      </c>
      <c r="B1495" s="35" t="n">
        <f aca="false">EOMONTH(A1495+1,0)</f>
        <v>46326</v>
      </c>
      <c r="C1495" s="36" t="n">
        <f aca="false">IF(MOD(YEAR(A1495),4)=0,366,365)</f>
        <v>365</v>
      </c>
      <c r="D1495" s="37" t="n">
        <f aca="false">Inputs!$B$9-SUMIFS(Cash_Events!$G$6:$G$20,Cash_Events!$C$6:$C$20,"rAGMF",Cash_Events!$B$6:$B$20,"&lt;="&amp;A1495)</f>
        <v>735000</v>
      </c>
      <c r="E1495" s="38" t="n">
        <f aca="false">VLOOKUP(A1495,Inputs!$A$40:$B$48,2,TRUE())</f>
        <v>0.0363225</v>
      </c>
      <c r="F1495" s="38" t="n">
        <f aca="false">E1495+Inputs!$B$10</f>
        <v>0.1038225</v>
      </c>
      <c r="G1495" s="37" t="n">
        <f aca="false">D1495*F1495/C1495</f>
        <v>209.067226027397</v>
      </c>
      <c r="H1495" s="37" t="n">
        <f aca="false">IF(AND(A1495&gt;=Inputs!$B$13,OR(A1495&lt;Inputs!$B$19,Inputs!$B$20=1)),D1495*Inputs!$B$11/C1495,0)</f>
        <v>40.2739726027397</v>
      </c>
      <c r="I1495" s="37" t="n">
        <f aca="false">Inputs!$C$9-SUMIFS(Cash_Events!$G$6:$G$20,Cash_Events!$C$6:$C$20,"FHL",Cash_Events!$B$6:$B$20,"&lt;="&amp;A1495)</f>
        <v>735000</v>
      </c>
      <c r="J1495" s="38" t="n">
        <f aca="false">VLOOKUP(A1495,Inputs!$F$40:$G$48,2,TRUE())</f>
        <v>0.0364054</v>
      </c>
      <c r="K1495" s="38" t="n">
        <f aca="false">J1495+Inputs!$C$10</f>
        <v>0.1039054</v>
      </c>
      <c r="L1495" s="37" t="n">
        <f aca="false">I1495*K1495/C1495</f>
        <v>209.234161643836</v>
      </c>
      <c r="M1495" s="37" t="n">
        <f aca="false">IF(AND(A1495&gt;=Inputs!$C$13,OR(A1495&lt;Inputs!$B$19,Inputs!$B$20=1)),I1495*Inputs!$C$11/C1495,0)</f>
        <v>40.2739726027397</v>
      </c>
    </row>
    <row r="1496" customFormat="false" ht="15" hidden="false" customHeight="false" outlineLevel="0" collapsed="false">
      <c r="A1496" s="35" t="n">
        <f aca="false">A1495+1</f>
        <v>46303</v>
      </c>
      <c r="B1496" s="35" t="n">
        <f aca="false">EOMONTH(A1496+1,0)</f>
        <v>46326</v>
      </c>
      <c r="C1496" s="36" t="n">
        <f aca="false">IF(MOD(YEAR(A1496),4)=0,366,365)</f>
        <v>365</v>
      </c>
      <c r="D1496" s="37" t="n">
        <f aca="false">Inputs!$B$9-SUMIFS(Cash_Events!$G$6:$G$20,Cash_Events!$C$6:$C$20,"rAGMF",Cash_Events!$B$6:$B$20,"&lt;="&amp;A1496)</f>
        <v>735000</v>
      </c>
      <c r="E1496" s="38" t="n">
        <f aca="false">VLOOKUP(A1496,Inputs!$A$40:$B$48,2,TRUE())</f>
        <v>0.0363225</v>
      </c>
      <c r="F1496" s="38" t="n">
        <f aca="false">E1496+Inputs!$B$10</f>
        <v>0.1038225</v>
      </c>
      <c r="G1496" s="37" t="n">
        <f aca="false">D1496*F1496/C1496</f>
        <v>209.067226027397</v>
      </c>
      <c r="H1496" s="37" t="n">
        <f aca="false">IF(AND(A1496&gt;=Inputs!$B$13,OR(A1496&lt;Inputs!$B$19,Inputs!$B$20=1)),D1496*Inputs!$B$11/C1496,0)</f>
        <v>40.2739726027397</v>
      </c>
      <c r="I1496" s="37" t="n">
        <f aca="false">Inputs!$C$9-SUMIFS(Cash_Events!$G$6:$G$20,Cash_Events!$C$6:$C$20,"FHL",Cash_Events!$B$6:$B$20,"&lt;="&amp;A1496)</f>
        <v>735000</v>
      </c>
      <c r="J1496" s="38" t="n">
        <f aca="false">VLOOKUP(A1496,Inputs!$F$40:$G$48,2,TRUE())</f>
        <v>0.0364054</v>
      </c>
      <c r="K1496" s="38" t="n">
        <f aca="false">J1496+Inputs!$C$10</f>
        <v>0.1039054</v>
      </c>
      <c r="L1496" s="37" t="n">
        <f aca="false">I1496*K1496/C1496</f>
        <v>209.234161643836</v>
      </c>
      <c r="M1496" s="37" t="n">
        <f aca="false">IF(AND(A1496&gt;=Inputs!$C$13,OR(A1496&lt;Inputs!$B$19,Inputs!$B$20=1)),I1496*Inputs!$C$11/C1496,0)</f>
        <v>40.2739726027397</v>
      </c>
    </row>
    <row r="1497" customFormat="false" ht="15" hidden="false" customHeight="false" outlineLevel="0" collapsed="false">
      <c r="A1497" s="35" t="n">
        <f aca="false">A1496+1</f>
        <v>46304</v>
      </c>
      <c r="B1497" s="35" t="n">
        <f aca="false">EOMONTH(A1497+1,0)</f>
        <v>46326</v>
      </c>
      <c r="C1497" s="36" t="n">
        <f aca="false">IF(MOD(YEAR(A1497),4)=0,366,365)</f>
        <v>365</v>
      </c>
      <c r="D1497" s="37" t="n">
        <f aca="false">Inputs!$B$9-SUMIFS(Cash_Events!$G$6:$G$20,Cash_Events!$C$6:$C$20,"rAGMF",Cash_Events!$B$6:$B$20,"&lt;="&amp;A1497)</f>
        <v>735000</v>
      </c>
      <c r="E1497" s="38" t="n">
        <f aca="false">VLOOKUP(A1497,Inputs!$A$40:$B$48,2,TRUE())</f>
        <v>0.0363225</v>
      </c>
      <c r="F1497" s="38" t="n">
        <f aca="false">E1497+Inputs!$B$10</f>
        <v>0.1038225</v>
      </c>
      <c r="G1497" s="37" t="n">
        <f aca="false">D1497*F1497/C1497</f>
        <v>209.067226027397</v>
      </c>
      <c r="H1497" s="37" t="n">
        <f aca="false">IF(AND(A1497&gt;=Inputs!$B$13,OR(A1497&lt;Inputs!$B$19,Inputs!$B$20=1)),D1497*Inputs!$B$11/C1497,0)</f>
        <v>40.2739726027397</v>
      </c>
      <c r="I1497" s="37" t="n">
        <f aca="false">Inputs!$C$9-SUMIFS(Cash_Events!$G$6:$G$20,Cash_Events!$C$6:$C$20,"FHL",Cash_Events!$B$6:$B$20,"&lt;="&amp;A1497)</f>
        <v>735000</v>
      </c>
      <c r="J1497" s="38" t="n">
        <f aca="false">VLOOKUP(A1497,Inputs!$F$40:$G$48,2,TRUE())</f>
        <v>0.0364054</v>
      </c>
      <c r="K1497" s="38" t="n">
        <f aca="false">J1497+Inputs!$C$10</f>
        <v>0.1039054</v>
      </c>
      <c r="L1497" s="37" t="n">
        <f aca="false">I1497*K1497/C1497</f>
        <v>209.234161643836</v>
      </c>
      <c r="M1497" s="37" t="n">
        <f aca="false">IF(AND(A1497&gt;=Inputs!$C$13,OR(A1497&lt;Inputs!$B$19,Inputs!$B$20=1)),I1497*Inputs!$C$11/C1497,0)</f>
        <v>40.2739726027397</v>
      </c>
    </row>
    <row r="1498" customFormat="false" ht="15" hidden="false" customHeight="false" outlineLevel="0" collapsed="false">
      <c r="A1498" s="35" t="n">
        <f aca="false">A1497+1</f>
        <v>46305</v>
      </c>
      <c r="B1498" s="35" t="n">
        <f aca="false">EOMONTH(A1498+1,0)</f>
        <v>46326</v>
      </c>
      <c r="C1498" s="36" t="n">
        <f aca="false">IF(MOD(YEAR(A1498),4)=0,366,365)</f>
        <v>365</v>
      </c>
      <c r="D1498" s="37" t="n">
        <f aca="false">Inputs!$B$9-SUMIFS(Cash_Events!$G$6:$G$20,Cash_Events!$C$6:$C$20,"rAGMF",Cash_Events!$B$6:$B$20,"&lt;="&amp;A1498)</f>
        <v>735000</v>
      </c>
      <c r="E1498" s="38" t="n">
        <f aca="false">VLOOKUP(A1498,Inputs!$A$40:$B$48,2,TRUE())</f>
        <v>0.0363225</v>
      </c>
      <c r="F1498" s="38" t="n">
        <f aca="false">E1498+Inputs!$B$10</f>
        <v>0.1038225</v>
      </c>
      <c r="G1498" s="37" t="n">
        <f aca="false">D1498*F1498/C1498</f>
        <v>209.067226027397</v>
      </c>
      <c r="H1498" s="37" t="n">
        <f aca="false">IF(AND(A1498&gt;=Inputs!$B$13,OR(A1498&lt;Inputs!$B$19,Inputs!$B$20=1)),D1498*Inputs!$B$11/C1498,0)</f>
        <v>40.2739726027397</v>
      </c>
      <c r="I1498" s="37" t="n">
        <f aca="false">Inputs!$C$9-SUMIFS(Cash_Events!$G$6:$G$20,Cash_Events!$C$6:$C$20,"FHL",Cash_Events!$B$6:$B$20,"&lt;="&amp;A1498)</f>
        <v>735000</v>
      </c>
      <c r="J1498" s="38" t="n">
        <f aca="false">VLOOKUP(A1498,Inputs!$F$40:$G$48,2,TRUE())</f>
        <v>0.0364054</v>
      </c>
      <c r="K1498" s="38" t="n">
        <f aca="false">J1498+Inputs!$C$10</f>
        <v>0.1039054</v>
      </c>
      <c r="L1498" s="37" t="n">
        <f aca="false">I1498*K1498/C1498</f>
        <v>209.234161643836</v>
      </c>
      <c r="M1498" s="37" t="n">
        <f aca="false">IF(AND(A1498&gt;=Inputs!$C$13,OR(A1498&lt;Inputs!$B$19,Inputs!$B$20=1)),I1498*Inputs!$C$11/C1498,0)</f>
        <v>40.2739726027397</v>
      </c>
    </row>
    <row r="1499" customFormat="false" ht="15" hidden="false" customHeight="false" outlineLevel="0" collapsed="false">
      <c r="A1499" s="35" t="n">
        <f aca="false">A1498+1</f>
        <v>46306</v>
      </c>
      <c r="B1499" s="35" t="n">
        <f aca="false">EOMONTH(A1499+1,0)</f>
        <v>46326</v>
      </c>
      <c r="C1499" s="36" t="n">
        <f aca="false">IF(MOD(YEAR(A1499),4)=0,366,365)</f>
        <v>365</v>
      </c>
      <c r="D1499" s="37" t="n">
        <f aca="false">Inputs!$B$9-SUMIFS(Cash_Events!$G$6:$G$20,Cash_Events!$C$6:$C$20,"rAGMF",Cash_Events!$B$6:$B$20,"&lt;="&amp;A1499)</f>
        <v>735000</v>
      </c>
      <c r="E1499" s="38" t="n">
        <f aca="false">VLOOKUP(A1499,Inputs!$A$40:$B$48,2,TRUE())</f>
        <v>0.0363225</v>
      </c>
      <c r="F1499" s="38" t="n">
        <f aca="false">E1499+Inputs!$B$10</f>
        <v>0.1038225</v>
      </c>
      <c r="G1499" s="37" t="n">
        <f aca="false">D1499*F1499/C1499</f>
        <v>209.067226027397</v>
      </c>
      <c r="H1499" s="37" t="n">
        <f aca="false">IF(AND(A1499&gt;=Inputs!$B$13,OR(A1499&lt;Inputs!$B$19,Inputs!$B$20=1)),D1499*Inputs!$B$11/C1499,0)</f>
        <v>40.2739726027397</v>
      </c>
      <c r="I1499" s="37" t="n">
        <f aca="false">Inputs!$C$9-SUMIFS(Cash_Events!$G$6:$G$20,Cash_Events!$C$6:$C$20,"FHL",Cash_Events!$B$6:$B$20,"&lt;="&amp;A1499)</f>
        <v>735000</v>
      </c>
      <c r="J1499" s="38" t="n">
        <f aca="false">VLOOKUP(A1499,Inputs!$F$40:$G$48,2,TRUE())</f>
        <v>0.0364054</v>
      </c>
      <c r="K1499" s="38" t="n">
        <f aca="false">J1499+Inputs!$C$10</f>
        <v>0.1039054</v>
      </c>
      <c r="L1499" s="37" t="n">
        <f aca="false">I1499*K1499/C1499</f>
        <v>209.234161643836</v>
      </c>
      <c r="M1499" s="37" t="n">
        <f aca="false">IF(AND(A1499&gt;=Inputs!$C$13,OR(A1499&lt;Inputs!$B$19,Inputs!$B$20=1)),I1499*Inputs!$C$11/C1499,0)</f>
        <v>40.2739726027397</v>
      </c>
    </row>
    <row r="1500" customFormat="false" ht="15" hidden="false" customHeight="false" outlineLevel="0" collapsed="false">
      <c r="A1500" s="35" t="n">
        <f aca="false">A1499+1</f>
        <v>46307</v>
      </c>
      <c r="B1500" s="35" t="n">
        <f aca="false">EOMONTH(A1500+1,0)</f>
        <v>46326</v>
      </c>
      <c r="C1500" s="36" t="n">
        <f aca="false">IF(MOD(YEAR(A1500),4)=0,366,365)</f>
        <v>365</v>
      </c>
      <c r="D1500" s="37" t="n">
        <f aca="false">Inputs!$B$9-SUMIFS(Cash_Events!$G$6:$G$20,Cash_Events!$C$6:$C$20,"rAGMF",Cash_Events!$B$6:$B$20,"&lt;="&amp;A1500)</f>
        <v>735000</v>
      </c>
      <c r="E1500" s="38" t="n">
        <f aca="false">VLOOKUP(A1500,Inputs!$A$40:$B$48,2,TRUE())</f>
        <v>0.0363225</v>
      </c>
      <c r="F1500" s="38" t="n">
        <f aca="false">E1500+Inputs!$B$10</f>
        <v>0.1038225</v>
      </c>
      <c r="G1500" s="37" t="n">
        <f aca="false">D1500*F1500/C1500</f>
        <v>209.067226027397</v>
      </c>
      <c r="H1500" s="37" t="n">
        <f aca="false">IF(AND(A1500&gt;=Inputs!$B$13,OR(A1500&lt;Inputs!$B$19,Inputs!$B$20=1)),D1500*Inputs!$B$11/C1500,0)</f>
        <v>40.2739726027397</v>
      </c>
      <c r="I1500" s="37" t="n">
        <f aca="false">Inputs!$C$9-SUMIFS(Cash_Events!$G$6:$G$20,Cash_Events!$C$6:$C$20,"FHL",Cash_Events!$B$6:$B$20,"&lt;="&amp;A1500)</f>
        <v>735000</v>
      </c>
      <c r="J1500" s="38" t="n">
        <f aca="false">VLOOKUP(A1500,Inputs!$F$40:$G$48,2,TRUE())</f>
        <v>0.0364054</v>
      </c>
      <c r="K1500" s="38" t="n">
        <f aca="false">J1500+Inputs!$C$10</f>
        <v>0.1039054</v>
      </c>
      <c r="L1500" s="37" t="n">
        <f aca="false">I1500*K1500/C1500</f>
        <v>209.234161643836</v>
      </c>
      <c r="M1500" s="37" t="n">
        <f aca="false">IF(AND(A1500&gt;=Inputs!$C$13,OR(A1500&lt;Inputs!$B$19,Inputs!$B$20=1)),I1500*Inputs!$C$11/C1500,0)</f>
        <v>40.2739726027397</v>
      </c>
    </row>
    <row r="1501" customFormat="false" ht="15" hidden="false" customHeight="false" outlineLevel="0" collapsed="false">
      <c r="A1501" s="35" t="n">
        <f aca="false">A1500+1</f>
        <v>46308</v>
      </c>
      <c r="B1501" s="35" t="n">
        <f aca="false">EOMONTH(A1501+1,0)</f>
        <v>46326</v>
      </c>
      <c r="C1501" s="36" t="n">
        <f aca="false">IF(MOD(YEAR(A1501),4)=0,366,365)</f>
        <v>365</v>
      </c>
      <c r="D1501" s="37" t="n">
        <f aca="false">Inputs!$B$9-SUMIFS(Cash_Events!$G$6:$G$20,Cash_Events!$C$6:$C$20,"rAGMF",Cash_Events!$B$6:$B$20,"&lt;="&amp;A1501)</f>
        <v>735000</v>
      </c>
      <c r="E1501" s="38" t="n">
        <f aca="false">VLOOKUP(A1501,Inputs!$A$40:$B$48,2,TRUE())</f>
        <v>0.0363225</v>
      </c>
      <c r="F1501" s="38" t="n">
        <f aca="false">E1501+Inputs!$B$10</f>
        <v>0.1038225</v>
      </c>
      <c r="G1501" s="37" t="n">
        <f aca="false">D1501*F1501/C1501</f>
        <v>209.067226027397</v>
      </c>
      <c r="H1501" s="37" t="n">
        <f aca="false">IF(AND(A1501&gt;=Inputs!$B$13,OR(A1501&lt;Inputs!$B$19,Inputs!$B$20=1)),D1501*Inputs!$B$11/C1501,0)</f>
        <v>40.2739726027397</v>
      </c>
      <c r="I1501" s="37" t="n">
        <f aca="false">Inputs!$C$9-SUMIFS(Cash_Events!$G$6:$G$20,Cash_Events!$C$6:$C$20,"FHL",Cash_Events!$B$6:$B$20,"&lt;="&amp;A1501)</f>
        <v>735000</v>
      </c>
      <c r="J1501" s="38" t="n">
        <f aca="false">VLOOKUP(A1501,Inputs!$F$40:$G$48,2,TRUE())</f>
        <v>0.0364054</v>
      </c>
      <c r="K1501" s="38" t="n">
        <f aca="false">J1501+Inputs!$C$10</f>
        <v>0.1039054</v>
      </c>
      <c r="L1501" s="37" t="n">
        <f aca="false">I1501*K1501/C1501</f>
        <v>209.234161643836</v>
      </c>
      <c r="M1501" s="37" t="n">
        <f aca="false">IF(AND(A1501&gt;=Inputs!$C$13,OR(A1501&lt;Inputs!$B$19,Inputs!$B$20=1)),I1501*Inputs!$C$11/C1501,0)</f>
        <v>40.2739726027397</v>
      </c>
    </row>
    <row r="1502" customFormat="false" ht="15" hidden="false" customHeight="false" outlineLevel="0" collapsed="false">
      <c r="A1502" s="35" t="n">
        <f aca="false">A1501+1</f>
        <v>46309</v>
      </c>
      <c r="B1502" s="35" t="n">
        <f aca="false">EOMONTH(A1502+1,0)</f>
        <v>46326</v>
      </c>
      <c r="C1502" s="36" t="n">
        <f aca="false">IF(MOD(YEAR(A1502),4)=0,366,365)</f>
        <v>365</v>
      </c>
      <c r="D1502" s="37" t="n">
        <f aca="false">Inputs!$B$9-SUMIFS(Cash_Events!$G$6:$G$20,Cash_Events!$C$6:$C$20,"rAGMF",Cash_Events!$B$6:$B$20,"&lt;="&amp;A1502)</f>
        <v>735000</v>
      </c>
      <c r="E1502" s="38" t="n">
        <f aca="false">VLOOKUP(A1502,Inputs!$A$40:$B$48,2,TRUE())</f>
        <v>0.0363225</v>
      </c>
      <c r="F1502" s="38" t="n">
        <f aca="false">E1502+Inputs!$B$10</f>
        <v>0.1038225</v>
      </c>
      <c r="G1502" s="37" t="n">
        <f aca="false">D1502*F1502/C1502</f>
        <v>209.067226027397</v>
      </c>
      <c r="H1502" s="37" t="n">
        <f aca="false">IF(AND(A1502&gt;=Inputs!$B$13,OR(A1502&lt;Inputs!$B$19,Inputs!$B$20=1)),D1502*Inputs!$B$11/C1502,0)</f>
        <v>40.2739726027397</v>
      </c>
      <c r="I1502" s="37" t="n">
        <f aca="false">Inputs!$C$9-SUMIFS(Cash_Events!$G$6:$G$20,Cash_Events!$C$6:$C$20,"FHL",Cash_Events!$B$6:$B$20,"&lt;="&amp;A1502)</f>
        <v>735000</v>
      </c>
      <c r="J1502" s="38" t="n">
        <f aca="false">VLOOKUP(A1502,Inputs!$F$40:$G$48,2,TRUE())</f>
        <v>0.0364054</v>
      </c>
      <c r="K1502" s="38" t="n">
        <f aca="false">J1502+Inputs!$C$10</f>
        <v>0.1039054</v>
      </c>
      <c r="L1502" s="37" t="n">
        <f aca="false">I1502*K1502/C1502</f>
        <v>209.234161643836</v>
      </c>
      <c r="M1502" s="37" t="n">
        <f aca="false">IF(AND(A1502&gt;=Inputs!$C$13,OR(A1502&lt;Inputs!$B$19,Inputs!$B$20=1)),I1502*Inputs!$C$11/C1502,0)</f>
        <v>40.2739726027397</v>
      </c>
    </row>
    <row r="1503" customFormat="false" ht="15" hidden="false" customHeight="false" outlineLevel="0" collapsed="false">
      <c r="A1503" s="35" t="n">
        <f aca="false">A1502+1</f>
        <v>46310</v>
      </c>
      <c r="B1503" s="35" t="n">
        <f aca="false">EOMONTH(A1503+1,0)</f>
        <v>46326</v>
      </c>
      <c r="C1503" s="36" t="n">
        <f aca="false">IF(MOD(YEAR(A1503),4)=0,366,365)</f>
        <v>365</v>
      </c>
      <c r="D1503" s="37" t="n">
        <f aca="false">Inputs!$B$9-SUMIFS(Cash_Events!$G$6:$G$20,Cash_Events!$C$6:$C$20,"rAGMF",Cash_Events!$B$6:$B$20,"&lt;="&amp;A1503)</f>
        <v>735000</v>
      </c>
      <c r="E1503" s="38" t="n">
        <f aca="false">VLOOKUP(A1503,Inputs!$A$40:$B$48,2,TRUE())</f>
        <v>0.0363225</v>
      </c>
      <c r="F1503" s="38" t="n">
        <f aca="false">E1503+Inputs!$B$10</f>
        <v>0.1038225</v>
      </c>
      <c r="G1503" s="37" t="n">
        <f aca="false">D1503*F1503/C1503</f>
        <v>209.067226027397</v>
      </c>
      <c r="H1503" s="37" t="n">
        <f aca="false">IF(AND(A1503&gt;=Inputs!$B$13,OR(A1503&lt;Inputs!$B$19,Inputs!$B$20=1)),D1503*Inputs!$B$11/C1503,0)</f>
        <v>40.2739726027397</v>
      </c>
      <c r="I1503" s="37" t="n">
        <f aca="false">Inputs!$C$9-SUMIFS(Cash_Events!$G$6:$G$20,Cash_Events!$C$6:$C$20,"FHL",Cash_Events!$B$6:$B$20,"&lt;="&amp;A1503)</f>
        <v>735000</v>
      </c>
      <c r="J1503" s="38" t="n">
        <f aca="false">VLOOKUP(A1503,Inputs!$F$40:$G$48,2,TRUE())</f>
        <v>0.0364054</v>
      </c>
      <c r="K1503" s="38" t="n">
        <f aca="false">J1503+Inputs!$C$10</f>
        <v>0.1039054</v>
      </c>
      <c r="L1503" s="37" t="n">
        <f aca="false">I1503*K1503/C1503</f>
        <v>209.234161643836</v>
      </c>
      <c r="M1503" s="37" t="n">
        <f aca="false">IF(AND(A1503&gt;=Inputs!$C$13,OR(A1503&lt;Inputs!$B$19,Inputs!$B$20=1)),I1503*Inputs!$C$11/C1503,0)</f>
        <v>40.2739726027397</v>
      </c>
    </row>
    <row r="1504" customFormat="false" ht="15" hidden="false" customHeight="false" outlineLevel="0" collapsed="false">
      <c r="A1504" s="35" t="n">
        <f aca="false">A1503+1</f>
        <v>46311</v>
      </c>
      <c r="B1504" s="35" t="n">
        <f aca="false">EOMONTH(A1504+1,0)</f>
        <v>46326</v>
      </c>
      <c r="C1504" s="36" t="n">
        <f aca="false">IF(MOD(YEAR(A1504),4)=0,366,365)</f>
        <v>365</v>
      </c>
      <c r="D1504" s="37" t="n">
        <f aca="false">Inputs!$B$9-SUMIFS(Cash_Events!$G$6:$G$20,Cash_Events!$C$6:$C$20,"rAGMF",Cash_Events!$B$6:$B$20,"&lt;="&amp;A1504)</f>
        <v>735000</v>
      </c>
      <c r="E1504" s="38" t="n">
        <f aca="false">VLOOKUP(A1504,Inputs!$A$40:$B$48,2,TRUE())</f>
        <v>0.0363225</v>
      </c>
      <c r="F1504" s="38" t="n">
        <f aca="false">E1504+Inputs!$B$10</f>
        <v>0.1038225</v>
      </c>
      <c r="G1504" s="37" t="n">
        <f aca="false">D1504*F1504/C1504</f>
        <v>209.067226027397</v>
      </c>
      <c r="H1504" s="37" t="n">
        <f aca="false">IF(AND(A1504&gt;=Inputs!$B$13,OR(A1504&lt;Inputs!$B$19,Inputs!$B$20=1)),D1504*Inputs!$B$11/C1504,0)</f>
        <v>40.2739726027397</v>
      </c>
      <c r="I1504" s="37" t="n">
        <f aca="false">Inputs!$C$9-SUMIFS(Cash_Events!$G$6:$G$20,Cash_Events!$C$6:$C$20,"FHL",Cash_Events!$B$6:$B$20,"&lt;="&amp;A1504)</f>
        <v>735000</v>
      </c>
      <c r="J1504" s="38" t="n">
        <f aca="false">VLOOKUP(A1504,Inputs!$F$40:$G$48,2,TRUE())</f>
        <v>0.0364054</v>
      </c>
      <c r="K1504" s="38" t="n">
        <f aca="false">J1504+Inputs!$C$10</f>
        <v>0.1039054</v>
      </c>
      <c r="L1504" s="37" t="n">
        <f aca="false">I1504*K1504/C1504</f>
        <v>209.234161643836</v>
      </c>
      <c r="M1504" s="37" t="n">
        <f aca="false">IF(AND(A1504&gt;=Inputs!$C$13,OR(A1504&lt;Inputs!$B$19,Inputs!$B$20=1)),I1504*Inputs!$C$11/C1504,0)</f>
        <v>40.2739726027397</v>
      </c>
    </row>
    <row r="1505" customFormat="false" ht="15" hidden="false" customHeight="false" outlineLevel="0" collapsed="false">
      <c r="A1505" s="35" t="n">
        <f aca="false">A1504+1</f>
        <v>46312</v>
      </c>
      <c r="B1505" s="35" t="n">
        <f aca="false">EOMONTH(A1505+1,0)</f>
        <v>46326</v>
      </c>
      <c r="C1505" s="36" t="n">
        <f aca="false">IF(MOD(YEAR(A1505),4)=0,366,365)</f>
        <v>365</v>
      </c>
      <c r="D1505" s="37" t="n">
        <f aca="false">Inputs!$B$9-SUMIFS(Cash_Events!$G$6:$G$20,Cash_Events!$C$6:$C$20,"rAGMF",Cash_Events!$B$6:$B$20,"&lt;="&amp;A1505)</f>
        <v>735000</v>
      </c>
      <c r="E1505" s="38" t="n">
        <f aca="false">VLOOKUP(A1505,Inputs!$A$40:$B$48,2,TRUE())</f>
        <v>0.0363225</v>
      </c>
      <c r="F1505" s="38" t="n">
        <f aca="false">E1505+Inputs!$B$10</f>
        <v>0.1038225</v>
      </c>
      <c r="G1505" s="37" t="n">
        <f aca="false">D1505*F1505/C1505</f>
        <v>209.067226027397</v>
      </c>
      <c r="H1505" s="37" t="n">
        <f aca="false">IF(AND(A1505&gt;=Inputs!$B$13,OR(A1505&lt;Inputs!$B$19,Inputs!$B$20=1)),D1505*Inputs!$B$11/C1505,0)</f>
        <v>40.2739726027397</v>
      </c>
      <c r="I1505" s="37" t="n">
        <f aca="false">Inputs!$C$9-SUMIFS(Cash_Events!$G$6:$G$20,Cash_Events!$C$6:$C$20,"FHL",Cash_Events!$B$6:$B$20,"&lt;="&amp;A1505)</f>
        <v>735000</v>
      </c>
      <c r="J1505" s="38" t="n">
        <f aca="false">VLOOKUP(A1505,Inputs!$F$40:$G$48,2,TRUE())</f>
        <v>0.0364054</v>
      </c>
      <c r="K1505" s="38" t="n">
        <f aca="false">J1505+Inputs!$C$10</f>
        <v>0.1039054</v>
      </c>
      <c r="L1505" s="37" t="n">
        <f aca="false">I1505*K1505/C1505</f>
        <v>209.234161643836</v>
      </c>
      <c r="M1505" s="37" t="n">
        <f aca="false">IF(AND(A1505&gt;=Inputs!$C$13,OR(A1505&lt;Inputs!$B$19,Inputs!$B$20=1)),I1505*Inputs!$C$11/C1505,0)</f>
        <v>40.2739726027397</v>
      </c>
    </row>
    <row r="1506" customFormat="false" ht="15" hidden="false" customHeight="false" outlineLevel="0" collapsed="false">
      <c r="A1506" s="35" t="n">
        <f aca="false">A1505+1</f>
        <v>46313</v>
      </c>
      <c r="B1506" s="35" t="n">
        <f aca="false">EOMONTH(A1506+1,0)</f>
        <v>46326</v>
      </c>
      <c r="C1506" s="36" t="n">
        <f aca="false">IF(MOD(YEAR(A1506),4)=0,366,365)</f>
        <v>365</v>
      </c>
      <c r="D1506" s="37" t="n">
        <f aca="false">Inputs!$B$9-SUMIFS(Cash_Events!$G$6:$G$20,Cash_Events!$C$6:$C$20,"rAGMF",Cash_Events!$B$6:$B$20,"&lt;="&amp;A1506)</f>
        <v>735000</v>
      </c>
      <c r="E1506" s="38" t="n">
        <f aca="false">VLOOKUP(A1506,Inputs!$A$40:$B$48,2,TRUE())</f>
        <v>0.0363225</v>
      </c>
      <c r="F1506" s="38" t="n">
        <f aca="false">E1506+Inputs!$B$10</f>
        <v>0.1038225</v>
      </c>
      <c r="G1506" s="37" t="n">
        <f aca="false">D1506*F1506/C1506</f>
        <v>209.067226027397</v>
      </c>
      <c r="H1506" s="37" t="n">
        <f aca="false">IF(AND(A1506&gt;=Inputs!$B$13,OR(A1506&lt;Inputs!$B$19,Inputs!$B$20=1)),D1506*Inputs!$B$11/C1506,0)</f>
        <v>40.2739726027397</v>
      </c>
      <c r="I1506" s="37" t="n">
        <f aca="false">Inputs!$C$9-SUMIFS(Cash_Events!$G$6:$G$20,Cash_Events!$C$6:$C$20,"FHL",Cash_Events!$B$6:$B$20,"&lt;="&amp;A1506)</f>
        <v>735000</v>
      </c>
      <c r="J1506" s="38" t="n">
        <f aca="false">VLOOKUP(A1506,Inputs!$F$40:$G$48,2,TRUE())</f>
        <v>0.0364054</v>
      </c>
      <c r="K1506" s="38" t="n">
        <f aca="false">J1506+Inputs!$C$10</f>
        <v>0.1039054</v>
      </c>
      <c r="L1506" s="37" t="n">
        <f aca="false">I1506*K1506/C1506</f>
        <v>209.234161643836</v>
      </c>
      <c r="M1506" s="37" t="n">
        <f aca="false">IF(AND(A1506&gt;=Inputs!$C$13,OR(A1506&lt;Inputs!$B$19,Inputs!$B$20=1)),I1506*Inputs!$C$11/C1506,0)</f>
        <v>40.2739726027397</v>
      </c>
    </row>
    <row r="1507" customFormat="false" ht="15" hidden="false" customHeight="false" outlineLevel="0" collapsed="false">
      <c r="A1507" s="35" t="n">
        <f aca="false">A1506+1</f>
        <v>46314</v>
      </c>
      <c r="B1507" s="35" t="n">
        <f aca="false">EOMONTH(A1507+1,0)</f>
        <v>46326</v>
      </c>
      <c r="C1507" s="36" t="n">
        <f aca="false">IF(MOD(YEAR(A1507),4)=0,366,365)</f>
        <v>365</v>
      </c>
      <c r="D1507" s="37" t="n">
        <f aca="false">Inputs!$B$9-SUMIFS(Cash_Events!$G$6:$G$20,Cash_Events!$C$6:$C$20,"rAGMF",Cash_Events!$B$6:$B$20,"&lt;="&amp;A1507)</f>
        <v>735000</v>
      </c>
      <c r="E1507" s="38" t="n">
        <f aca="false">VLOOKUP(A1507,Inputs!$A$40:$B$48,2,TRUE())</f>
        <v>0.0363225</v>
      </c>
      <c r="F1507" s="38" t="n">
        <f aca="false">E1507+Inputs!$B$10</f>
        <v>0.1038225</v>
      </c>
      <c r="G1507" s="37" t="n">
        <f aca="false">D1507*F1507/C1507</f>
        <v>209.067226027397</v>
      </c>
      <c r="H1507" s="37" t="n">
        <f aca="false">IF(AND(A1507&gt;=Inputs!$B$13,OR(A1507&lt;Inputs!$B$19,Inputs!$B$20=1)),D1507*Inputs!$B$11/C1507,0)</f>
        <v>40.2739726027397</v>
      </c>
      <c r="I1507" s="37" t="n">
        <f aca="false">Inputs!$C$9-SUMIFS(Cash_Events!$G$6:$G$20,Cash_Events!$C$6:$C$20,"FHL",Cash_Events!$B$6:$B$20,"&lt;="&amp;A1507)</f>
        <v>735000</v>
      </c>
      <c r="J1507" s="38" t="n">
        <f aca="false">VLOOKUP(A1507,Inputs!$F$40:$G$48,2,TRUE())</f>
        <v>0.0364054</v>
      </c>
      <c r="K1507" s="38" t="n">
        <f aca="false">J1507+Inputs!$C$10</f>
        <v>0.1039054</v>
      </c>
      <c r="L1507" s="37" t="n">
        <f aca="false">I1507*K1507/C1507</f>
        <v>209.234161643836</v>
      </c>
      <c r="M1507" s="37" t="n">
        <f aca="false">IF(AND(A1507&gt;=Inputs!$C$13,OR(A1507&lt;Inputs!$B$19,Inputs!$B$20=1)),I1507*Inputs!$C$11/C1507,0)</f>
        <v>40.2739726027397</v>
      </c>
    </row>
    <row r="1508" customFormat="false" ht="15" hidden="false" customHeight="false" outlineLevel="0" collapsed="false">
      <c r="A1508" s="35" t="n">
        <f aca="false">A1507+1</f>
        <v>46315</v>
      </c>
      <c r="B1508" s="35" t="n">
        <f aca="false">EOMONTH(A1508+1,0)</f>
        <v>46326</v>
      </c>
      <c r="C1508" s="36" t="n">
        <f aca="false">IF(MOD(YEAR(A1508),4)=0,366,365)</f>
        <v>365</v>
      </c>
      <c r="D1508" s="37" t="n">
        <f aca="false">Inputs!$B$9-SUMIFS(Cash_Events!$G$6:$G$20,Cash_Events!$C$6:$C$20,"rAGMF",Cash_Events!$B$6:$B$20,"&lt;="&amp;A1508)</f>
        <v>735000</v>
      </c>
      <c r="E1508" s="38" t="n">
        <f aca="false">VLOOKUP(A1508,Inputs!$A$40:$B$48,2,TRUE())</f>
        <v>0.0363225</v>
      </c>
      <c r="F1508" s="38" t="n">
        <f aca="false">E1508+Inputs!$B$10</f>
        <v>0.1038225</v>
      </c>
      <c r="G1508" s="37" t="n">
        <f aca="false">D1508*F1508/C1508</f>
        <v>209.067226027397</v>
      </c>
      <c r="H1508" s="37" t="n">
        <f aca="false">IF(AND(A1508&gt;=Inputs!$B$13,OR(A1508&lt;Inputs!$B$19,Inputs!$B$20=1)),D1508*Inputs!$B$11/C1508,0)</f>
        <v>40.2739726027397</v>
      </c>
      <c r="I1508" s="37" t="n">
        <f aca="false">Inputs!$C$9-SUMIFS(Cash_Events!$G$6:$G$20,Cash_Events!$C$6:$C$20,"FHL",Cash_Events!$B$6:$B$20,"&lt;="&amp;A1508)</f>
        <v>735000</v>
      </c>
      <c r="J1508" s="38" t="n">
        <f aca="false">VLOOKUP(A1508,Inputs!$F$40:$G$48,2,TRUE())</f>
        <v>0.0364054</v>
      </c>
      <c r="K1508" s="38" t="n">
        <f aca="false">J1508+Inputs!$C$10</f>
        <v>0.1039054</v>
      </c>
      <c r="L1508" s="37" t="n">
        <f aca="false">I1508*K1508/C1508</f>
        <v>209.234161643836</v>
      </c>
      <c r="M1508" s="37" t="n">
        <f aca="false">IF(AND(A1508&gt;=Inputs!$C$13,OR(A1508&lt;Inputs!$B$19,Inputs!$B$20=1)),I1508*Inputs!$C$11/C1508,0)</f>
        <v>40.2739726027397</v>
      </c>
    </row>
    <row r="1509" customFormat="false" ht="15" hidden="false" customHeight="false" outlineLevel="0" collapsed="false">
      <c r="A1509" s="35" t="n">
        <f aca="false">A1508+1</f>
        <v>46316</v>
      </c>
      <c r="B1509" s="35" t="n">
        <f aca="false">EOMONTH(A1509+1,0)</f>
        <v>46326</v>
      </c>
      <c r="C1509" s="36" t="n">
        <f aca="false">IF(MOD(YEAR(A1509),4)=0,366,365)</f>
        <v>365</v>
      </c>
      <c r="D1509" s="37" t="n">
        <f aca="false">Inputs!$B$9-SUMIFS(Cash_Events!$G$6:$G$20,Cash_Events!$C$6:$C$20,"rAGMF",Cash_Events!$B$6:$B$20,"&lt;="&amp;A1509)</f>
        <v>735000</v>
      </c>
      <c r="E1509" s="38" t="n">
        <f aca="false">VLOOKUP(A1509,Inputs!$A$40:$B$48,2,TRUE())</f>
        <v>0.0363225</v>
      </c>
      <c r="F1509" s="38" t="n">
        <f aca="false">E1509+Inputs!$B$10</f>
        <v>0.1038225</v>
      </c>
      <c r="G1509" s="37" t="n">
        <f aca="false">D1509*F1509/C1509</f>
        <v>209.067226027397</v>
      </c>
      <c r="H1509" s="37" t="n">
        <f aca="false">IF(AND(A1509&gt;=Inputs!$B$13,OR(A1509&lt;Inputs!$B$19,Inputs!$B$20=1)),D1509*Inputs!$B$11/C1509,0)</f>
        <v>40.2739726027397</v>
      </c>
      <c r="I1509" s="37" t="n">
        <f aca="false">Inputs!$C$9-SUMIFS(Cash_Events!$G$6:$G$20,Cash_Events!$C$6:$C$20,"FHL",Cash_Events!$B$6:$B$20,"&lt;="&amp;A1509)</f>
        <v>735000</v>
      </c>
      <c r="J1509" s="38" t="n">
        <f aca="false">VLOOKUP(A1509,Inputs!$F$40:$G$48,2,TRUE())</f>
        <v>0.0364054</v>
      </c>
      <c r="K1509" s="38" t="n">
        <f aca="false">J1509+Inputs!$C$10</f>
        <v>0.1039054</v>
      </c>
      <c r="L1509" s="37" t="n">
        <f aca="false">I1509*K1509/C1509</f>
        <v>209.234161643836</v>
      </c>
      <c r="M1509" s="37" t="n">
        <f aca="false">IF(AND(A1509&gt;=Inputs!$C$13,OR(A1509&lt;Inputs!$B$19,Inputs!$B$20=1)),I1509*Inputs!$C$11/C1509,0)</f>
        <v>40.2739726027397</v>
      </c>
    </row>
    <row r="1510" customFormat="false" ht="15" hidden="false" customHeight="false" outlineLevel="0" collapsed="false">
      <c r="A1510" s="35" t="n">
        <f aca="false">A1509+1</f>
        <v>46317</v>
      </c>
      <c r="B1510" s="35" t="n">
        <f aca="false">EOMONTH(A1510+1,0)</f>
        <v>46326</v>
      </c>
      <c r="C1510" s="36" t="n">
        <f aca="false">IF(MOD(YEAR(A1510),4)=0,366,365)</f>
        <v>365</v>
      </c>
      <c r="D1510" s="37" t="n">
        <f aca="false">Inputs!$B$9-SUMIFS(Cash_Events!$G$6:$G$20,Cash_Events!$C$6:$C$20,"rAGMF",Cash_Events!$B$6:$B$20,"&lt;="&amp;A1510)</f>
        <v>735000</v>
      </c>
      <c r="E1510" s="38" t="n">
        <f aca="false">VLOOKUP(A1510,Inputs!$A$40:$B$48,2,TRUE())</f>
        <v>0.0363225</v>
      </c>
      <c r="F1510" s="38" t="n">
        <f aca="false">E1510+Inputs!$B$10</f>
        <v>0.1038225</v>
      </c>
      <c r="G1510" s="37" t="n">
        <f aca="false">D1510*F1510/C1510</f>
        <v>209.067226027397</v>
      </c>
      <c r="H1510" s="37" t="n">
        <f aca="false">IF(AND(A1510&gt;=Inputs!$B$13,OR(A1510&lt;Inputs!$B$19,Inputs!$B$20=1)),D1510*Inputs!$B$11/C1510,0)</f>
        <v>40.2739726027397</v>
      </c>
      <c r="I1510" s="37" t="n">
        <f aca="false">Inputs!$C$9-SUMIFS(Cash_Events!$G$6:$G$20,Cash_Events!$C$6:$C$20,"FHL",Cash_Events!$B$6:$B$20,"&lt;="&amp;A1510)</f>
        <v>735000</v>
      </c>
      <c r="J1510" s="38" t="n">
        <f aca="false">VLOOKUP(A1510,Inputs!$F$40:$G$48,2,TRUE())</f>
        <v>0.0364054</v>
      </c>
      <c r="K1510" s="38" t="n">
        <f aca="false">J1510+Inputs!$C$10</f>
        <v>0.1039054</v>
      </c>
      <c r="L1510" s="37" t="n">
        <f aca="false">I1510*K1510/C1510</f>
        <v>209.234161643836</v>
      </c>
      <c r="M1510" s="37" t="n">
        <f aca="false">IF(AND(A1510&gt;=Inputs!$C$13,OR(A1510&lt;Inputs!$B$19,Inputs!$B$20=1)),I1510*Inputs!$C$11/C1510,0)</f>
        <v>40.2739726027397</v>
      </c>
    </row>
    <row r="1511" customFormat="false" ht="15" hidden="false" customHeight="false" outlineLevel="0" collapsed="false">
      <c r="A1511" s="35" t="n">
        <f aca="false">A1510+1</f>
        <v>46318</v>
      </c>
      <c r="B1511" s="35" t="n">
        <f aca="false">EOMONTH(A1511+1,0)</f>
        <v>46326</v>
      </c>
      <c r="C1511" s="36" t="n">
        <f aca="false">IF(MOD(YEAR(A1511),4)=0,366,365)</f>
        <v>365</v>
      </c>
      <c r="D1511" s="37" t="n">
        <f aca="false">Inputs!$B$9-SUMIFS(Cash_Events!$G$6:$G$20,Cash_Events!$C$6:$C$20,"rAGMF",Cash_Events!$B$6:$B$20,"&lt;="&amp;A1511)</f>
        <v>735000</v>
      </c>
      <c r="E1511" s="38" t="n">
        <f aca="false">VLOOKUP(A1511,Inputs!$A$40:$B$48,2,TRUE())</f>
        <v>0.0363225</v>
      </c>
      <c r="F1511" s="38" t="n">
        <f aca="false">E1511+Inputs!$B$10</f>
        <v>0.1038225</v>
      </c>
      <c r="G1511" s="37" t="n">
        <f aca="false">D1511*F1511/C1511</f>
        <v>209.067226027397</v>
      </c>
      <c r="H1511" s="37" t="n">
        <f aca="false">IF(AND(A1511&gt;=Inputs!$B$13,OR(A1511&lt;Inputs!$B$19,Inputs!$B$20=1)),D1511*Inputs!$B$11/C1511,0)</f>
        <v>40.2739726027397</v>
      </c>
      <c r="I1511" s="37" t="n">
        <f aca="false">Inputs!$C$9-SUMIFS(Cash_Events!$G$6:$G$20,Cash_Events!$C$6:$C$20,"FHL",Cash_Events!$B$6:$B$20,"&lt;="&amp;A1511)</f>
        <v>735000</v>
      </c>
      <c r="J1511" s="38" t="n">
        <f aca="false">VLOOKUP(A1511,Inputs!$F$40:$G$48,2,TRUE())</f>
        <v>0.0364054</v>
      </c>
      <c r="K1511" s="38" t="n">
        <f aca="false">J1511+Inputs!$C$10</f>
        <v>0.1039054</v>
      </c>
      <c r="L1511" s="37" t="n">
        <f aca="false">I1511*K1511/C1511</f>
        <v>209.234161643836</v>
      </c>
      <c r="M1511" s="37" t="n">
        <f aca="false">IF(AND(A1511&gt;=Inputs!$C$13,OR(A1511&lt;Inputs!$B$19,Inputs!$B$20=1)),I1511*Inputs!$C$11/C1511,0)</f>
        <v>40.2739726027397</v>
      </c>
    </row>
    <row r="1512" customFormat="false" ht="15" hidden="false" customHeight="false" outlineLevel="0" collapsed="false">
      <c r="A1512" s="35" t="n">
        <f aca="false">A1511+1</f>
        <v>46319</v>
      </c>
      <c r="B1512" s="35" t="n">
        <f aca="false">EOMONTH(A1512+1,0)</f>
        <v>46326</v>
      </c>
      <c r="C1512" s="36" t="n">
        <f aca="false">IF(MOD(YEAR(A1512),4)=0,366,365)</f>
        <v>365</v>
      </c>
      <c r="D1512" s="37" t="n">
        <f aca="false">Inputs!$B$9-SUMIFS(Cash_Events!$G$6:$G$20,Cash_Events!$C$6:$C$20,"rAGMF",Cash_Events!$B$6:$B$20,"&lt;="&amp;A1512)</f>
        <v>735000</v>
      </c>
      <c r="E1512" s="38" t="n">
        <f aca="false">VLOOKUP(A1512,Inputs!$A$40:$B$48,2,TRUE())</f>
        <v>0.0363225</v>
      </c>
      <c r="F1512" s="38" t="n">
        <f aca="false">E1512+Inputs!$B$10</f>
        <v>0.1038225</v>
      </c>
      <c r="G1512" s="37" t="n">
        <f aca="false">D1512*F1512/C1512</f>
        <v>209.067226027397</v>
      </c>
      <c r="H1512" s="37" t="n">
        <f aca="false">IF(AND(A1512&gt;=Inputs!$B$13,OR(A1512&lt;Inputs!$B$19,Inputs!$B$20=1)),D1512*Inputs!$B$11/C1512,0)</f>
        <v>40.2739726027397</v>
      </c>
      <c r="I1512" s="37" t="n">
        <f aca="false">Inputs!$C$9-SUMIFS(Cash_Events!$G$6:$G$20,Cash_Events!$C$6:$C$20,"FHL",Cash_Events!$B$6:$B$20,"&lt;="&amp;A1512)</f>
        <v>735000</v>
      </c>
      <c r="J1512" s="38" t="n">
        <f aca="false">VLOOKUP(A1512,Inputs!$F$40:$G$48,2,TRUE())</f>
        <v>0.0364054</v>
      </c>
      <c r="K1512" s="38" t="n">
        <f aca="false">J1512+Inputs!$C$10</f>
        <v>0.1039054</v>
      </c>
      <c r="L1512" s="37" t="n">
        <f aca="false">I1512*K1512/C1512</f>
        <v>209.234161643836</v>
      </c>
      <c r="M1512" s="37" t="n">
        <f aca="false">IF(AND(A1512&gt;=Inputs!$C$13,OR(A1512&lt;Inputs!$B$19,Inputs!$B$20=1)),I1512*Inputs!$C$11/C1512,0)</f>
        <v>40.2739726027397</v>
      </c>
    </row>
    <row r="1513" customFormat="false" ht="15" hidden="false" customHeight="false" outlineLevel="0" collapsed="false">
      <c r="A1513" s="35" t="n">
        <f aca="false">A1512+1</f>
        <v>46320</v>
      </c>
      <c r="B1513" s="35" t="n">
        <f aca="false">EOMONTH(A1513+1,0)</f>
        <v>46326</v>
      </c>
      <c r="C1513" s="36" t="n">
        <f aca="false">IF(MOD(YEAR(A1513),4)=0,366,365)</f>
        <v>365</v>
      </c>
      <c r="D1513" s="37" t="n">
        <f aca="false">Inputs!$B$9-SUMIFS(Cash_Events!$G$6:$G$20,Cash_Events!$C$6:$C$20,"rAGMF",Cash_Events!$B$6:$B$20,"&lt;="&amp;A1513)</f>
        <v>735000</v>
      </c>
      <c r="E1513" s="38" t="n">
        <f aca="false">VLOOKUP(A1513,Inputs!$A$40:$B$48,2,TRUE())</f>
        <v>0.0363225</v>
      </c>
      <c r="F1513" s="38" t="n">
        <f aca="false">E1513+Inputs!$B$10</f>
        <v>0.1038225</v>
      </c>
      <c r="G1513" s="37" t="n">
        <f aca="false">D1513*F1513/C1513</f>
        <v>209.067226027397</v>
      </c>
      <c r="H1513" s="37" t="n">
        <f aca="false">IF(AND(A1513&gt;=Inputs!$B$13,OR(A1513&lt;Inputs!$B$19,Inputs!$B$20=1)),D1513*Inputs!$B$11/C1513,0)</f>
        <v>40.2739726027397</v>
      </c>
      <c r="I1513" s="37" t="n">
        <f aca="false">Inputs!$C$9-SUMIFS(Cash_Events!$G$6:$G$20,Cash_Events!$C$6:$C$20,"FHL",Cash_Events!$B$6:$B$20,"&lt;="&amp;A1513)</f>
        <v>735000</v>
      </c>
      <c r="J1513" s="38" t="n">
        <f aca="false">VLOOKUP(A1513,Inputs!$F$40:$G$48,2,TRUE())</f>
        <v>0.0364054</v>
      </c>
      <c r="K1513" s="38" t="n">
        <f aca="false">J1513+Inputs!$C$10</f>
        <v>0.1039054</v>
      </c>
      <c r="L1513" s="37" t="n">
        <f aca="false">I1513*K1513/C1513</f>
        <v>209.234161643836</v>
      </c>
      <c r="M1513" s="37" t="n">
        <f aca="false">IF(AND(A1513&gt;=Inputs!$C$13,OR(A1513&lt;Inputs!$B$19,Inputs!$B$20=1)),I1513*Inputs!$C$11/C1513,0)</f>
        <v>40.2739726027397</v>
      </c>
    </row>
    <row r="1514" customFormat="false" ht="15" hidden="false" customHeight="false" outlineLevel="0" collapsed="false">
      <c r="A1514" s="35" t="n">
        <f aca="false">A1513+1</f>
        <v>46321</v>
      </c>
      <c r="B1514" s="35" t="n">
        <f aca="false">EOMONTH(A1514+1,0)</f>
        <v>46326</v>
      </c>
      <c r="C1514" s="36" t="n">
        <f aca="false">IF(MOD(YEAR(A1514),4)=0,366,365)</f>
        <v>365</v>
      </c>
      <c r="D1514" s="37" t="n">
        <f aca="false">Inputs!$B$9-SUMIFS(Cash_Events!$G$6:$G$20,Cash_Events!$C$6:$C$20,"rAGMF",Cash_Events!$B$6:$B$20,"&lt;="&amp;A1514)</f>
        <v>735000</v>
      </c>
      <c r="E1514" s="38" t="n">
        <f aca="false">VLOOKUP(A1514,Inputs!$A$40:$B$48,2,TRUE())</f>
        <v>0.0363225</v>
      </c>
      <c r="F1514" s="38" t="n">
        <f aca="false">E1514+Inputs!$B$10</f>
        <v>0.1038225</v>
      </c>
      <c r="G1514" s="37" t="n">
        <f aca="false">D1514*F1514/C1514</f>
        <v>209.067226027397</v>
      </c>
      <c r="H1514" s="37" t="n">
        <f aca="false">IF(AND(A1514&gt;=Inputs!$B$13,OR(A1514&lt;Inputs!$B$19,Inputs!$B$20=1)),D1514*Inputs!$B$11/C1514,0)</f>
        <v>40.2739726027397</v>
      </c>
      <c r="I1514" s="37" t="n">
        <f aca="false">Inputs!$C$9-SUMIFS(Cash_Events!$G$6:$G$20,Cash_Events!$C$6:$C$20,"FHL",Cash_Events!$B$6:$B$20,"&lt;="&amp;A1514)</f>
        <v>735000</v>
      </c>
      <c r="J1514" s="38" t="n">
        <f aca="false">VLOOKUP(A1514,Inputs!$F$40:$G$48,2,TRUE())</f>
        <v>0.0364054</v>
      </c>
      <c r="K1514" s="38" t="n">
        <f aca="false">J1514+Inputs!$C$10</f>
        <v>0.1039054</v>
      </c>
      <c r="L1514" s="37" t="n">
        <f aca="false">I1514*K1514/C1514</f>
        <v>209.234161643836</v>
      </c>
      <c r="M1514" s="37" t="n">
        <f aca="false">IF(AND(A1514&gt;=Inputs!$C$13,OR(A1514&lt;Inputs!$B$19,Inputs!$B$20=1)),I1514*Inputs!$C$11/C1514,0)</f>
        <v>40.2739726027397</v>
      </c>
    </row>
    <row r="1515" customFormat="false" ht="15" hidden="false" customHeight="false" outlineLevel="0" collapsed="false">
      <c r="A1515" s="35" t="n">
        <f aca="false">A1514+1</f>
        <v>46322</v>
      </c>
      <c r="B1515" s="35" t="n">
        <f aca="false">EOMONTH(A1515+1,0)</f>
        <v>46326</v>
      </c>
      <c r="C1515" s="36" t="n">
        <f aca="false">IF(MOD(YEAR(A1515),4)=0,366,365)</f>
        <v>365</v>
      </c>
      <c r="D1515" s="37" t="n">
        <f aca="false">Inputs!$B$9-SUMIFS(Cash_Events!$G$6:$G$20,Cash_Events!$C$6:$C$20,"rAGMF",Cash_Events!$B$6:$B$20,"&lt;="&amp;A1515)</f>
        <v>735000</v>
      </c>
      <c r="E1515" s="38" t="n">
        <f aca="false">VLOOKUP(A1515,Inputs!$A$40:$B$48,2,TRUE())</f>
        <v>0.0363225</v>
      </c>
      <c r="F1515" s="38" t="n">
        <f aca="false">E1515+Inputs!$B$10</f>
        <v>0.1038225</v>
      </c>
      <c r="G1515" s="37" t="n">
        <f aca="false">D1515*F1515/C1515</f>
        <v>209.067226027397</v>
      </c>
      <c r="H1515" s="37" t="n">
        <f aca="false">IF(AND(A1515&gt;=Inputs!$B$13,OR(A1515&lt;Inputs!$B$19,Inputs!$B$20=1)),D1515*Inputs!$B$11/C1515,0)</f>
        <v>40.2739726027397</v>
      </c>
      <c r="I1515" s="37" t="n">
        <f aca="false">Inputs!$C$9-SUMIFS(Cash_Events!$G$6:$G$20,Cash_Events!$C$6:$C$20,"FHL",Cash_Events!$B$6:$B$20,"&lt;="&amp;A1515)</f>
        <v>735000</v>
      </c>
      <c r="J1515" s="38" t="n">
        <f aca="false">VLOOKUP(A1515,Inputs!$F$40:$G$48,2,TRUE())</f>
        <v>0.0364054</v>
      </c>
      <c r="K1515" s="38" t="n">
        <f aca="false">J1515+Inputs!$C$10</f>
        <v>0.1039054</v>
      </c>
      <c r="L1515" s="37" t="n">
        <f aca="false">I1515*K1515/C1515</f>
        <v>209.234161643836</v>
      </c>
      <c r="M1515" s="37" t="n">
        <f aca="false">IF(AND(A1515&gt;=Inputs!$C$13,OR(A1515&lt;Inputs!$B$19,Inputs!$B$20=1)),I1515*Inputs!$C$11/C1515,0)</f>
        <v>40.2739726027397</v>
      </c>
    </row>
    <row r="1516" customFormat="false" ht="15" hidden="false" customHeight="false" outlineLevel="0" collapsed="false">
      <c r="A1516" s="35" t="n">
        <f aca="false">A1515+1</f>
        <v>46323</v>
      </c>
      <c r="B1516" s="35" t="n">
        <f aca="false">EOMONTH(A1516+1,0)</f>
        <v>46326</v>
      </c>
      <c r="C1516" s="36" t="n">
        <f aca="false">IF(MOD(YEAR(A1516),4)=0,366,365)</f>
        <v>365</v>
      </c>
      <c r="D1516" s="37" t="n">
        <f aca="false">Inputs!$B$9-SUMIFS(Cash_Events!$G$6:$G$20,Cash_Events!$C$6:$C$20,"rAGMF",Cash_Events!$B$6:$B$20,"&lt;="&amp;A1516)</f>
        <v>735000</v>
      </c>
      <c r="E1516" s="38" t="n">
        <f aca="false">VLOOKUP(A1516,Inputs!$A$40:$B$48,2,TRUE())</f>
        <v>0.0363225</v>
      </c>
      <c r="F1516" s="38" t="n">
        <f aca="false">E1516+Inputs!$B$10</f>
        <v>0.1038225</v>
      </c>
      <c r="G1516" s="37" t="n">
        <f aca="false">D1516*F1516/C1516</f>
        <v>209.067226027397</v>
      </c>
      <c r="H1516" s="37" t="n">
        <f aca="false">IF(AND(A1516&gt;=Inputs!$B$13,OR(A1516&lt;Inputs!$B$19,Inputs!$B$20=1)),D1516*Inputs!$B$11/C1516,0)</f>
        <v>40.2739726027397</v>
      </c>
      <c r="I1516" s="37" t="n">
        <f aca="false">Inputs!$C$9-SUMIFS(Cash_Events!$G$6:$G$20,Cash_Events!$C$6:$C$20,"FHL",Cash_Events!$B$6:$B$20,"&lt;="&amp;A1516)</f>
        <v>735000</v>
      </c>
      <c r="J1516" s="38" t="n">
        <f aca="false">VLOOKUP(A1516,Inputs!$F$40:$G$48,2,TRUE())</f>
        <v>0.0364054</v>
      </c>
      <c r="K1516" s="38" t="n">
        <f aca="false">J1516+Inputs!$C$10</f>
        <v>0.1039054</v>
      </c>
      <c r="L1516" s="37" t="n">
        <f aca="false">I1516*K1516/C1516</f>
        <v>209.234161643836</v>
      </c>
      <c r="M1516" s="37" t="n">
        <f aca="false">IF(AND(A1516&gt;=Inputs!$C$13,OR(A1516&lt;Inputs!$B$19,Inputs!$B$20=1)),I1516*Inputs!$C$11/C1516,0)</f>
        <v>40.2739726027397</v>
      </c>
    </row>
    <row r="1517" customFormat="false" ht="15" hidden="false" customHeight="false" outlineLevel="0" collapsed="false">
      <c r="A1517" s="35" t="n">
        <f aca="false">A1516+1</f>
        <v>46324</v>
      </c>
      <c r="B1517" s="35" t="n">
        <f aca="false">EOMONTH(A1517+1,0)</f>
        <v>46326</v>
      </c>
      <c r="C1517" s="36" t="n">
        <f aca="false">IF(MOD(YEAR(A1517),4)=0,366,365)</f>
        <v>365</v>
      </c>
      <c r="D1517" s="37" t="n">
        <f aca="false">Inputs!$B$9-SUMIFS(Cash_Events!$G$6:$G$20,Cash_Events!$C$6:$C$20,"rAGMF",Cash_Events!$B$6:$B$20,"&lt;="&amp;A1517)</f>
        <v>735000</v>
      </c>
      <c r="E1517" s="38" t="n">
        <f aca="false">VLOOKUP(A1517,Inputs!$A$40:$B$48,2,TRUE())</f>
        <v>0.0363225</v>
      </c>
      <c r="F1517" s="38" t="n">
        <f aca="false">E1517+Inputs!$B$10</f>
        <v>0.1038225</v>
      </c>
      <c r="G1517" s="37" t="n">
        <f aca="false">D1517*F1517/C1517</f>
        <v>209.067226027397</v>
      </c>
      <c r="H1517" s="37" t="n">
        <f aca="false">IF(AND(A1517&gt;=Inputs!$B$13,OR(A1517&lt;Inputs!$B$19,Inputs!$B$20=1)),D1517*Inputs!$B$11/C1517,0)</f>
        <v>40.2739726027397</v>
      </c>
      <c r="I1517" s="37" t="n">
        <f aca="false">Inputs!$C$9-SUMIFS(Cash_Events!$G$6:$G$20,Cash_Events!$C$6:$C$20,"FHL",Cash_Events!$B$6:$B$20,"&lt;="&amp;A1517)</f>
        <v>735000</v>
      </c>
      <c r="J1517" s="38" t="n">
        <f aca="false">VLOOKUP(A1517,Inputs!$F$40:$G$48,2,TRUE())</f>
        <v>0.0364054</v>
      </c>
      <c r="K1517" s="38" t="n">
        <f aca="false">J1517+Inputs!$C$10</f>
        <v>0.1039054</v>
      </c>
      <c r="L1517" s="37" t="n">
        <f aca="false">I1517*K1517/C1517</f>
        <v>209.234161643836</v>
      </c>
      <c r="M1517" s="37" t="n">
        <f aca="false">IF(AND(A1517&gt;=Inputs!$C$13,OR(A1517&lt;Inputs!$B$19,Inputs!$B$20=1)),I1517*Inputs!$C$11/C1517,0)</f>
        <v>40.2739726027397</v>
      </c>
    </row>
    <row r="1518" customFormat="false" ht="15" hidden="false" customHeight="false" outlineLevel="0" collapsed="false">
      <c r="A1518" s="35" t="n">
        <f aca="false">A1517+1</f>
        <v>46325</v>
      </c>
      <c r="B1518" s="35" t="n">
        <f aca="false">EOMONTH(A1518+1,0)</f>
        <v>46326</v>
      </c>
      <c r="C1518" s="36" t="n">
        <f aca="false">IF(MOD(YEAR(A1518),4)=0,366,365)</f>
        <v>365</v>
      </c>
      <c r="D1518" s="37" t="n">
        <f aca="false">Inputs!$B$9-SUMIFS(Cash_Events!$G$6:$G$20,Cash_Events!$C$6:$C$20,"rAGMF",Cash_Events!$B$6:$B$20,"&lt;="&amp;A1518)</f>
        <v>735000</v>
      </c>
      <c r="E1518" s="38" t="n">
        <f aca="false">VLOOKUP(A1518,Inputs!$A$40:$B$48,2,TRUE())</f>
        <v>0.0363225</v>
      </c>
      <c r="F1518" s="38" t="n">
        <f aca="false">E1518+Inputs!$B$10</f>
        <v>0.1038225</v>
      </c>
      <c r="G1518" s="37" t="n">
        <f aca="false">D1518*F1518/C1518</f>
        <v>209.067226027397</v>
      </c>
      <c r="H1518" s="37" t="n">
        <f aca="false">IF(AND(A1518&gt;=Inputs!$B$13,OR(A1518&lt;Inputs!$B$19,Inputs!$B$20=1)),D1518*Inputs!$B$11/C1518,0)</f>
        <v>40.2739726027397</v>
      </c>
      <c r="I1518" s="37" t="n">
        <f aca="false">Inputs!$C$9-SUMIFS(Cash_Events!$G$6:$G$20,Cash_Events!$C$6:$C$20,"FHL",Cash_Events!$B$6:$B$20,"&lt;="&amp;A1518)</f>
        <v>735000</v>
      </c>
      <c r="J1518" s="38" t="n">
        <f aca="false">VLOOKUP(A1518,Inputs!$F$40:$G$48,2,TRUE())</f>
        <v>0.0364054</v>
      </c>
      <c r="K1518" s="38" t="n">
        <f aca="false">J1518+Inputs!$C$10</f>
        <v>0.1039054</v>
      </c>
      <c r="L1518" s="37" t="n">
        <f aca="false">I1518*K1518/C1518</f>
        <v>209.234161643836</v>
      </c>
      <c r="M1518" s="37" t="n">
        <f aca="false">IF(AND(A1518&gt;=Inputs!$C$13,OR(A1518&lt;Inputs!$B$19,Inputs!$B$20=1)),I1518*Inputs!$C$11/C1518,0)</f>
        <v>40.2739726027397</v>
      </c>
    </row>
    <row r="1519" customFormat="false" ht="15" hidden="false" customHeight="false" outlineLevel="0" collapsed="false">
      <c r="A1519" s="35" t="n">
        <f aca="false">A1518+1</f>
        <v>46326</v>
      </c>
      <c r="B1519" s="35" t="n">
        <f aca="false">EOMONTH(A1519+1,0)</f>
        <v>46356</v>
      </c>
      <c r="C1519" s="36" t="n">
        <f aca="false">IF(MOD(YEAR(A1519),4)=0,366,365)</f>
        <v>365</v>
      </c>
      <c r="D1519" s="37" t="n">
        <f aca="false">Inputs!$B$9-SUMIFS(Cash_Events!$G$6:$G$20,Cash_Events!$C$6:$C$20,"rAGMF",Cash_Events!$B$6:$B$20,"&lt;="&amp;A1519)</f>
        <v>735000</v>
      </c>
      <c r="E1519" s="38" t="n">
        <f aca="false">VLOOKUP(A1519,Inputs!$A$40:$B$48,2,TRUE())</f>
        <v>0.0363225</v>
      </c>
      <c r="F1519" s="38" t="n">
        <f aca="false">E1519+Inputs!$B$10</f>
        <v>0.1038225</v>
      </c>
      <c r="G1519" s="37" t="n">
        <f aca="false">D1519*F1519/C1519</f>
        <v>209.067226027397</v>
      </c>
      <c r="H1519" s="37" t="n">
        <f aca="false">IF(AND(A1519&gt;=Inputs!$B$13,OR(A1519&lt;Inputs!$B$19,Inputs!$B$20=1)),D1519*Inputs!$B$11/C1519,0)</f>
        <v>40.2739726027397</v>
      </c>
      <c r="I1519" s="37" t="n">
        <f aca="false">Inputs!$C$9-SUMIFS(Cash_Events!$G$6:$G$20,Cash_Events!$C$6:$C$20,"FHL",Cash_Events!$B$6:$B$20,"&lt;="&amp;A1519)</f>
        <v>735000</v>
      </c>
      <c r="J1519" s="38" t="n">
        <f aca="false">VLOOKUP(A1519,Inputs!$F$40:$G$48,2,TRUE())</f>
        <v>0.0364054</v>
      </c>
      <c r="K1519" s="38" t="n">
        <f aca="false">J1519+Inputs!$C$10</f>
        <v>0.1039054</v>
      </c>
      <c r="L1519" s="37" t="n">
        <f aca="false">I1519*K1519/C1519</f>
        <v>209.234161643836</v>
      </c>
      <c r="M1519" s="37" t="n">
        <f aca="false">IF(AND(A1519&gt;=Inputs!$C$13,OR(A1519&lt;Inputs!$B$19,Inputs!$B$20=1)),I1519*Inputs!$C$11/C1519,0)</f>
        <v>40.2739726027397</v>
      </c>
    </row>
    <row r="1520" customFormat="false" ht="15" hidden="false" customHeight="false" outlineLevel="0" collapsed="false">
      <c r="A1520" s="35" t="n">
        <f aca="false">A1519+1</f>
        <v>46327</v>
      </c>
      <c r="B1520" s="35" t="n">
        <f aca="false">EOMONTH(A1520+1,0)</f>
        <v>46356</v>
      </c>
      <c r="C1520" s="36" t="n">
        <f aca="false">IF(MOD(YEAR(A1520),4)=0,366,365)</f>
        <v>365</v>
      </c>
      <c r="D1520" s="37" t="n">
        <f aca="false">Inputs!$B$9-SUMIFS(Cash_Events!$G$6:$G$20,Cash_Events!$C$6:$C$20,"rAGMF",Cash_Events!$B$6:$B$20,"&lt;="&amp;A1520)</f>
        <v>735000</v>
      </c>
      <c r="E1520" s="38" t="n">
        <f aca="false">VLOOKUP(A1520,Inputs!$A$40:$B$48,2,TRUE())</f>
        <v>0.0363225</v>
      </c>
      <c r="F1520" s="38" t="n">
        <f aca="false">E1520+Inputs!$B$10</f>
        <v>0.1038225</v>
      </c>
      <c r="G1520" s="37" t="n">
        <f aca="false">D1520*F1520/C1520</f>
        <v>209.067226027397</v>
      </c>
      <c r="H1520" s="37" t="n">
        <f aca="false">IF(AND(A1520&gt;=Inputs!$B$13,OR(A1520&lt;Inputs!$B$19,Inputs!$B$20=1)),D1520*Inputs!$B$11/C1520,0)</f>
        <v>40.2739726027397</v>
      </c>
      <c r="I1520" s="37" t="n">
        <f aca="false">Inputs!$C$9-SUMIFS(Cash_Events!$G$6:$G$20,Cash_Events!$C$6:$C$20,"FHL",Cash_Events!$B$6:$B$20,"&lt;="&amp;A1520)</f>
        <v>735000</v>
      </c>
      <c r="J1520" s="38" t="n">
        <f aca="false">VLOOKUP(A1520,Inputs!$F$40:$G$48,2,TRUE())</f>
        <v>0.0364054</v>
      </c>
      <c r="K1520" s="38" t="n">
        <f aca="false">J1520+Inputs!$C$10</f>
        <v>0.1039054</v>
      </c>
      <c r="L1520" s="37" t="n">
        <f aca="false">I1520*K1520/C1520</f>
        <v>209.234161643836</v>
      </c>
      <c r="M1520" s="37" t="n">
        <f aca="false">IF(AND(A1520&gt;=Inputs!$C$13,OR(A1520&lt;Inputs!$B$19,Inputs!$B$20=1)),I1520*Inputs!$C$11/C1520,0)</f>
        <v>40.2739726027397</v>
      </c>
    </row>
    <row r="1521" customFormat="false" ht="15" hidden="false" customHeight="false" outlineLevel="0" collapsed="false">
      <c r="A1521" s="35" t="n">
        <f aca="false">A1520+1</f>
        <v>46328</v>
      </c>
      <c r="B1521" s="35" t="n">
        <f aca="false">EOMONTH(A1521+1,0)</f>
        <v>46356</v>
      </c>
      <c r="C1521" s="36" t="n">
        <f aca="false">IF(MOD(YEAR(A1521),4)=0,366,365)</f>
        <v>365</v>
      </c>
      <c r="D1521" s="37" t="n">
        <f aca="false">Inputs!$B$9-SUMIFS(Cash_Events!$G$6:$G$20,Cash_Events!$C$6:$C$20,"rAGMF",Cash_Events!$B$6:$B$20,"&lt;="&amp;A1521)</f>
        <v>735000</v>
      </c>
      <c r="E1521" s="38" t="n">
        <f aca="false">VLOOKUP(A1521,Inputs!$A$40:$B$48,2,TRUE())</f>
        <v>0.0363225</v>
      </c>
      <c r="F1521" s="38" t="n">
        <f aca="false">E1521+Inputs!$B$10</f>
        <v>0.1038225</v>
      </c>
      <c r="G1521" s="37" t="n">
        <f aca="false">D1521*F1521/C1521</f>
        <v>209.067226027397</v>
      </c>
      <c r="H1521" s="37" t="n">
        <f aca="false">IF(AND(A1521&gt;=Inputs!$B$13,OR(A1521&lt;Inputs!$B$19,Inputs!$B$20=1)),D1521*Inputs!$B$11/C1521,0)</f>
        <v>40.2739726027397</v>
      </c>
      <c r="I1521" s="37" t="n">
        <f aca="false">Inputs!$C$9-SUMIFS(Cash_Events!$G$6:$G$20,Cash_Events!$C$6:$C$20,"FHL",Cash_Events!$B$6:$B$20,"&lt;="&amp;A1521)</f>
        <v>735000</v>
      </c>
      <c r="J1521" s="38" t="n">
        <f aca="false">VLOOKUP(A1521,Inputs!$F$40:$G$48,2,TRUE())</f>
        <v>0.0364054</v>
      </c>
      <c r="K1521" s="38" t="n">
        <f aca="false">J1521+Inputs!$C$10</f>
        <v>0.1039054</v>
      </c>
      <c r="L1521" s="37" t="n">
        <f aca="false">I1521*K1521/C1521</f>
        <v>209.234161643836</v>
      </c>
      <c r="M1521" s="37" t="n">
        <f aca="false">IF(AND(A1521&gt;=Inputs!$C$13,OR(A1521&lt;Inputs!$B$19,Inputs!$B$20=1)),I1521*Inputs!$C$11/C1521,0)</f>
        <v>40.2739726027397</v>
      </c>
    </row>
    <row r="1522" customFormat="false" ht="15" hidden="false" customHeight="false" outlineLevel="0" collapsed="false">
      <c r="A1522" s="35" t="n">
        <f aca="false">A1521+1</f>
        <v>46329</v>
      </c>
      <c r="B1522" s="35" t="n">
        <f aca="false">EOMONTH(A1522+1,0)</f>
        <v>46356</v>
      </c>
      <c r="C1522" s="36" t="n">
        <f aca="false">IF(MOD(YEAR(A1522),4)=0,366,365)</f>
        <v>365</v>
      </c>
      <c r="D1522" s="37" t="n">
        <f aca="false">Inputs!$B$9-SUMIFS(Cash_Events!$G$6:$G$20,Cash_Events!$C$6:$C$20,"rAGMF",Cash_Events!$B$6:$B$20,"&lt;="&amp;A1522)</f>
        <v>735000</v>
      </c>
      <c r="E1522" s="38" t="n">
        <f aca="false">VLOOKUP(A1522,Inputs!$A$40:$B$48,2,TRUE())</f>
        <v>0.0363225</v>
      </c>
      <c r="F1522" s="38" t="n">
        <f aca="false">E1522+Inputs!$B$10</f>
        <v>0.1038225</v>
      </c>
      <c r="G1522" s="37" t="n">
        <f aca="false">D1522*F1522/C1522</f>
        <v>209.067226027397</v>
      </c>
      <c r="H1522" s="37" t="n">
        <f aca="false">IF(AND(A1522&gt;=Inputs!$B$13,OR(A1522&lt;Inputs!$B$19,Inputs!$B$20=1)),D1522*Inputs!$B$11/C1522,0)</f>
        <v>40.2739726027397</v>
      </c>
      <c r="I1522" s="37" t="n">
        <f aca="false">Inputs!$C$9-SUMIFS(Cash_Events!$G$6:$G$20,Cash_Events!$C$6:$C$20,"FHL",Cash_Events!$B$6:$B$20,"&lt;="&amp;A1522)</f>
        <v>735000</v>
      </c>
      <c r="J1522" s="38" t="n">
        <f aca="false">VLOOKUP(A1522,Inputs!$F$40:$G$48,2,TRUE())</f>
        <v>0.0364054</v>
      </c>
      <c r="K1522" s="38" t="n">
        <f aca="false">J1522+Inputs!$C$10</f>
        <v>0.1039054</v>
      </c>
      <c r="L1522" s="37" t="n">
        <f aca="false">I1522*K1522/C1522</f>
        <v>209.234161643836</v>
      </c>
      <c r="M1522" s="37" t="n">
        <f aca="false">IF(AND(A1522&gt;=Inputs!$C$13,OR(A1522&lt;Inputs!$B$19,Inputs!$B$20=1)),I1522*Inputs!$C$11/C1522,0)</f>
        <v>40.2739726027397</v>
      </c>
    </row>
    <row r="1523" customFormat="false" ht="15" hidden="false" customHeight="false" outlineLevel="0" collapsed="false">
      <c r="A1523" s="35" t="n">
        <f aca="false">A1522+1</f>
        <v>46330</v>
      </c>
      <c r="B1523" s="35" t="n">
        <f aca="false">EOMONTH(A1523+1,0)</f>
        <v>46356</v>
      </c>
      <c r="C1523" s="36" t="n">
        <f aca="false">IF(MOD(YEAR(A1523),4)=0,366,365)</f>
        <v>365</v>
      </c>
      <c r="D1523" s="37" t="n">
        <f aca="false">Inputs!$B$9-SUMIFS(Cash_Events!$G$6:$G$20,Cash_Events!$C$6:$C$20,"rAGMF",Cash_Events!$B$6:$B$20,"&lt;="&amp;A1523)</f>
        <v>735000</v>
      </c>
      <c r="E1523" s="38" t="n">
        <f aca="false">VLOOKUP(A1523,Inputs!$A$40:$B$48,2,TRUE())</f>
        <v>0.0363225</v>
      </c>
      <c r="F1523" s="38" t="n">
        <f aca="false">E1523+Inputs!$B$10</f>
        <v>0.1038225</v>
      </c>
      <c r="G1523" s="37" t="n">
        <f aca="false">D1523*F1523/C1523</f>
        <v>209.067226027397</v>
      </c>
      <c r="H1523" s="37" t="n">
        <f aca="false">IF(AND(A1523&gt;=Inputs!$B$13,OR(A1523&lt;Inputs!$B$19,Inputs!$B$20=1)),D1523*Inputs!$B$11/C1523,0)</f>
        <v>40.2739726027397</v>
      </c>
      <c r="I1523" s="37" t="n">
        <f aca="false">Inputs!$C$9-SUMIFS(Cash_Events!$G$6:$G$20,Cash_Events!$C$6:$C$20,"FHL",Cash_Events!$B$6:$B$20,"&lt;="&amp;A1523)</f>
        <v>735000</v>
      </c>
      <c r="J1523" s="38" t="n">
        <f aca="false">VLOOKUP(A1523,Inputs!$F$40:$G$48,2,TRUE())</f>
        <v>0.0364054</v>
      </c>
      <c r="K1523" s="38" t="n">
        <f aca="false">J1523+Inputs!$C$10</f>
        <v>0.1039054</v>
      </c>
      <c r="L1523" s="37" t="n">
        <f aca="false">I1523*K1523/C1523</f>
        <v>209.234161643836</v>
      </c>
      <c r="M1523" s="37" t="n">
        <f aca="false">IF(AND(A1523&gt;=Inputs!$C$13,OR(A1523&lt;Inputs!$B$19,Inputs!$B$20=1)),I1523*Inputs!$C$11/C1523,0)</f>
        <v>40.2739726027397</v>
      </c>
    </row>
    <row r="1524" customFormat="false" ht="15" hidden="false" customHeight="false" outlineLevel="0" collapsed="false">
      <c r="A1524" s="35" t="n">
        <f aca="false">A1523+1</f>
        <v>46331</v>
      </c>
      <c r="B1524" s="35" t="n">
        <f aca="false">EOMONTH(A1524+1,0)</f>
        <v>46356</v>
      </c>
      <c r="C1524" s="36" t="n">
        <f aca="false">IF(MOD(YEAR(A1524),4)=0,366,365)</f>
        <v>365</v>
      </c>
      <c r="D1524" s="37" t="n">
        <f aca="false">Inputs!$B$9-SUMIFS(Cash_Events!$G$6:$G$20,Cash_Events!$C$6:$C$20,"rAGMF",Cash_Events!$B$6:$B$20,"&lt;="&amp;A1524)</f>
        <v>735000</v>
      </c>
      <c r="E1524" s="38" t="n">
        <f aca="false">VLOOKUP(A1524,Inputs!$A$40:$B$48,2,TRUE())</f>
        <v>0.0363225</v>
      </c>
      <c r="F1524" s="38" t="n">
        <f aca="false">E1524+Inputs!$B$10</f>
        <v>0.1038225</v>
      </c>
      <c r="G1524" s="37" t="n">
        <f aca="false">D1524*F1524/C1524</f>
        <v>209.067226027397</v>
      </c>
      <c r="H1524" s="37" t="n">
        <f aca="false">IF(AND(A1524&gt;=Inputs!$B$13,OR(A1524&lt;Inputs!$B$19,Inputs!$B$20=1)),D1524*Inputs!$B$11/C1524,0)</f>
        <v>40.2739726027397</v>
      </c>
      <c r="I1524" s="37" t="n">
        <f aca="false">Inputs!$C$9-SUMIFS(Cash_Events!$G$6:$G$20,Cash_Events!$C$6:$C$20,"FHL",Cash_Events!$B$6:$B$20,"&lt;="&amp;A1524)</f>
        <v>735000</v>
      </c>
      <c r="J1524" s="38" t="n">
        <f aca="false">VLOOKUP(A1524,Inputs!$F$40:$G$48,2,TRUE())</f>
        <v>0.0364054</v>
      </c>
      <c r="K1524" s="38" t="n">
        <f aca="false">J1524+Inputs!$C$10</f>
        <v>0.1039054</v>
      </c>
      <c r="L1524" s="37" t="n">
        <f aca="false">I1524*K1524/C1524</f>
        <v>209.234161643836</v>
      </c>
      <c r="M1524" s="37" t="n">
        <f aca="false">IF(AND(A1524&gt;=Inputs!$C$13,OR(A1524&lt;Inputs!$B$19,Inputs!$B$20=1)),I1524*Inputs!$C$11/C1524,0)</f>
        <v>40.2739726027397</v>
      </c>
    </row>
    <row r="1525" customFormat="false" ht="15" hidden="false" customHeight="false" outlineLevel="0" collapsed="false">
      <c r="A1525" s="35" t="n">
        <f aca="false">A1524+1</f>
        <v>46332</v>
      </c>
      <c r="B1525" s="35" t="n">
        <f aca="false">EOMONTH(A1525+1,0)</f>
        <v>46356</v>
      </c>
      <c r="C1525" s="36" t="n">
        <f aca="false">IF(MOD(YEAR(A1525),4)=0,366,365)</f>
        <v>365</v>
      </c>
      <c r="D1525" s="37" t="n">
        <f aca="false">Inputs!$B$9-SUMIFS(Cash_Events!$G$6:$G$20,Cash_Events!$C$6:$C$20,"rAGMF",Cash_Events!$B$6:$B$20,"&lt;="&amp;A1525)</f>
        <v>735000</v>
      </c>
      <c r="E1525" s="38" t="n">
        <f aca="false">VLOOKUP(A1525,Inputs!$A$40:$B$48,2,TRUE())</f>
        <v>0.0363225</v>
      </c>
      <c r="F1525" s="38" t="n">
        <f aca="false">E1525+Inputs!$B$10</f>
        <v>0.1038225</v>
      </c>
      <c r="G1525" s="37" t="n">
        <f aca="false">D1525*F1525/C1525</f>
        <v>209.067226027397</v>
      </c>
      <c r="H1525" s="37" t="n">
        <f aca="false">IF(AND(A1525&gt;=Inputs!$B$13,OR(A1525&lt;Inputs!$B$19,Inputs!$B$20=1)),D1525*Inputs!$B$11/C1525,0)</f>
        <v>40.2739726027397</v>
      </c>
      <c r="I1525" s="37" t="n">
        <f aca="false">Inputs!$C$9-SUMIFS(Cash_Events!$G$6:$G$20,Cash_Events!$C$6:$C$20,"FHL",Cash_Events!$B$6:$B$20,"&lt;="&amp;A1525)</f>
        <v>735000</v>
      </c>
      <c r="J1525" s="38" t="n">
        <f aca="false">VLOOKUP(A1525,Inputs!$F$40:$G$48,2,TRUE())</f>
        <v>0.0364054</v>
      </c>
      <c r="K1525" s="38" t="n">
        <f aca="false">J1525+Inputs!$C$10</f>
        <v>0.1039054</v>
      </c>
      <c r="L1525" s="37" t="n">
        <f aca="false">I1525*K1525/C1525</f>
        <v>209.234161643836</v>
      </c>
      <c r="M1525" s="37" t="n">
        <f aca="false">IF(AND(A1525&gt;=Inputs!$C$13,OR(A1525&lt;Inputs!$B$19,Inputs!$B$20=1)),I1525*Inputs!$C$11/C1525,0)</f>
        <v>40.2739726027397</v>
      </c>
    </row>
    <row r="1526" customFormat="false" ht="15" hidden="false" customHeight="false" outlineLevel="0" collapsed="false">
      <c r="A1526" s="35" t="n">
        <f aca="false">A1525+1</f>
        <v>46333</v>
      </c>
      <c r="B1526" s="35" t="n">
        <f aca="false">EOMONTH(A1526+1,0)</f>
        <v>46356</v>
      </c>
      <c r="C1526" s="36" t="n">
        <f aca="false">IF(MOD(YEAR(A1526),4)=0,366,365)</f>
        <v>365</v>
      </c>
      <c r="D1526" s="37" t="n">
        <f aca="false">Inputs!$B$9-SUMIFS(Cash_Events!$G$6:$G$20,Cash_Events!$C$6:$C$20,"rAGMF",Cash_Events!$B$6:$B$20,"&lt;="&amp;A1526)</f>
        <v>735000</v>
      </c>
      <c r="E1526" s="38" t="n">
        <f aca="false">VLOOKUP(A1526,Inputs!$A$40:$B$48,2,TRUE())</f>
        <v>0.0363225</v>
      </c>
      <c r="F1526" s="38" t="n">
        <f aca="false">E1526+Inputs!$B$10</f>
        <v>0.1038225</v>
      </c>
      <c r="G1526" s="37" t="n">
        <f aca="false">D1526*F1526/C1526</f>
        <v>209.067226027397</v>
      </c>
      <c r="H1526" s="37" t="n">
        <f aca="false">IF(AND(A1526&gt;=Inputs!$B$13,OR(A1526&lt;Inputs!$B$19,Inputs!$B$20=1)),D1526*Inputs!$B$11/C1526,0)</f>
        <v>40.2739726027397</v>
      </c>
      <c r="I1526" s="37" t="n">
        <f aca="false">Inputs!$C$9-SUMIFS(Cash_Events!$G$6:$G$20,Cash_Events!$C$6:$C$20,"FHL",Cash_Events!$B$6:$B$20,"&lt;="&amp;A1526)</f>
        <v>735000</v>
      </c>
      <c r="J1526" s="38" t="n">
        <f aca="false">VLOOKUP(A1526,Inputs!$F$40:$G$48,2,TRUE())</f>
        <v>0.0364054</v>
      </c>
      <c r="K1526" s="38" t="n">
        <f aca="false">J1526+Inputs!$C$10</f>
        <v>0.1039054</v>
      </c>
      <c r="L1526" s="37" t="n">
        <f aca="false">I1526*K1526/C1526</f>
        <v>209.234161643836</v>
      </c>
      <c r="M1526" s="37" t="n">
        <f aca="false">IF(AND(A1526&gt;=Inputs!$C$13,OR(A1526&lt;Inputs!$B$19,Inputs!$B$20=1)),I1526*Inputs!$C$11/C1526,0)</f>
        <v>40.2739726027397</v>
      </c>
    </row>
    <row r="1527" customFormat="false" ht="15" hidden="false" customHeight="false" outlineLevel="0" collapsed="false">
      <c r="A1527" s="35" t="n">
        <f aca="false">A1526+1</f>
        <v>46334</v>
      </c>
      <c r="B1527" s="35" t="n">
        <f aca="false">EOMONTH(A1527+1,0)</f>
        <v>46356</v>
      </c>
      <c r="C1527" s="36" t="n">
        <f aca="false">IF(MOD(YEAR(A1527),4)=0,366,365)</f>
        <v>365</v>
      </c>
      <c r="D1527" s="37" t="n">
        <f aca="false">Inputs!$B$9-SUMIFS(Cash_Events!$G$6:$G$20,Cash_Events!$C$6:$C$20,"rAGMF",Cash_Events!$B$6:$B$20,"&lt;="&amp;A1527)</f>
        <v>735000</v>
      </c>
      <c r="E1527" s="38" t="n">
        <f aca="false">VLOOKUP(A1527,Inputs!$A$40:$B$48,2,TRUE())</f>
        <v>0.0363225</v>
      </c>
      <c r="F1527" s="38" t="n">
        <f aca="false">E1527+Inputs!$B$10</f>
        <v>0.1038225</v>
      </c>
      <c r="G1527" s="37" t="n">
        <f aca="false">D1527*F1527/C1527</f>
        <v>209.067226027397</v>
      </c>
      <c r="H1527" s="37" t="n">
        <f aca="false">IF(AND(A1527&gt;=Inputs!$B$13,OR(A1527&lt;Inputs!$B$19,Inputs!$B$20=1)),D1527*Inputs!$B$11/C1527,0)</f>
        <v>40.2739726027397</v>
      </c>
      <c r="I1527" s="37" t="n">
        <f aca="false">Inputs!$C$9-SUMIFS(Cash_Events!$G$6:$G$20,Cash_Events!$C$6:$C$20,"FHL",Cash_Events!$B$6:$B$20,"&lt;="&amp;A1527)</f>
        <v>735000</v>
      </c>
      <c r="J1527" s="38" t="n">
        <f aca="false">VLOOKUP(A1527,Inputs!$F$40:$G$48,2,TRUE())</f>
        <v>0.0364054</v>
      </c>
      <c r="K1527" s="38" t="n">
        <f aca="false">J1527+Inputs!$C$10</f>
        <v>0.1039054</v>
      </c>
      <c r="L1527" s="37" t="n">
        <f aca="false">I1527*K1527/C1527</f>
        <v>209.234161643836</v>
      </c>
      <c r="M1527" s="37" t="n">
        <f aca="false">IF(AND(A1527&gt;=Inputs!$C$13,OR(A1527&lt;Inputs!$B$19,Inputs!$B$20=1)),I1527*Inputs!$C$11/C1527,0)</f>
        <v>40.2739726027397</v>
      </c>
    </row>
    <row r="1528" customFormat="false" ht="15" hidden="false" customHeight="false" outlineLevel="0" collapsed="false">
      <c r="A1528" s="35" t="n">
        <f aca="false">A1527+1</f>
        <v>46335</v>
      </c>
      <c r="B1528" s="35" t="n">
        <f aca="false">EOMONTH(A1528+1,0)</f>
        <v>46356</v>
      </c>
      <c r="C1528" s="36" t="n">
        <f aca="false">IF(MOD(YEAR(A1528),4)=0,366,365)</f>
        <v>365</v>
      </c>
      <c r="D1528" s="37" t="n">
        <f aca="false">Inputs!$B$9-SUMIFS(Cash_Events!$G$6:$G$20,Cash_Events!$C$6:$C$20,"rAGMF",Cash_Events!$B$6:$B$20,"&lt;="&amp;A1528)</f>
        <v>735000</v>
      </c>
      <c r="E1528" s="38" t="n">
        <f aca="false">VLOOKUP(A1528,Inputs!$A$40:$B$48,2,TRUE())</f>
        <v>0.0363225</v>
      </c>
      <c r="F1528" s="38" t="n">
        <f aca="false">E1528+Inputs!$B$10</f>
        <v>0.1038225</v>
      </c>
      <c r="G1528" s="37" t="n">
        <f aca="false">D1528*F1528/C1528</f>
        <v>209.067226027397</v>
      </c>
      <c r="H1528" s="37" t="n">
        <f aca="false">IF(AND(A1528&gt;=Inputs!$B$13,OR(A1528&lt;Inputs!$B$19,Inputs!$B$20=1)),D1528*Inputs!$B$11/C1528,0)</f>
        <v>40.2739726027397</v>
      </c>
      <c r="I1528" s="37" t="n">
        <f aca="false">Inputs!$C$9-SUMIFS(Cash_Events!$G$6:$G$20,Cash_Events!$C$6:$C$20,"FHL",Cash_Events!$B$6:$B$20,"&lt;="&amp;A1528)</f>
        <v>735000</v>
      </c>
      <c r="J1528" s="38" t="n">
        <f aca="false">VLOOKUP(A1528,Inputs!$F$40:$G$48,2,TRUE())</f>
        <v>0.0364054</v>
      </c>
      <c r="K1528" s="38" t="n">
        <f aca="false">J1528+Inputs!$C$10</f>
        <v>0.1039054</v>
      </c>
      <c r="L1528" s="37" t="n">
        <f aca="false">I1528*K1528/C1528</f>
        <v>209.234161643836</v>
      </c>
      <c r="M1528" s="37" t="n">
        <f aca="false">IF(AND(A1528&gt;=Inputs!$C$13,OR(A1528&lt;Inputs!$B$19,Inputs!$B$20=1)),I1528*Inputs!$C$11/C1528,0)</f>
        <v>40.2739726027397</v>
      </c>
    </row>
    <row r="1529" customFormat="false" ht="15" hidden="false" customHeight="false" outlineLevel="0" collapsed="false">
      <c r="A1529" s="35" t="n">
        <f aca="false">A1528+1</f>
        <v>46336</v>
      </c>
      <c r="B1529" s="35" t="n">
        <f aca="false">EOMONTH(A1529+1,0)</f>
        <v>46356</v>
      </c>
      <c r="C1529" s="36" t="n">
        <f aca="false">IF(MOD(YEAR(A1529),4)=0,366,365)</f>
        <v>365</v>
      </c>
      <c r="D1529" s="37" t="n">
        <f aca="false">Inputs!$B$9-SUMIFS(Cash_Events!$G$6:$G$20,Cash_Events!$C$6:$C$20,"rAGMF",Cash_Events!$B$6:$B$20,"&lt;="&amp;A1529)</f>
        <v>735000</v>
      </c>
      <c r="E1529" s="38" t="n">
        <f aca="false">VLOOKUP(A1529,Inputs!$A$40:$B$48,2,TRUE())</f>
        <v>0.0363225</v>
      </c>
      <c r="F1529" s="38" t="n">
        <f aca="false">E1529+Inputs!$B$10</f>
        <v>0.1038225</v>
      </c>
      <c r="G1529" s="37" t="n">
        <f aca="false">D1529*F1529/C1529</f>
        <v>209.067226027397</v>
      </c>
      <c r="H1529" s="37" t="n">
        <f aca="false">IF(AND(A1529&gt;=Inputs!$B$13,OR(A1529&lt;Inputs!$B$19,Inputs!$B$20=1)),D1529*Inputs!$B$11/C1529,0)</f>
        <v>40.2739726027397</v>
      </c>
      <c r="I1529" s="37" t="n">
        <f aca="false">Inputs!$C$9-SUMIFS(Cash_Events!$G$6:$G$20,Cash_Events!$C$6:$C$20,"FHL",Cash_Events!$B$6:$B$20,"&lt;="&amp;A1529)</f>
        <v>735000</v>
      </c>
      <c r="J1529" s="38" t="n">
        <f aca="false">VLOOKUP(A1529,Inputs!$F$40:$G$48,2,TRUE())</f>
        <v>0.0364054</v>
      </c>
      <c r="K1529" s="38" t="n">
        <f aca="false">J1529+Inputs!$C$10</f>
        <v>0.1039054</v>
      </c>
      <c r="L1529" s="37" t="n">
        <f aca="false">I1529*K1529/C1529</f>
        <v>209.234161643836</v>
      </c>
      <c r="M1529" s="37" t="n">
        <f aca="false">IF(AND(A1529&gt;=Inputs!$C$13,OR(A1529&lt;Inputs!$B$19,Inputs!$B$20=1)),I1529*Inputs!$C$11/C1529,0)</f>
        <v>40.2739726027397</v>
      </c>
    </row>
    <row r="1530" customFormat="false" ht="15" hidden="false" customHeight="false" outlineLevel="0" collapsed="false">
      <c r="A1530" s="35" t="n">
        <f aca="false">A1529+1</f>
        <v>46337</v>
      </c>
      <c r="B1530" s="35" t="n">
        <f aca="false">EOMONTH(A1530+1,0)</f>
        <v>46356</v>
      </c>
      <c r="C1530" s="36" t="n">
        <f aca="false">IF(MOD(YEAR(A1530),4)=0,366,365)</f>
        <v>365</v>
      </c>
      <c r="D1530" s="37" t="n">
        <f aca="false">Inputs!$B$9-SUMIFS(Cash_Events!$G$6:$G$20,Cash_Events!$C$6:$C$20,"rAGMF",Cash_Events!$B$6:$B$20,"&lt;="&amp;A1530)</f>
        <v>735000</v>
      </c>
      <c r="E1530" s="38" t="n">
        <f aca="false">VLOOKUP(A1530,Inputs!$A$40:$B$48,2,TRUE())</f>
        <v>0.0363225</v>
      </c>
      <c r="F1530" s="38" t="n">
        <f aca="false">E1530+Inputs!$B$10</f>
        <v>0.1038225</v>
      </c>
      <c r="G1530" s="37" t="n">
        <f aca="false">D1530*F1530/C1530</f>
        <v>209.067226027397</v>
      </c>
      <c r="H1530" s="37" t="n">
        <f aca="false">IF(AND(A1530&gt;=Inputs!$B$13,OR(A1530&lt;Inputs!$B$19,Inputs!$B$20=1)),D1530*Inputs!$B$11/C1530,0)</f>
        <v>40.2739726027397</v>
      </c>
      <c r="I1530" s="37" t="n">
        <f aca="false">Inputs!$C$9-SUMIFS(Cash_Events!$G$6:$G$20,Cash_Events!$C$6:$C$20,"FHL",Cash_Events!$B$6:$B$20,"&lt;="&amp;A1530)</f>
        <v>735000</v>
      </c>
      <c r="J1530" s="38" t="n">
        <f aca="false">VLOOKUP(A1530,Inputs!$F$40:$G$48,2,TRUE())</f>
        <v>0.0364054</v>
      </c>
      <c r="K1530" s="38" t="n">
        <f aca="false">J1530+Inputs!$C$10</f>
        <v>0.1039054</v>
      </c>
      <c r="L1530" s="37" t="n">
        <f aca="false">I1530*K1530/C1530</f>
        <v>209.234161643836</v>
      </c>
      <c r="M1530" s="37" t="n">
        <f aca="false">IF(AND(A1530&gt;=Inputs!$C$13,OR(A1530&lt;Inputs!$B$19,Inputs!$B$20=1)),I1530*Inputs!$C$11/C1530,0)</f>
        <v>40.2739726027397</v>
      </c>
    </row>
    <row r="1531" customFormat="false" ht="15" hidden="false" customHeight="false" outlineLevel="0" collapsed="false">
      <c r="A1531" s="35" t="n">
        <f aca="false">A1530+1</f>
        <v>46338</v>
      </c>
      <c r="B1531" s="35" t="n">
        <f aca="false">EOMONTH(A1531+1,0)</f>
        <v>46356</v>
      </c>
      <c r="C1531" s="36" t="n">
        <f aca="false">IF(MOD(YEAR(A1531),4)=0,366,365)</f>
        <v>365</v>
      </c>
      <c r="D1531" s="37" t="n">
        <f aca="false">Inputs!$B$9-SUMIFS(Cash_Events!$G$6:$G$20,Cash_Events!$C$6:$C$20,"rAGMF",Cash_Events!$B$6:$B$20,"&lt;="&amp;A1531)</f>
        <v>735000</v>
      </c>
      <c r="E1531" s="38" t="n">
        <f aca="false">VLOOKUP(A1531,Inputs!$A$40:$B$48,2,TRUE())</f>
        <v>0.0363225</v>
      </c>
      <c r="F1531" s="38" t="n">
        <f aca="false">E1531+Inputs!$B$10</f>
        <v>0.1038225</v>
      </c>
      <c r="G1531" s="37" t="n">
        <f aca="false">D1531*F1531/C1531</f>
        <v>209.067226027397</v>
      </c>
      <c r="H1531" s="37" t="n">
        <f aca="false">IF(AND(A1531&gt;=Inputs!$B$13,OR(A1531&lt;Inputs!$B$19,Inputs!$B$20=1)),D1531*Inputs!$B$11/C1531,0)</f>
        <v>40.2739726027397</v>
      </c>
      <c r="I1531" s="37" t="n">
        <f aca="false">Inputs!$C$9-SUMIFS(Cash_Events!$G$6:$G$20,Cash_Events!$C$6:$C$20,"FHL",Cash_Events!$B$6:$B$20,"&lt;="&amp;A1531)</f>
        <v>735000</v>
      </c>
      <c r="J1531" s="38" t="n">
        <f aca="false">VLOOKUP(A1531,Inputs!$F$40:$G$48,2,TRUE())</f>
        <v>0.0364054</v>
      </c>
      <c r="K1531" s="38" t="n">
        <f aca="false">J1531+Inputs!$C$10</f>
        <v>0.1039054</v>
      </c>
      <c r="L1531" s="37" t="n">
        <f aca="false">I1531*K1531/C1531</f>
        <v>209.234161643836</v>
      </c>
      <c r="M1531" s="37" t="n">
        <f aca="false">IF(AND(A1531&gt;=Inputs!$C$13,OR(A1531&lt;Inputs!$B$19,Inputs!$B$20=1)),I1531*Inputs!$C$11/C1531,0)</f>
        <v>40.2739726027397</v>
      </c>
    </row>
    <row r="1532" customFormat="false" ht="15" hidden="false" customHeight="false" outlineLevel="0" collapsed="false">
      <c r="A1532" s="35" t="n">
        <f aca="false">A1531+1</f>
        <v>46339</v>
      </c>
      <c r="B1532" s="35" t="n">
        <f aca="false">EOMONTH(A1532+1,0)</f>
        <v>46356</v>
      </c>
      <c r="C1532" s="36" t="n">
        <f aca="false">IF(MOD(YEAR(A1532),4)=0,366,365)</f>
        <v>365</v>
      </c>
      <c r="D1532" s="37" t="n">
        <f aca="false">Inputs!$B$9-SUMIFS(Cash_Events!$G$6:$G$20,Cash_Events!$C$6:$C$20,"rAGMF",Cash_Events!$B$6:$B$20,"&lt;="&amp;A1532)</f>
        <v>735000</v>
      </c>
      <c r="E1532" s="38" t="n">
        <f aca="false">VLOOKUP(A1532,Inputs!$A$40:$B$48,2,TRUE())</f>
        <v>0.0363225</v>
      </c>
      <c r="F1532" s="38" t="n">
        <f aca="false">E1532+Inputs!$B$10</f>
        <v>0.1038225</v>
      </c>
      <c r="G1532" s="37" t="n">
        <f aca="false">D1532*F1532/C1532</f>
        <v>209.067226027397</v>
      </c>
      <c r="H1532" s="37" t="n">
        <f aca="false">IF(AND(A1532&gt;=Inputs!$B$13,OR(A1532&lt;Inputs!$B$19,Inputs!$B$20=1)),D1532*Inputs!$B$11/C1532,0)</f>
        <v>40.2739726027397</v>
      </c>
      <c r="I1532" s="37" t="n">
        <f aca="false">Inputs!$C$9-SUMIFS(Cash_Events!$G$6:$G$20,Cash_Events!$C$6:$C$20,"FHL",Cash_Events!$B$6:$B$20,"&lt;="&amp;A1532)</f>
        <v>735000</v>
      </c>
      <c r="J1532" s="38" t="n">
        <f aca="false">VLOOKUP(A1532,Inputs!$F$40:$G$48,2,TRUE())</f>
        <v>0.0364054</v>
      </c>
      <c r="K1532" s="38" t="n">
        <f aca="false">J1532+Inputs!$C$10</f>
        <v>0.1039054</v>
      </c>
      <c r="L1532" s="37" t="n">
        <f aca="false">I1532*K1532/C1532</f>
        <v>209.234161643836</v>
      </c>
      <c r="M1532" s="37" t="n">
        <f aca="false">IF(AND(A1532&gt;=Inputs!$C$13,OR(A1532&lt;Inputs!$B$19,Inputs!$B$20=1)),I1532*Inputs!$C$11/C1532,0)</f>
        <v>40.2739726027397</v>
      </c>
    </row>
    <row r="1533" customFormat="false" ht="15" hidden="false" customHeight="false" outlineLevel="0" collapsed="false">
      <c r="A1533" s="35" t="n">
        <f aca="false">A1532+1</f>
        <v>46340</v>
      </c>
      <c r="B1533" s="35" t="n">
        <f aca="false">EOMONTH(A1533+1,0)</f>
        <v>46356</v>
      </c>
      <c r="C1533" s="36" t="n">
        <f aca="false">IF(MOD(YEAR(A1533),4)=0,366,365)</f>
        <v>365</v>
      </c>
      <c r="D1533" s="37" t="n">
        <f aca="false">Inputs!$B$9-SUMIFS(Cash_Events!$G$6:$G$20,Cash_Events!$C$6:$C$20,"rAGMF",Cash_Events!$B$6:$B$20,"&lt;="&amp;A1533)</f>
        <v>735000</v>
      </c>
      <c r="E1533" s="38" t="n">
        <f aca="false">VLOOKUP(A1533,Inputs!$A$40:$B$48,2,TRUE())</f>
        <v>0.0363225</v>
      </c>
      <c r="F1533" s="38" t="n">
        <f aca="false">E1533+Inputs!$B$10</f>
        <v>0.1038225</v>
      </c>
      <c r="G1533" s="37" t="n">
        <f aca="false">D1533*F1533/C1533</f>
        <v>209.067226027397</v>
      </c>
      <c r="H1533" s="37" t="n">
        <f aca="false">IF(AND(A1533&gt;=Inputs!$B$13,OR(A1533&lt;Inputs!$B$19,Inputs!$B$20=1)),D1533*Inputs!$B$11/C1533,0)</f>
        <v>40.2739726027397</v>
      </c>
      <c r="I1533" s="37" t="n">
        <f aca="false">Inputs!$C$9-SUMIFS(Cash_Events!$G$6:$G$20,Cash_Events!$C$6:$C$20,"FHL",Cash_Events!$B$6:$B$20,"&lt;="&amp;A1533)</f>
        <v>735000</v>
      </c>
      <c r="J1533" s="38" t="n">
        <f aca="false">VLOOKUP(A1533,Inputs!$F$40:$G$48,2,TRUE())</f>
        <v>0.0364054</v>
      </c>
      <c r="K1533" s="38" t="n">
        <f aca="false">J1533+Inputs!$C$10</f>
        <v>0.1039054</v>
      </c>
      <c r="L1533" s="37" t="n">
        <f aca="false">I1533*K1533/C1533</f>
        <v>209.234161643836</v>
      </c>
      <c r="M1533" s="37" t="n">
        <f aca="false">IF(AND(A1533&gt;=Inputs!$C$13,OR(A1533&lt;Inputs!$B$19,Inputs!$B$20=1)),I1533*Inputs!$C$11/C1533,0)</f>
        <v>40.2739726027397</v>
      </c>
    </row>
    <row r="1534" customFormat="false" ht="15" hidden="false" customHeight="false" outlineLevel="0" collapsed="false">
      <c r="A1534" s="35" t="n">
        <f aca="false">A1533+1</f>
        <v>46341</v>
      </c>
      <c r="B1534" s="35" t="n">
        <f aca="false">EOMONTH(A1534+1,0)</f>
        <v>46356</v>
      </c>
      <c r="C1534" s="36" t="n">
        <f aca="false">IF(MOD(YEAR(A1534),4)=0,366,365)</f>
        <v>365</v>
      </c>
      <c r="D1534" s="37" t="n">
        <f aca="false">Inputs!$B$9-SUMIFS(Cash_Events!$G$6:$G$20,Cash_Events!$C$6:$C$20,"rAGMF",Cash_Events!$B$6:$B$20,"&lt;="&amp;A1534)</f>
        <v>735000</v>
      </c>
      <c r="E1534" s="38" t="n">
        <f aca="false">VLOOKUP(A1534,Inputs!$A$40:$B$48,2,TRUE())</f>
        <v>0.0363225</v>
      </c>
      <c r="F1534" s="38" t="n">
        <f aca="false">E1534+Inputs!$B$10</f>
        <v>0.1038225</v>
      </c>
      <c r="G1534" s="37" t="n">
        <f aca="false">D1534*F1534/C1534</f>
        <v>209.067226027397</v>
      </c>
      <c r="H1534" s="37" t="n">
        <f aca="false">IF(AND(A1534&gt;=Inputs!$B$13,OR(A1534&lt;Inputs!$B$19,Inputs!$B$20=1)),D1534*Inputs!$B$11/C1534,0)</f>
        <v>40.2739726027397</v>
      </c>
      <c r="I1534" s="37" t="n">
        <f aca="false">Inputs!$C$9-SUMIFS(Cash_Events!$G$6:$G$20,Cash_Events!$C$6:$C$20,"FHL",Cash_Events!$B$6:$B$20,"&lt;="&amp;A1534)</f>
        <v>735000</v>
      </c>
      <c r="J1534" s="38" t="n">
        <f aca="false">VLOOKUP(A1534,Inputs!$F$40:$G$48,2,TRUE())</f>
        <v>0.0364054</v>
      </c>
      <c r="K1534" s="38" t="n">
        <f aca="false">J1534+Inputs!$C$10</f>
        <v>0.1039054</v>
      </c>
      <c r="L1534" s="37" t="n">
        <f aca="false">I1534*K1534/C1534</f>
        <v>209.234161643836</v>
      </c>
      <c r="M1534" s="37" t="n">
        <f aca="false">IF(AND(A1534&gt;=Inputs!$C$13,OR(A1534&lt;Inputs!$B$19,Inputs!$B$20=1)),I1534*Inputs!$C$11/C1534,0)</f>
        <v>40.2739726027397</v>
      </c>
    </row>
    <row r="1535" customFormat="false" ht="15" hidden="false" customHeight="false" outlineLevel="0" collapsed="false">
      <c r="A1535" s="35" t="n">
        <f aca="false">A1534+1</f>
        <v>46342</v>
      </c>
      <c r="B1535" s="35" t="n">
        <f aca="false">EOMONTH(A1535+1,0)</f>
        <v>46356</v>
      </c>
      <c r="C1535" s="36" t="n">
        <f aca="false">IF(MOD(YEAR(A1535),4)=0,366,365)</f>
        <v>365</v>
      </c>
      <c r="D1535" s="37" t="n">
        <f aca="false">Inputs!$B$9-SUMIFS(Cash_Events!$G$6:$G$20,Cash_Events!$C$6:$C$20,"rAGMF",Cash_Events!$B$6:$B$20,"&lt;="&amp;A1535)</f>
        <v>735000</v>
      </c>
      <c r="E1535" s="38" t="n">
        <f aca="false">VLOOKUP(A1535,Inputs!$A$40:$B$48,2,TRUE())</f>
        <v>0.0363225</v>
      </c>
      <c r="F1535" s="38" t="n">
        <f aca="false">E1535+Inputs!$B$10</f>
        <v>0.1038225</v>
      </c>
      <c r="G1535" s="37" t="n">
        <f aca="false">D1535*F1535/C1535</f>
        <v>209.067226027397</v>
      </c>
      <c r="H1535" s="37" t="n">
        <f aca="false">IF(AND(A1535&gt;=Inputs!$B$13,OR(A1535&lt;Inputs!$B$19,Inputs!$B$20=1)),D1535*Inputs!$B$11/C1535,0)</f>
        <v>40.2739726027397</v>
      </c>
      <c r="I1535" s="37" t="n">
        <f aca="false">Inputs!$C$9-SUMIFS(Cash_Events!$G$6:$G$20,Cash_Events!$C$6:$C$20,"FHL",Cash_Events!$B$6:$B$20,"&lt;="&amp;A1535)</f>
        <v>735000</v>
      </c>
      <c r="J1535" s="38" t="n">
        <f aca="false">VLOOKUP(A1535,Inputs!$F$40:$G$48,2,TRUE())</f>
        <v>0.0364054</v>
      </c>
      <c r="K1535" s="38" t="n">
        <f aca="false">J1535+Inputs!$C$10</f>
        <v>0.1039054</v>
      </c>
      <c r="L1535" s="37" t="n">
        <f aca="false">I1535*K1535/C1535</f>
        <v>209.234161643836</v>
      </c>
      <c r="M1535" s="37" t="n">
        <f aca="false">IF(AND(A1535&gt;=Inputs!$C$13,OR(A1535&lt;Inputs!$B$19,Inputs!$B$20=1)),I1535*Inputs!$C$11/C1535,0)</f>
        <v>40.2739726027397</v>
      </c>
    </row>
    <row r="1536" customFormat="false" ht="15" hidden="false" customHeight="false" outlineLevel="0" collapsed="false">
      <c r="A1536" s="35" t="n">
        <f aca="false">A1535+1</f>
        <v>46343</v>
      </c>
      <c r="B1536" s="35" t="n">
        <f aca="false">EOMONTH(A1536+1,0)</f>
        <v>46356</v>
      </c>
      <c r="C1536" s="36" t="n">
        <f aca="false">IF(MOD(YEAR(A1536),4)=0,366,365)</f>
        <v>365</v>
      </c>
      <c r="D1536" s="37" t="n">
        <f aca="false">Inputs!$B$9-SUMIFS(Cash_Events!$G$6:$G$20,Cash_Events!$C$6:$C$20,"rAGMF",Cash_Events!$B$6:$B$20,"&lt;="&amp;A1536)</f>
        <v>735000</v>
      </c>
      <c r="E1536" s="38" t="n">
        <f aca="false">VLOOKUP(A1536,Inputs!$A$40:$B$48,2,TRUE())</f>
        <v>0.0363225</v>
      </c>
      <c r="F1536" s="38" t="n">
        <f aca="false">E1536+Inputs!$B$10</f>
        <v>0.1038225</v>
      </c>
      <c r="G1536" s="37" t="n">
        <f aca="false">D1536*F1536/C1536</f>
        <v>209.067226027397</v>
      </c>
      <c r="H1536" s="37" t="n">
        <f aca="false">IF(AND(A1536&gt;=Inputs!$B$13,OR(A1536&lt;Inputs!$B$19,Inputs!$B$20=1)),D1536*Inputs!$B$11/C1536,0)</f>
        <v>40.2739726027397</v>
      </c>
      <c r="I1536" s="37" t="n">
        <f aca="false">Inputs!$C$9-SUMIFS(Cash_Events!$G$6:$G$20,Cash_Events!$C$6:$C$20,"FHL",Cash_Events!$B$6:$B$20,"&lt;="&amp;A1536)</f>
        <v>735000</v>
      </c>
      <c r="J1536" s="38" t="n">
        <f aca="false">VLOOKUP(A1536,Inputs!$F$40:$G$48,2,TRUE())</f>
        <v>0.0364054</v>
      </c>
      <c r="K1536" s="38" t="n">
        <f aca="false">J1536+Inputs!$C$10</f>
        <v>0.1039054</v>
      </c>
      <c r="L1536" s="37" t="n">
        <f aca="false">I1536*K1536/C1536</f>
        <v>209.234161643836</v>
      </c>
      <c r="M1536" s="37" t="n">
        <f aca="false">IF(AND(A1536&gt;=Inputs!$C$13,OR(A1536&lt;Inputs!$B$19,Inputs!$B$20=1)),I1536*Inputs!$C$11/C1536,0)</f>
        <v>40.2739726027397</v>
      </c>
    </row>
    <row r="1537" customFormat="false" ht="15" hidden="false" customHeight="false" outlineLevel="0" collapsed="false">
      <c r="A1537" s="35" t="n">
        <f aca="false">A1536+1</f>
        <v>46344</v>
      </c>
      <c r="B1537" s="35" t="n">
        <f aca="false">EOMONTH(A1537+1,0)</f>
        <v>46356</v>
      </c>
      <c r="C1537" s="36" t="n">
        <f aca="false">IF(MOD(YEAR(A1537),4)=0,366,365)</f>
        <v>365</v>
      </c>
      <c r="D1537" s="37" t="n">
        <f aca="false">Inputs!$B$9-SUMIFS(Cash_Events!$G$6:$G$20,Cash_Events!$C$6:$C$20,"rAGMF",Cash_Events!$B$6:$B$20,"&lt;="&amp;A1537)</f>
        <v>735000</v>
      </c>
      <c r="E1537" s="38" t="n">
        <f aca="false">VLOOKUP(A1537,Inputs!$A$40:$B$48,2,TRUE())</f>
        <v>0.0363225</v>
      </c>
      <c r="F1537" s="38" t="n">
        <f aca="false">E1537+Inputs!$B$10</f>
        <v>0.1038225</v>
      </c>
      <c r="G1537" s="37" t="n">
        <f aca="false">D1537*F1537/C1537</f>
        <v>209.067226027397</v>
      </c>
      <c r="H1537" s="37" t="n">
        <f aca="false">IF(AND(A1537&gt;=Inputs!$B$13,OR(A1537&lt;Inputs!$B$19,Inputs!$B$20=1)),D1537*Inputs!$B$11/C1537,0)</f>
        <v>40.2739726027397</v>
      </c>
      <c r="I1537" s="37" t="n">
        <f aca="false">Inputs!$C$9-SUMIFS(Cash_Events!$G$6:$G$20,Cash_Events!$C$6:$C$20,"FHL",Cash_Events!$B$6:$B$20,"&lt;="&amp;A1537)</f>
        <v>735000</v>
      </c>
      <c r="J1537" s="38" t="n">
        <f aca="false">VLOOKUP(A1537,Inputs!$F$40:$G$48,2,TRUE())</f>
        <v>0.0364054</v>
      </c>
      <c r="K1537" s="38" t="n">
        <f aca="false">J1537+Inputs!$C$10</f>
        <v>0.1039054</v>
      </c>
      <c r="L1537" s="37" t="n">
        <f aca="false">I1537*K1537/C1537</f>
        <v>209.234161643836</v>
      </c>
      <c r="M1537" s="37" t="n">
        <f aca="false">IF(AND(A1537&gt;=Inputs!$C$13,OR(A1537&lt;Inputs!$B$19,Inputs!$B$20=1)),I1537*Inputs!$C$11/C1537,0)</f>
        <v>40.2739726027397</v>
      </c>
    </row>
    <row r="1538" customFormat="false" ht="15" hidden="false" customHeight="false" outlineLevel="0" collapsed="false">
      <c r="A1538" s="35" t="n">
        <f aca="false">A1537+1</f>
        <v>46345</v>
      </c>
      <c r="B1538" s="35" t="n">
        <f aca="false">EOMONTH(A1538+1,0)</f>
        <v>46356</v>
      </c>
      <c r="C1538" s="36" t="n">
        <f aca="false">IF(MOD(YEAR(A1538),4)=0,366,365)</f>
        <v>365</v>
      </c>
      <c r="D1538" s="37" t="n">
        <f aca="false">Inputs!$B$9-SUMIFS(Cash_Events!$G$6:$G$20,Cash_Events!$C$6:$C$20,"rAGMF",Cash_Events!$B$6:$B$20,"&lt;="&amp;A1538)</f>
        <v>735000</v>
      </c>
      <c r="E1538" s="38" t="n">
        <f aca="false">VLOOKUP(A1538,Inputs!$A$40:$B$48,2,TRUE())</f>
        <v>0.0363225</v>
      </c>
      <c r="F1538" s="38" t="n">
        <f aca="false">E1538+Inputs!$B$10</f>
        <v>0.1038225</v>
      </c>
      <c r="G1538" s="37" t="n">
        <f aca="false">D1538*F1538/C1538</f>
        <v>209.067226027397</v>
      </c>
      <c r="H1538" s="37" t="n">
        <f aca="false">IF(AND(A1538&gt;=Inputs!$B$13,OR(A1538&lt;Inputs!$B$19,Inputs!$B$20=1)),D1538*Inputs!$B$11/C1538,0)</f>
        <v>40.2739726027397</v>
      </c>
      <c r="I1538" s="37" t="n">
        <f aca="false">Inputs!$C$9-SUMIFS(Cash_Events!$G$6:$G$20,Cash_Events!$C$6:$C$20,"FHL",Cash_Events!$B$6:$B$20,"&lt;="&amp;A1538)</f>
        <v>735000</v>
      </c>
      <c r="J1538" s="38" t="n">
        <f aca="false">VLOOKUP(A1538,Inputs!$F$40:$G$48,2,TRUE())</f>
        <v>0.0364054</v>
      </c>
      <c r="K1538" s="38" t="n">
        <f aca="false">J1538+Inputs!$C$10</f>
        <v>0.1039054</v>
      </c>
      <c r="L1538" s="37" t="n">
        <f aca="false">I1538*K1538/C1538</f>
        <v>209.234161643836</v>
      </c>
      <c r="M1538" s="37" t="n">
        <f aca="false">IF(AND(A1538&gt;=Inputs!$C$13,OR(A1538&lt;Inputs!$B$19,Inputs!$B$20=1)),I1538*Inputs!$C$11/C1538,0)</f>
        <v>40.2739726027397</v>
      </c>
    </row>
    <row r="1539" customFormat="false" ht="15" hidden="false" customHeight="false" outlineLevel="0" collapsed="false">
      <c r="A1539" s="35" t="n">
        <f aca="false">A1538+1</f>
        <v>46346</v>
      </c>
      <c r="B1539" s="35" t="n">
        <f aca="false">EOMONTH(A1539+1,0)</f>
        <v>46356</v>
      </c>
      <c r="C1539" s="36" t="n">
        <f aca="false">IF(MOD(YEAR(A1539),4)=0,366,365)</f>
        <v>365</v>
      </c>
      <c r="D1539" s="37" t="n">
        <f aca="false">Inputs!$B$9-SUMIFS(Cash_Events!$G$6:$G$20,Cash_Events!$C$6:$C$20,"rAGMF",Cash_Events!$B$6:$B$20,"&lt;="&amp;A1539)</f>
        <v>735000</v>
      </c>
      <c r="E1539" s="38" t="n">
        <f aca="false">VLOOKUP(A1539,Inputs!$A$40:$B$48,2,TRUE())</f>
        <v>0.0363225</v>
      </c>
      <c r="F1539" s="38" t="n">
        <f aca="false">E1539+Inputs!$B$10</f>
        <v>0.1038225</v>
      </c>
      <c r="G1539" s="37" t="n">
        <f aca="false">D1539*F1539/C1539</f>
        <v>209.067226027397</v>
      </c>
      <c r="H1539" s="37" t="n">
        <f aca="false">IF(AND(A1539&gt;=Inputs!$B$13,OR(A1539&lt;Inputs!$B$19,Inputs!$B$20=1)),D1539*Inputs!$B$11/C1539,0)</f>
        <v>40.2739726027397</v>
      </c>
      <c r="I1539" s="37" t="n">
        <f aca="false">Inputs!$C$9-SUMIFS(Cash_Events!$G$6:$G$20,Cash_Events!$C$6:$C$20,"FHL",Cash_Events!$B$6:$B$20,"&lt;="&amp;A1539)</f>
        <v>735000</v>
      </c>
      <c r="J1539" s="38" t="n">
        <f aca="false">VLOOKUP(A1539,Inputs!$F$40:$G$48,2,TRUE())</f>
        <v>0.0364054</v>
      </c>
      <c r="K1539" s="38" t="n">
        <f aca="false">J1539+Inputs!$C$10</f>
        <v>0.1039054</v>
      </c>
      <c r="L1539" s="37" t="n">
        <f aca="false">I1539*K1539/C1539</f>
        <v>209.234161643836</v>
      </c>
      <c r="M1539" s="37" t="n">
        <f aca="false">IF(AND(A1539&gt;=Inputs!$C$13,OR(A1539&lt;Inputs!$B$19,Inputs!$B$20=1)),I1539*Inputs!$C$11/C1539,0)</f>
        <v>40.2739726027397</v>
      </c>
    </row>
    <row r="1540" customFormat="false" ht="15" hidden="false" customHeight="false" outlineLevel="0" collapsed="false">
      <c r="A1540" s="35" t="n">
        <f aca="false">A1539+1</f>
        <v>46347</v>
      </c>
      <c r="B1540" s="35" t="n">
        <f aca="false">EOMONTH(A1540+1,0)</f>
        <v>46356</v>
      </c>
      <c r="C1540" s="36" t="n">
        <f aca="false">IF(MOD(YEAR(A1540),4)=0,366,365)</f>
        <v>365</v>
      </c>
      <c r="D1540" s="37" t="n">
        <f aca="false">Inputs!$B$9-SUMIFS(Cash_Events!$G$6:$G$20,Cash_Events!$C$6:$C$20,"rAGMF",Cash_Events!$B$6:$B$20,"&lt;="&amp;A1540)</f>
        <v>735000</v>
      </c>
      <c r="E1540" s="38" t="n">
        <f aca="false">VLOOKUP(A1540,Inputs!$A$40:$B$48,2,TRUE())</f>
        <v>0.0363225</v>
      </c>
      <c r="F1540" s="38" t="n">
        <f aca="false">E1540+Inputs!$B$10</f>
        <v>0.1038225</v>
      </c>
      <c r="G1540" s="37" t="n">
        <f aca="false">D1540*F1540/C1540</f>
        <v>209.067226027397</v>
      </c>
      <c r="H1540" s="37" t="n">
        <f aca="false">IF(AND(A1540&gt;=Inputs!$B$13,OR(A1540&lt;Inputs!$B$19,Inputs!$B$20=1)),D1540*Inputs!$B$11/C1540,0)</f>
        <v>40.2739726027397</v>
      </c>
      <c r="I1540" s="37" t="n">
        <f aca="false">Inputs!$C$9-SUMIFS(Cash_Events!$G$6:$G$20,Cash_Events!$C$6:$C$20,"FHL",Cash_Events!$B$6:$B$20,"&lt;="&amp;A1540)</f>
        <v>735000</v>
      </c>
      <c r="J1540" s="38" t="n">
        <f aca="false">VLOOKUP(A1540,Inputs!$F$40:$G$48,2,TRUE())</f>
        <v>0.0364054</v>
      </c>
      <c r="K1540" s="38" t="n">
        <f aca="false">J1540+Inputs!$C$10</f>
        <v>0.1039054</v>
      </c>
      <c r="L1540" s="37" t="n">
        <f aca="false">I1540*K1540/C1540</f>
        <v>209.234161643836</v>
      </c>
      <c r="M1540" s="37" t="n">
        <f aca="false">IF(AND(A1540&gt;=Inputs!$C$13,OR(A1540&lt;Inputs!$B$19,Inputs!$B$20=1)),I1540*Inputs!$C$11/C1540,0)</f>
        <v>40.2739726027397</v>
      </c>
    </row>
    <row r="1541" customFormat="false" ht="15" hidden="false" customHeight="false" outlineLevel="0" collapsed="false">
      <c r="A1541" s="35" t="n">
        <f aca="false">A1540+1</f>
        <v>46348</v>
      </c>
      <c r="B1541" s="35" t="n">
        <f aca="false">EOMONTH(A1541+1,0)</f>
        <v>46356</v>
      </c>
      <c r="C1541" s="36" t="n">
        <f aca="false">IF(MOD(YEAR(A1541),4)=0,366,365)</f>
        <v>365</v>
      </c>
      <c r="D1541" s="37" t="n">
        <f aca="false">Inputs!$B$9-SUMIFS(Cash_Events!$G$6:$G$20,Cash_Events!$C$6:$C$20,"rAGMF",Cash_Events!$B$6:$B$20,"&lt;="&amp;A1541)</f>
        <v>735000</v>
      </c>
      <c r="E1541" s="38" t="n">
        <f aca="false">VLOOKUP(A1541,Inputs!$A$40:$B$48,2,TRUE())</f>
        <v>0.0363225</v>
      </c>
      <c r="F1541" s="38" t="n">
        <f aca="false">E1541+Inputs!$B$10</f>
        <v>0.1038225</v>
      </c>
      <c r="G1541" s="37" t="n">
        <f aca="false">D1541*F1541/C1541</f>
        <v>209.067226027397</v>
      </c>
      <c r="H1541" s="37" t="n">
        <f aca="false">IF(AND(A1541&gt;=Inputs!$B$13,OR(A1541&lt;Inputs!$B$19,Inputs!$B$20=1)),D1541*Inputs!$B$11/C1541,0)</f>
        <v>40.2739726027397</v>
      </c>
      <c r="I1541" s="37" t="n">
        <f aca="false">Inputs!$C$9-SUMIFS(Cash_Events!$G$6:$G$20,Cash_Events!$C$6:$C$20,"FHL",Cash_Events!$B$6:$B$20,"&lt;="&amp;A1541)</f>
        <v>735000</v>
      </c>
      <c r="J1541" s="38" t="n">
        <f aca="false">VLOOKUP(A1541,Inputs!$F$40:$G$48,2,TRUE())</f>
        <v>0.0364054</v>
      </c>
      <c r="K1541" s="38" t="n">
        <f aca="false">J1541+Inputs!$C$10</f>
        <v>0.1039054</v>
      </c>
      <c r="L1541" s="37" t="n">
        <f aca="false">I1541*K1541/C1541</f>
        <v>209.234161643836</v>
      </c>
      <c r="M1541" s="37" t="n">
        <f aca="false">IF(AND(A1541&gt;=Inputs!$C$13,OR(A1541&lt;Inputs!$B$19,Inputs!$B$20=1)),I1541*Inputs!$C$11/C1541,0)</f>
        <v>40.2739726027397</v>
      </c>
    </row>
    <row r="1542" customFormat="false" ht="15" hidden="false" customHeight="false" outlineLevel="0" collapsed="false">
      <c r="A1542" s="35" t="n">
        <f aca="false">A1541+1</f>
        <v>46349</v>
      </c>
      <c r="B1542" s="35" t="n">
        <f aca="false">EOMONTH(A1542+1,0)</f>
        <v>46356</v>
      </c>
      <c r="C1542" s="36" t="n">
        <f aca="false">IF(MOD(YEAR(A1542),4)=0,366,365)</f>
        <v>365</v>
      </c>
      <c r="D1542" s="37" t="n">
        <f aca="false">Inputs!$B$9-SUMIFS(Cash_Events!$G$6:$G$20,Cash_Events!$C$6:$C$20,"rAGMF",Cash_Events!$B$6:$B$20,"&lt;="&amp;A1542)</f>
        <v>735000</v>
      </c>
      <c r="E1542" s="38" t="n">
        <f aca="false">VLOOKUP(A1542,Inputs!$A$40:$B$48,2,TRUE())</f>
        <v>0.0363225</v>
      </c>
      <c r="F1542" s="38" t="n">
        <f aca="false">E1542+Inputs!$B$10</f>
        <v>0.1038225</v>
      </c>
      <c r="G1542" s="37" t="n">
        <f aca="false">D1542*F1542/C1542</f>
        <v>209.067226027397</v>
      </c>
      <c r="H1542" s="37" t="n">
        <f aca="false">IF(AND(A1542&gt;=Inputs!$B$13,OR(A1542&lt;Inputs!$B$19,Inputs!$B$20=1)),D1542*Inputs!$B$11/C1542,0)</f>
        <v>40.2739726027397</v>
      </c>
      <c r="I1542" s="37" t="n">
        <f aca="false">Inputs!$C$9-SUMIFS(Cash_Events!$G$6:$G$20,Cash_Events!$C$6:$C$20,"FHL",Cash_Events!$B$6:$B$20,"&lt;="&amp;A1542)</f>
        <v>735000</v>
      </c>
      <c r="J1542" s="38" t="n">
        <f aca="false">VLOOKUP(A1542,Inputs!$F$40:$G$48,2,TRUE())</f>
        <v>0.0364054</v>
      </c>
      <c r="K1542" s="38" t="n">
        <f aca="false">J1542+Inputs!$C$10</f>
        <v>0.1039054</v>
      </c>
      <c r="L1542" s="37" t="n">
        <f aca="false">I1542*K1542/C1542</f>
        <v>209.234161643836</v>
      </c>
      <c r="M1542" s="37" t="n">
        <f aca="false">IF(AND(A1542&gt;=Inputs!$C$13,OR(A1542&lt;Inputs!$B$19,Inputs!$B$20=1)),I1542*Inputs!$C$11/C1542,0)</f>
        <v>40.2739726027397</v>
      </c>
    </row>
    <row r="1543" customFormat="false" ht="15" hidden="false" customHeight="false" outlineLevel="0" collapsed="false">
      <c r="A1543" s="35" t="n">
        <f aca="false">A1542+1</f>
        <v>46350</v>
      </c>
      <c r="B1543" s="35" t="n">
        <f aca="false">EOMONTH(A1543+1,0)</f>
        <v>46356</v>
      </c>
      <c r="C1543" s="36" t="n">
        <f aca="false">IF(MOD(YEAR(A1543),4)=0,366,365)</f>
        <v>365</v>
      </c>
      <c r="D1543" s="37" t="n">
        <f aca="false">Inputs!$B$9-SUMIFS(Cash_Events!$G$6:$G$20,Cash_Events!$C$6:$C$20,"rAGMF",Cash_Events!$B$6:$B$20,"&lt;="&amp;A1543)</f>
        <v>735000</v>
      </c>
      <c r="E1543" s="38" t="n">
        <f aca="false">VLOOKUP(A1543,Inputs!$A$40:$B$48,2,TRUE())</f>
        <v>0.0363225</v>
      </c>
      <c r="F1543" s="38" t="n">
        <f aca="false">E1543+Inputs!$B$10</f>
        <v>0.1038225</v>
      </c>
      <c r="G1543" s="37" t="n">
        <f aca="false">D1543*F1543/C1543</f>
        <v>209.067226027397</v>
      </c>
      <c r="H1543" s="37" t="n">
        <f aca="false">IF(AND(A1543&gt;=Inputs!$B$13,OR(A1543&lt;Inputs!$B$19,Inputs!$B$20=1)),D1543*Inputs!$B$11/C1543,0)</f>
        <v>40.2739726027397</v>
      </c>
      <c r="I1543" s="37" t="n">
        <f aca="false">Inputs!$C$9-SUMIFS(Cash_Events!$G$6:$G$20,Cash_Events!$C$6:$C$20,"FHL",Cash_Events!$B$6:$B$20,"&lt;="&amp;A1543)</f>
        <v>735000</v>
      </c>
      <c r="J1543" s="38" t="n">
        <f aca="false">VLOOKUP(A1543,Inputs!$F$40:$G$48,2,TRUE())</f>
        <v>0.0364054</v>
      </c>
      <c r="K1543" s="38" t="n">
        <f aca="false">J1543+Inputs!$C$10</f>
        <v>0.1039054</v>
      </c>
      <c r="L1543" s="37" t="n">
        <f aca="false">I1543*K1543/C1543</f>
        <v>209.234161643836</v>
      </c>
      <c r="M1543" s="37" t="n">
        <f aca="false">IF(AND(A1543&gt;=Inputs!$C$13,OR(A1543&lt;Inputs!$B$19,Inputs!$B$20=1)),I1543*Inputs!$C$11/C1543,0)</f>
        <v>40.2739726027397</v>
      </c>
    </row>
    <row r="1544" customFormat="false" ht="15" hidden="false" customHeight="false" outlineLevel="0" collapsed="false">
      <c r="A1544" s="35" t="n">
        <f aca="false">A1543+1</f>
        <v>46351</v>
      </c>
      <c r="B1544" s="35" t="n">
        <f aca="false">EOMONTH(A1544+1,0)</f>
        <v>46356</v>
      </c>
      <c r="C1544" s="36" t="n">
        <f aca="false">IF(MOD(YEAR(A1544),4)=0,366,365)</f>
        <v>365</v>
      </c>
      <c r="D1544" s="37" t="n">
        <f aca="false">Inputs!$B$9-SUMIFS(Cash_Events!$G$6:$G$20,Cash_Events!$C$6:$C$20,"rAGMF",Cash_Events!$B$6:$B$20,"&lt;="&amp;A1544)</f>
        <v>735000</v>
      </c>
      <c r="E1544" s="38" t="n">
        <f aca="false">VLOOKUP(A1544,Inputs!$A$40:$B$48,2,TRUE())</f>
        <v>0.0363225</v>
      </c>
      <c r="F1544" s="38" t="n">
        <f aca="false">E1544+Inputs!$B$10</f>
        <v>0.1038225</v>
      </c>
      <c r="G1544" s="37" t="n">
        <f aca="false">D1544*F1544/C1544</f>
        <v>209.067226027397</v>
      </c>
      <c r="H1544" s="37" t="n">
        <f aca="false">IF(AND(A1544&gt;=Inputs!$B$13,OR(A1544&lt;Inputs!$B$19,Inputs!$B$20=1)),D1544*Inputs!$B$11/C1544,0)</f>
        <v>40.2739726027397</v>
      </c>
      <c r="I1544" s="37" t="n">
        <f aca="false">Inputs!$C$9-SUMIFS(Cash_Events!$G$6:$G$20,Cash_Events!$C$6:$C$20,"FHL",Cash_Events!$B$6:$B$20,"&lt;="&amp;A1544)</f>
        <v>735000</v>
      </c>
      <c r="J1544" s="38" t="n">
        <f aca="false">VLOOKUP(A1544,Inputs!$F$40:$G$48,2,TRUE())</f>
        <v>0.0364054</v>
      </c>
      <c r="K1544" s="38" t="n">
        <f aca="false">J1544+Inputs!$C$10</f>
        <v>0.1039054</v>
      </c>
      <c r="L1544" s="37" t="n">
        <f aca="false">I1544*K1544/C1544</f>
        <v>209.234161643836</v>
      </c>
      <c r="M1544" s="37" t="n">
        <f aca="false">IF(AND(A1544&gt;=Inputs!$C$13,OR(A1544&lt;Inputs!$B$19,Inputs!$B$20=1)),I1544*Inputs!$C$11/C1544,0)</f>
        <v>40.2739726027397</v>
      </c>
    </row>
    <row r="1545" customFormat="false" ht="15" hidden="false" customHeight="false" outlineLevel="0" collapsed="false">
      <c r="A1545" s="35" t="n">
        <f aca="false">A1544+1</f>
        <v>46352</v>
      </c>
      <c r="B1545" s="35" t="n">
        <f aca="false">EOMONTH(A1545+1,0)</f>
        <v>46356</v>
      </c>
      <c r="C1545" s="36" t="n">
        <f aca="false">IF(MOD(YEAR(A1545),4)=0,366,365)</f>
        <v>365</v>
      </c>
      <c r="D1545" s="37" t="n">
        <f aca="false">Inputs!$B$9-SUMIFS(Cash_Events!$G$6:$G$20,Cash_Events!$C$6:$C$20,"rAGMF",Cash_Events!$B$6:$B$20,"&lt;="&amp;A1545)</f>
        <v>735000</v>
      </c>
      <c r="E1545" s="38" t="n">
        <f aca="false">VLOOKUP(A1545,Inputs!$A$40:$B$48,2,TRUE())</f>
        <v>0.0363225</v>
      </c>
      <c r="F1545" s="38" t="n">
        <f aca="false">E1545+Inputs!$B$10</f>
        <v>0.1038225</v>
      </c>
      <c r="G1545" s="37" t="n">
        <f aca="false">D1545*F1545/C1545</f>
        <v>209.067226027397</v>
      </c>
      <c r="H1545" s="37" t="n">
        <f aca="false">IF(AND(A1545&gt;=Inputs!$B$13,OR(A1545&lt;Inputs!$B$19,Inputs!$B$20=1)),D1545*Inputs!$B$11/C1545,0)</f>
        <v>40.2739726027397</v>
      </c>
      <c r="I1545" s="37" t="n">
        <f aca="false">Inputs!$C$9-SUMIFS(Cash_Events!$G$6:$G$20,Cash_Events!$C$6:$C$20,"FHL",Cash_Events!$B$6:$B$20,"&lt;="&amp;A1545)</f>
        <v>735000</v>
      </c>
      <c r="J1545" s="38" t="n">
        <f aca="false">VLOOKUP(A1545,Inputs!$F$40:$G$48,2,TRUE())</f>
        <v>0.0364054</v>
      </c>
      <c r="K1545" s="38" t="n">
        <f aca="false">J1545+Inputs!$C$10</f>
        <v>0.1039054</v>
      </c>
      <c r="L1545" s="37" t="n">
        <f aca="false">I1545*K1545/C1545</f>
        <v>209.234161643836</v>
      </c>
      <c r="M1545" s="37" t="n">
        <f aca="false">IF(AND(A1545&gt;=Inputs!$C$13,OR(A1545&lt;Inputs!$B$19,Inputs!$B$20=1)),I1545*Inputs!$C$11/C1545,0)</f>
        <v>40.2739726027397</v>
      </c>
    </row>
    <row r="1546" customFormat="false" ht="15" hidden="false" customHeight="false" outlineLevel="0" collapsed="false">
      <c r="A1546" s="35" t="n">
        <f aca="false">A1545+1</f>
        <v>46353</v>
      </c>
      <c r="B1546" s="35" t="n">
        <f aca="false">EOMONTH(A1546+1,0)</f>
        <v>46356</v>
      </c>
      <c r="C1546" s="36" t="n">
        <f aca="false">IF(MOD(YEAR(A1546),4)=0,366,365)</f>
        <v>365</v>
      </c>
      <c r="D1546" s="37" t="n">
        <f aca="false">Inputs!$B$9-SUMIFS(Cash_Events!$G$6:$G$20,Cash_Events!$C$6:$C$20,"rAGMF",Cash_Events!$B$6:$B$20,"&lt;="&amp;A1546)</f>
        <v>735000</v>
      </c>
      <c r="E1546" s="38" t="n">
        <f aca="false">VLOOKUP(A1546,Inputs!$A$40:$B$48,2,TRUE())</f>
        <v>0.0363225</v>
      </c>
      <c r="F1546" s="38" t="n">
        <f aca="false">E1546+Inputs!$B$10</f>
        <v>0.1038225</v>
      </c>
      <c r="G1546" s="37" t="n">
        <f aca="false">D1546*F1546/C1546</f>
        <v>209.067226027397</v>
      </c>
      <c r="H1546" s="37" t="n">
        <f aca="false">IF(AND(A1546&gt;=Inputs!$B$13,OR(A1546&lt;Inputs!$B$19,Inputs!$B$20=1)),D1546*Inputs!$B$11/C1546,0)</f>
        <v>40.2739726027397</v>
      </c>
      <c r="I1546" s="37" t="n">
        <f aca="false">Inputs!$C$9-SUMIFS(Cash_Events!$G$6:$G$20,Cash_Events!$C$6:$C$20,"FHL",Cash_Events!$B$6:$B$20,"&lt;="&amp;A1546)</f>
        <v>735000</v>
      </c>
      <c r="J1546" s="38" t="n">
        <f aca="false">VLOOKUP(A1546,Inputs!$F$40:$G$48,2,TRUE())</f>
        <v>0.0364054</v>
      </c>
      <c r="K1546" s="38" t="n">
        <f aca="false">J1546+Inputs!$C$10</f>
        <v>0.1039054</v>
      </c>
      <c r="L1546" s="37" t="n">
        <f aca="false">I1546*K1546/C1546</f>
        <v>209.234161643836</v>
      </c>
      <c r="M1546" s="37" t="n">
        <f aca="false">IF(AND(A1546&gt;=Inputs!$C$13,OR(A1546&lt;Inputs!$B$19,Inputs!$B$20=1)),I1546*Inputs!$C$11/C1546,0)</f>
        <v>40.2739726027397</v>
      </c>
    </row>
    <row r="1547" customFormat="false" ht="15" hidden="false" customHeight="false" outlineLevel="0" collapsed="false">
      <c r="A1547" s="35" t="n">
        <f aca="false">A1546+1</f>
        <v>46354</v>
      </c>
      <c r="B1547" s="35" t="n">
        <f aca="false">EOMONTH(A1547+1,0)</f>
        <v>46356</v>
      </c>
      <c r="C1547" s="36" t="n">
        <f aca="false">IF(MOD(YEAR(A1547),4)=0,366,365)</f>
        <v>365</v>
      </c>
      <c r="D1547" s="37" t="n">
        <f aca="false">Inputs!$B$9-SUMIFS(Cash_Events!$G$6:$G$20,Cash_Events!$C$6:$C$20,"rAGMF",Cash_Events!$B$6:$B$20,"&lt;="&amp;A1547)</f>
        <v>735000</v>
      </c>
      <c r="E1547" s="38" t="n">
        <f aca="false">VLOOKUP(A1547,Inputs!$A$40:$B$48,2,TRUE())</f>
        <v>0.0363225</v>
      </c>
      <c r="F1547" s="38" t="n">
        <f aca="false">E1547+Inputs!$B$10</f>
        <v>0.1038225</v>
      </c>
      <c r="G1547" s="37" t="n">
        <f aca="false">D1547*F1547/C1547</f>
        <v>209.067226027397</v>
      </c>
      <c r="H1547" s="37" t="n">
        <f aca="false">IF(AND(A1547&gt;=Inputs!$B$13,OR(A1547&lt;Inputs!$B$19,Inputs!$B$20=1)),D1547*Inputs!$B$11/C1547,0)</f>
        <v>40.2739726027397</v>
      </c>
      <c r="I1547" s="37" t="n">
        <f aca="false">Inputs!$C$9-SUMIFS(Cash_Events!$G$6:$G$20,Cash_Events!$C$6:$C$20,"FHL",Cash_Events!$B$6:$B$20,"&lt;="&amp;A1547)</f>
        <v>735000</v>
      </c>
      <c r="J1547" s="38" t="n">
        <f aca="false">VLOOKUP(A1547,Inputs!$F$40:$G$48,2,TRUE())</f>
        <v>0.0364054</v>
      </c>
      <c r="K1547" s="38" t="n">
        <f aca="false">J1547+Inputs!$C$10</f>
        <v>0.1039054</v>
      </c>
      <c r="L1547" s="37" t="n">
        <f aca="false">I1547*K1547/C1547</f>
        <v>209.234161643836</v>
      </c>
      <c r="M1547" s="37" t="n">
        <f aca="false">IF(AND(A1547&gt;=Inputs!$C$13,OR(A1547&lt;Inputs!$B$19,Inputs!$B$20=1)),I1547*Inputs!$C$11/C1547,0)</f>
        <v>40.2739726027397</v>
      </c>
    </row>
    <row r="1548" customFormat="false" ht="15" hidden="false" customHeight="false" outlineLevel="0" collapsed="false">
      <c r="A1548" s="35" t="n">
        <f aca="false">A1547+1</f>
        <v>46355</v>
      </c>
      <c r="B1548" s="35" t="n">
        <f aca="false">EOMONTH(A1548+1,0)</f>
        <v>46356</v>
      </c>
      <c r="C1548" s="36" t="n">
        <f aca="false">IF(MOD(YEAR(A1548),4)=0,366,365)</f>
        <v>365</v>
      </c>
      <c r="D1548" s="37" t="n">
        <f aca="false">Inputs!$B$9-SUMIFS(Cash_Events!$G$6:$G$20,Cash_Events!$C$6:$C$20,"rAGMF",Cash_Events!$B$6:$B$20,"&lt;="&amp;A1548)</f>
        <v>735000</v>
      </c>
      <c r="E1548" s="38" t="n">
        <f aca="false">VLOOKUP(A1548,Inputs!$A$40:$B$48,2,TRUE())</f>
        <v>0.0363225</v>
      </c>
      <c r="F1548" s="38" t="n">
        <f aca="false">E1548+Inputs!$B$10</f>
        <v>0.1038225</v>
      </c>
      <c r="G1548" s="37" t="n">
        <f aca="false">D1548*F1548/C1548</f>
        <v>209.067226027397</v>
      </c>
      <c r="H1548" s="37" t="n">
        <f aca="false">IF(AND(A1548&gt;=Inputs!$B$13,OR(A1548&lt;Inputs!$B$19,Inputs!$B$20=1)),D1548*Inputs!$B$11/C1548,0)</f>
        <v>40.2739726027397</v>
      </c>
      <c r="I1548" s="37" t="n">
        <f aca="false">Inputs!$C$9-SUMIFS(Cash_Events!$G$6:$G$20,Cash_Events!$C$6:$C$20,"FHL",Cash_Events!$B$6:$B$20,"&lt;="&amp;A1548)</f>
        <v>735000</v>
      </c>
      <c r="J1548" s="38" t="n">
        <f aca="false">VLOOKUP(A1548,Inputs!$F$40:$G$48,2,TRUE())</f>
        <v>0.0364054</v>
      </c>
      <c r="K1548" s="38" t="n">
        <f aca="false">J1548+Inputs!$C$10</f>
        <v>0.1039054</v>
      </c>
      <c r="L1548" s="37" t="n">
        <f aca="false">I1548*K1548/C1548</f>
        <v>209.234161643836</v>
      </c>
      <c r="M1548" s="37" t="n">
        <f aca="false">IF(AND(A1548&gt;=Inputs!$C$13,OR(A1548&lt;Inputs!$B$19,Inputs!$B$20=1)),I1548*Inputs!$C$11/C1548,0)</f>
        <v>40.2739726027397</v>
      </c>
    </row>
    <row r="1549" customFormat="false" ht="15" hidden="false" customHeight="false" outlineLevel="0" collapsed="false">
      <c r="A1549" s="35" t="n">
        <f aca="false">A1548+1</f>
        <v>46356</v>
      </c>
      <c r="B1549" s="35" t="n">
        <f aca="false">EOMONTH(A1549+1,0)</f>
        <v>46387</v>
      </c>
      <c r="C1549" s="36" t="n">
        <f aca="false">IF(MOD(YEAR(A1549),4)=0,366,365)</f>
        <v>365</v>
      </c>
      <c r="D1549" s="37" t="n">
        <f aca="false">Inputs!$B$9-SUMIFS(Cash_Events!$G$6:$G$20,Cash_Events!$C$6:$C$20,"rAGMF",Cash_Events!$B$6:$B$20,"&lt;="&amp;A1549)</f>
        <v>735000</v>
      </c>
      <c r="E1549" s="38" t="n">
        <f aca="false">VLOOKUP(A1549,Inputs!$A$40:$B$48,2,TRUE())</f>
        <v>0.0363225</v>
      </c>
      <c r="F1549" s="38" t="n">
        <f aca="false">E1549+Inputs!$B$10</f>
        <v>0.1038225</v>
      </c>
      <c r="G1549" s="37" t="n">
        <f aca="false">D1549*F1549/C1549</f>
        <v>209.067226027397</v>
      </c>
      <c r="H1549" s="37" t="n">
        <f aca="false">IF(AND(A1549&gt;=Inputs!$B$13,OR(A1549&lt;Inputs!$B$19,Inputs!$B$20=1)),D1549*Inputs!$B$11/C1549,0)</f>
        <v>40.2739726027397</v>
      </c>
      <c r="I1549" s="37" t="n">
        <f aca="false">Inputs!$C$9-SUMIFS(Cash_Events!$G$6:$G$20,Cash_Events!$C$6:$C$20,"FHL",Cash_Events!$B$6:$B$20,"&lt;="&amp;A1549)</f>
        <v>735000</v>
      </c>
      <c r="J1549" s="38" t="n">
        <f aca="false">VLOOKUP(A1549,Inputs!$F$40:$G$48,2,TRUE())</f>
        <v>0.0364054</v>
      </c>
      <c r="K1549" s="38" t="n">
        <f aca="false">J1549+Inputs!$C$10</f>
        <v>0.1039054</v>
      </c>
      <c r="L1549" s="37" t="n">
        <f aca="false">I1549*K1549/C1549</f>
        <v>209.234161643836</v>
      </c>
      <c r="M1549" s="37" t="n">
        <f aca="false">IF(AND(A1549&gt;=Inputs!$C$13,OR(A1549&lt;Inputs!$B$19,Inputs!$B$20=1)),I1549*Inputs!$C$11/C1549,0)</f>
        <v>40.2739726027397</v>
      </c>
    </row>
    <row r="1550" customFormat="false" ht="15" hidden="false" customHeight="false" outlineLevel="0" collapsed="false">
      <c r="A1550" s="35" t="n">
        <f aca="false">A1549+1</f>
        <v>46357</v>
      </c>
      <c r="B1550" s="35" t="n">
        <f aca="false">EOMONTH(A1550+1,0)</f>
        <v>46387</v>
      </c>
      <c r="C1550" s="36" t="n">
        <f aca="false">IF(MOD(YEAR(A1550),4)=0,366,365)</f>
        <v>365</v>
      </c>
      <c r="D1550" s="37" t="n">
        <f aca="false">Inputs!$B$9-SUMIFS(Cash_Events!$G$6:$G$20,Cash_Events!$C$6:$C$20,"rAGMF",Cash_Events!$B$6:$B$20,"&lt;="&amp;A1550)</f>
        <v>735000</v>
      </c>
      <c r="E1550" s="38" t="n">
        <f aca="false">VLOOKUP(A1550,Inputs!$A$40:$B$48,2,TRUE())</f>
        <v>0.0363225</v>
      </c>
      <c r="F1550" s="38" t="n">
        <f aca="false">E1550+Inputs!$B$10</f>
        <v>0.1038225</v>
      </c>
      <c r="G1550" s="37" t="n">
        <f aca="false">D1550*F1550/C1550</f>
        <v>209.067226027397</v>
      </c>
      <c r="H1550" s="37" t="n">
        <f aca="false">IF(AND(A1550&gt;=Inputs!$B$13,OR(A1550&lt;Inputs!$B$19,Inputs!$B$20=1)),D1550*Inputs!$B$11/C1550,0)</f>
        <v>40.2739726027397</v>
      </c>
      <c r="I1550" s="37" t="n">
        <f aca="false">Inputs!$C$9-SUMIFS(Cash_Events!$G$6:$G$20,Cash_Events!$C$6:$C$20,"FHL",Cash_Events!$B$6:$B$20,"&lt;="&amp;A1550)</f>
        <v>735000</v>
      </c>
      <c r="J1550" s="38" t="n">
        <f aca="false">VLOOKUP(A1550,Inputs!$F$40:$G$48,2,TRUE())</f>
        <v>0.0364054</v>
      </c>
      <c r="K1550" s="38" t="n">
        <f aca="false">J1550+Inputs!$C$10</f>
        <v>0.1039054</v>
      </c>
      <c r="L1550" s="37" t="n">
        <f aca="false">I1550*K1550/C1550</f>
        <v>209.234161643836</v>
      </c>
      <c r="M1550" s="37" t="n">
        <f aca="false">IF(AND(A1550&gt;=Inputs!$C$13,OR(A1550&lt;Inputs!$B$19,Inputs!$B$20=1)),I1550*Inputs!$C$11/C1550,0)</f>
        <v>40.2739726027397</v>
      </c>
    </row>
    <row r="1551" customFormat="false" ht="15" hidden="false" customHeight="false" outlineLevel="0" collapsed="false">
      <c r="A1551" s="35" t="n">
        <f aca="false">A1550+1</f>
        <v>46358</v>
      </c>
      <c r="B1551" s="35" t="n">
        <f aca="false">EOMONTH(A1551+1,0)</f>
        <v>46387</v>
      </c>
      <c r="C1551" s="36" t="n">
        <f aca="false">IF(MOD(YEAR(A1551),4)=0,366,365)</f>
        <v>365</v>
      </c>
      <c r="D1551" s="37" t="n">
        <f aca="false">Inputs!$B$9-SUMIFS(Cash_Events!$G$6:$G$20,Cash_Events!$C$6:$C$20,"rAGMF",Cash_Events!$B$6:$B$20,"&lt;="&amp;A1551)</f>
        <v>735000</v>
      </c>
      <c r="E1551" s="38" t="n">
        <f aca="false">VLOOKUP(A1551,Inputs!$A$40:$B$48,2,TRUE())</f>
        <v>0.0363225</v>
      </c>
      <c r="F1551" s="38" t="n">
        <f aca="false">E1551+Inputs!$B$10</f>
        <v>0.1038225</v>
      </c>
      <c r="G1551" s="37" t="n">
        <f aca="false">D1551*F1551/C1551</f>
        <v>209.067226027397</v>
      </c>
      <c r="H1551" s="37" t="n">
        <f aca="false">IF(AND(A1551&gt;=Inputs!$B$13,OR(A1551&lt;Inputs!$B$19,Inputs!$B$20=1)),D1551*Inputs!$B$11/C1551,0)</f>
        <v>40.2739726027397</v>
      </c>
      <c r="I1551" s="37" t="n">
        <f aca="false">Inputs!$C$9-SUMIFS(Cash_Events!$G$6:$G$20,Cash_Events!$C$6:$C$20,"FHL",Cash_Events!$B$6:$B$20,"&lt;="&amp;A1551)</f>
        <v>735000</v>
      </c>
      <c r="J1551" s="38" t="n">
        <f aca="false">VLOOKUP(A1551,Inputs!$F$40:$G$48,2,TRUE())</f>
        <v>0.0364054</v>
      </c>
      <c r="K1551" s="38" t="n">
        <f aca="false">J1551+Inputs!$C$10</f>
        <v>0.1039054</v>
      </c>
      <c r="L1551" s="37" t="n">
        <f aca="false">I1551*K1551/C1551</f>
        <v>209.234161643836</v>
      </c>
      <c r="M1551" s="37" t="n">
        <f aca="false">IF(AND(A1551&gt;=Inputs!$C$13,OR(A1551&lt;Inputs!$B$19,Inputs!$B$20=1)),I1551*Inputs!$C$11/C1551,0)</f>
        <v>40.2739726027397</v>
      </c>
    </row>
    <row r="1552" customFormat="false" ht="15" hidden="false" customHeight="false" outlineLevel="0" collapsed="false">
      <c r="A1552" s="35" t="n">
        <f aca="false">A1551+1</f>
        <v>46359</v>
      </c>
      <c r="B1552" s="35" t="n">
        <f aca="false">EOMONTH(A1552+1,0)</f>
        <v>46387</v>
      </c>
      <c r="C1552" s="36" t="n">
        <f aca="false">IF(MOD(YEAR(A1552),4)=0,366,365)</f>
        <v>365</v>
      </c>
      <c r="D1552" s="37" t="n">
        <f aca="false">Inputs!$B$9-SUMIFS(Cash_Events!$G$6:$G$20,Cash_Events!$C$6:$C$20,"rAGMF",Cash_Events!$B$6:$B$20,"&lt;="&amp;A1552)</f>
        <v>735000</v>
      </c>
      <c r="E1552" s="38" t="n">
        <f aca="false">VLOOKUP(A1552,Inputs!$A$40:$B$48,2,TRUE())</f>
        <v>0.0363225</v>
      </c>
      <c r="F1552" s="38" t="n">
        <f aca="false">E1552+Inputs!$B$10</f>
        <v>0.1038225</v>
      </c>
      <c r="G1552" s="37" t="n">
        <f aca="false">D1552*F1552/C1552</f>
        <v>209.067226027397</v>
      </c>
      <c r="H1552" s="37" t="n">
        <f aca="false">IF(AND(A1552&gt;=Inputs!$B$13,OR(A1552&lt;Inputs!$B$19,Inputs!$B$20=1)),D1552*Inputs!$B$11/C1552,0)</f>
        <v>40.2739726027397</v>
      </c>
      <c r="I1552" s="37" t="n">
        <f aca="false">Inputs!$C$9-SUMIFS(Cash_Events!$G$6:$G$20,Cash_Events!$C$6:$C$20,"FHL",Cash_Events!$B$6:$B$20,"&lt;="&amp;A1552)</f>
        <v>735000</v>
      </c>
      <c r="J1552" s="38" t="n">
        <f aca="false">VLOOKUP(A1552,Inputs!$F$40:$G$48,2,TRUE())</f>
        <v>0.0364054</v>
      </c>
      <c r="K1552" s="38" t="n">
        <f aca="false">J1552+Inputs!$C$10</f>
        <v>0.1039054</v>
      </c>
      <c r="L1552" s="37" t="n">
        <f aca="false">I1552*K1552/C1552</f>
        <v>209.234161643836</v>
      </c>
      <c r="M1552" s="37" t="n">
        <f aca="false">IF(AND(A1552&gt;=Inputs!$C$13,OR(A1552&lt;Inputs!$B$19,Inputs!$B$20=1)),I1552*Inputs!$C$11/C1552,0)</f>
        <v>40.2739726027397</v>
      </c>
    </row>
    <row r="1553" customFormat="false" ht="15" hidden="false" customHeight="false" outlineLevel="0" collapsed="false">
      <c r="A1553" s="35" t="n">
        <f aca="false">A1552+1</f>
        <v>46360</v>
      </c>
      <c r="B1553" s="35" t="n">
        <f aca="false">EOMONTH(A1553+1,0)</f>
        <v>46387</v>
      </c>
      <c r="C1553" s="36" t="n">
        <f aca="false">IF(MOD(YEAR(A1553),4)=0,366,365)</f>
        <v>365</v>
      </c>
      <c r="D1553" s="37" t="n">
        <f aca="false">Inputs!$B$9-SUMIFS(Cash_Events!$G$6:$G$20,Cash_Events!$C$6:$C$20,"rAGMF",Cash_Events!$B$6:$B$20,"&lt;="&amp;A1553)</f>
        <v>735000</v>
      </c>
      <c r="E1553" s="38" t="n">
        <f aca="false">VLOOKUP(A1553,Inputs!$A$40:$B$48,2,TRUE())</f>
        <v>0.0363225</v>
      </c>
      <c r="F1553" s="38" t="n">
        <f aca="false">E1553+Inputs!$B$10</f>
        <v>0.1038225</v>
      </c>
      <c r="G1553" s="37" t="n">
        <f aca="false">D1553*F1553/C1553</f>
        <v>209.067226027397</v>
      </c>
      <c r="H1553" s="37" t="n">
        <f aca="false">IF(AND(A1553&gt;=Inputs!$B$13,OR(A1553&lt;Inputs!$B$19,Inputs!$B$20=1)),D1553*Inputs!$B$11/C1553,0)</f>
        <v>40.2739726027397</v>
      </c>
      <c r="I1553" s="37" t="n">
        <f aca="false">Inputs!$C$9-SUMIFS(Cash_Events!$G$6:$G$20,Cash_Events!$C$6:$C$20,"FHL",Cash_Events!$B$6:$B$20,"&lt;="&amp;A1553)</f>
        <v>735000</v>
      </c>
      <c r="J1553" s="38" t="n">
        <f aca="false">VLOOKUP(A1553,Inputs!$F$40:$G$48,2,TRUE())</f>
        <v>0.0364054</v>
      </c>
      <c r="K1553" s="38" t="n">
        <f aca="false">J1553+Inputs!$C$10</f>
        <v>0.1039054</v>
      </c>
      <c r="L1553" s="37" t="n">
        <f aca="false">I1553*K1553/C1553</f>
        <v>209.234161643836</v>
      </c>
      <c r="M1553" s="37" t="n">
        <f aca="false">IF(AND(A1553&gt;=Inputs!$C$13,OR(A1553&lt;Inputs!$B$19,Inputs!$B$20=1)),I1553*Inputs!$C$11/C1553,0)</f>
        <v>40.2739726027397</v>
      </c>
    </row>
    <row r="1554" customFormat="false" ht="15" hidden="false" customHeight="false" outlineLevel="0" collapsed="false">
      <c r="A1554" s="35" t="n">
        <f aca="false">A1553+1</f>
        <v>46361</v>
      </c>
      <c r="B1554" s="35" t="n">
        <f aca="false">EOMONTH(A1554+1,0)</f>
        <v>46387</v>
      </c>
      <c r="C1554" s="36" t="n">
        <f aca="false">IF(MOD(YEAR(A1554),4)=0,366,365)</f>
        <v>365</v>
      </c>
      <c r="D1554" s="37" t="n">
        <f aca="false">Inputs!$B$9-SUMIFS(Cash_Events!$G$6:$G$20,Cash_Events!$C$6:$C$20,"rAGMF",Cash_Events!$B$6:$B$20,"&lt;="&amp;A1554)</f>
        <v>735000</v>
      </c>
      <c r="E1554" s="38" t="n">
        <f aca="false">VLOOKUP(A1554,Inputs!$A$40:$B$48,2,TRUE())</f>
        <v>0.0363225</v>
      </c>
      <c r="F1554" s="38" t="n">
        <f aca="false">E1554+Inputs!$B$10</f>
        <v>0.1038225</v>
      </c>
      <c r="G1554" s="37" t="n">
        <f aca="false">D1554*F1554/C1554</f>
        <v>209.067226027397</v>
      </c>
      <c r="H1554" s="37" t="n">
        <f aca="false">IF(AND(A1554&gt;=Inputs!$B$13,OR(A1554&lt;Inputs!$B$19,Inputs!$B$20=1)),D1554*Inputs!$B$11/C1554,0)</f>
        <v>40.2739726027397</v>
      </c>
      <c r="I1554" s="37" t="n">
        <f aca="false">Inputs!$C$9-SUMIFS(Cash_Events!$G$6:$G$20,Cash_Events!$C$6:$C$20,"FHL",Cash_Events!$B$6:$B$20,"&lt;="&amp;A1554)</f>
        <v>735000</v>
      </c>
      <c r="J1554" s="38" t="n">
        <f aca="false">VLOOKUP(A1554,Inputs!$F$40:$G$48,2,TRUE())</f>
        <v>0.0364054</v>
      </c>
      <c r="K1554" s="38" t="n">
        <f aca="false">J1554+Inputs!$C$10</f>
        <v>0.1039054</v>
      </c>
      <c r="L1554" s="37" t="n">
        <f aca="false">I1554*K1554/C1554</f>
        <v>209.234161643836</v>
      </c>
      <c r="M1554" s="37" t="n">
        <f aca="false">IF(AND(A1554&gt;=Inputs!$C$13,OR(A1554&lt;Inputs!$B$19,Inputs!$B$20=1)),I1554*Inputs!$C$11/C1554,0)</f>
        <v>40.2739726027397</v>
      </c>
    </row>
    <row r="1555" customFormat="false" ht="15" hidden="false" customHeight="false" outlineLevel="0" collapsed="false">
      <c r="A1555" s="35" t="n">
        <f aca="false">A1554+1</f>
        <v>46362</v>
      </c>
      <c r="B1555" s="35" t="n">
        <f aca="false">EOMONTH(A1555+1,0)</f>
        <v>46387</v>
      </c>
      <c r="C1555" s="36" t="n">
        <f aca="false">IF(MOD(YEAR(A1555),4)=0,366,365)</f>
        <v>365</v>
      </c>
      <c r="D1555" s="37" t="n">
        <f aca="false">Inputs!$B$9-SUMIFS(Cash_Events!$G$6:$G$20,Cash_Events!$C$6:$C$20,"rAGMF",Cash_Events!$B$6:$B$20,"&lt;="&amp;A1555)</f>
        <v>735000</v>
      </c>
      <c r="E1555" s="38" t="n">
        <f aca="false">VLOOKUP(A1555,Inputs!$A$40:$B$48,2,TRUE())</f>
        <v>0.0363225</v>
      </c>
      <c r="F1555" s="38" t="n">
        <f aca="false">E1555+Inputs!$B$10</f>
        <v>0.1038225</v>
      </c>
      <c r="G1555" s="37" t="n">
        <f aca="false">D1555*F1555/C1555</f>
        <v>209.067226027397</v>
      </c>
      <c r="H1555" s="37" t="n">
        <f aca="false">IF(AND(A1555&gt;=Inputs!$B$13,OR(A1555&lt;Inputs!$B$19,Inputs!$B$20=1)),D1555*Inputs!$B$11/C1555,0)</f>
        <v>40.2739726027397</v>
      </c>
      <c r="I1555" s="37" t="n">
        <f aca="false">Inputs!$C$9-SUMIFS(Cash_Events!$G$6:$G$20,Cash_Events!$C$6:$C$20,"FHL",Cash_Events!$B$6:$B$20,"&lt;="&amp;A1555)</f>
        <v>735000</v>
      </c>
      <c r="J1555" s="38" t="n">
        <f aca="false">VLOOKUP(A1555,Inputs!$F$40:$G$48,2,TRUE())</f>
        <v>0.0364054</v>
      </c>
      <c r="K1555" s="38" t="n">
        <f aca="false">J1555+Inputs!$C$10</f>
        <v>0.1039054</v>
      </c>
      <c r="L1555" s="37" t="n">
        <f aca="false">I1555*K1555/C1555</f>
        <v>209.234161643836</v>
      </c>
      <c r="M1555" s="37" t="n">
        <f aca="false">IF(AND(A1555&gt;=Inputs!$C$13,OR(A1555&lt;Inputs!$B$19,Inputs!$B$20=1)),I1555*Inputs!$C$11/C1555,0)</f>
        <v>40.2739726027397</v>
      </c>
    </row>
    <row r="1556" customFormat="false" ht="15" hidden="false" customHeight="false" outlineLevel="0" collapsed="false">
      <c r="A1556" s="35" t="n">
        <f aca="false">A1555+1</f>
        <v>46363</v>
      </c>
      <c r="B1556" s="35" t="n">
        <f aca="false">EOMONTH(A1556+1,0)</f>
        <v>46387</v>
      </c>
      <c r="C1556" s="36" t="n">
        <f aca="false">IF(MOD(YEAR(A1556),4)=0,366,365)</f>
        <v>365</v>
      </c>
      <c r="D1556" s="37" t="n">
        <f aca="false">Inputs!$B$9-SUMIFS(Cash_Events!$G$6:$G$20,Cash_Events!$C$6:$C$20,"rAGMF",Cash_Events!$B$6:$B$20,"&lt;="&amp;A1556)</f>
        <v>735000</v>
      </c>
      <c r="E1556" s="38" t="n">
        <f aca="false">VLOOKUP(A1556,Inputs!$A$40:$B$48,2,TRUE())</f>
        <v>0.0363225</v>
      </c>
      <c r="F1556" s="38" t="n">
        <f aca="false">E1556+Inputs!$B$10</f>
        <v>0.1038225</v>
      </c>
      <c r="G1556" s="37" t="n">
        <f aca="false">D1556*F1556/C1556</f>
        <v>209.067226027397</v>
      </c>
      <c r="H1556" s="37" t="n">
        <f aca="false">IF(AND(A1556&gt;=Inputs!$B$13,OR(A1556&lt;Inputs!$B$19,Inputs!$B$20=1)),D1556*Inputs!$B$11/C1556,0)</f>
        <v>40.2739726027397</v>
      </c>
      <c r="I1556" s="37" t="n">
        <f aca="false">Inputs!$C$9-SUMIFS(Cash_Events!$G$6:$G$20,Cash_Events!$C$6:$C$20,"FHL",Cash_Events!$B$6:$B$20,"&lt;="&amp;A1556)</f>
        <v>735000</v>
      </c>
      <c r="J1556" s="38" t="n">
        <f aca="false">VLOOKUP(A1556,Inputs!$F$40:$G$48,2,TRUE())</f>
        <v>0.0364054</v>
      </c>
      <c r="K1556" s="38" t="n">
        <f aca="false">J1556+Inputs!$C$10</f>
        <v>0.1039054</v>
      </c>
      <c r="L1556" s="37" t="n">
        <f aca="false">I1556*K1556/C1556</f>
        <v>209.234161643836</v>
      </c>
      <c r="M1556" s="37" t="n">
        <f aca="false">IF(AND(A1556&gt;=Inputs!$C$13,OR(A1556&lt;Inputs!$B$19,Inputs!$B$20=1)),I1556*Inputs!$C$11/C1556,0)</f>
        <v>40.2739726027397</v>
      </c>
    </row>
    <row r="1557" customFormat="false" ht="15" hidden="false" customHeight="false" outlineLevel="0" collapsed="false">
      <c r="A1557" s="35" t="n">
        <f aca="false">A1556+1</f>
        <v>46364</v>
      </c>
      <c r="B1557" s="35" t="n">
        <f aca="false">EOMONTH(A1557+1,0)</f>
        <v>46387</v>
      </c>
      <c r="C1557" s="36" t="n">
        <f aca="false">IF(MOD(YEAR(A1557),4)=0,366,365)</f>
        <v>365</v>
      </c>
      <c r="D1557" s="37" t="n">
        <f aca="false">Inputs!$B$9-SUMIFS(Cash_Events!$G$6:$G$20,Cash_Events!$C$6:$C$20,"rAGMF",Cash_Events!$B$6:$B$20,"&lt;="&amp;A1557)</f>
        <v>735000</v>
      </c>
      <c r="E1557" s="38" t="n">
        <f aca="false">VLOOKUP(A1557,Inputs!$A$40:$B$48,2,TRUE())</f>
        <v>0.0363225</v>
      </c>
      <c r="F1557" s="38" t="n">
        <f aca="false">E1557+Inputs!$B$10</f>
        <v>0.1038225</v>
      </c>
      <c r="G1557" s="37" t="n">
        <f aca="false">D1557*F1557/C1557</f>
        <v>209.067226027397</v>
      </c>
      <c r="H1557" s="37" t="n">
        <f aca="false">IF(AND(A1557&gt;=Inputs!$B$13,OR(A1557&lt;Inputs!$B$19,Inputs!$B$20=1)),D1557*Inputs!$B$11/C1557,0)</f>
        <v>40.2739726027397</v>
      </c>
      <c r="I1557" s="37" t="n">
        <f aca="false">Inputs!$C$9-SUMIFS(Cash_Events!$G$6:$G$20,Cash_Events!$C$6:$C$20,"FHL",Cash_Events!$B$6:$B$20,"&lt;="&amp;A1557)</f>
        <v>735000</v>
      </c>
      <c r="J1557" s="38" t="n">
        <f aca="false">VLOOKUP(A1557,Inputs!$F$40:$G$48,2,TRUE())</f>
        <v>0.0364054</v>
      </c>
      <c r="K1557" s="38" t="n">
        <f aca="false">J1557+Inputs!$C$10</f>
        <v>0.1039054</v>
      </c>
      <c r="L1557" s="37" t="n">
        <f aca="false">I1557*K1557/C1557</f>
        <v>209.234161643836</v>
      </c>
      <c r="M1557" s="37" t="n">
        <f aca="false">IF(AND(A1557&gt;=Inputs!$C$13,OR(A1557&lt;Inputs!$B$19,Inputs!$B$20=1)),I1557*Inputs!$C$11/C1557,0)</f>
        <v>40.2739726027397</v>
      </c>
    </row>
    <row r="1558" customFormat="false" ht="15" hidden="false" customHeight="false" outlineLevel="0" collapsed="false">
      <c r="A1558" s="35" t="n">
        <f aca="false">A1557+1</f>
        <v>46365</v>
      </c>
      <c r="B1558" s="35" t="n">
        <f aca="false">EOMONTH(A1558+1,0)</f>
        <v>46387</v>
      </c>
      <c r="C1558" s="36" t="n">
        <f aca="false">IF(MOD(YEAR(A1558),4)=0,366,365)</f>
        <v>365</v>
      </c>
      <c r="D1558" s="37" t="n">
        <f aca="false">Inputs!$B$9-SUMIFS(Cash_Events!$G$6:$G$20,Cash_Events!$C$6:$C$20,"rAGMF",Cash_Events!$B$6:$B$20,"&lt;="&amp;A1558)</f>
        <v>735000</v>
      </c>
      <c r="E1558" s="38" t="n">
        <f aca="false">VLOOKUP(A1558,Inputs!$A$40:$B$48,2,TRUE())</f>
        <v>0.0363225</v>
      </c>
      <c r="F1558" s="38" t="n">
        <f aca="false">E1558+Inputs!$B$10</f>
        <v>0.1038225</v>
      </c>
      <c r="G1558" s="37" t="n">
        <f aca="false">D1558*F1558/C1558</f>
        <v>209.067226027397</v>
      </c>
      <c r="H1558" s="37" t="n">
        <f aca="false">IF(AND(A1558&gt;=Inputs!$B$13,OR(A1558&lt;Inputs!$B$19,Inputs!$B$20=1)),D1558*Inputs!$B$11/C1558,0)</f>
        <v>40.2739726027397</v>
      </c>
      <c r="I1558" s="37" t="n">
        <f aca="false">Inputs!$C$9-SUMIFS(Cash_Events!$G$6:$G$20,Cash_Events!$C$6:$C$20,"FHL",Cash_Events!$B$6:$B$20,"&lt;="&amp;A1558)</f>
        <v>735000</v>
      </c>
      <c r="J1558" s="38" t="n">
        <f aca="false">VLOOKUP(A1558,Inputs!$F$40:$G$48,2,TRUE())</f>
        <v>0.0364054</v>
      </c>
      <c r="K1558" s="38" t="n">
        <f aca="false">J1558+Inputs!$C$10</f>
        <v>0.1039054</v>
      </c>
      <c r="L1558" s="37" t="n">
        <f aca="false">I1558*K1558/C1558</f>
        <v>209.234161643836</v>
      </c>
      <c r="M1558" s="37" t="n">
        <f aca="false">IF(AND(A1558&gt;=Inputs!$C$13,OR(A1558&lt;Inputs!$B$19,Inputs!$B$20=1)),I1558*Inputs!$C$11/C1558,0)</f>
        <v>40.2739726027397</v>
      </c>
    </row>
    <row r="1559" customFormat="false" ht="15" hidden="false" customHeight="false" outlineLevel="0" collapsed="false">
      <c r="A1559" s="35" t="n">
        <f aca="false">A1558+1</f>
        <v>46366</v>
      </c>
      <c r="B1559" s="35" t="n">
        <f aca="false">EOMONTH(A1559+1,0)</f>
        <v>46387</v>
      </c>
      <c r="C1559" s="36" t="n">
        <f aca="false">IF(MOD(YEAR(A1559),4)=0,366,365)</f>
        <v>365</v>
      </c>
      <c r="D1559" s="37" t="n">
        <f aca="false">Inputs!$B$9-SUMIFS(Cash_Events!$G$6:$G$20,Cash_Events!$C$6:$C$20,"rAGMF",Cash_Events!$B$6:$B$20,"&lt;="&amp;A1559)</f>
        <v>735000</v>
      </c>
      <c r="E1559" s="38" t="n">
        <f aca="false">VLOOKUP(A1559,Inputs!$A$40:$B$48,2,TRUE())</f>
        <v>0.0363225</v>
      </c>
      <c r="F1559" s="38" t="n">
        <f aca="false">E1559+Inputs!$B$10</f>
        <v>0.1038225</v>
      </c>
      <c r="G1559" s="37" t="n">
        <f aca="false">D1559*F1559/C1559</f>
        <v>209.067226027397</v>
      </c>
      <c r="H1559" s="37" t="n">
        <f aca="false">IF(AND(A1559&gt;=Inputs!$B$13,OR(A1559&lt;Inputs!$B$19,Inputs!$B$20=1)),D1559*Inputs!$B$11/C1559,0)</f>
        <v>40.2739726027397</v>
      </c>
      <c r="I1559" s="37" t="n">
        <f aca="false">Inputs!$C$9-SUMIFS(Cash_Events!$G$6:$G$20,Cash_Events!$C$6:$C$20,"FHL",Cash_Events!$B$6:$B$20,"&lt;="&amp;A1559)</f>
        <v>735000</v>
      </c>
      <c r="J1559" s="38" t="n">
        <f aca="false">VLOOKUP(A1559,Inputs!$F$40:$G$48,2,TRUE())</f>
        <v>0.0364054</v>
      </c>
      <c r="K1559" s="38" t="n">
        <f aca="false">J1559+Inputs!$C$10</f>
        <v>0.1039054</v>
      </c>
      <c r="L1559" s="37" t="n">
        <f aca="false">I1559*K1559/C1559</f>
        <v>209.234161643836</v>
      </c>
      <c r="M1559" s="37" t="n">
        <f aca="false">IF(AND(A1559&gt;=Inputs!$C$13,OR(A1559&lt;Inputs!$B$19,Inputs!$B$20=1)),I1559*Inputs!$C$11/C1559,0)</f>
        <v>40.2739726027397</v>
      </c>
    </row>
    <row r="1560" customFormat="false" ht="15" hidden="false" customHeight="false" outlineLevel="0" collapsed="false">
      <c r="A1560" s="35" t="n">
        <f aca="false">A1559+1</f>
        <v>46367</v>
      </c>
      <c r="B1560" s="35" t="n">
        <f aca="false">EOMONTH(A1560+1,0)</f>
        <v>46387</v>
      </c>
      <c r="C1560" s="36" t="n">
        <f aca="false">IF(MOD(YEAR(A1560),4)=0,366,365)</f>
        <v>365</v>
      </c>
      <c r="D1560" s="37" t="n">
        <f aca="false">Inputs!$B$9-SUMIFS(Cash_Events!$G$6:$G$20,Cash_Events!$C$6:$C$20,"rAGMF",Cash_Events!$B$6:$B$20,"&lt;="&amp;A1560)</f>
        <v>735000</v>
      </c>
      <c r="E1560" s="38" t="n">
        <f aca="false">VLOOKUP(A1560,Inputs!$A$40:$B$48,2,TRUE())</f>
        <v>0.0363225</v>
      </c>
      <c r="F1560" s="38" t="n">
        <f aca="false">E1560+Inputs!$B$10</f>
        <v>0.1038225</v>
      </c>
      <c r="G1560" s="37" t="n">
        <f aca="false">D1560*F1560/C1560</f>
        <v>209.067226027397</v>
      </c>
      <c r="H1560" s="37" t="n">
        <f aca="false">IF(AND(A1560&gt;=Inputs!$B$13,OR(A1560&lt;Inputs!$B$19,Inputs!$B$20=1)),D1560*Inputs!$B$11/C1560,0)</f>
        <v>40.2739726027397</v>
      </c>
      <c r="I1560" s="37" t="n">
        <f aca="false">Inputs!$C$9-SUMIFS(Cash_Events!$G$6:$G$20,Cash_Events!$C$6:$C$20,"FHL",Cash_Events!$B$6:$B$20,"&lt;="&amp;A1560)</f>
        <v>735000</v>
      </c>
      <c r="J1560" s="38" t="n">
        <f aca="false">VLOOKUP(A1560,Inputs!$F$40:$G$48,2,TRUE())</f>
        <v>0.0364054</v>
      </c>
      <c r="K1560" s="38" t="n">
        <f aca="false">J1560+Inputs!$C$10</f>
        <v>0.1039054</v>
      </c>
      <c r="L1560" s="37" t="n">
        <f aca="false">I1560*K1560/C1560</f>
        <v>209.234161643836</v>
      </c>
      <c r="M1560" s="37" t="n">
        <f aca="false">IF(AND(A1560&gt;=Inputs!$C$13,OR(A1560&lt;Inputs!$B$19,Inputs!$B$20=1)),I1560*Inputs!$C$11/C1560,0)</f>
        <v>40.2739726027397</v>
      </c>
    </row>
    <row r="1561" customFormat="false" ht="15" hidden="false" customHeight="false" outlineLevel="0" collapsed="false">
      <c r="A1561" s="35" t="n">
        <f aca="false">A1560+1</f>
        <v>46368</v>
      </c>
      <c r="B1561" s="35" t="n">
        <f aca="false">EOMONTH(A1561+1,0)</f>
        <v>46387</v>
      </c>
      <c r="C1561" s="36" t="n">
        <f aca="false">IF(MOD(YEAR(A1561),4)=0,366,365)</f>
        <v>365</v>
      </c>
      <c r="D1561" s="37" t="n">
        <f aca="false">Inputs!$B$9-SUMIFS(Cash_Events!$G$6:$G$20,Cash_Events!$C$6:$C$20,"rAGMF",Cash_Events!$B$6:$B$20,"&lt;="&amp;A1561)</f>
        <v>735000</v>
      </c>
      <c r="E1561" s="38" t="n">
        <f aca="false">VLOOKUP(A1561,Inputs!$A$40:$B$48,2,TRUE())</f>
        <v>0.0363225</v>
      </c>
      <c r="F1561" s="38" t="n">
        <f aca="false">E1561+Inputs!$B$10</f>
        <v>0.1038225</v>
      </c>
      <c r="G1561" s="37" t="n">
        <f aca="false">D1561*F1561/C1561</f>
        <v>209.067226027397</v>
      </c>
      <c r="H1561" s="37" t="n">
        <f aca="false">IF(AND(A1561&gt;=Inputs!$B$13,OR(A1561&lt;Inputs!$B$19,Inputs!$B$20=1)),D1561*Inputs!$B$11/C1561,0)</f>
        <v>40.2739726027397</v>
      </c>
      <c r="I1561" s="37" t="n">
        <f aca="false">Inputs!$C$9-SUMIFS(Cash_Events!$G$6:$G$20,Cash_Events!$C$6:$C$20,"FHL",Cash_Events!$B$6:$B$20,"&lt;="&amp;A1561)</f>
        <v>735000</v>
      </c>
      <c r="J1561" s="38" t="n">
        <f aca="false">VLOOKUP(A1561,Inputs!$F$40:$G$48,2,TRUE())</f>
        <v>0.0364054</v>
      </c>
      <c r="K1561" s="38" t="n">
        <f aca="false">J1561+Inputs!$C$10</f>
        <v>0.1039054</v>
      </c>
      <c r="L1561" s="37" t="n">
        <f aca="false">I1561*K1561/C1561</f>
        <v>209.234161643836</v>
      </c>
      <c r="M1561" s="37" t="n">
        <f aca="false">IF(AND(A1561&gt;=Inputs!$C$13,OR(A1561&lt;Inputs!$B$19,Inputs!$B$20=1)),I1561*Inputs!$C$11/C1561,0)</f>
        <v>40.2739726027397</v>
      </c>
    </row>
    <row r="1562" customFormat="false" ht="15" hidden="false" customHeight="false" outlineLevel="0" collapsed="false">
      <c r="A1562" s="35" t="n">
        <f aca="false">A1561+1</f>
        <v>46369</v>
      </c>
      <c r="B1562" s="35" t="n">
        <f aca="false">EOMONTH(A1562+1,0)</f>
        <v>46387</v>
      </c>
      <c r="C1562" s="36" t="n">
        <f aca="false">IF(MOD(YEAR(A1562),4)=0,366,365)</f>
        <v>365</v>
      </c>
      <c r="D1562" s="37" t="n">
        <f aca="false">Inputs!$B$9-SUMIFS(Cash_Events!$G$6:$G$20,Cash_Events!$C$6:$C$20,"rAGMF",Cash_Events!$B$6:$B$20,"&lt;="&amp;A1562)</f>
        <v>735000</v>
      </c>
      <c r="E1562" s="38" t="n">
        <f aca="false">VLOOKUP(A1562,Inputs!$A$40:$B$48,2,TRUE())</f>
        <v>0.0363225</v>
      </c>
      <c r="F1562" s="38" t="n">
        <f aca="false">E1562+Inputs!$B$10</f>
        <v>0.1038225</v>
      </c>
      <c r="G1562" s="37" t="n">
        <f aca="false">D1562*F1562/C1562</f>
        <v>209.067226027397</v>
      </c>
      <c r="H1562" s="37" t="n">
        <f aca="false">IF(AND(A1562&gt;=Inputs!$B$13,OR(A1562&lt;Inputs!$B$19,Inputs!$B$20=1)),D1562*Inputs!$B$11/C1562,0)</f>
        <v>40.2739726027397</v>
      </c>
      <c r="I1562" s="37" t="n">
        <f aca="false">Inputs!$C$9-SUMIFS(Cash_Events!$G$6:$G$20,Cash_Events!$C$6:$C$20,"FHL",Cash_Events!$B$6:$B$20,"&lt;="&amp;A1562)</f>
        <v>735000</v>
      </c>
      <c r="J1562" s="38" t="n">
        <f aca="false">VLOOKUP(A1562,Inputs!$F$40:$G$48,2,TRUE())</f>
        <v>0.0364054</v>
      </c>
      <c r="K1562" s="38" t="n">
        <f aca="false">J1562+Inputs!$C$10</f>
        <v>0.1039054</v>
      </c>
      <c r="L1562" s="37" t="n">
        <f aca="false">I1562*K1562/C1562</f>
        <v>209.234161643836</v>
      </c>
      <c r="M1562" s="37" t="n">
        <f aca="false">IF(AND(A1562&gt;=Inputs!$C$13,OR(A1562&lt;Inputs!$B$19,Inputs!$B$20=1)),I1562*Inputs!$C$11/C1562,0)</f>
        <v>40.2739726027397</v>
      </c>
    </row>
    <row r="1563" customFormat="false" ht="15" hidden="false" customHeight="false" outlineLevel="0" collapsed="false">
      <c r="A1563" s="35" t="n">
        <f aca="false">A1562+1</f>
        <v>46370</v>
      </c>
      <c r="B1563" s="35" t="n">
        <f aca="false">EOMONTH(A1563+1,0)</f>
        <v>46387</v>
      </c>
      <c r="C1563" s="36" t="n">
        <f aca="false">IF(MOD(YEAR(A1563),4)=0,366,365)</f>
        <v>365</v>
      </c>
      <c r="D1563" s="37" t="n">
        <f aca="false">Inputs!$B$9-SUMIFS(Cash_Events!$G$6:$G$20,Cash_Events!$C$6:$C$20,"rAGMF",Cash_Events!$B$6:$B$20,"&lt;="&amp;A1563)</f>
        <v>735000</v>
      </c>
      <c r="E1563" s="38" t="n">
        <f aca="false">VLOOKUP(A1563,Inputs!$A$40:$B$48,2,TRUE())</f>
        <v>0.0363225</v>
      </c>
      <c r="F1563" s="38" t="n">
        <f aca="false">E1563+Inputs!$B$10</f>
        <v>0.1038225</v>
      </c>
      <c r="G1563" s="37" t="n">
        <f aca="false">D1563*F1563/C1563</f>
        <v>209.067226027397</v>
      </c>
      <c r="H1563" s="37" t="n">
        <f aca="false">IF(AND(A1563&gt;=Inputs!$B$13,OR(A1563&lt;Inputs!$B$19,Inputs!$B$20=1)),D1563*Inputs!$B$11/C1563,0)</f>
        <v>40.2739726027397</v>
      </c>
      <c r="I1563" s="37" t="n">
        <f aca="false">Inputs!$C$9-SUMIFS(Cash_Events!$G$6:$G$20,Cash_Events!$C$6:$C$20,"FHL",Cash_Events!$B$6:$B$20,"&lt;="&amp;A1563)</f>
        <v>735000</v>
      </c>
      <c r="J1563" s="38" t="n">
        <f aca="false">VLOOKUP(A1563,Inputs!$F$40:$G$48,2,TRUE())</f>
        <v>0.0364054</v>
      </c>
      <c r="K1563" s="38" t="n">
        <f aca="false">J1563+Inputs!$C$10</f>
        <v>0.1039054</v>
      </c>
      <c r="L1563" s="37" t="n">
        <f aca="false">I1563*K1563/C1563</f>
        <v>209.234161643836</v>
      </c>
      <c r="M1563" s="37" t="n">
        <f aca="false">IF(AND(A1563&gt;=Inputs!$C$13,OR(A1563&lt;Inputs!$B$19,Inputs!$B$20=1)),I1563*Inputs!$C$11/C1563,0)</f>
        <v>40.2739726027397</v>
      </c>
    </row>
    <row r="1564" customFormat="false" ht="15" hidden="false" customHeight="false" outlineLevel="0" collapsed="false">
      <c r="A1564" s="35" t="n">
        <f aca="false">A1563+1</f>
        <v>46371</v>
      </c>
      <c r="B1564" s="35" t="n">
        <f aca="false">EOMONTH(A1564+1,0)</f>
        <v>46387</v>
      </c>
      <c r="C1564" s="36" t="n">
        <f aca="false">IF(MOD(YEAR(A1564),4)=0,366,365)</f>
        <v>365</v>
      </c>
      <c r="D1564" s="37" t="n">
        <f aca="false">Inputs!$B$9-SUMIFS(Cash_Events!$G$6:$G$20,Cash_Events!$C$6:$C$20,"rAGMF",Cash_Events!$B$6:$B$20,"&lt;="&amp;A1564)</f>
        <v>735000</v>
      </c>
      <c r="E1564" s="38" t="n">
        <f aca="false">VLOOKUP(A1564,Inputs!$A$40:$B$48,2,TRUE())</f>
        <v>0.0363225</v>
      </c>
      <c r="F1564" s="38" t="n">
        <f aca="false">E1564+Inputs!$B$10</f>
        <v>0.1038225</v>
      </c>
      <c r="G1564" s="37" t="n">
        <f aca="false">D1564*F1564/C1564</f>
        <v>209.067226027397</v>
      </c>
      <c r="H1564" s="37" t="n">
        <f aca="false">IF(AND(A1564&gt;=Inputs!$B$13,OR(A1564&lt;Inputs!$B$19,Inputs!$B$20=1)),D1564*Inputs!$B$11/C1564,0)</f>
        <v>40.2739726027397</v>
      </c>
      <c r="I1564" s="37" t="n">
        <f aca="false">Inputs!$C$9-SUMIFS(Cash_Events!$G$6:$G$20,Cash_Events!$C$6:$C$20,"FHL",Cash_Events!$B$6:$B$20,"&lt;="&amp;A1564)</f>
        <v>735000</v>
      </c>
      <c r="J1564" s="38" t="n">
        <f aca="false">VLOOKUP(A1564,Inputs!$F$40:$G$48,2,TRUE())</f>
        <v>0.0364054</v>
      </c>
      <c r="K1564" s="38" t="n">
        <f aca="false">J1564+Inputs!$C$10</f>
        <v>0.1039054</v>
      </c>
      <c r="L1564" s="37" t="n">
        <f aca="false">I1564*K1564/C1564</f>
        <v>209.234161643836</v>
      </c>
      <c r="M1564" s="37" t="n">
        <f aca="false">IF(AND(A1564&gt;=Inputs!$C$13,OR(A1564&lt;Inputs!$B$19,Inputs!$B$20=1)),I1564*Inputs!$C$11/C1564,0)</f>
        <v>40.2739726027397</v>
      </c>
    </row>
    <row r="1565" customFormat="false" ht="15" hidden="false" customHeight="false" outlineLevel="0" collapsed="false">
      <c r="A1565" s="35" t="n">
        <f aca="false">A1564+1</f>
        <v>46372</v>
      </c>
      <c r="B1565" s="35" t="n">
        <f aca="false">EOMONTH(A1565+1,0)</f>
        <v>46387</v>
      </c>
      <c r="C1565" s="36" t="n">
        <f aca="false">IF(MOD(YEAR(A1565),4)=0,366,365)</f>
        <v>365</v>
      </c>
      <c r="D1565" s="37" t="n">
        <f aca="false">Inputs!$B$9-SUMIFS(Cash_Events!$G$6:$G$20,Cash_Events!$C$6:$C$20,"rAGMF",Cash_Events!$B$6:$B$20,"&lt;="&amp;A1565)</f>
        <v>735000</v>
      </c>
      <c r="E1565" s="38" t="n">
        <f aca="false">VLOOKUP(A1565,Inputs!$A$40:$B$48,2,TRUE())</f>
        <v>0.0363225</v>
      </c>
      <c r="F1565" s="38" t="n">
        <f aca="false">E1565+Inputs!$B$10</f>
        <v>0.1038225</v>
      </c>
      <c r="G1565" s="37" t="n">
        <f aca="false">D1565*F1565/C1565</f>
        <v>209.067226027397</v>
      </c>
      <c r="H1565" s="37" t="n">
        <f aca="false">IF(AND(A1565&gt;=Inputs!$B$13,OR(A1565&lt;Inputs!$B$19,Inputs!$B$20=1)),D1565*Inputs!$B$11/C1565,0)</f>
        <v>40.2739726027397</v>
      </c>
      <c r="I1565" s="37" t="n">
        <f aca="false">Inputs!$C$9-SUMIFS(Cash_Events!$G$6:$G$20,Cash_Events!$C$6:$C$20,"FHL",Cash_Events!$B$6:$B$20,"&lt;="&amp;A1565)</f>
        <v>735000</v>
      </c>
      <c r="J1565" s="38" t="n">
        <f aca="false">VLOOKUP(A1565,Inputs!$F$40:$G$48,2,TRUE())</f>
        <v>0.0364054</v>
      </c>
      <c r="K1565" s="38" t="n">
        <f aca="false">J1565+Inputs!$C$10</f>
        <v>0.1039054</v>
      </c>
      <c r="L1565" s="37" t="n">
        <f aca="false">I1565*K1565/C1565</f>
        <v>209.234161643836</v>
      </c>
      <c r="M1565" s="37" t="n">
        <f aca="false">IF(AND(A1565&gt;=Inputs!$C$13,OR(A1565&lt;Inputs!$B$19,Inputs!$B$20=1)),I1565*Inputs!$C$11/C1565,0)</f>
        <v>40.2739726027397</v>
      </c>
    </row>
    <row r="1566" customFormat="false" ht="15" hidden="false" customHeight="false" outlineLevel="0" collapsed="false">
      <c r="A1566" s="35" t="n">
        <f aca="false">A1565+1</f>
        <v>46373</v>
      </c>
      <c r="B1566" s="35" t="n">
        <f aca="false">EOMONTH(A1566+1,0)</f>
        <v>46387</v>
      </c>
      <c r="C1566" s="36" t="n">
        <f aca="false">IF(MOD(YEAR(A1566),4)=0,366,365)</f>
        <v>365</v>
      </c>
      <c r="D1566" s="37" t="n">
        <f aca="false">Inputs!$B$9-SUMIFS(Cash_Events!$G$6:$G$20,Cash_Events!$C$6:$C$20,"rAGMF",Cash_Events!$B$6:$B$20,"&lt;="&amp;A1566)</f>
        <v>735000</v>
      </c>
      <c r="E1566" s="38" t="n">
        <f aca="false">VLOOKUP(A1566,Inputs!$A$40:$B$48,2,TRUE())</f>
        <v>0.0363225</v>
      </c>
      <c r="F1566" s="38" t="n">
        <f aca="false">E1566+Inputs!$B$10</f>
        <v>0.1038225</v>
      </c>
      <c r="G1566" s="37" t="n">
        <f aca="false">D1566*F1566/C1566</f>
        <v>209.067226027397</v>
      </c>
      <c r="H1566" s="37" t="n">
        <f aca="false">IF(AND(A1566&gt;=Inputs!$B$13,OR(A1566&lt;Inputs!$B$19,Inputs!$B$20=1)),D1566*Inputs!$B$11/C1566,0)</f>
        <v>40.2739726027397</v>
      </c>
      <c r="I1566" s="37" t="n">
        <f aca="false">Inputs!$C$9-SUMIFS(Cash_Events!$G$6:$G$20,Cash_Events!$C$6:$C$20,"FHL",Cash_Events!$B$6:$B$20,"&lt;="&amp;A1566)</f>
        <v>735000</v>
      </c>
      <c r="J1566" s="38" t="n">
        <f aca="false">VLOOKUP(A1566,Inputs!$F$40:$G$48,2,TRUE())</f>
        <v>0.0364054</v>
      </c>
      <c r="K1566" s="38" t="n">
        <f aca="false">J1566+Inputs!$C$10</f>
        <v>0.1039054</v>
      </c>
      <c r="L1566" s="37" t="n">
        <f aca="false">I1566*K1566/C1566</f>
        <v>209.234161643836</v>
      </c>
      <c r="M1566" s="37" t="n">
        <f aca="false">IF(AND(A1566&gt;=Inputs!$C$13,OR(A1566&lt;Inputs!$B$19,Inputs!$B$20=1)),I1566*Inputs!$C$11/C1566,0)</f>
        <v>40.2739726027397</v>
      </c>
    </row>
    <row r="1567" customFormat="false" ht="15" hidden="false" customHeight="false" outlineLevel="0" collapsed="false">
      <c r="A1567" s="35" t="n">
        <f aca="false">A1566+1</f>
        <v>46374</v>
      </c>
      <c r="B1567" s="35" t="n">
        <f aca="false">EOMONTH(A1567+1,0)</f>
        <v>46387</v>
      </c>
      <c r="C1567" s="36" t="n">
        <f aca="false">IF(MOD(YEAR(A1567),4)=0,366,365)</f>
        <v>365</v>
      </c>
      <c r="D1567" s="37" t="n">
        <f aca="false">Inputs!$B$9-SUMIFS(Cash_Events!$G$6:$G$20,Cash_Events!$C$6:$C$20,"rAGMF",Cash_Events!$B$6:$B$20,"&lt;="&amp;A1567)</f>
        <v>735000</v>
      </c>
      <c r="E1567" s="38" t="n">
        <f aca="false">VLOOKUP(A1567,Inputs!$A$40:$B$48,2,TRUE())</f>
        <v>0.0363225</v>
      </c>
      <c r="F1567" s="38" t="n">
        <f aca="false">E1567+Inputs!$B$10</f>
        <v>0.1038225</v>
      </c>
      <c r="G1567" s="37" t="n">
        <f aca="false">D1567*F1567/C1567</f>
        <v>209.067226027397</v>
      </c>
      <c r="H1567" s="37" t="n">
        <f aca="false">IF(AND(A1567&gt;=Inputs!$B$13,OR(A1567&lt;Inputs!$B$19,Inputs!$B$20=1)),D1567*Inputs!$B$11/C1567,0)</f>
        <v>40.2739726027397</v>
      </c>
      <c r="I1567" s="37" t="n">
        <f aca="false">Inputs!$C$9-SUMIFS(Cash_Events!$G$6:$G$20,Cash_Events!$C$6:$C$20,"FHL",Cash_Events!$B$6:$B$20,"&lt;="&amp;A1567)</f>
        <v>735000</v>
      </c>
      <c r="J1567" s="38" t="n">
        <f aca="false">VLOOKUP(A1567,Inputs!$F$40:$G$48,2,TRUE())</f>
        <v>0.0364054</v>
      </c>
      <c r="K1567" s="38" t="n">
        <f aca="false">J1567+Inputs!$C$10</f>
        <v>0.1039054</v>
      </c>
      <c r="L1567" s="37" t="n">
        <f aca="false">I1567*K1567/C1567</f>
        <v>209.234161643836</v>
      </c>
      <c r="M1567" s="37" t="n">
        <f aca="false">IF(AND(A1567&gt;=Inputs!$C$13,OR(A1567&lt;Inputs!$B$19,Inputs!$B$20=1)),I1567*Inputs!$C$11/C1567,0)</f>
        <v>40.2739726027397</v>
      </c>
    </row>
    <row r="1568" customFormat="false" ht="15" hidden="false" customHeight="false" outlineLevel="0" collapsed="false">
      <c r="A1568" s="35" t="n">
        <f aca="false">A1567+1</f>
        <v>46375</v>
      </c>
      <c r="B1568" s="35" t="n">
        <f aca="false">EOMONTH(A1568+1,0)</f>
        <v>46387</v>
      </c>
      <c r="C1568" s="36" t="n">
        <f aca="false">IF(MOD(YEAR(A1568),4)=0,366,365)</f>
        <v>365</v>
      </c>
      <c r="D1568" s="37" t="n">
        <f aca="false">Inputs!$B$9-SUMIFS(Cash_Events!$G$6:$G$20,Cash_Events!$C$6:$C$20,"rAGMF",Cash_Events!$B$6:$B$20,"&lt;="&amp;A1568)</f>
        <v>735000</v>
      </c>
      <c r="E1568" s="38" t="n">
        <f aca="false">VLOOKUP(A1568,Inputs!$A$40:$B$48,2,TRUE())</f>
        <v>0.0363225</v>
      </c>
      <c r="F1568" s="38" t="n">
        <f aca="false">E1568+Inputs!$B$10</f>
        <v>0.1038225</v>
      </c>
      <c r="G1568" s="37" t="n">
        <f aca="false">D1568*F1568/C1568</f>
        <v>209.067226027397</v>
      </c>
      <c r="H1568" s="37" t="n">
        <f aca="false">IF(AND(A1568&gt;=Inputs!$B$13,OR(A1568&lt;Inputs!$B$19,Inputs!$B$20=1)),D1568*Inputs!$B$11/C1568,0)</f>
        <v>40.2739726027397</v>
      </c>
      <c r="I1568" s="37" t="n">
        <f aca="false">Inputs!$C$9-SUMIFS(Cash_Events!$G$6:$G$20,Cash_Events!$C$6:$C$20,"FHL",Cash_Events!$B$6:$B$20,"&lt;="&amp;A1568)</f>
        <v>735000</v>
      </c>
      <c r="J1568" s="38" t="n">
        <f aca="false">VLOOKUP(A1568,Inputs!$F$40:$G$48,2,TRUE())</f>
        <v>0.0364054</v>
      </c>
      <c r="K1568" s="38" t="n">
        <f aca="false">J1568+Inputs!$C$10</f>
        <v>0.1039054</v>
      </c>
      <c r="L1568" s="37" t="n">
        <f aca="false">I1568*K1568/C1568</f>
        <v>209.234161643836</v>
      </c>
      <c r="M1568" s="37" t="n">
        <f aca="false">IF(AND(A1568&gt;=Inputs!$C$13,OR(A1568&lt;Inputs!$B$19,Inputs!$B$20=1)),I1568*Inputs!$C$11/C1568,0)</f>
        <v>40.2739726027397</v>
      </c>
    </row>
    <row r="1569" customFormat="false" ht="15" hidden="false" customHeight="false" outlineLevel="0" collapsed="false">
      <c r="A1569" s="35" t="n">
        <f aca="false">A1568+1</f>
        <v>46376</v>
      </c>
      <c r="B1569" s="35" t="n">
        <f aca="false">EOMONTH(A1569+1,0)</f>
        <v>46387</v>
      </c>
      <c r="C1569" s="36" t="n">
        <f aca="false">IF(MOD(YEAR(A1569),4)=0,366,365)</f>
        <v>365</v>
      </c>
      <c r="D1569" s="37" t="n">
        <f aca="false">Inputs!$B$9-SUMIFS(Cash_Events!$G$6:$G$20,Cash_Events!$C$6:$C$20,"rAGMF",Cash_Events!$B$6:$B$20,"&lt;="&amp;A1569)</f>
        <v>735000</v>
      </c>
      <c r="E1569" s="38" t="n">
        <f aca="false">VLOOKUP(A1569,Inputs!$A$40:$B$48,2,TRUE())</f>
        <v>0.0363225</v>
      </c>
      <c r="F1569" s="38" t="n">
        <f aca="false">E1569+Inputs!$B$10</f>
        <v>0.1038225</v>
      </c>
      <c r="G1569" s="37" t="n">
        <f aca="false">D1569*F1569/C1569</f>
        <v>209.067226027397</v>
      </c>
      <c r="H1569" s="37" t="n">
        <f aca="false">IF(AND(A1569&gt;=Inputs!$B$13,OR(A1569&lt;Inputs!$B$19,Inputs!$B$20=1)),D1569*Inputs!$B$11/C1569,0)</f>
        <v>40.2739726027397</v>
      </c>
      <c r="I1569" s="37" t="n">
        <f aca="false">Inputs!$C$9-SUMIFS(Cash_Events!$G$6:$G$20,Cash_Events!$C$6:$C$20,"FHL",Cash_Events!$B$6:$B$20,"&lt;="&amp;A1569)</f>
        <v>735000</v>
      </c>
      <c r="J1569" s="38" t="n">
        <f aca="false">VLOOKUP(A1569,Inputs!$F$40:$G$48,2,TRUE())</f>
        <v>0.0364054</v>
      </c>
      <c r="K1569" s="38" t="n">
        <f aca="false">J1569+Inputs!$C$10</f>
        <v>0.1039054</v>
      </c>
      <c r="L1569" s="37" t="n">
        <f aca="false">I1569*K1569/C1569</f>
        <v>209.234161643836</v>
      </c>
      <c r="M1569" s="37" t="n">
        <f aca="false">IF(AND(A1569&gt;=Inputs!$C$13,OR(A1569&lt;Inputs!$B$19,Inputs!$B$20=1)),I1569*Inputs!$C$11/C1569,0)</f>
        <v>40.2739726027397</v>
      </c>
    </row>
    <row r="1570" customFormat="false" ht="15" hidden="false" customHeight="false" outlineLevel="0" collapsed="false">
      <c r="A1570" s="35" t="n">
        <f aca="false">A1569+1</f>
        <v>46377</v>
      </c>
      <c r="B1570" s="35" t="n">
        <f aca="false">EOMONTH(A1570+1,0)</f>
        <v>46387</v>
      </c>
      <c r="C1570" s="36" t="n">
        <f aca="false">IF(MOD(YEAR(A1570),4)=0,366,365)</f>
        <v>365</v>
      </c>
      <c r="D1570" s="37" t="n">
        <f aca="false">Inputs!$B$9-SUMIFS(Cash_Events!$G$6:$G$20,Cash_Events!$C$6:$C$20,"rAGMF",Cash_Events!$B$6:$B$20,"&lt;="&amp;A1570)</f>
        <v>735000</v>
      </c>
      <c r="E1570" s="38" t="n">
        <f aca="false">VLOOKUP(A1570,Inputs!$A$40:$B$48,2,TRUE())</f>
        <v>0.0363225</v>
      </c>
      <c r="F1570" s="38" t="n">
        <f aca="false">E1570+Inputs!$B$10</f>
        <v>0.1038225</v>
      </c>
      <c r="G1570" s="37" t="n">
        <f aca="false">D1570*F1570/C1570</f>
        <v>209.067226027397</v>
      </c>
      <c r="H1570" s="37" t="n">
        <f aca="false">IF(AND(A1570&gt;=Inputs!$B$13,OR(A1570&lt;Inputs!$B$19,Inputs!$B$20=1)),D1570*Inputs!$B$11/C1570,0)</f>
        <v>40.2739726027397</v>
      </c>
      <c r="I1570" s="37" t="n">
        <f aca="false">Inputs!$C$9-SUMIFS(Cash_Events!$G$6:$G$20,Cash_Events!$C$6:$C$20,"FHL",Cash_Events!$B$6:$B$20,"&lt;="&amp;A1570)</f>
        <v>735000</v>
      </c>
      <c r="J1570" s="38" t="n">
        <f aca="false">VLOOKUP(A1570,Inputs!$F$40:$G$48,2,TRUE())</f>
        <v>0.0364054</v>
      </c>
      <c r="K1570" s="38" t="n">
        <f aca="false">J1570+Inputs!$C$10</f>
        <v>0.1039054</v>
      </c>
      <c r="L1570" s="37" t="n">
        <f aca="false">I1570*K1570/C1570</f>
        <v>209.234161643836</v>
      </c>
      <c r="M1570" s="37" t="n">
        <f aca="false">IF(AND(A1570&gt;=Inputs!$C$13,OR(A1570&lt;Inputs!$B$19,Inputs!$B$20=1)),I1570*Inputs!$C$11/C1570,0)</f>
        <v>40.2739726027397</v>
      </c>
    </row>
    <row r="1571" customFormat="false" ht="15" hidden="false" customHeight="false" outlineLevel="0" collapsed="false">
      <c r="A1571" s="35" t="n">
        <f aca="false">A1570+1</f>
        <v>46378</v>
      </c>
      <c r="B1571" s="35" t="n">
        <f aca="false">EOMONTH(A1571+1,0)</f>
        <v>46387</v>
      </c>
      <c r="C1571" s="36" t="n">
        <f aca="false">IF(MOD(YEAR(A1571),4)=0,366,365)</f>
        <v>365</v>
      </c>
      <c r="D1571" s="37" t="n">
        <f aca="false">Inputs!$B$9-SUMIFS(Cash_Events!$G$6:$G$20,Cash_Events!$C$6:$C$20,"rAGMF",Cash_Events!$B$6:$B$20,"&lt;="&amp;A1571)</f>
        <v>735000</v>
      </c>
      <c r="E1571" s="38" t="n">
        <f aca="false">VLOOKUP(A1571,Inputs!$A$40:$B$48,2,TRUE())</f>
        <v>0.0363225</v>
      </c>
      <c r="F1571" s="38" t="n">
        <f aca="false">E1571+Inputs!$B$10</f>
        <v>0.1038225</v>
      </c>
      <c r="G1571" s="37" t="n">
        <f aca="false">D1571*F1571/C1571</f>
        <v>209.067226027397</v>
      </c>
      <c r="H1571" s="37" t="n">
        <f aca="false">IF(AND(A1571&gt;=Inputs!$B$13,OR(A1571&lt;Inputs!$B$19,Inputs!$B$20=1)),D1571*Inputs!$B$11/C1571,0)</f>
        <v>40.2739726027397</v>
      </c>
      <c r="I1571" s="37" t="n">
        <f aca="false">Inputs!$C$9-SUMIFS(Cash_Events!$G$6:$G$20,Cash_Events!$C$6:$C$20,"FHL",Cash_Events!$B$6:$B$20,"&lt;="&amp;A1571)</f>
        <v>735000</v>
      </c>
      <c r="J1571" s="38" t="n">
        <f aca="false">VLOOKUP(A1571,Inputs!$F$40:$G$48,2,TRUE())</f>
        <v>0.0364054</v>
      </c>
      <c r="K1571" s="38" t="n">
        <f aca="false">J1571+Inputs!$C$10</f>
        <v>0.1039054</v>
      </c>
      <c r="L1571" s="37" t="n">
        <f aca="false">I1571*K1571/C1571</f>
        <v>209.234161643836</v>
      </c>
      <c r="M1571" s="37" t="n">
        <f aca="false">IF(AND(A1571&gt;=Inputs!$C$13,OR(A1571&lt;Inputs!$B$19,Inputs!$B$20=1)),I1571*Inputs!$C$11/C1571,0)</f>
        <v>40.2739726027397</v>
      </c>
    </row>
    <row r="1572" customFormat="false" ht="15" hidden="false" customHeight="false" outlineLevel="0" collapsed="false">
      <c r="A1572" s="35" t="n">
        <f aca="false">A1571+1</f>
        <v>46379</v>
      </c>
      <c r="B1572" s="35" t="n">
        <f aca="false">EOMONTH(A1572+1,0)</f>
        <v>46387</v>
      </c>
      <c r="C1572" s="36" t="n">
        <f aca="false">IF(MOD(YEAR(A1572),4)=0,366,365)</f>
        <v>365</v>
      </c>
      <c r="D1572" s="37" t="n">
        <f aca="false">Inputs!$B$9-SUMIFS(Cash_Events!$G$6:$G$20,Cash_Events!$C$6:$C$20,"rAGMF",Cash_Events!$B$6:$B$20,"&lt;="&amp;A1572)</f>
        <v>735000</v>
      </c>
      <c r="E1572" s="38" t="n">
        <f aca="false">VLOOKUP(A1572,Inputs!$A$40:$B$48,2,TRUE())</f>
        <v>0.0363225</v>
      </c>
      <c r="F1572" s="38" t="n">
        <f aca="false">E1572+Inputs!$B$10</f>
        <v>0.1038225</v>
      </c>
      <c r="G1572" s="37" t="n">
        <f aca="false">D1572*F1572/C1572</f>
        <v>209.067226027397</v>
      </c>
      <c r="H1572" s="37" t="n">
        <f aca="false">IF(AND(A1572&gt;=Inputs!$B$13,OR(A1572&lt;Inputs!$B$19,Inputs!$B$20=1)),D1572*Inputs!$B$11/C1572,0)</f>
        <v>40.2739726027397</v>
      </c>
      <c r="I1572" s="37" t="n">
        <f aca="false">Inputs!$C$9-SUMIFS(Cash_Events!$G$6:$G$20,Cash_Events!$C$6:$C$20,"FHL",Cash_Events!$B$6:$B$20,"&lt;="&amp;A1572)</f>
        <v>735000</v>
      </c>
      <c r="J1572" s="38" t="n">
        <f aca="false">VLOOKUP(A1572,Inputs!$F$40:$G$48,2,TRUE())</f>
        <v>0.0364054</v>
      </c>
      <c r="K1572" s="38" t="n">
        <f aca="false">J1572+Inputs!$C$10</f>
        <v>0.1039054</v>
      </c>
      <c r="L1572" s="37" t="n">
        <f aca="false">I1572*K1572/C1572</f>
        <v>209.234161643836</v>
      </c>
      <c r="M1572" s="37" t="n">
        <f aca="false">IF(AND(A1572&gt;=Inputs!$C$13,OR(A1572&lt;Inputs!$B$19,Inputs!$B$20=1)),I1572*Inputs!$C$11/C1572,0)</f>
        <v>40.2739726027397</v>
      </c>
    </row>
    <row r="1573" customFormat="false" ht="15" hidden="false" customHeight="false" outlineLevel="0" collapsed="false">
      <c r="A1573" s="35" t="n">
        <f aca="false">A1572+1</f>
        <v>46380</v>
      </c>
      <c r="B1573" s="35" t="n">
        <f aca="false">EOMONTH(A1573+1,0)</f>
        <v>46387</v>
      </c>
      <c r="C1573" s="36" t="n">
        <f aca="false">IF(MOD(YEAR(A1573),4)=0,366,365)</f>
        <v>365</v>
      </c>
      <c r="D1573" s="37" t="n">
        <f aca="false">Inputs!$B$9-SUMIFS(Cash_Events!$G$6:$G$20,Cash_Events!$C$6:$C$20,"rAGMF",Cash_Events!$B$6:$B$20,"&lt;="&amp;A1573)</f>
        <v>735000</v>
      </c>
      <c r="E1573" s="38" t="n">
        <f aca="false">VLOOKUP(A1573,Inputs!$A$40:$B$48,2,TRUE())</f>
        <v>0.0363225</v>
      </c>
      <c r="F1573" s="38" t="n">
        <f aca="false">E1573+Inputs!$B$10</f>
        <v>0.1038225</v>
      </c>
      <c r="G1573" s="37" t="n">
        <f aca="false">D1573*F1573/C1573</f>
        <v>209.067226027397</v>
      </c>
      <c r="H1573" s="37" t="n">
        <f aca="false">IF(AND(A1573&gt;=Inputs!$B$13,OR(A1573&lt;Inputs!$B$19,Inputs!$B$20=1)),D1573*Inputs!$B$11/C1573,0)</f>
        <v>40.2739726027397</v>
      </c>
      <c r="I1573" s="37" t="n">
        <f aca="false">Inputs!$C$9-SUMIFS(Cash_Events!$G$6:$G$20,Cash_Events!$C$6:$C$20,"FHL",Cash_Events!$B$6:$B$20,"&lt;="&amp;A1573)</f>
        <v>735000</v>
      </c>
      <c r="J1573" s="38" t="n">
        <f aca="false">VLOOKUP(A1573,Inputs!$F$40:$G$48,2,TRUE())</f>
        <v>0.0364054</v>
      </c>
      <c r="K1573" s="38" t="n">
        <f aca="false">J1573+Inputs!$C$10</f>
        <v>0.1039054</v>
      </c>
      <c r="L1573" s="37" t="n">
        <f aca="false">I1573*K1573/C1573</f>
        <v>209.234161643836</v>
      </c>
      <c r="M1573" s="37" t="n">
        <f aca="false">IF(AND(A1573&gt;=Inputs!$C$13,OR(A1573&lt;Inputs!$B$19,Inputs!$B$20=1)),I1573*Inputs!$C$11/C1573,0)</f>
        <v>40.2739726027397</v>
      </c>
    </row>
    <row r="1574" customFormat="false" ht="15" hidden="false" customHeight="false" outlineLevel="0" collapsed="false">
      <c r="A1574" s="35" t="n">
        <f aca="false">A1573+1</f>
        <v>46381</v>
      </c>
      <c r="B1574" s="35" t="n">
        <f aca="false">EOMONTH(A1574+1,0)</f>
        <v>46387</v>
      </c>
      <c r="C1574" s="36" t="n">
        <f aca="false">IF(MOD(YEAR(A1574),4)=0,366,365)</f>
        <v>365</v>
      </c>
      <c r="D1574" s="37" t="n">
        <f aca="false">Inputs!$B$9-SUMIFS(Cash_Events!$G$6:$G$20,Cash_Events!$C$6:$C$20,"rAGMF",Cash_Events!$B$6:$B$20,"&lt;="&amp;A1574)</f>
        <v>735000</v>
      </c>
      <c r="E1574" s="38" t="n">
        <f aca="false">VLOOKUP(A1574,Inputs!$A$40:$B$48,2,TRUE())</f>
        <v>0.0363225</v>
      </c>
      <c r="F1574" s="38" t="n">
        <f aca="false">E1574+Inputs!$B$10</f>
        <v>0.1038225</v>
      </c>
      <c r="G1574" s="37" t="n">
        <f aca="false">D1574*F1574/C1574</f>
        <v>209.067226027397</v>
      </c>
      <c r="H1574" s="37" t="n">
        <f aca="false">IF(AND(A1574&gt;=Inputs!$B$13,OR(A1574&lt;Inputs!$B$19,Inputs!$B$20=1)),D1574*Inputs!$B$11/C1574,0)</f>
        <v>40.2739726027397</v>
      </c>
      <c r="I1574" s="37" t="n">
        <f aca="false">Inputs!$C$9-SUMIFS(Cash_Events!$G$6:$G$20,Cash_Events!$C$6:$C$20,"FHL",Cash_Events!$B$6:$B$20,"&lt;="&amp;A1574)</f>
        <v>735000</v>
      </c>
      <c r="J1574" s="38" t="n">
        <f aca="false">VLOOKUP(A1574,Inputs!$F$40:$G$48,2,TRUE())</f>
        <v>0.0364054</v>
      </c>
      <c r="K1574" s="38" t="n">
        <f aca="false">J1574+Inputs!$C$10</f>
        <v>0.1039054</v>
      </c>
      <c r="L1574" s="37" t="n">
        <f aca="false">I1574*K1574/C1574</f>
        <v>209.234161643836</v>
      </c>
      <c r="M1574" s="37" t="n">
        <f aca="false">IF(AND(A1574&gt;=Inputs!$C$13,OR(A1574&lt;Inputs!$B$19,Inputs!$B$20=1)),I1574*Inputs!$C$11/C1574,0)</f>
        <v>40.2739726027397</v>
      </c>
    </row>
    <row r="1575" customFormat="false" ht="15" hidden="false" customHeight="false" outlineLevel="0" collapsed="false">
      <c r="A1575" s="35" t="n">
        <f aca="false">A1574+1</f>
        <v>46382</v>
      </c>
      <c r="B1575" s="35" t="n">
        <f aca="false">EOMONTH(A1575+1,0)</f>
        <v>46387</v>
      </c>
      <c r="C1575" s="36" t="n">
        <f aca="false">IF(MOD(YEAR(A1575),4)=0,366,365)</f>
        <v>365</v>
      </c>
      <c r="D1575" s="37" t="n">
        <f aca="false">Inputs!$B$9-SUMIFS(Cash_Events!$G$6:$G$20,Cash_Events!$C$6:$C$20,"rAGMF",Cash_Events!$B$6:$B$20,"&lt;="&amp;A1575)</f>
        <v>735000</v>
      </c>
      <c r="E1575" s="38" t="n">
        <f aca="false">VLOOKUP(A1575,Inputs!$A$40:$B$48,2,TRUE())</f>
        <v>0.0363225</v>
      </c>
      <c r="F1575" s="38" t="n">
        <f aca="false">E1575+Inputs!$B$10</f>
        <v>0.1038225</v>
      </c>
      <c r="G1575" s="37" t="n">
        <f aca="false">D1575*F1575/C1575</f>
        <v>209.067226027397</v>
      </c>
      <c r="H1575" s="37" t="n">
        <f aca="false">IF(AND(A1575&gt;=Inputs!$B$13,OR(A1575&lt;Inputs!$B$19,Inputs!$B$20=1)),D1575*Inputs!$B$11/C1575,0)</f>
        <v>40.2739726027397</v>
      </c>
      <c r="I1575" s="37" t="n">
        <f aca="false">Inputs!$C$9-SUMIFS(Cash_Events!$G$6:$G$20,Cash_Events!$C$6:$C$20,"FHL",Cash_Events!$B$6:$B$20,"&lt;="&amp;A1575)</f>
        <v>735000</v>
      </c>
      <c r="J1575" s="38" t="n">
        <f aca="false">VLOOKUP(A1575,Inputs!$F$40:$G$48,2,TRUE())</f>
        <v>0.0364054</v>
      </c>
      <c r="K1575" s="38" t="n">
        <f aca="false">J1575+Inputs!$C$10</f>
        <v>0.1039054</v>
      </c>
      <c r="L1575" s="37" t="n">
        <f aca="false">I1575*K1575/C1575</f>
        <v>209.234161643836</v>
      </c>
      <c r="M1575" s="37" t="n">
        <f aca="false">IF(AND(A1575&gt;=Inputs!$C$13,OR(A1575&lt;Inputs!$B$19,Inputs!$B$20=1)),I1575*Inputs!$C$11/C1575,0)</f>
        <v>40.2739726027397</v>
      </c>
    </row>
    <row r="1576" customFormat="false" ht="15" hidden="false" customHeight="false" outlineLevel="0" collapsed="false">
      <c r="A1576" s="35" t="n">
        <f aca="false">A1575+1</f>
        <v>46383</v>
      </c>
      <c r="B1576" s="35" t="n">
        <f aca="false">EOMONTH(A1576+1,0)</f>
        <v>46387</v>
      </c>
      <c r="C1576" s="36" t="n">
        <f aca="false">IF(MOD(YEAR(A1576),4)=0,366,365)</f>
        <v>365</v>
      </c>
      <c r="D1576" s="37" t="n">
        <f aca="false">Inputs!$B$9-SUMIFS(Cash_Events!$G$6:$G$20,Cash_Events!$C$6:$C$20,"rAGMF",Cash_Events!$B$6:$B$20,"&lt;="&amp;A1576)</f>
        <v>735000</v>
      </c>
      <c r="E1576" s="38" t="n">
        <f aca="false">VLOOKUP(A1576,Inputs!$A$40:$B$48,2,TRUE())</f>
        <v>0.0363225</v>
      </c>
      <c r="F1576" s="38" t="n">
        <f aca="false">E1576+Inputs!$B$10</f>
        <v>0.1038225</v>
      </c>
      <c r="G1576" s="37" t="n">
        <f aca="false">D1576*F1576/C1576</f>
        <v>209.067226027397</v>
      </c>
      <c r="H1576" s="37" t="n">
        <f aca="false">IF(AND(A1576&gt;=Inputs!$B$13,OR(A1576&lt;Inputs!$B$19,Inputs!$B$20=1)),D1576*Inputs!$B$11/C1576,0)</f>
        <v>40.2739726027397</v>
      </c>
      <c r="I1576" s="37" t="n">
        <f aca="false">Inputs!$C$9-SUMIFS(Cash_Events!$G$6:$G$20,Cash_Events!$C$6:$C$20,"FHL",Cash_Events!$B$6:$B$20,"&lt;="&amp;A1576)</f>
        <v>735000</v>
      </c>
      <c r="J1576" s="38" t="n">
        <f aca="false">VLOOKUP(A1576,Inputs!$F$40:$G$48,2,TRUE())</f>
        <v>0.0364054</v>
      </c>
      <c r="K1576" s="38" t="n">
        <f aca="false">J1576+Inputs!$C$10</f>
        <v>0.1039054</v>
      </c>
      <c r="L1576" s="37" t="n">
        <f aca="false">I1576*K1576/C1576</f>
        <v>209.234161643836</v>
      </c>
      <c r="M1576" s="37" t="n">
        <f aca="false">IF(AND(A1576&gt;=Inputs!$C$13,OR(A1576&lt;Inputs!$B$19,Inputs!$B$20=1)),I1576*Inputs!$C$11/C1576,0)</f>
        <v>40.2739726027397</v>
      </c>
    </row>
    <row r="1577" customFormat="false" ht="15" hidden="false" customHeight="false" outlineLevel="0" collapsed="false">
      <c r="A1577" s="35" t="n">
        <f aca="false">A1576+1</f>
        <v>46384</v>
      </c>
      <c r="B1577" s="35" t="n">
        <f aca="false">EOMONTH(A1577+1,0)</f>
        <v>46387</v>
      </c>
      <c r="C1577" s="36" t="n">
        <f aca="false">IF(MOD(YEAR(A1577),4)=0,366,365)</f>
        <v>365</v>
      </c>
      <c r="D1577" s="37" t="n">
        <f aca="false">Inputs!$B$9-SUMIFS(Cash_Events!$G$6:$G$20,Cash_Events!$C$6:$C$20,"rAGMF",Cash_Events!$B$6:$B$20,"&lt;="&amp;A1577)</f>
        <v>735000</v>
      </c>
      <c r="E1577" s="38" t="n">
        <f aca="false">VLOOKUP(A1577,Inputs!$A$40:$B$48,2,TRUE())</f>
        <v>0.0363225</v>
      </c>
      <c r="F1577" s="38" t="n">
        <f aca="false">E1577+Inputs!$B$10</f>
        <v>0.1038225</v>
      </c>
      <c r="G1577" s="37" t="n">
        <f aca="false">D1577*F1577/C1577</f>
        <v>209.067226027397</v>
      </c>
      <c r="H1577" s="37" t="n">
        <f aca="false">IF(AND(A1577&gt;=Inputs!$B$13,OR(A1577&lt;Inputs!$B$19,Inputs!$B$20=1)),D1577*Inputs!$B$11/C1577,0)</f>
        <v>40.2739726027397</v>
      </c>
      <c r="I1577" s="37" t="n">
        <f aca="false">Inputs!$C$9-SUMIFS(Cash_Events!$G$6:$G$20,Cash_Events!$C$6:$C$20,"FHL",Cash_Events!$B$6:$B$20,"&lt;="&amp;A1577)</f>
        <v>735000</v>
      </c>
      <c r="J1577" s="38" t="n">
        <f aca="false">VLOOKUP(A1577,Inputs!$F$40:$G$48,2,TRUE())</f>
        <v>0.0364054</v>
      </c>
      <c r="K1577" s="38" t="n">
        <f aca="false">J1577+Inputs!$C$10</f>
        <v>0.1039054</v>
      </c>
      <c r="L1577" s="37" t="n">
        <f aca="false">I1577*K1577/C1577</f>
        <v>209.234161643836</v>
      </c>
      <c r="M1577" s="37" t="n">
        <f aca="false">IF(AND(A1577&gt;=Inputs!$C$13,OR(A1577&lt;Inputs!$B$19,Inputs!$B$20=1)),I1577*Inputs!$C$11/C1577,0)</f>
        <v>40.2739726027397</v>
      </c>
    </row>
    <row r="1578" customFormat="false" ht="15" hidden="false" customHeight="false" outlineLevel="0" collapsed="false">
      <c r="A1578" s="35" t="n">
        <f aca="false">A1577+1</f>
        <v>46385</v>
      </c>
      <c r="B1578" s="35" t="n">
        <f aca="false">EOMONTH(A1578+1,0)</f>
        <v>46387</v>
      </c>
      <c r="C1578" s="36" t="n">
        <f aca="false">IF(MOD(YEAR(A1578),4)=0,366,365)</f>
        <v>365</v>
      </c>
      <c r="D1578" s="37" t="n">
        <f aca="false">Inputs!$B$9-SUMIFS(Cash_Events!$G$6:$G$20,Cash_Events!$C$6:$C$20,"rAGMF",Cash_Events!$B$6:$B$20,"&lt;="&amp;A1578)</f>
        <v>735000</v>
      </c>
      <c r="E1578" s="38" t="n">
        <f aca="false">VLOOKUP(A1578,Inputs!$A$40:$B$48,2,TRUE())</f>
        <v>0.0363225</v>
      </c>
      <c r="F1578" s="38" t="n">
        <f aca="false">E1578+Inputs!$B$10</f>
        <v>0.1038225</v>
      </c>
      <c r="G1578" s="37" t="n">
        <f aca="false">D1578*F1578/C1578</f>
        <v>209.067226027397</v>
      </c>
      <c r="H1578" s="37" t="n">
        <f aca="false">IF(AND(A1578&gt;=Inputs!$B$13,OR(A1578&lt;Inputs!$B$19,Inputs!$B$20=1)),D1578*Inputs!$B$11/C1578,0)</f>
        <v>40.2739726027397</v>
      </c>
      <c r="I1578" s="37" t="n">
        <f aca="false">Inputs!$C$9-SUMIFS(Cash_Events!$G$6:$G$20,Cash_Events!$C$6:$C$20,"FHL",Cash_Events!$B$6:$B$20,"&lt;="&amp;A1578)</f>
        <v>735000</v>
      </c>
      <c r="J1578" s="38" t="n">
        <f aca="false">VLOOKUP(A1578,Inputs!$F$40:$G$48,2,TRUE())</f>
        <v>0.0364054</v>
      </c>
      <c r="K1578" s="38" t="n">
        <f aca="false">J1578+Inputs!$C$10</f>
        <v>0.1039054</v>
      </c>
      <c r="L1578" s="37" t="n">
        <f aca="false">I1578*K1578/C1578</f>
        <v>209.234161643836</v>
      </c>
      <c r="M1578" s="37" t="n">
        <f aca="false">IF(AND(A1578&gt;=Inputs!$C$13,OR(A1578&lt;Inputs!$B$19,Inputs!$B$20=1)),I1578*Inputs!$C$11/C1578,0)</f>
        <v>40.2739726027397</v>
      </c>
    </row>
    <row r="1579" customFormat="false" ht="15" hidden="false" customHeight="false" outlineLevel="0" collapsed="false">
      <c r="A1579" s="35" t="n">
        <f aca="false">A1578+1</f>
        <v>46386</v>
      </c>
      <c r="B1579" s="35" t="n">
        <f aca="false">EOMONTH(A1579+1,0)</f>
        <v>46387</v>
      </c>
      <c r="C1579" s="36" t="n">
        <f aca="false">IF(MOD(YEAR(A1579),4)=0,366,365)</f>
        <v>365</v>
      </c>
      <c r="D1579" s="37" t="n">
        <f aca="false">Inputs!$B$9-SUMIFS(Cash_Events!$G$6:$G$20,Cash_Events!$C$6:$C$20,"rAGMF",Cash_Events!$B$6:$B$20,"&lt;="&amp;A1579)</f>
        <v>735000</v>
      </c>
      <c r="E1579" s="38" t="n">
        <f aca="false">VLOOKUP(A1579,Inputs!$A$40:$B$48,2,TRUE())</f>
        <v>0.0363225</v>
      </c>
      <c r="F1579" s="38" t="n">
        <f aca="false">E1579+Inputs!$B$10</f>
        <v>0.1038225</v>
      </c>
      <c r="G1579" s="37" t="n">
        <f aca="false">D1579*F1579/C1579</f>
        <v>209.067226027397</v>
      </c>
      <c r="H1579" s="37" t="n">
        <f aca="false">IF(AND(A1579&gt;=Inputs!$B$13,OR(A1579&lt;Inputs!$B$19,Inputs!$B$20=1)),D1579*Inputs!$B$11/C1579,0)</f>
        <v>40.2739726027397</v>
      </c>
      <c r="I1579" s="37" t="n">
        <f aca="false">Inputs!$C$9-SUMIFS(Cash_Events!$G$6:$G$20,Cash_Events!$C$6:$C$20,"FHL",Cash_Events!$B$6:$B$20,"&lt;="&amp;A1579)</f>
        <v>735000</v>
      </c>
      <c r="J1579" s="38" t="n">
        <f aca="false">VLOOKUP(A1579,Inputs!$F$40:$G$48,2,TRUE())</f>
        <v>0.0364054</v>
      </c>
      <c r="K1579" s="38" t="n">
        <f aca="false">J1579+Inputs!$C$10</f>
        <v>0.1039054</v>
      </c>
      <c r="L1579" s="37" t="n">
        <f aca="false">I1579*K1579/C1579</f>
        <v>209.234161643836</v>
      </c>
      <c r="M1579" s="37" t="n">
        <f aca="false">IF(AND(A1579&gt;=Inputs!$C$13,OR(A1579&lt;Inputs!$B$19,Inputs!$B$20=1)),I1579*Inputs!$C$11/C1579,0)</f>
        <v>40.2739726027397</v>
      </c>
    </row>
    <row r="1580" customFormat="false" ht="15" hidden="false" customHeight="false" outlineLevel="0" collapsed="false">
      <c r="A1580" s="35" t="n">
        <f aca="false">A1579+1</f>
        <v>46387</v>
      </c>
      <c r="B1580" s="35" t="n">
        <f aca="false">EOMONTH(A1580+1,0)</f>
        <v>46418</v>
      </c>
      <c r="C1580" s="36" t="n">
        <f aca="false">IF(MOD(YEAR(A1580),4)=0,366,365)</f>
        <v>365</v>
      </c>
      <c r="D1580" s="37" t="n">
        <f aca="false">Inputs!$B$9-SUMIFS(Cash_Events!$G$6:$G$20,Cash_Events!$C$6:$C$20,"rAGMF",Cash_Events!$B$6:$B$20,"&lt;="&amp;A1580)</f>
        <v>735000</v>
      </c>
      <c r="E1580" s="38" t="n">
        <f aca="false">VLOOKUP(A1580,Inputs!$A$40:$B$48,2,TRUE())</f>
        <v>0.0363225</v>
      </c>
      <c r="F1580" s="38" t="n">
        <f aca="false">E1580+Inputs!$B$10</f>
        <v>0.1038225</v>
      </c>
      <c r="G1580" s="37" t="n">
        <f aca="false">D1580*F1580/C1580</f>
        <v>209.067226027397</v>
      </c>
      <c r="H1580" s="37" t="n">
        <f aca="false">IF(AND(A1580&gt;=Inputs!$B$13,OR(A1580&lt;Inputs!$B$19,Inputs!$B$20=1)),D1580*Inputs!$B$11/C1580,0)</f>
        <v>40.2739726027397</v>
      </c>
      <c r="I1580" s="37" t="n">
        <f aca="false">Inputs!$C$9-SUMIFS(Cash_Events!$G$6:$G$20,Cash_Events!$C$6:$C$20,"FHL",Cash_Events!$B$6:$B$20,"&lt;="&amp;A1580)</f>
        <v>735000</v>
      </c>
      <c r="J1580" s="38" t="n">
        <f aca="false">VLOOKUP(A1580,Inputs!$F$40:$G$48,2,TRUE())</f>
        <v>0.0364054</v>
      </c>
      <c r="K1580" s="38" t="n">
        <f aca="false">J1580+Inputs!$C$10</f>
        <v>0.1039054</v>
      </c>
      <c r="L1580" s="37" t="n">
        <f aca="false">I1580*K1580/C1580</f>
        <v>209.234161643836</v>
      </c>
      <c r="M1580" s="37" t="n">
        <f aca="false">IF(AND(A1580&gt;=Inputs!$C$13,OR(A1580&lt;Inputs!$B$19,Inputs!$B$20=1)),I1580*Inputs!$C$11/C1580,0)</f>
        <v>40.2739726027397</v>
      </c>
    </row>
    <row r="1581" customFormat="false" ht="15" hidden="false" customHeight="false" outlineLevel="0" collapsed="false">
      <c r="A1581" s="35" t="n">
        <f aca="false">A1580+1</f>
        <v>46388</v>
      </c>
      <c r="B1581" s="35" t="n">
        <f aca="false">EOMONTH(A1581+1,0)</f>
        <v>46418</v>
      </c>
      <c r="C1581" s="36" t="n">
        <f aca="false">IF(MOD(YEAR(A1581),4)=0,366,365)</f>
        <v>365</v>
      </c>
      <c r="D1581" s="37" t="n">
        <f aca="false">Inputs!$B$9-SUMIFS(Cash_Events!$G$6:$G$20,Cash_Events!$C$6:$C$20,"rAGMF",Cash_Events!$B$6:$B$20,"&lt;="&amp;A1581)</f>
        <v>735000</v>
      </c>
      <c r="E1581" s="38" t="n">
        <f aca="false">VLOOKUP(A1581,Inputs!$A$40:$B$48,2,TRUE())</f>
        <v>0.0363225</v>
      </c>
      <c r="F1581" s="38" t="n">
        <f aca="false">E1581+Inputs!$B$10</f>
        <v>0.1038225</v>
      </c>
      <c r="G1581" s="37" t="n">
        <f aca="false">D1581*F1581/C1581</f>
        <v>209.067226027397</v>
      </c>
      <c r="H1581" s="37" t="n">
        <f aca="false">IF(AND(A1581&gt;=Inputs!$B$13,OR(A1581&lt;Inputs!$B$19,Inputs!$B$20=1)),D1581*Inputs!$B$11/C1581,0)</f>
        <v>40.2739726027397</v>
      </c>
      <c r="I1581" s="37" t="n">
        <f aca="false">Inputs!$C$9-SUMIFS(Cash_Events!$G$6:$G$20,Cash_Events!$C$6:$C$20,"FHL",Cash_Events!$B$6:$B$20,"&lt;="&amp;A1581)</f>
        <v>735000</v>
      </c>
      <c r="J1581" s="38" t="n">
        <f aca="false">VLOOKUP(A1581,Inputs!$F$40:$G$48,2,TRUE())</f>
        <v>0.0364054</v>
      </c>
      <c r="K1581" s="38" t="n">
        <f aca="false">J1581+Inputs!$C$10</f>
        <v>0.1039054</v>
      </c>
      <c r="L1581" s="37" t="n">
        <f aca="false">I1581*K1581/C1581</f>
        <v>209.234161643836</v>
      </c>
      <c r="M1581" s="37" t="n">
        <f aca="false">IF(AND(A1581&gt;=Inputs!$C$13,OR(A1581&lt;Inputs!$B$19,Inputs!$B$20=1)),I1581*Inputs!$C$11/C1581,0)</f>
        <v>40.2739726027397</v>
      </c>
    </row>
    <row r="1582" customFormat="false" ht="15" hidden="false" customHeight="false" outlineLevel="0" collapsed="false">
      <c r="A1582" s="35" t="n">
        <f aca="false">A1581+1</f>
        <v>46389</v>
      </c>
      <c r="B1582" s="35" t="n">
        <f aca="false">EOMONTH(A1582+1,0)</f>
        <v>46418</v>
      </c>
      <c r="C1582" s="36" t="n">
        <f aca="false">IF(MOD(YEAR(A1582),4)=0,366,365)</f>
        <v>365</v>
      </c>
      <c r="D1582" s="37" t="n">
        <f aca="false">Inputs!$B$9-SUMIFS(Cash_Events!$G$6:$G$20,Cash_Events!$C$6:$C$20,"rAGMF",Cash_Events!$B$6:$B$20,"&lt;="&amp;A1582)</f>
        <v>735000</v>
      </c>
      <c r="E1582" s="38" t="n">
        <f aca="false">VLOOKUP(A1582,Inputs!$A$40:$B$48,2,TRUE())</f>
        <v>0.0363225</v>
      </c>
      <c r="F1582" s="38" t="n">
        <f aca="false">E1582+Inputs!$B$10</f>
        <v>0.1038225</v>
      </c>
      <c r="G1582" s="37" t="n">
        <f aca="false">D1582*F1582/C1582</f>
        <v>209.067226027397</v>
      </c>
      <c r="H1582" s="37" t="n">
        <f aca="false">IF(AND(A1582&gt;=Inputs!$B$13,OR(A1582&lt;Inputs!$B$19,Inputs!$B$20=1)),D1582*Inputs!$B$11/C1582,0)</f>
        <v>40.2739726027397</v>
      </c>
      <c r="I1582" s="37" t="n">
        <f aca="false">Inputs!$C$9-SUMIFS(Cash_Events!$G$6:$G$20,Cash_Events!$C$6:$C$20,"FHL",Cash_Events!$B$6:$B$20,"&lt;="&amp;A1582)</f>
        <v>735000</v>
      </c>
      <c r="J1582" s="38" t="n">
        <f aca="false">VLOOKUP(A1582,Inputs!$F$40:$G$48,2,TRUE())</f>
        <v>0.0364054</v>
      </c>
      <c r="K1582" s="38" t="n">
        <f aca="false">J1582+Inputs!$C$10</f>
        <v>0.1039054</v>
      </c>
      <c r="L1582" s="37" t="n">
        <f aca="false">I1582*K1582/C1582</f>
        <v>209.234161643836</v>
      </c>
      <c r="M1582" s="37" t="n">
        <f aca="false">IF(AND(A1582&gt;=Inputs!$C$13,OR(A1582&lt;Inputs!$B$19,Inputs!$B$20=1)),I1582*Inputs!$C$11/C1582,0)</f>
        <v>40.2739726027397</v>
      </c>
    </row>
    <row r="1583" customFormat="false" ht="15" hidden="false" customHeight="false" outlineLevel="0" collapsed="false">
      <c r="A1583" s="35" t="n">
        <f aca="false">A1582+1</f>
        <v>46390</v>
      </c>
      <c r="B1583" s="35" t="n">
        <f aca="false">EOMONTH(A1583+1,0)</f>
        <v>46418</v>
      </c>
      <c r="C1583" s="36" t="n">
        <f aca="false">IF(MOD(YEAR(A1583),4)=0,366,365)</f>
        <v>365</v>
      </c>
      <c r="D1583" s="37" t="n">
        <f aca="false">Inputs!$B$9-SUMIFS(Cash_Events!$G$6:$G$20,Cash_Events!$C$6:$C$20,"rAGMF",Cash_Events!$B$6:$B$20,"&lt;="&amp;A1583)</f>
        <v>735000</v>
      </c>
      <c r="E1583" s="38" t="n">
        <f aca="false">VLOOKUP(A1583,Inputs!$A$40:$B$48,2,TRUE())</f>
        <v>0.0363225</v>
      </c>
      <c r="F1583" s="38" t="n">
        <f aca="false">E1583+Inputs!$B$10</f>
        <v>0.1038225</v>
      </c>
      <c r="G1583" s="37" t="n">
        <f aca="false">D1583*F1583/C1583</f>
        <v>209.067226027397</v>
      </c>
      <c r="H1583" s="37" t="n">
        <f aca="false">IF(AND(A1583&gt;=Inputs!$B$13,OR(A1583&lt;Inputs!$B$19,Inputs!$B$20=1)),D1583*Inputs!$B$11/C1583,0)</f>
        <v>40.2739726027397</v>
      </c>
      <c r="I1583" s="37" t="n">
        <f aca="false">Inputs!$C$9-SUMIFS(Cash_Events!$G$6:$G$20,Cash_Events!$C$6:$C$20,"FHL",Cash_Events!$B$6:$B$20,"&lt;="&amp;A1583)</f>
        <v>735000</v>
      </c>
      <c r="J1583" s="38" t="n">
        <f aca="false">VLOOKUP(A1583,Inputs!$F$40:$G$48,2,TRUE())</f>
        <v>0.0364054</v>
      </c>
      <c r="K1583" s="38" t="n">
        <f aca="false">J1583+Inputs!$C$10</f>
        <v>0.1039054</v>
      </c>
      <c r="L1583" s="37" t="n">
        <f aca="false">I1583*K1583/C1583</f>
        <v>209.234161643836</v>
      </c>
      <c r="M1583" s="37" t="n">
        <f aca="false">IF(AND(A1583&gt;=Inputs!$C$13,OR(A1583&lt;Inputs!$B$19,Inputs!$B$20=1)),I1583*Inputs!$C$11/C1583,0)</f>
        <v>40.2739726027397</v>
      </c>
    </row>
    <row r="1584" customFormat="false" ht="15" hidden="false" customHeight="false" outlineLevel="0" collapsed="false">
      <c r="A1584" s="35" t="n">
        <f aca="false">A1583+1</f>
        <v>46391</v>
      </c>
      <c r="B1584" s="35" t="n">
        <f aca="false">EOMONTH(A1584+1,0)</f>
        <v>46418</v>
      </c>
      <c r="C1584" s="36" t="n">
        <f aca="false">IF(MOD(YEAR(A1584),4)=0,366,365)</f>
        <v>365</v>
      </c>
      <c r="D1584" s="37" t="n">
        <f aca="false">Inputs!$B$9-SUMIFS(Cash_Events!$G$6:$G$20,Cash_Events!$C$6:$C$20,"rAGMF",Cash_Events!$B$6:$B$20,"&lt;="&amp;A1584)</f>
        <v>735000</v>
      </c>
      <c r="E1584" s="38" t="n">
        <f aca="false">VLOOKUP(A1584,Inputs!$A$40:$B$48,2,TRUE())</f>
        <v>0.0363225</v>
      </c>
      <c r="F1584" s="38" t="n">
        <f aca="false">E1584+Inputs!$B$10</f>
        <v>0.1038225</v>
      </c>
      <c r="G1584" s="37" t="n">
        <f aca="false">D1584*F1584/C1584</f>
        <v>209.067226027397</v>
      </c>
      <c r="H1584" s="37" t="n">
        <f aca="false">IF(AND(A1584&gt;=Inputs!$B$13,OR(A1584&lt;Inputs!$B$19,Inputs!$B$20=1)),D1584*Inputs!$B$11/C1584,0)</f>
        <v>40.2739726027397</v>
      </c>
      <c r="I1584" s="37" t="n">
        <f aca="false">Inputs!$C$9-SUMIFS(Cash_Events!$G$6:$G$20,Cash_Events!$C$6:$C$20,"FHL",Cash_Events!$B$6:$B$20,"&lt;="&amp;A1584)</f>
        <v>735000</v>
      </c>
      <c r="J1584" s="38" t="n">
        <f aca="false">VLOOKUP(A1584,Inputs!$F$40:$G$48,2,TRUE())</f>
        <v>0.0364054</v>
      </c>
      <c r="K1584" s="38" t="n">
        <f aca="false">J1584+Inputs!$C$10</f>
        <v>0.1039054</v>
      </c>
      <c r="L1584" s="37" t="n">
        <f aca="false">I1584*K1584/C1584</f>
        <v>209.234161643836</v>
      </c>
      <c r="M1584" s="37" t="n">
        <f aca="false">IF(AND(A1584&gt;=Inputs!$C$13,OR(A1584&lt;Inputs!$B$19,Inputs!$B$20=1)),I1584*Inputs!$C$11/C1584,0)</f>
        <v>40.2739726027397</v>
      </c>
    </row>
    <row r="1585" customFormat="false" ht="15" hidden="false" customHeight="false" outlineLevel="0" collapsed="false">
      <c r="A1585" s="35" t="n">
        <f aca="false">A1584+1</f>
        <v>46392</v>
      </c>
      <c r="B1585" s="35" t="n">
        <f aca="false">EOMONTH(A1585+1,0)</f>
        <v>46418</v>
      </c>
      <c r="C1585" s="36" t="n">
        <f aca="false">IF(MOD(YEAR(A1585),4)=0,366,365)</f>
        <v>365</v>
      </c>
      <c r="D1585" s="37" t="n">
        <f aca="false">Inputs!$B$9-SUMIFS(Cash_Events!$G$6:$G$20,Cash_Events!$C$6:$C$20,"rAGMF",Cash_Events!$B$6:$B$20,"&lt;="&amp;A1585)</f>
        <v>735000</v>
      </c>
      <c r="E1585" s="38" t="n">
        <f aca="false">VLOOKUP(A1585,Inputs!$A$40:$B$48,2,TRUE())</f>
        <v>0.0363225</v>
      </c>
      <c r="F1585" s="38" t="n">
        <f aca="false">E1585+Inputs!$B$10</f>
        <v>0.1038225</v>
      </c>
      <c r="G1585" s="37" t="n">
        <f aca="false">D1585*F1585/C1585</f>
        <v>209.067226027397</v>
      </c>
      <c r="H1585" s="37" t="n">
        <f aca="false">IF(AND(A1585&gt;=Inputs!$B$13,OR(A1585&lt;Inputs!$B$19,Inputs!$B$20=1)),D1585*Inputs!$B$11/C1585,0)</f>
        <v>40.2739726027397</v>
      </c>
      <c r="I1585" s="37" t="n">
        <f aca="false">Inputs!$C$9-SUMIFS(Cash_Events!$G$6:$G$20,Cash_Events!$C$6:$C$20,"FHL",Cash_Events!$B$6:$B$20,"&lt;="&amp;A1585)</f>
        <v>735000</v>
      </c>
      <c r="J1585" s="38" t="n">
        <f aca="false">VLOOKUP(A1585,Inputs!$F$40:$G$48,2,TRUE())</f>
        <v>0.0364054</v>
      </c>
      <c r="K1585" s="38" t="n">
        <f aca="false">J1585+Inputs!$C$10</f>
        <v>0.1039054</v>
      </c>
      <c r="L1585" s="37" t="n">
        <f aca="false">I1585*K1585/C1585</f>
        <v>209.234161643836</v>
      </c>
      <c r="M1585" s="37" t="n">
        <f aca="false">IF(AND(A1585&gt;=Inputs!$C$13,OR(A1585&lt;Inputs!$B$19,Inputs!$B$20=1)),I1585*Inputs!$C$11/C1585,0)</f>
        <v>40.2739726027397</v>
      </c>
    </row>
    <row r="1586" customFormat="false" ht="15" hidden="false" customHeight="false" outlineLevel="0" collapsed="false">
      <c r="A1586" s="35" t="n">
        <f aca="false">A1585+1</f>
        <v>46393</v>
      </c>
      <c r="B1586" s="35" t="n">
        <f aca="false">EOMONTH(A1586+1,0)</f>
        <v>46418</v>
      </c>
      <c r="C1586" s="36" t="n">
        <f aca="false">IF(MOD(YEAR(A1586),4)=0,366,365)</f>
        <v>365</v>
      </c>
      <c r="D1586" s="37" t="n">
        <f aca="false">Inputs!$B$9-SUMIFS(Cash_Events!$G$6:$G$20,Cash_Events!$C$6:$C$20,"rAGMF",Cash_Events!$B$6:$B$20,"&lt;="&amp;A1586)</f>
        <v>735000</v>
      </c>
      <c r="E1586" s="38" t="n">
        <f aca="false">VLOOKUP(A1586,Inputs!$A$40:$B$48,2,TRUE())</f>
        <v>0.0363225</v>
      </c>
      <c r="F1586" s="38" t="n">
        <f aca="false">E1586+Inputs!$B$10</f>
        <v>0.1038225</v>
      </c>
      <c r="G1586" s="37" t="n">
        <f aca="false">D1586*F1586/C1586</f>
        <v>209.067226027397</v>
      </c>
      <c r="H1586" s="37" t="n">
        <f aca="false">IF(AND(A1586&gt;=Inputs!$B$13,OR(A1586&lt;Inputs!$B$19,Inputs!$B$20=1)),D1586*Inputs!$B$11/C1586,0)</f>
        <v>40.2739726027397</v>
      </c>
      <c r="I1586" s="37" t="n">
        <f aca="false">Inputs!$C$9-SUMIFS(Cash_Events!$G$6:$G$20,Cash_Events!$C$6:$C$20,"FHL",Cash_Events!$B$6:$B$20,"&lt;="&amp;A1586)</f>
        <v>735000</v>
      </c>
      <c r="J1586" s="38" t="n">
        <f aca="false">VLOOKUP(A1586,Inputs!$F$40:$G$48,2,TRUE())</f>
        <v>0.0364054</v>
      </c>
      <c r="K1586" s="38" t="n">
        <f aca="false">J1586+Inputs!$C$10</f>
        <v>0.1039054</v>
      </c>
      <c r="L1586" s="37" t="n">
        <f aca="false">I1586*K1586/C1586</f>
        <v>209.234161643836</v>
      </c>
      <c r="M1586" s="37" t="n">
        <f aca="false">IF(AND(A1586&gt;=Inputs!$C$13,OR(A1586&lt;Inputs!$B$19,Inputs!$B$20=1)),I1586*Inputs!$C$11/C1586,0)</f>
        <v>40.2739726027397</v>
      </c>
    </row>
    <row r="1587" customFormat="false" ht="15" hidden="false" customHeight="false" outlineLevel="0" collapsed="false">
      <c r="A1587" s="35" t="n">
        <f aca="false">A1586+1</f>
        <v>46394</v>
      </c>
      <c r="B1587" s="35" t="n">
        <f aca="false">EOMONTH(A1587+1,0)</f>
        <v>46418</v>
      </c>
      <c r="C1587" s="36" t="n">
        <f aca="false">IF(MOD(YEAR(A1587),4)=0,366,365)</f>
        <v>365</v>
      </c>
      <c r="D1587" s="37" t="n">
        <f aca="false">Inputs!$B$9-SUMIFS(Cash_Events!$G$6:$G$20,Cash_Events!$C$6:$C$20,"rAGMF",Cash_Events!$B$6:$B$20,"&lt;="&amp;A1587)</f>
        <v>735000</v>
      </c>
      <c r="E1587" s="38" t="n">
        <f aca="false">VLOOKUP(A1587,Inputs!$A$40:$B$48,2,TRUE())</f>
        <v>0.0363225</v>
      </c>
      <c r="F1587" s="38" t="n">
        <f aca="false">E1587+Inputs!$B$10</f>
        <v>0.1038225</v>
      </c>
      <c r="G1587" s="37" t="n">
        <f aca="false">D1587*F1587/C1587</f>
        <v>209.067226027397</v>
      </c>
      <c r="H1587" s="37" t="n">
        <f aca="false">IF(AND(A1587&gt;=Inputs!$B$13,OR(A1587&lt;Inputs!$B$19,Inputs!$B$20=1)),D1587*Inputs!$B$11/C1587,0)</f>
        <v>40.2739726027397</v>
      </c>
      <c r="I1587" s="37" t="n">
        <f aca="false">Inputs!$C$9-SUMIFS(Cash_Events!$G$6:$G$20,Cash_Events!$C$6:$C$20,"FHL",Cash_Events!$B$6:$B$20,"&lt;="&amp;A1587)</f>
        <v>735000</v>
      </c>
      <c r="J1587" s="38" t="n">
        <f aca="false">VLOOKUP(A1587,Inputs!$F$40:$G$48,2,TRUE())</f>
        <v>0.0364054</v>
      </c>
      <c r="K1587" s="38" t="n">
        <f aca="false">J1587+Inputs!$C$10</f>
        <v>0.1039054</v>
      </c>
      <c r="L1587" s="37" t="n">
        <f aca="false">I1587*K1587/C1587</f>
        <v>209.234161643836</v>
      </c>
      <c r="M1587" s="37" t="n">
        <f aca="false">IF(AND(A1587&gt;=Inputs!$C$13,OR(A1587&lt;Inputs!$B$19,Inputs!$B$20=1)),I1587*Inputs!$C$11/C1587,0)</f>
        <v>40.2739726027397</v>
      </c>
    </row>
    <row r="1588" customFormat="false" ht="15" hidden="false" customHeight="false" outlineLevel="0" collapsed="false">
      <c r="A1588" s="35" t="n">
        <f aca="false">A1587+1</f>
        <v>46395</v>
      </c>
      <c r="B1588" s="35" t="n">
        <f aca="false">EOMONTH(A1588+1,0)</f>
        <v>46418</v>
      </c>
      <c r="C1588" s="36" t="n">
        <f aca="false">IF(MOD(YEAR(A1588),4)=0,366,365)</f>
        <v>365</v>
      </c>
      <c r="D1588" s="37" t="n">
        <f aca="false">Inputs!$B$9-SUMIFS(Cash_Events!$G$6:$G$20,Cash_Events!$C$6:$C$20,"rAGMF",Cash_Events!$B$6:$B$20,"&lt;="&amp;A1588)</f>
        <v>735000</v>
      </c>
      <c r="E1588" s="38" t="n">
        <f aca="false">VLOOKUP(A1588,Inputs!$A$40:$B$48,2,TRUE())</f>
        <v>0.0363225</v>
      </c>
      <c r="F1588" s="38" t="n">
        <f aca="false">E1588+Inputs!$B$10</f>
        <v>0.1038225</v>
      </c>
      <c r="G1588" s="37" t="n">
        <f aca="false">D1588*F1588/C1588</f>
        <v>209.067226027397</v>
      </c>
      <c r="H1588" s="37" t="n">
        <f aca="false">IF(AND(A1588&gt;=Inputs!$B$13,OR(A1588&lt;Inputs!$B$19,Inputs!$B$20=1)),D1588*Inputs!$B$11/C1588,0)</f>
        <v>40.2739726027397</v>
      </c>
      <c r="I1588" s="37" t="n">
        <f aca="false">Inputs!$C$9-SUMIFS(Cash_Events!$G$6:$G$20,Cash_Events!$C$6:$C$20,"FHL",Cash_Events!$B$6:$B$20,"&lt;="&amp;A1588)</f>
        <v>735000</v>
      </c>
      <c r="J1588" s="38" t="n">
        <f aca="false">VLOOKUP(A1588,Inputs!$F$40:$G$48,2,TRUE())</f>
        <v>0.0364054</v>
      </c>
      <c r="K1588" s="38" t="n">
        <f aca="false">J1588+Inputs!$C$10</f>
        <v>0.1039054</v>
      </c>
      <c r="L1588" s="37" t="n">
        <f aca="false">I1588*K1588/C1588</f>
        <v>209.234161643836</v>
      </c>
      <c r="M1588" s="37" t="n">
        <f aca="false">IF(AND(A1588&gt;=Inputs!$C$13,OR(A1588&lt;Inputs!$B$19,Inputs!$B$20=1)),I1588*Inputs!$C$11/C1588,0)</f>
        <v>40.2739726027397</v>
      </c>
    </row>
    <row r="1589" customFormat="false" ht="15" hidden="false" customHeight="false" outlineLevel="0" collapsed="false">
      <c r="A1589" s="35" t="n">
        <f aca="false">A1588+1</f>
        <v>46396</v>
      </c>
      <c r="B1589" s="35" t="n">
        <f aca="false">EOMONTH(A1589+1,0)</f>
        <v>46418</v>
      </c>
      <c r="C1589" s="36" t="n">
        <f aca="false">IF(MOD(YEAR(A1589),4)=0,366,365)</f>
        <v>365</v>
      </c>
      <c r="D1589" s="37" t="n">
        <f aca="false">Inputs!$B$9-SUMIFS(Cash_Events!$G$6:$G$20,Cash_Events!$C$6:$C$20,"rAGMF",Cash_Events!$B$6:$B$20,"&lt;="&amp;A1589)</f>
        <v>735000</v>
      </c>
      <c r="E1589" s="38" t="n">
        <f aca="false">VLOOKUP(A1589,Inputs!$A$40:$B$48,2,TRUE())</f>
        <v>0.0363225</v>
      </c>
      <c r="F1589" s="38" t="n">
        <f aca="false">E1589+Inputs!$B$10</f>
        <v>0.1038225</v>
      </c>
      <c r="G1589" s="37" t="n">
        <f aca="false">D1589*F1589/C1589</f>
        <v>209.067226027397</v>
      </c>
      <c r="H1589" s="37" t="n">
        <f aca="false">IF(AND(A1589&gt;=Inputs!$B$13,OR(A1589&lt;Inputs!$B$19,Inputs!$B$20=1)),D1589*Inputs!$B$11/C1589,0)</f>
        <v>40.2739726027397</v>
      </c>
      <c r="I1589" s="37" t="n">
        <f aca="false">Inputs!$C$9-SUMIFS(Cash_Events!$G$6:$G$20,Cash_Events!$C$6:$C$20,"FHL",Cash_Events!$B$6:$B$20,"&lt;="&amp;A1589)</f>
        <v>735000</v>
      </c>
      <c r="J1589" s="38" t="n">
        <f aca="false">VLOOKUP(A1589,Inputs!$F$40:$G$48,2,TRUE())</f>
        <v>0.0364054</v>
      </c>
      <c r="K1589" s="38" t="n">
        <f aca="false">J1589+Inputs!$C$10</f>
        <v>0.1039054</v>
      </c>
      <c r="L1589" s="37" t="n">
        <f aca="false">I1589*K1589/C1589</f>
        <v>209.234161643836</v>
      </c>
      <c r="M1589" s="37" t="n">
        <f aca="false">IF(AND(A1589&gt;=Inputs!$C$13,OR(A1589&lt;Inputs!$B$19,Inputs!$B$20=1)),I1589*Inputs!$C$11/C1589,0)</f>
        <v>40.2739726027397</v>
      </c>
    </row>
    <row r="1590" customFormat="false" ht="15" hidden="false" customHeight="false" outlineLevel="0" collapsed="false">
      <c r="A1590" s="35" t="n">
        <f aca="false">A1589+1</f>
        <v>46397</v>
      </c>
      <c r="B1590" s="35" t="n">
        <f aca="false">EOMONTH(A1590+1,0)</f>
        <v>46418</v>
      </c>
      <c r="C1590" s="36" t="n">
        <f aca="false">IF(MOD(YEAR(A1590),4)=0,366,365)</f>
        <v>365</v>
      </c>
      <c r="D1590" s="37" t="n">
        <f aca="false">Inputs!$B$9-SUMIFS(Cash_Events!$G$6:$G$20,Cash_Events!$C$6:$C$20,"rAGMF",Cash_Events!$B$6:$B$20,"&lt;="&amp;A1590)</f>
        <v>735000</v>
      </c>
      <c r="E1590" s="38" t="n">
        <f aca="false">VLOOKUP(A1590,Inputs!$A$40:$B$48,2,TRUE())</f>
        <v>0.0363225</v>
      </c>
      <c r="F1590" s="38" t="n">
        <f aca="false">E1590+Inputs!$B$10</f>
        <v>0.1038225</v>
      </c>
      <c r="G1590" s="37" t="n">
        <f aca="false">D1590*F1590/C1590</f>
        <v>209.067226027397</v>
      </c>
      <c r="H1590" s="37" t="n">
        <f aca="false">IF(AND(A1590&gt;=Inputs!$B$13,OR(A1590&lt;Inputs!$B$19,Inputs!$B$20=1)),D1590*Inputs!$B$11/C1590,0)</f>
        <v>40.2739726027397</v>
      </c>
      <c r="I1590" s="37" t="n">
        <f aca="false">Inputs!$C$9-SUMIFS(Cash_Events!$G$6:$G$20,Cash_Events!$C$6:$C$20,"FHL",Cash_Events!$B$6:$B$20,"&lt;="&amp;A1590)</f>
        <v>735000</v>
      </c>
      <c r="J1590" s="38" t="n">
        <f aca="false">VLOOKUP(A1590,Inputs!$F$40:$G$48,2,TRUE())</f>
        <v>0.0364054</v>
      </c>
      <c r="K1590" s="38" t="n">
        <f aca="false">J1590+Inputs!$C$10</f>
        <v>0.1039054</v>
      </c>
      <c r="L1590" s="37" t="n">
        <f aca="false">I1590*K1590/C1590</f>
        <v>209.234161643836</v>
      </c>
      <c r="M1590" s="37" t="n">
        <f aca="false">IF(AND(A1590&gt;=Inputs!$C$13,OR(A1590&lt;Inputs!$B$19,Inputs!$B$20=1)),I1590*Inputs!$C$11/C1590,0)</f>
        <v>40.2739726027397</v>
      </c>
    </row>
    <row r="1591" customFormat="false" ht="15" hidden="false" customHeight="false" outlineLevel="0" collapsed="false">
      <c r="A1591" s="35" t="n">
        <f aca="false">A1590+1</f>
        <v>46398</v>
      </c>
      <c r="B1591" s="35" t="n">
        <f aca="false">EOMONTH(A1591+1,0)</f>
        <v>46418</v>
      </c>
      <c r="C1591" s="36" t="n">
        <f aca="false">IF(MOD(YEAR(A1591),4)=0,366,365)</f>
        <v>365</v>
      </c>
      <c r="D1591" s="37" t="n">
        <f aca="false">Inputs!$B$9-SUMIFS(Cash_Events!$G$6:$G$20,Cash_Events!$C$6:$C$20,"rAGMF",Cash_Events!$B$6:$B$20,"&lt;="&amp;A1591)</f>
        <v>735000</v>
      </c>
      <c r="E1591" s="38" t="n">
        <f aca="false">VLOOKUP(A1591,Inputs!$A$40:$B$48,2,TRUE())</f>
        <v>0.0363225</v>
      </c>
      <c r="F1591" s="38" t="n">
        <f aca="false">E1591+Inputs!$B$10</f>
        <v>0.1038225</v>
      </c>
      <c r="G1591" s="37" t="n">
        <f aca="false">D1591*F1591/C1591</f>
        <v>209.067226027397</v>
      </c>
      <c r="H1591" s="37" t="n">
        <f aca="false">IF(AND(A1591&gt;=Inputs!$B$13,OR(A1591&lt;Inputs!$B$19,Inputs!$B$20=1)),D1591*Inputs!$B$11/C1591,0)</f>
        <v>40.2739726027397</v>
      </c>
      <c r="I1591" s="37" t="n">
        <f aca="false">Inputs!$C$9-SUMIFS(Cash_Events!$G$6:$G$20,Cash_Events!$C$6:$C$20,"FHL",Cash_Events!$B$6:$B$20,"&lt;="&amp;A1591)</f>
        <v>735000</v>
      </c>
      <c r="J1591" s="38" t="n">
        <f aca="false">VLOOKUP(A1591,Inputs!$F$40:$G$48,2,TRUE())</f>
        <v>0.0364054</v>
      </c>
      <c r="K1591" s="38" t="n">
        <f aca="false">J1591+Inputs!$C$10</f>
        <v>0.1039054</v>
      </c>
      <c r="L1591" s="37" t="n">
        <f aca="false">I1591*K1591/C1591</f>
        <v>209.234161643836</v>
      </c>
      <c r="M1591" s="37" t="n">
        <f aca="false">IF(AND(A1591&gt;=Inputs!$C$13,OR(A1591&lt;Inputs!$B$19,Inputs!$B$20=1)),I1591*Inputs!$C$11/C1591,0)</f>
        <v>40.2739726027397</v>
      </c>
    </row>
    <row r="1592" customFormat="false" ht="15" hidden="false" customHeight="false" outlineLevel="0" collapsed="false">
      <c r="A1592" s="35" t="n">
        <f aca="false">A1591+1</f>
        <v>46399</v>
      </c>
      <c r="B1592" s="35" t="n">
        <f aca="false">EOMONTH(A1592+1,0)</f>
        <v>46418</v>
      </c>
      <c r="C1592" s="36" t="n">
        <f aca="false">IF(MOD(YEAR(A1592),4)=0,366,365)</f>
        <v>365</v>
      </c>
      <c r="D1592" s="37" t="n">
        <f aca="false">Inputs!$B$9-SUMIFS(Cash_Events!$G$6:$G$20,Cash_Events!$C$6:$C$20,"rAGMF",Cash_Events!$B$6:$B$20,"&lt;="&amp;A1592)</f>
        <v>735000</v>
      </c>
      <c r="E1592" s="38" t="n">
        <f aca="false">VLOOKUP(A1592,Inputs!$A$40:$B$48,2,TRUE())</f>
        <v>0.0363225</v>
      </c>
      <c r="F1592" s="38" t="n">
        <f aca="false">E1592+Inputs!$B$10</f>
        <v>0.1038225</v>
      </c>
      <c r="G1592" s="37" t="n">
        <f aca="false">D1592*F1592/C1592</f>
        <v>209.067226027397</v>
      </c>
      <c r="H1592" s="37" t="n">
        <f aca="false">IF(AND(A1592&gt;=Inputs!$B$13,OR(A1592&lt;Inputs!$B$19,Inputs!$B$20=1)),D1592*Inputs!$B$11/C1592,0)</f>
        <v>40.2739726027397</v>
      </c>
      <c r="I1592" s="37" t="n">
        <f aca="false">Inputs!$C$9-SUMIFS(Cash_Events!$G$6:$G$20,Cash_Events!$C$6:$C$20,"FHL",Cash_Events!$B$6:$B$20,"&lt;="&amp;A1592)</f>
        <v>735000</v>
      </c>
      <c r="J1592" s="38" t="n">
        <f aca="false">VLOOKUP(A1592,Inputs!$F$40:$G$48,2,TRUE())</f>
        <v>0.0364054</v>
      </c>
      <c r="K1592" s="38" t="n">
        <f aca="false">J1592+Inputs!$C$10</f>
        <v>0.1039054</v>
      </c>
      <c r="L1592" s="37" t="n">
        <f aca="false">I1592*K1592/C1592</f>
        <v>209.234161643836</v>
      </c>
      <c r="M1592" s="37" t="n">
        <f aca="false">IF(AND(A1592&gt;=Inputs!$C$13,OR(A1592&lt;Inputs!$B$19,Inputs!$B$20=1)),I1592*Inputs!$C$11/C1592,0)</f>
        <v>40.2739726027397</v>
      </c>
    </row>
    <row r="1593" customFormat="false" ht="15" hidden="false" customHeight="false" outlineLevel="0" collapsed="false">
      <c r="A1593" s="35" t="n">
        <f aca="false">A1592+1</f>
        <v>46400</v>
      </c>
      <c r="B1593" s="35" t="n">
        <f aca="false">EOMONTH(A1593+1,0)</f>
        <v>46418</v>
      </c>
      <c r="C1593" s="36" t="n">
        <f aca="false">IF(MOD(YEAR(A1593),4)=0,366,365)</f>
        <v>365</v>
      </c>
      <c r="D1593" s="37" t="n">
        <f aca="false">Inputs!$B$9-SUMIFS(Cash_Events!$G$6:$G$20,Cash_Events!$C$6:$C$20,"rAGMF",Cash_Events!$B$6:$B$20,"&lt;="&amp;A1593)</f>
        <v>735000</v>
      </c>
      <c r="E1593" s="38" t="n">
        <f aca="false">VLOOKUP(A1593,Inputs!$A$40:$B$48,2,TRUE())</f>
        <v>0.0363225</v>
      </c>
      <c r="F1593" s="38" t="n">
        <f aca="false">E1593+Inputs!$B$10</f>
        <v>0.1038225</v>
      </c>
      <c r="G1593" s="37" t="n">
        <f aca="false">D1593*F1593/C1593</f>
        <v>209.067226027397</v>
      </c>
      <c r="H1593" s="37" t="n">
        <f aca="false">IF(AND(A1593&gt;=Inputs!$B$13,OR(A1593&lt;Inputs!$B$19,Inputs!$B$20=1)),D1593*Inputs!$B$11/C1593,0)</f>
        <v>40.2739726027397</v>
      </c>
      <c r="I1593" s="37" t="n">
        <f aca="false">Inputs!$C$9-SUMIFS(Cash_Events!$G$6:$G$20,Cash_Events!$C$6:$C$20,"FHL",Cash_Events!$B$6:$B$20,"&lt;="&amp;A1593)</f>
        <v>735000</v>
      </c>
      <c r="J1593" s="38" t="n">
        <f aca="false">VLOOKUP(A1593,Inputs!$F$40:$G$48,2,TRUE())</f>
        <v>0.0364054</v>
      </c>
      <c r="K1593" s="38" t="n">
        <f aca="false">J1593+Inputs!$C$10</f>
        <v>0.1039054</v>
      </c>
      <c r="L1593" s="37" t="n">
        <f aca="false">I1593*K1593/C1593</f>
        <v>209.234161643836</v>
      </c>
      <c r="M1593" s="37" t="n">
        <f aca="false">IF(AND(A1593&gt;=Inputs!$C$13,OR(A1593&lt;Inputs!$B$19,Inputs!$B$20=1)),I1593*Inputs!$C$11/C1593,0)</f>
        <v>40.2739726027397</v>
      </c>
    </row>
    <row r="1594" customFormat="false" ht="15" hidden="false" customHeight="false" outlineLevel="0" collapsed="false">
      <c r="A1594" s="35" t="n">
        <f aca="false">A1593+1</f>
        <v>46401</v>
      </c>
      <c r="B1594" s="35" t="n">
        <f aca="false">EOMONTH(A1594+1,0)</f>
        <v>46418</v>
      </c>
      <c r="C1594" s="36" t="n">
        <f aca="false">IF(MOD(YEAR(A1594),4)=0,366,365)</f>
        <v>365</v>
      </c>
      <c r="D1594" s="37" t="n">
        <f aca="false">Inputs!$B$9-SUMIFS(Cash_Events!$G$6:$G$20,Cash_Events!$C$6:$C$20,"rAGMF",Cash_Events!$B$6:$B$20,"&lt;="&amp;A1594)</f>
        <v>735000</v>
      </c>
      <c r="E1594" s="38" t="n">
        <f aca="false">VLOOKUP(A1594,Inputs!$A$40:$B$48,2,TRUE())</f>
        <v>0.0363225</v>
      </c>
      <c r="F1594" s="38" t="n">
        <f aca="false">E1594+Inputs!$B$10</f>
        <v>0.1038225</v>
      </c>
      <c r="G1594" s="37" t="n">
        <f aca="false">D1594*F1594/C1594</f>
        <v>209.067226027397</v>
      </c>
      <c r="H1594" s="37" t="n">
        <f aca="false">IF(AND(A1594&gt;=Inputs!$B$13,OR(A1594&lt;Inputs!$B$19,Inputs!$B$20=1)),D1594*Inputs!$B$11/C1594,0)</f>
        <v>40.2739726027397</v>
      </c>
      <c r="I1594" s="37" t="n">
        <f aca="false">Inputs!$C$9-SUMIFS(Cash_Events!$G$6:$G$20,Cash_Events!$C$6:$C$20,"FHL",Cash_Events!$B$6:$B$20,"&lt;="&amp;A1594)</f>
        <v>735000</v>
      </c>
      <c r="J1594" s="38" t="n">
        <f aca="false">VLOOKUP(A1594,Inputs!$F$40:$G$48,2,TRUE())</f>
        <v>0.0364054</v>
      </c>
      <c r="K1594" s="38" t="n">
        <f aca="false">J1594+Inputs!$C$10</f>
        <v>0.1039054</v>
      </c>
      <c r="L1594" s="37" t="n">
        <f aca="false">I1594*K1594/C1594</f>
        <v>209.234161643836</v>
      </c>
      <c r="M1594" s="37" t="n">
        <f aca="false">IF(AND(A1594&gt;=Inputs!$C$13,OR(A1594&lt;Inputs!$B$19,Inputs!$B$20=1)),I1594*Inputs!$C$11/C1594,0)</f>
        <v>40.2739726027397</v>
      </c>
    </row>
    <row r="1595" customFormat="false" ht="15" hidden="false" customHeight="false" outlineLevel="0" collapsed="false">
      <c r="A1595" s="35" t="n">
        <f aca="false">A1594+1</f>
        <v>46402</v>
      </c>
      <c r="B1595" s="35" t="n">
        <f aca="false">EOMONTH(A1595+1,0)</f>
        <v>46418</v>
      </c>
      <c r="C1595" s="36" t="n">
        <f aca="false">IF(MOD(YEAR(A1595),4)=0,366,365)</f>
        <v>365</v>
      </c>
      <c r="D1595" s="37" t="n">
        <f aca="false">Inputs!$B$9-SUMIFS(Cash_Events!$G$6:$G$20,Cash_Events!$C$6:$C$20,"rAGMF",Cash_Events!$B$6:$B$20,"&lt;="&amp;A1595)</f>
        <v>735000</v>
      </c>
      <c r="E1595" s="38" t="n">
        <f aca="false">VLOOKUP(A1595,Inputs!$A$40:$B$48,2,TRUE())</f>
        <v>0.0363225</v>
      </c>
      <c r="F1595" s="38" t="n">
        <f aca="false">E1595+Inputs!$B$10</f>
        <v>0.1038225</v>
      </c>
      <c r="G1595" s="37" t="n">
        <f aca="false">D1595*F1595/C1595</f>
        <v>209.067226027397</v>
      </c>
      <c r="H1595" s="37" t="n">
        <f aca="false">IF(AND(A1595&gt;=Inputs!$B$13,OR(A1595&lt;Inputs!$B$19,Inputs!$B$20=1)),D1595*Inputs!$B$11/C1595,0)</f>
        <v>40.2739726027397</v>
      </c>
      <c r="I1595" s="37" t="n">
        <f aca="false">Inputs!$C$9-SUMIFS(Cash_Events!$G$6:$G$20,Cash_Events!$C$6:$C$20,"FHL",Cash_Events!$B$6:$B$20,"&lt;="&amp;A1595)</f>
        <v>735000</v>
      </c>
      <c r="J1595" s="38" t="n">
        <f aca="false">VLOOKUP(A1595,Inputs!$F$40:$G$48,2,TRUE())</f>
        <v>0.0364054</v>
      </c>
      <c r="K1595" s="38" t="n">
        <f aca="false">J1595+Inputs!$C$10</f>
        <v>0.1039054</v>
      </c>
      <c r="L1595" s="37" t="n">
        <f aca="false">I1595*K1595/C1595</f>
        <v>209.234161643836</v>
      </c>
      <c r="M1595" s="37" t="n">
        <f aca="false">IF(AND(A1595&gt;=Inputs!$C$13,OR(A1595&lt;Inputs!$B$19,Inputs!$B$20=1)),I1595*Inputs!$C$11/C1595,0)</f>
        <v>40.2739726027397</v>
      </c>
    </row>
    <row r="1596" customFormat="false" ht="15" hidden="false" customHeight="false" outlineLevel="0" collapsed="false">
      <c r="A1596" s="35" t="n">
        <f aca="false">A1595+1</f>
        <v>46403</v>
      </c>
      <c r="B1596" s="35" t="n">
        <f aca="false">EOMONTH(A1596+1,0)</f>
        <v>46418</v>
      </c>
      <c r="C1596" s="36" t="n">
        <f aca="false">IF(MOD(YEAR(A1596),4)=0,366,365)</f>
        <v>365</v>
      </c>
      <c r="D1596" s="37" t="n">
        <f aca="false">Inputs!$B$9-SUMIFS(Cash_Events!$G$6:$G$20,Cash_Events!$C$6:$C$20,"rAGMF",Cash_Events!$B$6:$B$20,"&lt;="&amp;A1596)</f>
        <v>735000</v>
      </c>
      <c r="E1596" s="38" t="n">
        <f aca="false">VLOOKUP(A1596,Inputs!$A$40:$B$48,2,TRUE())</f>
        <v>0.0363225</v>
      </c>
      <c r="F1596" s="38" t="n">
        <f aca="false">E1596+Inputs!$B$10</f>
        <v>0.1038225</v>
      </c>
      <c r="G1596" s="37" t="n">
        <f aca="false">D1596*F1596/C1596</f>
        <v>209.067226027397</v>
      </c>
      <c r="H1596" s="37" t="n">
        <f aca="false">IF(AND(A1596&gt;=Inputs!$B$13,OR(A1596&lt;Inputs!$B$19,Inputs!$B$20=1)),D1596*Inputs!$B$11/C1596,0)</f>
        <v>40.2739726027397</v>
      </c>
      <c r="I1596" s="37" t="n">
        <f aca="false">Inputs!$C$9-SUMIFS(Cash_Events!$G$6:$G$20,Cash_Events!$C$6:$C$20,"FHL",Cash_Events!$B$6:$B$20,"&lt;="&amp;A1596)</f>
        <v>735000</v>
      </c>
      <c r="J1596" s="38" t="n">
        <f aca="false">VLOOKUP(A1596,Inputs!$F$40:$G$48,2,TRUE())</f>
        <v>0.0364054</v>
      </c>
      <c r="K1596" s="38" t="n">
        <f aca="false">J1596+Inputs!$C$10</f>
        <v>0.1039054</v>
      </c>
      <c r="L1596" s="37" t="n">
        <f aca="false">I1596*K1596/C1596</f>
        <v>209.234161643836</v>
      </c>
      <c r="M1596" s="37" t="n">
        <f aca="false">IF(AND(A1596&gt;=Inputs!$C$13,OR(A1596&lt;Inputs!$B$19,Inputs!$B$20=1)),I1596*Inputs!$C$11/C1596,0)</f>
        <v>40.2739726027397</v>
      </c>
    </row>
    <row r="1597" customFormat="false" ht="15" hidden="false" customHeight="false" outlineLevel="0" collapsed="false">
      <c r="A1597" s="35" t="n">
        <f aca="false">A1596+1</f>
        <v>46404</v>
      </c>
      <c r="B1597" s="35" t="n">
        <f aca="false">EOMONTH(A1597+1,0)</f>
        <v>46418</v>
      </c>
      <c r="C1597" s="36" t="n">
        <f aca="false">IF(MOD(YEAR(A1597),4)=0,366,365)</f>
        <v>365</v>
      </c>
      <c r="D1597" s="37" t="n">
        <f aca="false">Inputs!$B$9-SUMIFS(Cash_Events!$G$6:$G$20,Cash_Events!$C$6:$C$20,"rAGMF",Cash_Events!$B$6:$B$20,"&lt;="&amp;A1597)</f>
        <v>735000</v>
      </c>
      <c r="E1597" s="38" t="n">
        <f aca="false">VLOOKUP(A1597,Inputs!$A$40:$B$48,2,TRUE())</f>
        <v>0.0363225</v>
      </c>
      <c r="F1597" s="38" t="n">
        <f aca="false">E1597+Inputs!$B$10</f>
        <v>0.1038225</v>
      </c>
      <c r="G1597" s="37" t="n">
        <f aca="false">D1597*F1597/C1597</f>
        <v>209.067226027397</v>
      </c>
      <c r="H1597" s="37" t="n">
        <f aca="false">IF(AND(A1597&gt;=Inputs!$B$13,OR(A1597&lt;Inputs!$B$19,Inputs!$B$20=1)),D1597*Inputs!$B$11/C1597,0)</f>
        <v>40.2739726027397</v>
      </c>
      <c r="I1597" s="37" t="n">
        <f aca="false">Inputs!$C$9-SUMIFS(Cash_Events!$G$6:$G$20,Cash_Events!$C$6:$C$20,"FHL",Cash_Events!$B$6:$B$20,"&lt;="&amp;A1597)</f>
        <v>735000</v>
      </c>
      <c r="J1597" s="38" t="n">
        <f aca="false">VLOOKUP(A1597,Inputs!$F$40:$G$48,2,TRUE())</f>
        <v>0.0364054</v>
      </c>
      <c r="K1597" s="38" t="n">
        <f aca="false">J1597+Inputs!$C$10</f>
        <v>0.1039054</v>
      </c>
      <c r="L1597" s="37" t="n">
        <f aca="false">I1597*K1597/C1597</f>
        <v>209.234161643836</v>
      </c>
      <c r="M1597" s="37" t="n">
        <f aca="false">IF(AND(A1597&gt;=Inputs!$C$13,OR(A1597&lt;Inputs!$B$19,Inputs!$B$20=1)),I1597*Inputs!$C$11/C1597,0)</f>
        <v>40.2739726027397</v>
      </c>
    </row>
    <row r="1598" customFormat="false" ht="15" hidden="false" customHeight="false" outlineLevel="0" collapsed="false">
      <c r="A1598" s="35" t="n">
        <f aca="false">A1597+1</f>
        <v>46405</v>
      </c>
      <c r="B1598" s="35" t="n">
        <f aca="false">EOMONTH(A1598+1,0)</f>
        <v>46418</v>
      </c>
      <c r="C1598" s="36" t="n">
        <f aca="false">IF(MOD(YEAR(A1598),4)=0,366,365)</f>
        <v>365</v>
      </c>
      <c r="D1598" s="37" t="n">
        <f aca="false">Inputs!$B$9-SUMIFS(Cash_Events!$G$6:$G$20,Cash_Events!$C$6:$C$20,"rAGMF",Cash_Events!$B$6:$B$20,"&lt;="&amp;A1598)</f>
        <v>735000</v>
      </c>
      <c r="E1598" s="38" t="n">
        <f aca="false">VLOOKUP(A1598,Inputs!$A$40:$B$48,2,TRUE())</f>
        <v>0.0363225</v>
      </c>
      <c r="F1598" s="38" t="n">
        <f aca="false">E1598+Inputs!$B$10</f>
        <v>0.1038225</v>
      </c>
      <c r="G1598" s="37" t="n">
        <f aca="false">D1598*F1598/C1598</f>
        <v>209.067226027397</v>
      </c>
      <c r="H1598" s="37" t="n">
        <f aca="false">IF(AND(A1598&gt;=Inputs!$B$13,OR(A1598&lt;Inputs!$B$19,Inputs!$B$20=1)),D1598*Inputs!$B$11/C1598,0)</f>
        <v>40.2739726027397</v>
      </c>
      <c r="I1598" s="37" t="n">
        <f aca="false">Inputs!$C$9-SUMIFS(Cash_Events!$G$6:$G$20,Cash_Events!$C$6:$C$20,"FHL",Cash_Events!$B$6:$B$20,"&lt;="&amp;A1598)</f>
        <v>735000</v>
      </c>
      <c r="J1598" s="38" t="n">
        <f aca="false">VLOOKUP(A1598,Inputs!$F$40:$G$48,2,TRUE())</f>
        <v>0.0364054</v>
      </c>
      <c r="K1598" s="38" t="n">
        <f aca="false">J1598+Inputs!$C$10</f>
        <v>0.1039054</v>
      </c>
      <c r="L1598" s="37" t="n">
        <f aca="false">I1598*K1598/C1598</f>
        <v>209.234161643836</v>
      </c>
      <c r="M1598" s="37" t="n">
        <f aca="false">IF(AND(A1598&gt;=Inputs!$C$13,OR(A1598&lt;Inputs!$B$19,Inputs!$B$20=1)),I1598*Inputs!$C$11/C1598,0)</f>
        <v>40.2739726027397</v>
      </c>
    </row>
    <row r="1599" customFormat="false" ht="15" hidden="false" customHeight="false" outlineLevel="0" collapsed="false">
      <c r="A1599" s="35" t="n">
        <f aca="false">A1598+1</f>
        <v>46406</v>
      </c>
      <c r="B1599" s="35" t="n">
        <f aca="false">EOMONTH(A1599+1,0)</f>
        <v>46418</v>
      </c>
      <c r="C1599" s="36" t="n">
        <f aca="false">IF(MOD(YEAR(A1599),4)=0,366,365)</f>
        <v>365</v>
      </c>
      <c r="D1599" s="37" t="n">
        <f aca="false">Inputs!$B$9-SUMIFS(Cash_Events!$G$6:$G$20,Cash_Events!$C$6:$C$20,"rAGMF",Cash_Events!$B$6:$B$20,"&lt;="&amp;A1599)</f>
        <v>735000</v>
      </c>
      <c r="E1599" s="38" t="n">
        <f aca="false">VLOOKUP(A1599,Inputs!$A$40:$B$48,2,TRUE())</f>
        <v>0.0363225</v>
      </c>
      <c r="F1599" s="38" t="n">
        <f aca="false">E1599+Inputs!$B$10</f>
        <v>0.1038225</v>
      </c>
      <c r="G1599" s="37" t="n">
        <f aca="false">D1599*F1599/C1599</f>
        <v>209.067226027397</v>
      </c>
      <c r="H1599" s="37" t="n">
        <f aca="false">IF(AND(A1599&gt;=Inputs!$B$13,OR(A1599&lt;Inputs!$B$19,Inputs!$B$20=1)),D1599*Inputs!$B$11/C1599,0)</f>
        <v>40.2739726027397</v>
      </c>
      <c r="I1599" s="37" t="n">
        <f aca="false">Inputs!$C$9-SUMIFS(Cash_Events!$G$6:$G$20,Cash_Events!$C$6:$C$20,"FHL",Cash_Events!$B$6:$B$20,"&lt;="&amp;A1599)</f>
        <v>735000</v>
      </c>
      <c r="J1599" s="38" t="n">
        <f aca="false">VLOOKUP(A1599,Inputs!$F$40:$G$48,2,TRUE())</f>
        <v>0.0364054</v>
      </c>
      <c r="K1599" s="38" t="n">
        <f aca="false">J1599+Inputs!$C$10</f>
        <v>0.1039054</v>
      </c>
      <c r="L1599" s="37" t="n">
        <f aca="false">I1599*K1599/C1599</f>
        <v>209.234161643836</v>
      </c>
      <c r="M1599" s="37" t="n">
        <f aca="false">IF(AND(A1599&gt;=Inputs!$C$13,OR(A1599&lt;Inputs!$B$19,Inputs!$B$20=1)),I1599*Inputs!$C$11/C1599,0)</f>
        <v>40.2739726027397</v>
      </c>
    </row>
    <row r="1600" customFormat="false" ht="15" hidden="false" customHeight="false" outlineLevel="0" collapsed="false">
      <c r="A1600" s="35" t="n">
        <f aca="false">A1599+1</f>
        <v>46407</v>
      </c>
      <c r="B1600" s="35" t="n">
        <f aca="false">EOMONTH(A1600+1,0)</f>
        <v>46418</v>
      </c>
      <c r="C1600" s="36" t="n">
        <f aca="false">IF(MOD(YEAR(A1600),4)=0,366,365)</f>
        <v>365</v>
      </c>
      <c r="D1600" s="37" t="n">
        <f aca="false">Inputs!$B$9-SUMIFS(Cash_Events!$G$6:$G$20,Cash_Events!$C$6:$C$20,"rAGMF",Cash_Events!$B$6:$B$20,"&lt;="&amp;A1600)</f>
        <v>735000</v>
      </c>
      <c r="E1600" s="38" t="n">
        <f aca="false">VLOOKUP(A1600,Inputs!$A$40:$B$48,2,TRUE())</f>
        <v>0.0363225</v>
      </c>
      <c r="F1600" s="38" t="n">
        <f aca="false">E1600+Inputs!$B$10</f>
        <v>0.1038225</v>
      </c>
      <c r="G1600" s="37" t="n">
        <f aca="false">D1600*F1600/C1600</f>
        <v>209.067226027397</v>
      </c>
      <c r="H1600" s="37" t="n">
        <f aca="false">IF(AND(A1600&gt;=Inputs!$B$13,OR(A1600&lt;Inputs!$B$19,Inputs!$B$20=1)),D1600*Inputs!$B$11/C1600,0)</f>
        <v>40.2739726027397</v>
      </c>
      <c r="I1600" s="37" t="n">
        <f aca="false">Inputs!$C$9-SUMIFS(Cash_Events!$G$6:$G$20,Cash_Events!$C$6:$C$20,"FHL",Cash_Events!$B$6:$B$20,"&lt;="&amp;A1600)</f>
        <v>735000</v>
      </c>
      <c r="J1600" s="38" t="n">
        <f aca="false">VLOOKUP(A1600,Inputs!$F$40:$G$48,2,TRUE())</f>
        <v>0.0364054</v>
      </c>
      <c r="K1600" s="38" t="n">
        <f aca="false">J1600+Inputs!$C$10</f>
        <v>0.1039054</v>
      </c>
      <c r="L1600" s="37" t="n">
        <f aca="false">I1600*K1600/C1600</f>
        <v>209.234161643836</v>
      </c>
      <c r="M1600" s="37" t="n">
        <f aca="false">IF(AND(A1600&gt;=Inputs!$C$13,OR(A1600&lt;Inputs!$B$19,Inputs!$B$20=1)),I1600*Inputs!$C$11/C1600,0)</f>
        <v>40.2739726027397</v>
      </c>
    </row>
    <row r="1601" customFormat="false" ht="15" hidden="false" customHeight="false" outlineLevel="0" collapsed="false">
      <c r="A1601" s="35" t="n">
        <f aca="false">A1600+1</f>
        <v>46408</v>
      </c>
      <c r="B1601" s="35" t="n">
        <f aca="false">EOMONTH(A1601+1,0)</f>
        <v>46418</v>
      </c>
      <c r="C1601" s="36" t="n">
        <f aca="false">IF(MOD(YEAR(A1601),4)=0,366,365)</f>
        <v>365</v>
      </c>
      <c r="D1601" s="37" t="n">
        <f aca="false">Inputs!$B$9-SUMIFS(Cash_Events!$G$6:$G$20,Cash_Events!$C$6:$C$20,"rAGMF",Cash_Events!$B$6:$B$20,"&lt;="&amp;A1601)</f>
        <v>735000</v>
      </c>
      <c r="E1601" s="38" t="n">
        <f aca="false">VLOOKUP(A1601,Inputs!$A$40:$B$48,2,TRUE())</f>
        <v>0.0363225</v>
      </c>
      <c r="F1601" s="38" t="n">
        <f aca="false">E1601+Inputs!$B$10</f>
        <v>0.1038225</v>
      </c>
      <c r="G1601" s="37" t="n">
        <f aca="false">D1601*F1601/C1601</f>
        <v>209.067226027397</v>
      </c>
      <c r="H1601" s="37" t="n">
        <f aca="false">IF(AND(A1601&gt;=Inputs!$B$13,OR(A1601&lt;Inputs!$B$19,Inputs!$B$20=1)),D1601*Inputs!$B$11/C1601,0)</f>
        <v>40.2739726027397</v>
      </c>
      <c r="I1601" s="37" t="n">
        <f aca="false">Inputs!$C$9-SUMIFS(Cash_Events!$G$6:$G$20,Cash_Events!$C$6:$C$20,"FHL",Cash_Events!$B$6:$B$20,"&lt;="&amp;A1601)</f>
        <v>735000</v>
      </c>
      <c r="J1601" s="38" t="n">
        <f aca="false">VLOOKUP(A1601,Inputs!$F$40:$G$48,2,TRUE())</f>
        <v>0.0364054</v>
      </c>
      <c r="K1601" s="38" t="n">
        <f aca="false">J1601+Inputs!$C$10</f>
        <v>0.1039054</v>
      </c>
      <c r="L1601" s="37" t="n">
        <f aca="false">I1601*K1601/C1601</f>
        <v>209.234161643836</v>
      </c>
      <c r="M1601" s="37" t="n">
        <f aca="false">IF(AND(A1601&gt;=Inputs!$C$13,OR(A1601&lt;Inputs!$B$19,Inputs!$B$20=1)),I1601*Inputs!$C$11/C1601,0)</f>
        <v>40.2739726027397</v>
      </c>
    </row>
    <row r="1602" customFormat="false" ht="15" hidden="false" customHeight="false" outlineLevel="0" collapsed="false">
      <c r="A1602" s="35" t="n">
        <f aca="false">A1601+1</f>
        <v>46409</v>
      </c>
      <c r="B1602" s="35" t="n">
        <f aca="false">EOMONTH(A1602+1,0)</f>
        <v>46418</v>
      </c>
      <c r="C1602" s="36" t="n">
        <f aca="false">IF(MOD(YEAR(A1602),4)=0,366,365)</f>
        <v>365</v>
      </c>
      <c r="D1602" s="37" t="n">
        <f aca="false">Inputs!$B$9-SUMIFS(Cash_Events!$G$6:$G$20,Cash_Events!$C$6:$C$20,"rAGMF",Cash_Events!$B$6:$B$20,"&lt;="&amp;A1602)</f>
        <v>735000</v>
      </c>
      <c r="E1602" s="38" t="n">
        <f aca="false">VLOOKUP(A1602,Inputs!$A$40:$B$48,2,TRUE())</f>
        <v>0.0363225</v>
      </c>
      <c r="F1602" s="38" t="n">
        <f aca="false">E1602+Inputs!$B$10</f>
        <v>0.1038225</v>
      </c>
      <c r="G1602" s="37" t="n">
        <f aca="false">D1602*F1602/C1602</f>
        <v>209.067226027397</v>
      </c>
      <c r="H1602" s="37" t="n">
        <f aca="false">IF(AND(A1602&gt;=Inputs!$B$13,OR(A1602&lt;Inputs!$B$19,Inputs!$B$20=1)),D1602*Inputs!$B$11/C1602,0)</f>
        <v>40.2739726027397</v>
      </c>
      <c r="I1602" s="37" t="n">
        <f aca="false">Inputs!$C$9-SUMIFS(Cash_Events!$G$6:$G$20,Cash_Events!$C$6:$C$20,"FHL",Cash_Events!$B$6:$B$20,"&lt;="&amp;A1602)</f>
        <v>735000</v>
      </c>
      <c r="J1602" s="38" t="n">
        <f aca="false">VLOOKUP(A1602,Inputs!$F$40:$G$48,2,TRUE())</f>
        <v>0.0364054</v>
      </c>
      <c r="K1602" s="38" t="n">
        <f aca="false">J1602+Inputs!$C$10</f>
        <v>0.1039054</v>
      </c>
      <c r="L1602" s="37" t="n">
        <f aca="false">I1602*K1602/C1602</f>
        <v>209.234161643836</v>
      </c>
      <c r="M1602" s="37" t="n">
        <f aca="false">IF(AND(A1602&gt;=Inputs!$C$13,OR(A1602&lt;Inputs!$B$19,Inputs!$B$20=1)),I1602*Inputs!$C$11/C1602,0)</f>
        <v>40.2739726027397</v>
      </c>
    </row>
    <row r="1603" customFormat="false" ht="15" hidden="false" customHeight="false" outlineLevel="0" collapsed="false">
      <c r="A1603" s="35" t="n">
        <f aca="false">A1602+1</f>
        <v>46410</v>
      </c>
      <c r="B1603" s="35" t="n">
        <f aca="false">EOMONTH(A1603+1,0)</f>
        <v>46418</v>
      </c>
      <c r="C1603" s="36" t="n">
        <f aca="false">IF(MOD(YEAR(A1603),4)=0,366,365)</f>
        <v>365</v>
      </c>
      <c r="D1603" s="37" t="n">
        <f aca="false">Inputs!$B$9-SUMIFS(Cash_Events!$G$6:$G$20,Cash_Events!$C$6:$C$20,"rAGMF",Cash_Events!$B$6:$B$20,"&lt;="&amp;A1603)</f>
        <v>735000</v>
      </c>
      <c r="E1603" s="38" t="n">
        <f aca="false">VLOOKUP(A1603,Inputs!$A$40:$B$48,2,TRUE())</f>
        <v>0.0363225</v>
      </c>
      <c r="F1603" s="38" t="n">
        <f aca="false">E1603+Inputs!$B$10</f>
        <v>0.1038225</v>
      </c>
      <c r="G1603" s="37" t="n">
        <f aca="false">D1603*F1603/C1603</f>
        <v>209.067226027397</v>
      </c>
      <c r="H1603" s="37" t="n">
        <f aca="false">IF(AND(A1603&gt;=Inputs!$B$13,OR(A1603&lt;Inputs!$B$19,Inputs!$B$20=1)),D1603*Inputs!$B$11/C1603,0)</f>
        <v>40.2739726027397</v>
      </c>
      <c r="I1603" s="37" t="n">
        <f aca="false">Inputs!$C$9-SUMIFS(Cash_Events!$G$6:$G$20,Cash_Events!$C$6:$C$20,"FHL",Cash_Events!$B$6:$B$20,"&lt;="&amp;A1603)</f>
        <v>735000</v>
      </c>
      <c r="J1603" s="38" t="n">
        <f aca="false">VLOOKUP(A1603,Inputs!$F$40:$G$48,2,TRUE())</f>
        <v>0.0364054</v>
      </c>
      <c r="K1603" s="38" t="n">
        <f aca="false">J1603+Inputs!$C$10</f>
        <v>0.1039054</v>
      </c>
      <c r="L1603" s="37" t="n">
        <f aca="false">I1603*K1603/C1603</f>
        <v>209.234161643836</v>
      </c>
      <c r="M1603" s="37" t="n">
        <f aca="false">IF(AND(A1603&gt;=Inputs!$C$13,OR(A1603&lt;Inputs!$B$19,Inputs!$B$20=1)),I1603*Inputs!$C$11/C1603,0)</f>
        <v>40.2739726027397</v>
      </c>
    </row>
    <row r="1604" customFormat="false" ht="15" hidden="false" customHeight="false" outlineLevel="0" collapsed="false">
      <c r="A1604" s="35" t="n">
        <f aca="false">A1603+1</f>
        <v>46411</v>
      </c>
      <c r="B1604" s="35" t="n">
        <f aca="false">EOMONTH(A1604+1,0)</f>
        <v>46418</v>
      </c>
      <c r="C1604" s="36" t="n">
        <f aca="false">IF(MOD(YEAR(A1604),4)=0,366,365)</f>
        <v>365</v>
      </c>
      <c r="D1604" s="37" t="n">
        <f aca="false">Inputs!$B$9-SUMIFS(Cash_Events!$G$6:$G$20,Cash_Events!$C$6:$C$20,"rAGMF",Cash_Events!$B$6:$B$20,"&lt;="&amp;A1604)</f>
        <v>735000</v>
      </c>
      <c r="E1604" s="38" t="n">
        <f aca="false">VLOOKUP(A1604,Inputs!$A$40:$B$48,2,TRUE())</f>
        <v>0.0363225</v>
      </c>
      <c r="F1604" s="38" t="n">
        <f aca="false">E1604+Inputs!$B$10</f>
        <v>0.1038225</v>
      </c>
      <c r="G1604" s="37" t="n">
        <f aca="false">D1604*F1604/C1604</f>
        <v>209.067226027397</v>
      </c>
      <c r="H1604" s="37" t="n">
        <f aca="false">IF(AND(A1604&gt;=Inputs!$B$13,OR(A1604&lt;Inputs!$B$19,Inputs!$B$20=1)),D1604*Inputs!$B$11/C1604,0)</f>
        <v>40.2739726027397</v>
      </c>
      <c r="I1604" s="37" t="n">
        <f aca="false">Inputs!$C$9-SUMIFS(Cash_Events!$G$6:$G$20,Cash_Events!$C$6:$C$20,"FHL",Cash_Events!$B$6:$B$20,"&lt;="&amp;A1604)</f>
        <v>735000</v>
      </c>
      <c r="J1604" s="38" t="n">
        <f aca="false">VLOOKUP(A1604,Inputs!$F$40:$G$48,2,TRUE())</f>
        <v>0.0364054</v>
      </c>
      <c r="K1604" s="38" t="n">
        <f aca="false">J1604+Inputs!$C$10</f>
        <v>0.1039054</v>
      </c>
      <c r="L1604" s="37" t="n">
        <f aca="false">I1604*K1604/C1604</f>
        <v>209.234161643836</v>
      </c>
      <c r="M1604" s="37" t="n">
        <f aca="false">IF(AND(A1604&gt;=Inputs!$C$13,OR(A1604&lt;Inputs!$B$19,Inputs!$B$20=1)),I1604*Inputs!$C$11/C1604,0)</f>
        <v>40.2739726027397</v>
      </c>
    </row>
    <row r="1605" customFormat="false" ht="15" hidden="false" customHeight="false" outlineLevel="0" collapsed="false">
      <c r="A1605" s="35" t="n">
        <f aca="false">A1604+1</f>
        <v>46412</v>
      </c>
      <c r="B1605" s="35" t="n">
        <f aca="false">EOMONTH(A1605+1,0)</f>
        <v>46418</v>
      </c>
      <c r="C1605" s="36" t="n">
        <f aca="false">IF(MOD(YEAR(A1605),4)=0,366,365)</f>
        <v>365</v>
      </c>
      <c r="D1605" s="37" t="n">
        <f aca="false">Inputs!$B$9-SUMIFS(Cash_Events!$G$6:$G$20,Cash_Events!$C$6:$C$20,"rAGMF",Cash_Events!$B$6:$B$20,"&lt;="&amp;A1605)</f>
        <v>735000</v>
      </c>
      <c r="E1605" s="38" t="n">
        <f aca="false">VLOOKUP(A1605,Inputs!$A$40:$B$48,2,TRUE())</f>
        <v>0.0363225</v>
      </c>
      <c r="F1605" s="38" t="n">
        <f aca="false">E1605+Inputs!$B$10</f>
        <v>0.1038225</v>
      </c>
      <c r="G1605" s="37" t="n">
        <f aca="false">D1605*F1605/C1605</f>
        <v>209.067226027397</v>
      </c>
      <c r="H1605" s="37" t="n">
        <f aca="false">IF(AND(A1605&gt;=Inputs!$B$13,OR(A1605&lt;Inputs!$B$19,Inputs!$B$20=1)),D1605*Inputs!$B$11/C1605,0)</f>
        <v>40.2739726027397</v>
      </c>
      <c r="I1605" s="37" t="n">
        <f aca="false">Inputs!$C$9-SUMIFS(Cash_Events!$G$6:$G$20,Cash_Events!$C$6:$C$20,"FHL",Cash_Events!$B$6:$B$20,"&lt;="&amp;A1605)</f>
        <v>735000</v>
      </c>
      <c r="J1605" s="38" t="n">
        <f aca="false">VLOOKUP(A1605,Inputs!$F$40:$G$48,2,TRUE())</f>
        <v>0.0364054</v>
      </c>
      <c r="K1605" s="38" t="n">
        <f aca="false">J1605+Inputs!$C$10</f>
        <v>0.1039054</v>
      </c>
      <c r="L1605" s="37" t="n">
        <f aca="false">I1605*K1605/C1605</f>
        <v>209.234161643836</v>
      </c>
      <c r="M1605" s="37" t="n">
        <f aca="false">IF(AND(A1605&gt;=Inputs!$C$13,OR(A1605&lt;Inputs!$B$19,Inputs!$B$20=1)),I1605*Inputs!$C$11/C1605,0)</f>
        <v>40.2739726027397</v>
      </c>
    </row>
    <row r="1606" customFormat="false" ht="15" hidden="false" customHeight="false" outlineLevel="0" collapsed="false">
      <c r="A1606" s="35" t="n">
        <f aca="false">A1605+1</f>
        <v>46413</v>
      </c>
      <c r="B1606" s="35" t="n">
        <f aca="false">EOMONTH(A1606+1,0)</f>
        <v>46418</v>
      </c>
      <c r="C1606" s="36" t="n">
        <f aca="false">IF(MOD(YEAR(A1606),4)=0,366,365)</f>
        <v>365</v>
      </c>
      <c r="D1606" s="37" t="n">
        <f aca="false">Inputs!$B$9-SUMIFS(Cash_Events!$G$6:$G$20,Cash_Events!$C$6:$C$20,"rAGMF",Cash_Events!$B$6:$B$20,"&lt;="&amp;A1606)</f>
        <v>735000</v>
      </c>
      <c r="E1606" s="38" t="n">
        <f aca="false">VLOOKUP(A1606,Inputs!$A$40:$B$48,2,TRUE())</f>
        <v>0.0363225</v>
      </c>
      <c r="F1606" s="38" t="n">
        <f aca="false">E1606+Inputs!$B$10</f>
        <v>0.1038225</v>
      </c>
      <c r="G1606" s="37" t="n">
        <f aca="false">D1606*F1606/C1606</f>
        <v>209.067226027397</v>
      </c>
      <c r="H1606" s="37" t="n">
        <f aca="false">IF(AND(A1606&gt;=Inputs!$B$13,OR(A1606&lt;Inputs!$B$19,Inputs!$B$20=1)),D1606*Inputs!$B$11/C1606,0)</f>
        <v>40.2739726027397</v>
      </c>
      <c r="I1606" s="37" t="n">
        <f aca="false">Inputs!$C$9-SUMIFS(Cash_Events!$G$6:$G$20,Cash_Events!$C$6:$C$20,"FHL",Cash_Events!$B$6:$B$20,"&lt;="&amp;A1606)</f>
        <v>735000</v>
      </c>
      <c r="J1606" s="38" t="n">
        <f aca="false">VLOOKUP(A1606,Inputs!$F$40:$G$48,2,TRUE())</f>
        <v>0.0364054</v>
      </c>
      <c r="K1606" s="38" t="n">
        <f aca="false">J1606+Inputs!$C$10</f>
        <v>0.1039054</v>
      </c>
      <c r="L1606" s="37" t="n">
        <f aca="false">I1606*K1606/C1606</f>
        <v>209.234161643836</v>
      </c>
      <c r="M1606" s="37" t="n">
        <f aca="false">IF(AND(A1606&gt;=Inputs!$C$13,OR(A1606&lt;Inputs!$B$19,Inputs!$B$20=1)),I1606*Inputs!$C$11/C1606,0)</f>
        <v>40.2739726027397</v>
      </c>
    </row>
    <row r="1607" customFormat="false" ht="15" hidden="false" customHeight="false" outlineLevel="0" collapsed="false">
      <c r="A1607" s="35" t="n">
        <f aca="false">A1606+1</f>
        <v>46414</v>
      </c>
      <c r="B1607" s="35" t="n">
        <f aca="false">EOMONTH(A1607+1,0)</f>
        <v>46418</v>
      </c>
      <c r="C1607" s="36" t="n">
        <f aca="false">IF(MOD(YEAR(A1607),4)=0,366,365)</f>
        <v>365</v>
      </c>
      <c r="D1607" s="37" t="n">
        <f aca="false">Inputs!$B$9-SUMIFS(Cash_Events!$G$6:$G$20,Cash_Events!$C$6:$C$20,"rAGMF",Cash_Events!$B$6:$B$20,"&lt;="&amp;A1607)</f>
        <v>735000</v>
      </c>
      <c r="E1607" s="38" t="n">
        <f aca="false">VLOOKUP(A1607,Inputs!$A$40:$B$48,2,TRUE())</f>
        <v>0.0363225</v>
      </c>
      <c r="F1607" s="38" t="n">
        <f aca="false">E1607+Inputs!$B$10</f>
        <v>0.1038225</v>
      </c>
      <c r="G1607" s="37" t="n">
        <f aca="false">D1607*F1607/C1607</f>
        <v>209.067226027397</v>
      </c>
      <c r="H1607" s="37" t="n">
        <f aca="false">IF(AND(A1607&gt;=Inputs!$B$13,OR(A1607&lt;Inputs!$B$19,Inputs!$B$20=1)),D1607*Inputs!$B$11/C1607,0)</f>
        <v>40.2739726027397</v>
      </c>
      <c r="I1607" s="37" t="n">
        <f aca="false">Inputs!$C$9-SUMIFS(Cash_Events!$G$6:$G$20,Cash_Events!$C$6:$C$20,"FHL",Cash_Events!$B$6:$B$20,"&lt;="&amp;A1607)</f>
        <v>735000</v>
      </c>
      <c r="J1607" s="38" t="n">
        <f aca="false">VLOOKUP(A1607,Inputs!$F$40:$G$48,2,TRUE())</f>
        <v>0.0364054</v>
      </c>
      <c r="K1607" s="38" t="n">
        <f aca="false">J1607+Inputs!$C$10</f>
        <v>0.1039054</v>
      </c>
      <c r="L1607" s="37" t="n">
        <f aca="false">I1607*K1607/C1607</f>
        <v>209.234161643836</v>
      </c>
      <c r="M1607" s="37" t="n">
        <f aca="false">IF(AND(A1607&gt;=Inputs!$C$13,OR(A1607&lt;Inputs!$B$19,Inputs!$B$20=1)),I1607*Inputs!$C$11/C1607,0)</f>
        <v>40.2739726027397</v>
      </c>
    </row>
    <row r="1608" customFormat="false" ht="15" hidden="false" customHeight="false" outlineLevel="0" collapsed="false">
      <c r="A1608" s="35" t="n">
        <f aca="false">A1607+1</f>
        <v>46415</v>
      </c>
      <c r="B1608" s="35" t="n">
        <f aca="false">EOMONTH(A1608+1,0)</f>
        <v>46418</v>
      </c>
      <c r="C1608" s="36" t="n">
        <f aca="false">IF(MOD(YEAR(A1608),4)=0,366,365)</f>
        <v>365</v>
      </c>
      <c r="D1608" s="37" t="n">
        <f aca="false">Inputs!$B$9-SUMIFS(Cash_Events!$G$6:$G$20,Cash_Events!$C$6:$C$20,"rAGMF",Cash_Events!$B$6:$B$20,"&lt;="&amp;A1608)</f>
        <v>735000</v>
      </c>
      <c r="E1608" s="38" t="n">
        <f aca="false">VLOOKUP(A1608,Inputs!$A$40:$B$48,2,TRUE())</f>
        <v>0.0363225</v>
      </c>
      <c r="F1608" s="38" t="n">
        <f aca="false">E1608+Inputs!$B$10</f>
        <v>0.1038225</v>
      </c>
      <c r="G1608" s="37" t="n">
        <f aca="false">D1608*F1608/C1608</f>
        <v>209.067226027397</v>
      </c>
      <c r="H1608" s="37" t="n">
        <f aca="false">IF(AND(A1608&gt;=Inputs!$B$13,OR(A1608&lt;Inputs!$B$19,Inputs!$B$20=1)),D1608*Inputs!$B$11/C1608,0)</f>
        <v>40.2739726027397</v>
      </c>
      <c r="I1608" s="37" t="n">
        <f aca="false">Inputs!$C$9-SUMIFS(Cash_Events!$G$6:$G$20,Cash_Events!$C$6:$C$20,"FHL",Cash_Events!$B$6:$B$20,"&lt;="&amp;A1608)</f>
        <v>735000</v>
      </c>
      <c r="J1608" s="38" t="n">
        <f aca="false">VLOOKUP(A1608,Inputs!$F$40:$G$48,2,TRUE())</f>
        <v>0.0364054</v>
      </c>
      <c r="K1608" s="38" t="n">
        <f aca="false">J1608+Inputs!$C$10</f>
        <v>0.1039054</v>
      </c>
      <c r="L1608" s="37" t="n">
        <f aca="false">I1608*K1608/C1608</f>
        <v>209.234161643836</v>
      </c>
      <c r="M1608" s="37" t="n">
        <f aca="false">IF(AND(A1608&gt;=Inputs!$C$13,OR(A1608&lt;Inputs!$B$19,Inputs!$B$20=1)),I1608*Inputs!$C$11/C1608,0)</f>
        <v>40.2739726027397</v>
      </c>
    </row>
    <row r="1609" customFormat="false" ht="15" hidden="false" customHeight="false" outlineLevel="0" collapsed="false">
      <c r="A1609" s="35" t="n">
        <f aca="false">A1608+1</f>
        <v>46416</v>
      </c>
      <c r="B1609" s="35" t="n">
        <f aca="false">EOMONTH(A1609+1,0)</f>
        <v>46418</v>
      </c>
      <c r="C1609" s="36" t="n">
        <f aca="false">IF(MOD(YEAR(A1609),4)=0,366,365)</f>
        <v>365</v>
      </c>
      <c r="D1609" s="37" t="n">
        <f aca="false">Inputs!$B$9-SUMIFS(Cash_Events!$G$6:$G$20,Cash_Events!$C$6:$C$20,"rAGMF",Cash_Events!$B$6:$B$20,"&lt;="&amp;A1609)</f>
        <v>735000</v>
      </c>
      <c r="E1609" s="38" t="n">
        <f aca="false">VLOOKUP(A1609,Inputs!$A$40:$B$48,2,TRUE())</f>
        <v>0.0363225</v>
      </c>
      <c r="F1609" s="38" t="n">
        <f aca="false">E1609+Inputs!$B$10</f>
        <v>0.1038225</v>
      </c>
      <c r="G1609" s="37" t="n">
        <f aca="false">D1609*F1609/C1609</f>
        <v>209.067226027397</v>
      </c>
      <c r="H1609" s="37" t="n">
        <f aca="false">IF(AND(A1609&gt;=Inputs!$B$13,OR(A1609&lt;Inputs!$B$19,Inputs!$B$20=1)),D1609*Inputs!$B$11/C1609,0)</f>
        <v>40.2739726027397</v>
      </c>
      <c r="I1609" s="37" t="n">
        <f aca="false">Inputs!$C$9-SUMIFS(Cash_Events!$G$6:$G$20,Cash_Events!$C$6:$C$20,"FHL",Cash_Events!$B$6:$B$20,"&lt;="&amp;A1609)</f>
        <v>735000</v>
      </c>
      <c r="J1609" s="38" t="n">
        <f aca="false">VLOOKUP(A1609,Inputs!$F$40:$G$48,2,TRUE())</f>
        <v>0.0364054</v>
      </c>
      <c r="K1609" s="38" t="n">
        <f aca="false">J1609+Inputs!$C$10</f>
        <v>0.1039054</v>
      </c>
      <c r="L1609" s="37" t="n">
        <f aca="false">I1609*K1609/C1609</f>
        <v>209.234161643836</v>
      </c>
      <c r="M1609" s="37" t="n">
        <f aca="false">IF(AND(A1609&gt;=Inputs!$C$13,OR(A1609&lt;Inputs!$B$19,Inputs!$B$20=1)),I1609*Inputs!$C$11/C1609,0)</f>
        <v>40.2739726027397</v>
      </c>
    </row>
    <row r="1610" customFormat="false" ht="15" hidden="false" customHeight="false" outlineLevel="0" collapsed="false">
      <c r="A1610" s="35" t="n">
        <f aca="false">A1609+1</f>
        <v>46417</v>
      </c>
      <c r="B1610" s="35" t="n">
        <f aca="false">EOMONTH(A1610+1,0)</f>
        <v>46418</v>
      </c>
      <c r="C1610" s="36" t="n">
        <f aca="false">IF(MOD(YEAR(A1610),4)=0,366,365)</f>
        <v>365</v>
      </c>
      <c r="D1610" s="37" t="n">
        <f aca="false">Inputs!$B$9-SUMIFS(Cash_Events!$G$6:$G$20,Cash_Events!$C$6:$C$20,"rAGMF",Cash_Events!$B$6:$B$20,"&lt;="&amp;A1610)</f>
        <v>735000</v>
      </c>
      <c r="E1610" s="38" t="n">
        <f aca="false">VLOOKUP(A1610,Inputs!$A$40:$B$48,2,TRUE())</f>
        <v>0.0363225</v>
      </c>
      <c r="F1610" s="38" t="n">
        <f aca="false">E1610+Inputs!$B$10</f>
        <v>0.1038225</v>
      </c>
      <c r="G1610" s="37" t="n">
        <f aca="false">D1610*F1610/C1610</f>
        <v>209.067226027397</v>
      </c>
      <c r="H1610" s="37" t="n">
        <f aca="false">IF(AND(A1610&gt;=Inputs!$B$13,OR(A1610&lt;Inputs!$B$19,Inputs!$B$20=1)),D1610*Inputs!$B$11/C1610,0)</f>
        <v>40.2739726027397</v>
      </c>
      <c r="I1610" s="37" t="n">
        <f aca="false">Inputs!$C$9-SUMIFS(Cash_Events!$G$6:$G$20,Cash_Events!$C$6:$C$20,"FHL",Cash_Events!$B$6:$B$20,"&lt;="&amp;A1610)</f>
        <v>735000</v>
      </c>
      <c r="J1610" s="38" t="n">
        <f aca="false">VLOOKUP(A1610,Inputs!$F$40:$G$48,2,TRUE())</f>
        <v>0.0364054</v>
      </c>
      <c r="K1610" s="38" t="n">
        <f aca="false">J1610+Inputs!$C$10</f>
        <v>0.1039054</v>
      </c>
      <c r="L1610" s="37" t="n">
        <f aca="false">I1610*K1610/C1610</f>
        <v>209.234161643836</v>
      </c>
      <c r="M1610" s="37" t="n">
        <f aca="false">IF(AND(A1610&gt;=Inputs!$C$13,OR(A1610&lt;Inputs!$B$19,Inputs!$B$20=1)),I1610*Inputs!$C$11/C1610,0)</f>
        <v>40.2739726027397</v>
      </c>
    </row>
    <row r="1611" customFormat="false" ht="15" hidden="false" customHeight="false" outlineLevel="0" collapsed="false">
      <c r="A1611" s="35" t="n">
        <f aca="false">A1610+1</f>
        <v>46418</v>
      </c>
      <c r="B1611" s="35" t="n">
        <f aca="false">EOMONTH(A1611+1,0)</f>
        <v>46446</v>
      </c>
      <c r="C1611" s="36" t="n">
        <f aca="false">IF(MOD(YEAR(A1611),4)=0,366,365)</f>
        <v>365</v>
      </c>
      <c r="D1611" s="37" t="n">
        <f aca="false">Inputs!$B$9-SUMIFS(Cash_Events!$G$6:$G$20,Cash_Events!$C$6:$C$20,"rAGMF",Cash_Events!$B$6:$B$20,"&lt;="&amp;A1611)</f>
        <v>735000</v>
      </c>
      <c r="E1611" s="38" t="n">
        <f aca="false">VLOOKUP(A1611,Inputs!$A$40:$B$48,2,TRUE())</f>
        <v>0.0363225</v>
      </c>
      <c r="F1611" s="38" t="n">
        <f aca="false">E1611+Inputs!$B$10</f>
        <v>0.1038225</v>
      </c>
      <c r="G1611" s="37" t="n">
        <f aca="false">D1611*F1611/C1611</f>
        <v>209.067226027397</v>
      </c>
      <c r="H1611" s="37" t="n">
        <f aca="false">IF(AND(A1611&gt;=Inputs!$B$13,OR(A1611&lt;Inputs!$B$19,Inputs!$B$20=1)),D1611*Inputs!$B$11/C1611,0)</f>
        <v>40.2739726027397</v>
      </c>
      <c r="I1611" s="37" t="n">
        <f aca="false">Inputs!$C$9-SUMIFS(Cash_Events!$G$6:$G$20,Cash_Events!$C$6:$C$20,"FHL",Cash_Events!$B$6:$B$20,"&lt;="&amp;A1611)</f>
        <v>735000</v>
      </c>
      <c r="J1611" s="38" t="n">
        <f aca="false">VLOOKUP(A1611,Inputs!$F$40:$G$48,2,TRUE())</f>
        <v>0.0364054</v>
      </c>
      <c r="K1611" s="38" t="n">
        <f aca="false">J1611+Inputs!$C$10</f>
        <v>0.1039054</v>
      </c>
      <c r="L1611" s="37" t="n">
        <f aca="false">I1611*K1611/C1611</f>
        <v>209.234161643836</v>
      </c>
      <c r="M1611" s="37" t="n">
        <f aca="false">IF(AND(A1611&gt;=Inputs!$C$13,OR(A1611&lt;Inputs!$B$19,Inputs!$B$20=1)),I1611*Inputs!$C$11/C1611,0)</f>
        <v>40.2739726027397</v>
      </c>
    </row>
    <row r="1612" customFormat="false" ht="15" hidden="false" customHeight="false" outlineLevel="0" collapsed="false">
      <c r="A1612" s="35" t="n">
        <f aca="false">A1611+1</f>
        <v>46419</v>
      </c>
      <c r="B1612" s="35" t="n">
        <f aca="false">EOMONTH(A1612+1,0)</f>
        <v>46446</v>
      </c>
      <c r="C1612" s="36" t="n">
        <f aca="false">IF(MOD(YEAR(A1612),4)=0,366,365)</f>
        <v>365</v>
      </c>
      <c r="D1612" s="37" t="n">
        <f aca="false">Inputs!$B$9-SUMIFS(Cash_Events!$G$6:$G$20,Cash_Events!$C$6:$C$20,"rAGMF",Cash_Events!$B$6:$B$20,"&lt;="&amp;A1612)</f>
        <v>735000</v>
      </c>
      <c r="E1612" s="38" t="n">
        <f aca="false">VLOOKUP(A1612,Inputs!$A$40:$B$48,2,TRUE())</f>
        <v>0.0363225</v>
      </c>
      <c r="F1612" s="38" t="n">
        <f aca="false">E1612+Inputs!$B$10</f>
        <v>0.1038225</v>
      </c>
      <c r="G1612" s="37" t="n">
        <f aca="false">D1612*F1612/C1612</f>
        <v>209.067226027397</v>
      </c>
      <c r="H1612" s="37" t="n">
        <f aca="false">IF(AND(A1612&gt;=Inputs!$B$13,OR(A1612&lt;Inputs!$B$19,Inputs!$B$20=1)),D1612*Inputs!$B$11/C1612,0)</f>
        <v>40.2739726027397</v>
      </c>
      <c r="I1612" s="37" t="n">
        <f aca="false">Inputs!$C$9-SUMIFS(Cash_Events!$G$6:$G$20,Cash_Events!$C$6:$C$20,"FHL",Cash_Events!$B$6:$B$20,"&lt;="&amp;A1612)</f>
        <v>735000</v>
      </c>
      <c r="J1612" s="38" t="n">
        <f aca="false">VLOOKUP(A1612,Inputs!$F$40:$G$48,2,TRUE())</f>
        <v>0.0364054</v>
      </c>
      <c r="K1612" s="38" t="n">
        <f aca="false">J1612+Inputs!$C$10</f>
        <v>0.1039054</v>
      </c>
      <c r="L1612" s="37" t="n">
        <f aca="false">I1612*K1612/C1612</f>
        <v>209.234161643836</v>
      </c>
      <c r="M1612" s="37" t="n">
        <f aca="false">IF(AND(A1612&gt;=Inputs!$C$13,OR(A1612&lt;Inputs!$B$19,Inputs!$B$20=1)),I1612*Inputs!$C$11/C1612,0)</f>
        <v>40.2739726027397</v>
      </c>
    </row>
    <row r="1613" customFormat="false" ht="15" hidden="false" customHeight="false" outlineLevel="0" collapsed="false">
      <c r="A1613" s="35" t="n">
        <f aca="false">A1612+1</f>
        <v>46420</v>
      </c>
      <c r="B1613" s="35" t="n">
        <f aca="false">EOMONTH(A1613+1,0)</f>
        <v>46446</v>
      </c>
      <c r="C1613" s="36" t="n">
        <f aca="false">IF(MOD(YEAR(A1613),4)=0,366,365)</f>
        <v>365</v>
      </c>
      <c r="D1613" s="37" t="n">
        <f aca="false">Inputs!$B$9-SUMIFS(Cash_Events!$G$6:$G$20,Cash_Events!$C$6:$C$20,"rAGMF",Cash_Events!$B$6:$B$20,"&lt;="&amp;A1613)</f>
        <v>735000</v>
      </c>
      <c r="E1613" s="38" t="n">
        <f aca="false">VLOOKUP(A1613,Inputs!$A$40:$B$48,2,TRUE())</f>
        <v>0.0363225</v>
      </c>
      <c r="F1613" s="38" t="n">
        <f aca="false">E1613+Inputs!$B$10</f>
        <v>0.1038225</v>
      </c>
      <c r="G1613" s="37" t="n">
        <f aca="false">D1613*F1613/C1613</f>
        <v>209.067226027397</v>
      </c>
      <c r="H1613" s="37" t="n">
        <f aca="false">IF(AND(A1613&gt;=Inputs!$B$13,OR(A1613&lt;Inputs!$B$19,Inputs!$B$20=1)),D1613*Inputs!$B$11/C1613,0)</f>
        <v>40.2739726027397</v>
      </c>
      <c r="I1613" s="37" t="n">
        <f aca="false">Inputs!$C$9-SUMIFS(Cash_Events!$G$6:$G$20,Cash_Events!$C$6:$C$20,"FHL",Cash_Events!$B$6:$B$20,"&lt;="&amp;A1613)</f>
        <v>735000</v>
      </c>
      <c r="J1613" s="38" t="n">
        <f aca="false">VLOOKUP(A1613,Inputs!$F$40:$G$48,2,TRUE())</f>
        <v>0.0364054</v>
      </c>
      <c r="K1613" s="38" t="n">
        <f aca="false">J1613+Inputs!$C$10</f>
        <v>0.1039054</v>
      </c>
      <c r="L1613" s="37" t="n">
        <f aca="false">I1613*K1613/C1613</f>
        <v>209.234161643836</v>
      </c>
      <c r="M1613" s="37" t="n">
        <f aca="false">IF(AND(A1613&gt;=Inputs!$C$13,OR(A1613&lt;Inputs!$B$19,Inputs!$B$20=1)),I1613*Inputs!$C$11/C1613,0)</f>
        <v>40.2739726027397</v>
      </c>
    </row>
    <row r="1614" customFormat="false" ht="15" hidden="false" customHeight="false" outlineLevel="0" collapsed="false">
      <c r="A1614" s="35" t="n">
        <f aca="false">A1613+1</f>
        <v>46421</v>
      </c>
      <c r="B1614" s="35" t="n">
        <f aca="false">EOMONTH(A1614+1,0)</f>
        <v>46446</v>
      </c>
      <c r="C1614" s="36" t="n">
        <f aca="false">IF(MOD(YEAR(A1614),4)=0,366,365)</f>
        <v>365</v>
      </c>
      <c r="D1614" s="37" t="n">
        <f aca="false">Inputs!$B$9-SUMIFS(Cash_Events!$G$6:$G$20,Cash_Events!$C$6:$C$20,"rAGMF",Cash_Events!$B$6:$B$20,"&lt;="&amp;A1614)</f>
        <v>735000</v>
      </c>
      <c r="E1614" s="38" t="n">
        <f aca="false">VLOOKUP(A1614,Inputs!$A$40:$B$48,2,TRUE())</f>
        <v>0.0363225</v>
      </c>
      <c r="F1614" s="38" t="n">
        <f aca="false">E1614+Inputs!$B$10</f>
        <v>0.1038225</v>
      </c>
      <c r="G1614" s="37" t="n">
        <f aca="false">D1614*F1614/C1614</f>
        <v>209.067226027397</v>
      </c>
      <c r="H1614" s="37" t="n">
        <f aca="false">IF(AND(A1614&gt;=Inputs!$B$13,OR(A1614&lt;Inputs!$B$19,Inputs!$B$20=1)),D1614*Inputs!$B$11/C1614,0)</f>
        <v>40.2739726027397</v>
      </c>
      <c r="I1614" s="37" t="n">
        <f aca="false">Inputs!$C$9-SUMIFS(Cash_Events!$G$6:$G$20,Cash_Events!$C$6:$C$20,"FHL",Cash_Events!$B$6:$B$20,"&lt;="&amp;A1614)</f>
        <v>735000</v>
      </c>
      <c r="J1614" s="38" t="n">
        <f aca="false">VLOOKUP(A1614,Inputs!$F$40:$G$48,2,TRUE())</f>
        <v>0.0364054</v>
      </c>
      <c r="K1614" s="38" t="n">
        <f aca="false">J1614+Inputs!$C$10</f>
        <v>0.1039054</v>
      </c>
      <c r="L1614" s="37" t="n">
        <f aca="false">I1614*K1614/C1614</f>
        <v>209.234161643836</v>
      </c>
      <c r="M1614" s="37" t="n">
        <f aca="false">IF(AND(A1614&gt;=Inputs!$C$13,OR(A1614&lt;Inputs!$B$19,Inputs!$B$20=1)),I1614*Inputs!$C$11/C1614,0)</f>
        <v>40.2739726027397</v>
      </c>
    </row>
    <row r="1615" customFormat="false" ht="15" hidden="false" customHeight="false" outlineLevel="0" collapsed="false">
      <c r="A1615" s="35" t="n">
        <f aca="false">A1614+1</f>
        <v>46422</v>
      </c>
      <c r="B1615" s="35" t="n">
        <f aca="false">EOMONTH(A1615+1,0)</f>
        <v>46446</v>
      </c>
      <c r="C1615" s="36" t="n">
        <f aca="false">IF(MOD(YEAR(A1615),4)=0,366,365)</f>
        <v>365</v>
      </c>
      <c r="D1615" s="37" t="n">
        <f aca="false">Inputs!$B$9-SUMIFS(Cash_Events!$G$6:$G$20,Cash_Events!$C$6:$C$20,"rAGMF",Cash_Events!$B$6:$B$20,"&lt;="&amp;A1615)</f>
        <v>735000</v>
      </c>
      <c r="E1615" s="38" t="n">
        <f aca="false">VLOOKUP(A1615,Inputs!$A$40:$B$48,2,TRUE())</f>
        <v>0.0363225</v>
      </c>
      <c r="F1615" s="38" t="n">
        <f aca="false">E1615+Inputs!$B$10</f>
        <v>0.1038225</v>
      </c>
      <c r="G1615" s="37" t="n">
        <f aca="false">D1615*F1615/C1615</f>
        <v>209.067226027397</v>
      </c>
      <c r="H1615" s="37" t="n">
        <f aca="false">IF(AND(A1615&gt;=Inputs!$B$13,OR(A1615&lt;Inputs!$B$19,Inputs!$B$20=1)),D1615*Inputs!$B$11/C1615,0)</f>
        <v>40.2739726027397</v>
      </c>
      <c r="I1615" s="37" t="n">
        <f aca="false">Inputs!$C$9-SUMIFS(Cash_Events!$G$6:$G$20,Cash_Events!$C$6:$C$20,"FHL",Cash_Events!$B$6:$B$20,"&lt;="&amp;A1615)</f>
        <v>735000</v>
      </c>
      <c r="J1615" s="38" t="n">
        <f aca="false">VLOOKUP(A1615,Inputs!$F$40:$G$48,2,TRUE())</f>
        <v>0.0364054</v>
      </c>
      <c r="K1615" s="38" t="n">
        <f aca="false">J1615+Inputs!$C$10</f>
        <v>0.1039054</v>
      </c>
      <c r="L1615" s="37" t="n">
        <f aca="false">I1615*K1615/C1615</f>
        <v>209.234161643836</v>
      </c>
      <c r="M1615" s="37" t="n">
        <f aca="false">IF(AND(A1615&gt;=Inputs!$C$13,OR(A1615&lt;Inputs!$B$19,Inputs!$B$20=1)),I1615*Inputs!$C$11/C1615,0)</f>
        <v>40.2739726027397</v>
      </c>
    </row>
    <row r="1616" customFormat="false" ht="15" hidden="false" customHeight="false" outlineLevel="0" collapsed="false">
      <c r="A1616" s="35" t="n">
        <f aca="false">A1615+1</f>
        <v>46423</v>
      </c>
      <c r="B1616" s="35" t="n">
        <f aca="false">EOMONTH(A1616+1,0)</f>
        <v>46446</v>
      </c>
      <c r="C1616" s="36" t="n">
        <f aca="false">IF(MOD(YEAR(A1616),4)=0,366,365)</f>
        <v>365</v>
      </c>
      <c r="D1616" s="37" t="n">
        <f aca="false">Inputs!$B$9-SUMIFS(Cash_Events!$G$6:$G$20,Cash_Events!$C$6:$C$20,"rAGMF",Cash_Events!$B$6:$B$20,"&lt;="&amp;A1616)</f>
        <v>735000</v>
      </c>
      <c r="E1616" s="38" t="n">
        <f aca="false">VLOOKUP(A1616,Inputs!$A$40:$B$48,2,TRUE())</f>
        <v>0.0363225</v>
      </c>
      <c r="F1616" s="38" t="n">
        <f aca="false">E1616+Inputs!$B$10</f>
        <v>0.1038225</v>
      </c>
      <c r="G1616" s="37" t="n">
        <f aca="false">D1616*F1616/C1616</f>
        <v>209.067226027397</v>
      </c>
      <c r="H1616" s="37" t="n">
        <f aca="false">IF(AND(A1616&gt;=Inputs!$B$13,OR(A1616&lt;Inputs!$B$19,Inputs!$B$20=1)),D1616*Inputs!$B$11/C1616,0)</f>
        <v>40.2739726027397</v>
      </c>
      <c r="I1616" s="37" t="n">
        <f aca="false">Inputs!$C$9-SUMIFS(Cash_Events!$G$6:$G$20,Cash_Events!$C$6:$C$20,"FHL",Cash_Events!$B$6:$B$20,"&lt;="&amp;A1616)</f>
        <v>735000</v>
      </c>
      <c r="J1616" s="38" t="n">
        <f aca="false">VLOOKUP(A1616,Inputs!$F$40:$G$48,2,TRUE())</f>
        <v>0.0364054</v>
      </c>
      <c r="K1616" s="38" t="n">
        <f aca="false">J1616+Inputs!$C$10</f>
        <v>0.1039054</v>
      </c>
      <c r="L1616" s="37" t="n">
        <f aca="false">I1616*K1616/C1616</f>
        <v>209.234161643836</v>
      </c>
      <c r="M1616" s="37" t="n">
        <f aca="false">IF(AND(A1616&gt;=Inputs!$C$13,OR(A1616&lt;Inputs!$B$19,Inputs!$B$20=1)),I1616*Inputs!$C$11/C1616,0)</f>
        <v>40.2739726027397</v>
      </c>
    </row>
    <row r="1617" customFormat="false" ht="15" hidden="false" customHeight="false" outlineLevel="0" collapsed="false">
      <c r="A1617" s="35" t="n">
        <f aca="false">A1616+1</f>
        <v>46424</v>
      </c>
      <c r="B1617" s="35" t="n">
        <f aca="false">EOMONTH(A1617+1,0)</f>
        <v>46446</v>
      </c>
      <c r="C1617" s="36" t="n">
        <f aca="false">IF(MOD(YEAR(A1617),4)=0,366,365)</f>
        <v>365</v>
      </c>
      <c r="D1617" s="37" t="n">
        <f aca="false">Inputs!$B$9-SUMIFS(Cash_Events!$G$6:$G$20,Cash_Events!$C$6:$C$20,"rAGMF",Cash_Events!$B$6:$B$20,"&lt;="&amp;A1617)</f>
        <v>735000</v>
      </c>
      <c r="E1617" s="38" t="n">
        <f aca="false">VLOOKUP(A1617,Inputs!$A$40:$B$48,2,TRUE())</f>
        <v>0.0363225</v>
      </c>
      <c r="F1617" s="38" t="n">
        <f aca="false">E1617+Inputs!$B$10</f>
        <v>0.1038225</v>
      </c>
      <c r="G1617" s="37" t="n">
        <f aca="false">D1617*F1617/C1617</f>
        <v>209.067226027397</v>
      </c>
      <c r="H1617" s="37" t="n">
        <f aca="false">IF(AND(A1617&gt;=Inputs!$B$13,OR(A1617&lt;Inputs!$B$19,Inputs!$B$20=1)),D1617*Inputs!$B$11/C1617,0)</f>
        <v>40.2739726027397</v>
      </c>
      <c r="I1617" s="37" t="n">
        <f aca="false">Inputs!$C$9-SUMIFS(Cash_Events!$G$6:$G$20,Cash_Events!$C$6:$C$20,"FHL",Cash_Events!$B$6:$B$20,"&lt;="&amp;A1617)</f>
        <v>735000</v>
      </c>
      <c r="J1617" s="38" t="n">
        <f aca="false">VLOOKUP(A1617,Inputs!$F$40:$G$48,2,TRUE())</f>
        <v>0.0364054</v>
      </c>
      <c r="K1617" s="38" t="n">
        <f aca="false">J1617+Inputs!$C$10</f>
        <v>0.1039054</v>
      </c>
      <c r="L1617" s="37" t="n">
        <f aca="false">I1617*K1617/C1617</f>
        <v>209.234161643836</v>
      </c>
      <c r="M1617" s="37" t="n">
        <f aca="false">IF(AND(A1617&gt;=Inputs!$C$13,OR(A1617&lt;Inputs!$B$19,Inputs!$B$20=1)),I1617*Inputs!$C$11/C1617,0)</f>
        <v>40.2739726027397</v>
      </c>
    </row>
    <row r="1618" customFormat="false" ht="15" hidden="false" customHeight="false" outlineLevel="0" collapsed="false">
      <c r="A1618" s="35" t="n">
        <f aca="false">A1617+1</f>
        <v>46425</v>
      </c>
      <c r="B1618" s="35" t="n">
        <f aca="false">EOMONTH(A1618+1,0)</f>
        <v>46446</v>
      </c>
      <c r="C1618" s="36" t="n">
        <f aca="false">IF(MOD(YEAR(A1618),4)=0,366,365)</f>
        <v>365</v>
      </c>
      <c r="D1618" s="37" t="n">
        <f aca="false">Inputs!$B$9-SUMIFS(Cash_Events!$G$6:$G$20,Cash_Events!$C$6:$C$20,"rAGMF",Cash_Events!$B$6:$B$20,"&lt;="&amp;A1618)</f>
        <v>735000</v>
      </c>
      <c r="E1618" s="38" t="n">
        <f aca="false">VLOOKUP(A1618,Inputs!$A$40:$B$48,2,TRUE())</f>
        <v>0.0363225</v>
      </c>
      <c r="F1618" s="38" t="n">
        <f aca="false">E1618+Inputs!$B$10</f>
        <v>0.1038225</v>
      </c>
      <c r="G1618" s="37" t="n">
        <f aca="false">D1618*F1618/C1618</f>
        <v>209.067226027397</v>
      </c>
      <c r="H1618" s="37" t="n">
        <f aca="false">IF(AND(A1618&gt;=Inputs!$B$13,OR(A1618&lt;Inputs!$B$19,Inputs!$B$20=1)),D1618*Inputs!$B$11/C1618,0)</f>
        <v>40.2739726027397</v>
      </c>
      <c r="I1618" s="37" t="n">
        <f aca="false">Inputs!$C$9-SUMIFS(Cash_Events!$G$6:$G$20,Cash_Events!$C$6:$C$20,"FHL",Cash_Events!$B$6:$B$20,"&lt;="&amp;A1618)</f>
        <v>735000</v>
      </c>
      <c r="J1618" s="38" t="n">
        <f aca="false">VLOOKUP(A1618,Inputs!$F$40:$G$48,2,TRUE())</f>
        <v>0.0364054</v>
      </c>
      <c r="K1618" s="38" t="n">
        <f aca="false">J1618+Inputs!$C$10</f>
        <v>0.1039054</v>
      </c>
      <c r="L1618" s="37" t="n">
        <f aca="false">I1618*K1618/C1618</f>
        <v>209.234161643836</v>
      </c>
      <c r="M1618" s="37" t="n">
        <f aca="false">IF(AND(A1618&gt;=Inputs!$C$13,OR(A1618&lt;Inputs!$B$19,Inputs!$B$20=1)),I1618*Inputs!$C$11/C1618,0)</f>
        <v>40.2739726027397</v>
      </c>
    </row>
    <row r="1619" customFormat="false" ht="15" hidden="false" customHeight="false" outlineLevel="0" collapsed="false">
      <c r="A1619" s="35" t="n">
        <f aca="false">A1618+1</f>
        <v>46426</v>
      </c>
      <c r="B1619" s="35" t="n">
        <f aca="false">EOMONTH(A1619+1,0)</f>
        <v>46446</v>
      </c>
      <c r="C1619" s="36" t="n">
        <f aca="false">IF(MOD(YEAR(A1619),4)=0,366,365)</f>
        <v>365</v>
      </c>
      <c r="D1619" s="37" t="n">
        <f aca="false">Inputs!$B$9-SUMIFS(Cash_Events!$G$6:$G$20,Cash_Events!$C$6:$C$20,"rAGMF",Cash_Events!$B$6:$B$20,"&lt;="&amp;A1619)</f>
        <v>735000</v>
      </c>
      <c r="E1619" s="38" t="n">
        <f aca="false">VLOOKUP(A1619,Inputs!$A$40:$B$48,2,TRUE())</f>
        <v>0.0363225</v>
      </c>
      <c r="F1619" s="38" t="n">
        <f aca="false">E1619+Inputs!$B$10</f>
        <v>0.1038225</v>
      </c>
      <c r="G1619" s="37" t="n">
        <f aca="false">D1619*F1619/C1619</f>
        <v>209.067226027397</v>
      </c>
      <c r="H1619" s="37" t="n">
        <f aca="false">IF(AND(A1619&gt;=Inputs!$B$13,OR(A1619&lt;Inputs!$B$19,Inputs!$B$20=1)),D1619*Inputs!$B$11/C1619,0)</f>
        <v>40.2739726027397</v>
      </c>
      <c r="I1619" s="37" t="n">
        <f aca="false">Inputs!$C$9-SUMIFS(Cash_Events!$G$6:$G$20,Cash_Events!$C$6:$C$20,"FHL",Cash_Events!$B$6:$B$20,"&lt;="&amp;A1619)</f>
        <v>735000</v>
      </c>
      <c r="J1619" s="38" t="n">
        <f aca="false">VLOOKUP(A1619,Inputs!$F$40:$G$48,2,TRUE())</f>
        <v>0.0364054</v>
      </c>
      <c r="K1619" s="38" t="n">
        <f aca="false">J1619+Inputs!$C$10</f>
        <v>0.1039054</v>
      </c>
      <c r="L1619" s="37" t="n">
        <f aca="false">I1619*K1619/C1619</f>
        <v>209.234161643836</v>
      </c>
      <c r="M1619" s="37" t="n">
        <f aca="false">IF(AND(A1619&gt;=Inputs!$C$13,OR(A1619&lt;Inputs!$B$19,Inputs!$B$20=1)),I1619*Inputs!$C$11/C1619,0)</f>
        <v>40.2739726027397</v>
      </c>
    </row>
    <row r="1620" customFormat="false" ht="15" hidden="false" customHeight="false" outlineLevel="0" collapsed="false">
      <c r="A1620" s="35" t="n">
        <f aca="false">A1619+1</f>
        <v>46427</v>
      </c>
      <c r="B1620" s="35" t="n">
        <f aca="false">EOMONTH(A1620+1,0)</f>
        <v>46446</v>
      </c>
      <c r="C1620" s="36" t="n">
        <f aca="false">IF(MOD(YEAR(A1620),4)=0,366,365)</f>
        <v>365</v>
      </c>
      <c r="D1620" s="37" t="n">
        <f aca="false">Inputs!$B$9-SUMIFS(Cash_Events!$G$6:$G$20,Cash_Events!$C$6:$C$20,"rAGMF",Cash_Events!$B$6:$B$20,"&lt;="&amp;A1620)</f>
        <v>735000</v>
      </c>
      <c r="E1620" s="38" t="n">
        <f aca="false">VLOOKUP(A1620,Inputs!$A$40:$B$48,2,TRUE())</f>
        <v>0.0363225</v>
      </c>
      <c r="F1620" s="38" t="n">
        <f aca="false">E1620+Inputs!$B$10</f>
        <v>0.1038225</v>
      </c>
      <c r="G1620" s="37" t="n">
        <f aca="false">D1620*F1620/C1620</f>
        <v>209.067226027397</v>
      </c>
      <c r="H1620" s="37" t="n">
        <f aca="false">IF(AND(A1620&gt;=Inputs!$B$13,OR(A1620&lt;Inputs!$B$19,Inputs!$B$20=1)),D1620*Inputs!$B$11/C1620,0)</f>
        <v>40.2739726027397</v>
      </c>
      <c r="I1620" s="37" t="n">
        <f aca="false">Inputs!$C$9-SUMIFS(Cash_Events!$G$6:$G$20,Cash_Events!$C$6:$C$20,"FHL",Cash_Events!$B$6:$B$20,"&lt;="&amp;A1620)</f>
        <v>735000</v>
      </c>
      <c r="J1620" s="38" t="n">
        <f aca="false">VLOOKUP(A1620,Inputs!$F$40:$G$48,2,TRUE())</f>
        <v>0.0364054</v>
      </c>
      <c r="K1620" s="38" t="n">
        <f aca="false">J1620+Inputs!$C$10</f>
        <v>0.1039054</v>
      </c>
      <c r="L1620" s="37" t="n">
        <f aca="false">I1620*K1620/C1620</f>
        <v>209.234161643836</v>
      </c>
      <c r="M1620" s="37" t="n">
        <f aca="false">IF(AND(A1620&gt;=Inputs!$C$13,OR(A1620&lt;Inputs!$B$19,Inputs!$B$20=1)),I1620*Inputs!$C$11/C1620,0)</f>
        <v>40.2739726027397</v>
      </c>
    </row>
    <row r="1621" customFormat="false" ht="15" hidden="false" customHeight="false" outlineLevel="0" collapsed="false">
      <c r="A1621" s="35" t="n">
        <f aca="false">A1620+1</f>
        <v>46428</v>
      </c>
      <c r="B1621" s="35" t="n">
        <f aca="false">EOMONTH(A1621+1,0)</f>
        <v>46446</v>
      </c>
      <c r="C1621" s="36" t="n">
        <f aca="false">IF(MOD(YEAR(A1621),4)=0,366,365)</f>
        <v>365</v>
      </c>
      <c r="D1621" s="37" t="n">
        <f aca="false">Inputs!$B$9-SUMIFS(Cash_Events!$G$6:$G$20,Cash_Events!$C$6:$C$20,"rAGMF",Cash_Events!$B$6:$B$20,"&lt;="&amp;A1621)</f>
        <v>735000</v>
      </c>
      <c r="E1621" s="38" t="n">
        <f aca="false">VLOOKUP(A1621,Inputs!$A$40:$B$48,2,TRUE())</f>
        <v>0.0363225</v>
      </c>
      <c r="F1621" s="38" t="n">
        <f aca="false">E1621+Inputs!$B$10</f>
        <v>0.1038225</v>
      </c>
      <c r="G1621" s="37" t="n">
        <f aca="false">D1621*F1621/C1621</f>
        <v>209.067226027397</v>
      </c>
      <c r="H1621" s="37" t="n">
        <f aca="false">IF(AND(A1621&gt;=Inputs!$B$13,OR(A1621&lt;Inputs!$B$19,Inputs!$B$20=1)),D1621*Inputs!$B$11/C1621,0)</f>
        <v>40.2739726027397</v>
      </c>
      <c r="I1621" s="37" t="n">
        <f aca="false">Inputs!$C$9-SUMIFS(Cash_Events!$G$6:$G$20,Cash_Events!$C$6:$C$20,"FHL",Cash_Events!$B$6:$B$20,"&lt;="&amp;A1621)</f>
        <v>735000</v>
      </c>
      <c r="J1621" s="38" t="n">
        <f aca="false">VLOOKUP(A1621,Inputs!$F$40:$G$48,2,TRUE())</f>
        <v>0.0364054</v>
      </c>
      <c r="K1621" s="38" t="n">
        <f aca="false">J1621+Inputs!$C$10</f>
        <v>0.1039054</v>
      </c>
      <c r="L1621" s="37" t="n">
        <f aca="false">I1621*K1621/C1621</f>
        <v>209.234161643836</v>
      </c>
      <c r="M1621" s="37" t="n">
        <f aca="false">IF(AND(A1621&gt;=Inputs!$C$13,OR(A1621&lt;Inputs!$B$19,Inputs!$B$20=1)),I1621*Inputs!$C$11/C1621,0)</f>
        <v>40.2739726027397</v>
      </c>
    </row>
    <row r="1622" customFormat="false" ht="15" hidden="false" customHeight="false" outlineLevel="0" collapsed="false">
      <c r="A1622" s="35" t="n">
        <f aca="false">A1621+1</f>
        <v>46429</v>
      </c>
      <c r="B1622" s="35" t="n">
        <f aca="false">EOMONTH(A1622+1,0)</f>
        <v>46446</v>
      </c>
      <c r="C1622" s="36" t="n">
        <f aca="false">IF(MOD(YEAR(A1622),4)=0,366,365)</f>
        <v>365</v>
      </c>
      <c r="D1622" s="37" t="n">
        <f aca="false">Inputs!$B$9-SUMIFS(Cash_Events!$G$6:$G$20,Cash_Events!$C$6:$C$20,"rAGMF",Cash_Events!$B$6:$B$20,"&lt;="&amp;A1622)</f>
        <v>735000</v>
      </c>
      <c r="E1622" s="38" t="n">
        <f aca="false">VLOOKUP(A1622,Inputs!$A$40:$B$48,2,TRUE())</f>
        <v>0.0363225</v>
      </c>
      <c r="F1622" s="38" t="n">
        <f aca="false">E1622+Inputs!$B$10</f>
        <v>0.1038225</v>
      </c>
      <c r="G1622" s="37" t="n">
        <f aca="false">D1622*F1622/C1622</f>
        <v>209.067226027397</v>
      </c>
      <c r="H1622" s="37" t="n">
        <f aca="false">IF(AND(A1622&gt;=Inputs!$B$13,OR(A1622&lt;Inputs!$B$19,Inputs!$B$20=1)),D1622*Inputs!$B$11/C1622,0)</f>
        <v>40.2739726027397</v>
      </c>
      <c r="I1622" s="37" t="n">
        <f aca="false">Inputs!$C$9-SUMIFS(Cash_Events!$G$6:$G$20,Cash_Events!$C$6:$C$20,"FHL",Cash_Events!$B$6:$B$20,"&lt;="&amp;A1622)</f>
        <v>735000</v>
      </c>
      <c r="J1622" s="38" t="n">
        <f aca="false">VLOOKUP(A1622,Inputs!$F$40:$G$48,2,TRUE())</f>
        <v>0.0364054</v>
      </c>
      <c r="K1622" s="38" t="n">
        <f aca="false">J1622+Inputs!$C$10</f>
        <v>0.1039054</v>
      </c>
      <c r="L1622" s="37" t="n">
        <f aca="false">I1622*K1622/C1622</f>
        <v>209.234161643836</v>
      </c>
      <c r="M1622" s="37" t="n">
        <f aca="false">IF(AND(A1622&gt;=Inputs!$C$13,OR(A1622&lt;Inputs!$B$19,Inputs!$B$20=1)),I1622*Inputs!$C$11/C1622,0)</f>
        <v>40.2739726027397</v>
      </c>
    </row>
    <row r="1623" customFormat="false" ht="15" hidden="false" customHeight="false" outlineLevel="0" collapsed="false">
      <c r="A1623" s="35" t="n">
        <f aca="false">A1622+1</f>
        <v>46430</v>
      </c>
      <c r="B1623" s="35" t="n">
        <f aca="false">EOMONTH(A1623+1,0)</f>
        <v>46446</v>
      </c>
      <c r="C1623" s="36" t="n">
        <f aca="false">IF(MOD(YEAR(A1623),4)=0,366,365)</f>
        <v>365</v>
      </c>
      <c r="D1623" s="37" t="n">
        <f aca="false">Inputs!$B$9-SUMIFS(Cash_Events!$G$6:$G$20,Cash_Events!$C$6:$C$20,"rAGMF",Cash_Events!$B$6:$B$20,"&lt;="&amp;A1623)</f>
        <v>735000</v>
      </c>
      <c r="E1623" s="38" t="n">
        <f aca="false">VLOOKUP(A1623,Inputs!$A$40:$B$48,2,TRUE())</f>
        <v>0.0363225</v>
      </c>
      <c r="F1623" s="38" t="n">
        <f aca="false">E1623+Inputs!$B$10</f>
        <v>0.1038225</v>
      </c>
      <c r="G1623" s="37" t="n">
        <f aca="false">D1623*F1623/C1623</f>
        <v>209.067226027397</v>
      </c>
      <c r="H1623" s="37" t="n">
        <f aca="false">IF(AND(A1623&gt;=Inputs!$B$13,OR(A1623&lt;Inputs!$B$19,Inputs!$B$20=1)),D1623*Inputs!$B$11/C1623,0)</f>
        <v>40.2739726027397</v>
      </c>
      <c r="I1623" s="37" t="n">
        <f aca="false">Inputs!$C$9-SUMIFS(Cash_Events!$G$6:$G$20,Cash_Events!$C$6:$C$20,"FHL",Cash_Events!$B$6:$B$20,"&lt;="&amp;A1623)</f>
        <v>735000</v>
      </c>
      <c r="J1623" s="38" t="n">
        <f aca="false">VLOOKUP(A1623,Inputs!$F$40:$G$48,2,TRUE())</f>
        <v>0.0364054</v>
      </c>
      <c r="K1623" s="38" t="n">
        <f aca="false">J1623+Inputs!$C$10</f>
        <v>0.1039054</v>
      </c>
      <c r="L1623" s="37" t="n">
        <f aca="false">I1623*K1623/C1623</f>
        <v>209.234161643836</v>
      </c>
      <c r="M1623" s="37" t="n">
        <f aca="false">IF(AND(A1623&gt;=Inputs!$C$13,OR(A1623&lt;Inputs!$B$19,Inputs!$B$20=1)),I1623*Inputs!$C$11/C1623,0)</f>
        <v>40.2739726027397</v>
      </c>
    </row>
    <row r="1624" customFormat="false" ht="15" hidden="false" customHeight="false" outlineLevel="0" collapsed="false">
      <c r="A1624" s="35" t="n">
        <f aca="false">A1623+1</f>
        <v>46431</v>
      </c>
      <c r="B1624" s="35" t="n">
        <f aca="false">EOMONTH(A1624+1,0)</f>
        <v>46446</v>
      </c>
      <c r="C1624" s="36" t="n">
        <f aca="false">IF(MOD(YEAR(A1624),4)=0,366,365)</f>
        <v>365</v>
      </c>
      <c r="D1624" s="37" t="n">
        <f aca="false">Inputs!$B$9-SUMIFS(Cash_Events!$G$6:$G$20,Cash_Events!$C$6:$C$20,"rAGMF",Cash_Events!$B$6:$B$20,"&lt;="&amp;A1624)</f>
        <v>735000</v>
      </c>
      <c r="E1624" s="38" t="n">
        <f aca="false">VLOOKUP(A1624,Inputs!$A$40:$B$48,2,TRUE())</f>
        <v>0.0363225</v>
      </c>
      <c r="F1624" s="38" t="n">
        <f aca="false">E1624+Inputs!$B$10</f>
        <v>0.1038225</v>
      </c>
      <c r="G1624" s="37" t="n">
        <f aca="false">D1624*F1624/C1624</f>
        <v>209.067226027397</v>
      </c>
      <c r="H1624" s="37" t="n">
        <f aca="false">IF(AND(A1624&gt;=Inputs!$B$13,OR(A1624&lt;Inputs!$B$19,Inputs!$B$20=1)),D1624*Inputs!$B$11/C1624,0)</f>
        <v>40.2739726027397</v>
      </c>
      <c r="I1624" s="37" t="n">
        <f aca="false">Inputs!$C$9-SUMIFS(Cash_Events!$G$6:$G$20,Cash_Events!$C$6:$C$20,"FHL",Cash_Events!$B$6:$B$20,"&lt;="&amp;A1624)</f>
        <v>735000</v>
      </c>
      <c r="J1624" s="38" t="n">
        <f aca="false">VLOOKUP(A1624,Inputs!$F$40:$G$48,2,TRUE())</f>
        <v>0.0364054</v>
      </c>
      <c r="K1624" s="38" t="n">
        <f aca="false">J1624+Inputs!$C$10</f>
        <v>0.1039054</v>
      </c>
      <c r="L1624" s="37" t="n">
        <f aca="false">I1624*K1624/C1624</f>
        <v>209.234161643836</v>
      </c>
      <c r="M1624" s="37" t="n">
        <f aca="false">IF(AND(A1624&gt;=Inputs!$C$13,OR(A1624&lt;Inputs!$B$19,Inputs!$B$20=1)),I1624*Inputs!$C$11/C1624,0)</f>
        <v>40.2739726027397</v>
      </c>
    </row>
    <row r="1625" customFormat="false" ht="15" hidden="false" customHeight="false" outlineLevel="0" collapsed="false">
      <c r="A1625" s="35" t="n">
        <f aca="false">A1624+1</f>
        <v>46432</v>
      </c>
      <c r="B1625" s="35" t="n">
        <f aca="false">EOMONTH(A1625+1,0)</f>
        <v>46446</v>
      </c>
      <c r="C1625" s="36" t="n">
        <f aca="false">IF(MOD(YEAR(A1625),4)=0,366,365)</f>
        <v>365</v>
      </c>
      <c r="D1625" s="37" t="n">
        <f aca="false">Inputs!$B$9-SUMIFS(Cash_Events!$G$6:$G$20,Cash_Events!$C$6:$C$20,"rAGMF",Cash_Events!$B$6:$B$20,"&lt;="&amp;A1625)</f>
        <v>735000</v>
      </c>
      <c r="E1625" s="38" t="n">
        <f aca="false">VLOOKUP(A1625,Inputs!$A$40:$B$48,2,TRUE())</f>
        <v>0.0363225</v>
      </c>
      <c r="F1625" s="38" t="n">
        <f aca="false">E1625+Inputs!$B$10</f>
        <v>0.1038225</v>
      </c>
      <c r="G1625" s="37" t="n">
        <f aca="false">D1625*F1625/C1625</f>
        <v>209.067226027397</v>
      </c>
      <c r="H1625" s="37" t="n">
        <f aca="false">IF(AND(A1625&gt;=Inputs!$B$13,OR(A1625&lt;Inputs!$B$19,Inputs!$B$20=1)),D1625*Inputs!$B$11/C1625,0)</f>
        <v>40.2739726027397</v>
      </c>
      <c r="I1625" s="37" t="n">
        <f aca="false">Inputs!$C$9-SUMIFS(Cash_Events!$G$6:$G$20,Cash_Events!$C$6:$C$20,"FHL",Cash_Events!$B$6:$B$20,"&lt;="&amp;A1625)</f>
        <v>735000</v>
      </c>
      <c r="J1625" s="38" t="n">
        <f aca="false">VLOOKUP(A1625,Inputs!$F$40:$G$48,2,TRUE())</f>
        <v>0.0364054</v>
      </c>
      <c r="K1625" s="38" t="n">
        <f aca="false">J1625+Inputs!$C$10</f>
        <v>0.1039054</v>
      </c>
      <c r="L1625" s="37" t="n">
        <f aca="false">I1625*K1625/C1625</f>
        <v>209.234161643836</v>
      </c>
      <c r="M1625" s="37" t="n">
        <f aca="false">IF(AND(A1625&gt;=Inputs!$C$13,OR(A1625&lt;Inputs!$B$19,Inputs!$B$20=1)),I1625*Inputs!$C$11/C1625,0)</f>
        <v>40.2739726027397</v>
      </c>
    </row>
    <row r="1626" customFormat="false" ht="15" hidden="false" customHeight="false" outlineLevel="0" collapsed="false">
      <c r="A1626" s="35" t="n">
        <f aca="false">A1625+1</f>
        <v>46433</v>
      </c>
      <c r="B1626" s="35" t="n">
        <f aca="false">EOMONTH(A1626+1,0)</f>
        <v>46446</v>
      </c>
      <c r="C1626" s="36" t="n">
        <f aca="false">IF(MOD(YEAR(A1626),4)=0,366,365)</f>
        <v>365</v>
      </c>
      <c r="D1626" s="37" t="n">
        <f aca="false">Inputs!$B$9-SUMIFS(Cash_Events!$G$6:$G$20,Cash_Events!$C$6:$C$20,"rAGMF",Cash_Events!$B$6:$B$20,"&lt;="&amp;A1626)</f>
        <v>735000</v>
      </c>
      <c r="E1626" s="38" t="n">
        <f aca="false">VLOOKUP(A1626,Inputs!$A$40:$B$48,2,TRUE())</f>
        <v>0.0363225</v>
      </c>
      <c r="F1626" s="38" t="n">
        <f aca="false">E1626+Inputs!$B$10</f>
        <v>0.1038225</v>
      </c>
      <c r="G1626" s="37" t="n">
        <f aca="false">D1626*F1626/C1626</f>
        <v>209.067226027397</v>
      </c>
      <c r="H1626" s="37" t="n">
        <f aca="false">IF(AND(A1626&gt;=Inputs!$B$13,OR(A1626&lt;Inputs!$B$19,Inputs!$B$20=1)),D1626*Inputs!$B$11/C1626,0)</f>
        <v>40.2739726027397</v>
      </c>
      <c r="I1626" s="37" t="n">
        <f aca="false">Inputs!$C$9-SUMIFS(Cash_Events!$G$6:$G$20,Cash_Events!$C$6:$C$20,"FHL",Cash_Events!$B$6:$B$20,"&lt;="&amp;A1626)</f>
        <v>735000</v>
      </c>
      <c r="J1626" s="38" t="n">
        <f aca="false">VLOOKUP(A1626,Inputs!$F$40:$G$48,2,TRUE())</f>
        <v>0.0364054</v>
      </c>
      <c r="K1626" s="38" t="n">
        <f aca="false">J1626+Inputs!$C$10</f>
        <v>0.1039054</v>
      </c>
      <c r="L1626" s="37" t="n">
        <f aca="false">I1626*K1626/C1626</f>
        <v>209.234161643836</v>
      </c>
      <c r="M1626" s="37" t="n">
        <f aca="false">IF(AND(A1626&gt;=Inputs!$C$13,OR(A1626&lt;Inputs!$B$19,Inputs!$B$20=1)),I1626*Inputs!$C$11/C1626,0)</f>
        <v>40.2739726027397</v>
      </c>
    </row>
    <row r="1627" customFormat="false" ht="15" hidden="false" customHeight="false" outlineLevel="0" collapsed="false">
      <c r="A1627" s="35" t="n">
        <f aca="false">A1626+1</f>
        <v>46434</v>
      </c>
      <c r="B1627" s="35" t="n">
        <f aca="false">EOMONTH(A1627+1,0)</f>
        <v>46446</v>
      </c>
      <c r="C1627" s="36" t="n">
        <f aca="false">IF(MOD(YEAR(A1627),4)=0,366,365)</f>
        <v>365</v>
      </c>
      <c r="D1627" s="37" t="n">
        <f aca="false">Inputs!$B$9-SUMIFS(Cash_Events!$G$6:$G$20,Cash_Events!$C$6:$C$20,"rAGMF",Cash_Events!$B$6:$B$20,"&lt;="&amp;A1627)</f>
        <v>735000</v>
      </c>
      <c r="E1627" s="38" t="n">
        <f aca="false">VLOOKUP(A1627,Inputs!$A$40:$B$48,2,TRUE())</f>
        <v>0.0363225</v>
      </c>
      <c r="F1627" s="38" t="n">
        <f aca="false">E1627+Inputs!$B$10</f>
        <v>0.1038225</v>
      </c>
      <c r="G1627" s="37" t="n">
        <f aca="false">D1627*F1627/C1627</f>
        <v>209.067226027397</v>
      </c>
      <c r="H1627" s="37" t="n">
        <f aca="false">IF(AND(A1627&gt;=Inputs!$B$13,OR(A1627&lt;Inputs!$B$19,Inputs!$B$20=1)),D1627*Inputs!$B$11/C1627,0)</f>
        <v>40.2739726027397</v>
      </c>
      <c r="I1627" s="37" t="n">
        <f aca="false">Inputs!$C$9-SUMIFS(Cash_Events!$G$6:$G$20,Cash_Events!$C$6:$C$20,"FHL",Cash_Events!$B$6:$B$20,"&lt;="&amp;A1627)</f>
        <v>735000</v>
      </c>
      <c r="J1627" s="38" t="n">
        <f aca="false">VLOOKUP(A1627,Inputs!$F$40:$G$48,2,TRUE())</f>
        <v>0.0364054</v>
      </c>
      <c r="K1627" s="38" t="n">
        <f aca="false">J1627+Inputs!$C$10</f>
        <v>0.1039054</v>
      </c>
      <c r="L1627" s="37" t="n">
        <f aca="false">I1627*K1627/C1627</f>
        <v>209.234161643836</v>
      </c>
      <c r="M1627" s="37" t="n">
        <f aca="false">IF(AND(A1627&gt;=Inputs!$C$13,OR(A1627&lt;Inputs!$B$19,Inputs!$B$20=1)),I1627*Inputs!$C$11/C1627,0)</f>
        <v>40.2739726027397</v>
      </c>
    </row>
    <row r="1628" customFormat="false" ht="15" hidden="false" customHeight="false" outlineLevel="0" collapsed="false">
      <c r="A1628" s="35" t="n">
        <f aca="false">A1627+1</f>
        <v>46435</v>
      </c>
      <c r="B1628" s="35" t="n">
        <f aca="false">EOMONTH(A1628+1,0)</f>
        <v>46446</v>
      </c>
      <c r="C1628" s="36" t="n">
        <f aca="false">IF(MOD(YEAR(A1628),4)=0,366,365)</f>
        <v>365</v>
      </c>
      <c r="D1628" s="37" t="n">
        <f aca="false">Inputs!$B$9-SUMIFS(Cash_Events!$G$6:$G$20,Cash_Events!$C$6:$C$20,"rAGMF",Cash_Events!$B$6:$B$20,"&lt;="&amp;A1628)</f>
        <v>735000</v>
      </c>
      <c r="E1628" s="38" t="n">
        <f aca="false">VLOOKUP(A1628,Inputs!$A$40:$B$48,2,TRUE())</f>
        <v>0.0363225</v>
      </c>
      <c r="F1628" s="38" t="n">
        <f aca="false">E1628+Inputs!$B$10</f>
        <v>0.1038225</v>
      </c>
      <c r="G1628" s="37" t="n">
        <f aca="false">D1628*F1628/C1628</f>
        <v>209.067226027397</v>
      </c>
      <c r="H1628" s="37" t="n">
        <f aca="false">IF(AND(A1628&gt;=Inputs!$B$13,OR(A1628&lt;Inputs!$B$19,Inputs!$B$20=1)),D1628*Inputs!$B$11/C1628,0)</f>
        <v>40.2739726027397</v>
      </c>
      <c r="I1628" s="37" t="n">
        <f aca="false">Inputs!$C$9-SUMIFS(Cash_Events!$G$6:$G$20,Cash_Events!$C$6:$C$20,"FHL",Cash_Events!$B$6:$B$20,"&lt;="&amp;A1628)</f>
        <v>735000</v>
      </c>
      <c r="J1628" s="38" t="n">
        <f aca="false">VLOOKUP(A1628,Inputs!$F$40:$G$48,2,TRUE())</f>
        <v>0.0364054</v>
      </c>
      <c r="K1628" s="38" t="n">
        <f aca="false">J1628+Inputs!$C$10</f>
        <v>0.1039054</v>
      </c>
      <c r="L1628" s="37" t="n">
        <f aca="false">I1628*K1628/C1628</f>
        <v>209.234161643836</v>
      </c>
      <c r="M1628" s="37" t="n">
        <f aca="false">IF(AND(A1628&gt;=Inputs!$C$13,OR(A1628&lt;Inputs!$B$19,Inputs!$B$20=1)),I1628*Inputs!$C$11/C1628,0)</f>
        <v>40.2739726027397</v>
      </c>
    </row>
    <row r="1629" customFormat="false" ht="15" hidden="false" customHeight="false" outlineLevel="0" collapsed="false">
      <c r="A1629" s="35" t="n">
        <f aca="false">A1628+1</f>
        <v>46436</v>
      </c>
      <c r="B1629" s="35" t="n">
        <f aca="false">EOMONTH(A1629+1,0)</f>
        <v>46446</v>
      </c>
      <c r="C1629" s="36" t="n">
        <f aca="false">IF(MOD(YEAR(A1629),4)=0,366,365)</f>
        <v>365</v>
      </c>
      <c r="D1629" s="37" t="n">
        <f aca="false">Inputs!$B$9-SUMIFS(Cash_Events!$G$6:$G$20,Cash_Events!$C$6:$C$20,"rAGMF",Cash_Events!$B$6:$B$20,"&lt;="&amp;A1629)</f>
        <v>735000</v>
      </c>
      <c r="E1629" s="38" t="n">
        <f aca="false">VLOOKUP(A1629,Inputs!$A$40:$B$48,2,TRUE())</f>
        <v>0.0363225</v>
      </c>
      <c r="F1629" s="38" t="n">
        <f aca="false">E1629+Inputs!$B$10</f>
        <v>0.1038225</v>
      </c>
      <c r="G1629" s="37" t="n">
        <f aca="false">D1629*F1629/C1629</f>
        <v>209.067226027397</v>
      </c>
      <c r="H1629" s="37" t="n">
        <f aca="false">IF(AND(A1629&gt;=Inputs!$B$13,OR(A1629&lt;Inputs!$B$19,Inputs!$B$20=1)),D1629*Inputs!$B$11/C1629,0)</f>
        <v>40.2739726027397</v>
      </c>
      <c r="I1629" s="37" t="n">
        <f aca="false">Inputs!$C$9-SUMIFS(Cash_Events!$G$6:$G$20,Cash_Events!$C$6:$C$20,"FHL",Cash_Events!$B$6:$B$20,"&lt;="&amp;A1629)</f>
        <v>735000</v>
      </c>
      <c r="J1629" s="38" t="n">
        <f aca="false">VLOOKUP(A1629,Inputs!$F$40:$G$48,2,TRUE())</f>
        <v>0.0364054</v>
      </c>
      <c r="K1629" s="38" t="n">
        <f aca="false">J1629+Inputs!$C$10</f>
        <v>0.1039054</v>
      </c>
      <c r="L1629" s="37" t="n">
        <f aca="false">I1629*K1629/C1629</f>
        <v>209.234161643836</v>
      </c>
      <c r="M1629" s="37" t="n">
        <f aca="false">IF(AND(A1629&gt;=Inputs!$C$13,OR(A1629&lt;Inputs!$B$19,Inputs!$B$20=1)),I1629*Inputs!$C$11/C1629,0)</f>
        <v>40.2739726027397</v>
      </c>
    </row>
    <row r="1630" customFormat="false" ht="15" hidden="false" customHeight="false" outlineLevel="0" collapsed="false">
      <c r="A1630" s="35" t="n">
        <f aca="false">A1629+1</f>
        <v>46437</v>
      </c>
      <c r="B1630" s="35" t="n">
        <f aca="false">EOMONTH(A1630+1,0)</f>
        <v>46446</v>
      </c>
      <c r="C1630" s="36" t="n">
        <f aca="false">IF(MOD(YEAR(A1630),4)=0,366,365)</f>
        <v>365</v>
      </c>
      <c r="D1630" s="37" t="n">
        <f aca="false">Inputs!$B$9-SUMIFS(Cash_Events!$G$6:$G$20,Cash_Events!$C$6:$C$20,"rAGMF",Cash_Events!$B$6:$B$20,"&lt;="&amp;A1630)</f>
        <v>735000</v>
      </c>
      <c r="E1630" s="38" t="n">
        <f aca="false">VLOOKUP(A1630,Inputs!$A$40:$B$48,2,TRUE())</f>
        <v>0.0363225</v>
      </c>
      <c r="F1630" s="38" t="n">
        <f aca="false">E1630+Inputs!$B$10</f>
        <v>0.1038225</v>
      </c>
      <c r="G1630" s="37" t="n">
        <f aca="false">D1630*F1630/C1630</f>
        <v>209.067226027397</v>
      </c>
      <c r="H1630" s="37" t="n">
        <f aca="false">IF(AND(A1630&gt;=Inputs!$B$13,OR(A1630&lt;Inputs!$B$19,Inputs!$B$20=1)),D1630*Inputs!$B$11/C1630,0)</f>
        <v>40.2739726027397</v>
      </c>
      <c r="I1630" s="37" t="n">
        <f aca="false">Inputs!$C$9-SUMIFS(Cash_Events!$G$6:$G$20,Cash_Events!$C$6:$C$20,"FHL",Cash_Events!$B$6:$B$20,"&lt;="&amp;A1630)</f>
        <v>735000</v>
      </c>
      <c r="J1630" s="38" t="n">
        <f aca="false">VLOOKUP(A1630,Inputs!$F$40:$G$48,2,TRUE())</f>
        <v>0.0364054</v>
      </c>
      <c r="K1630" s="38" t="n">
        <f aca="false">J1630+Inputs!$C$10</f>
        <v>0.1039054</v>
      </c>
      <c r="L1630" s="37" t="n">
        <f aca="false">I1630*K1630/C1630</f>
        <v>209.234161643836</v>
      </c>
      <c r="M1630" s="37" t="n">
        <f aca="false">IF(AND(A1630&gt;=Inputs!$C$13,OR(A1630&lt;Inputs!$B$19,Inputs!$B$20=1)),I1630*Inputs!$C$11/C1630,0)</f>
        <v>40.2739726027397</v>
      </c>
    </row>
    <row r="1631" customFormat="false" ht="15" hidden="false" customHeight="false" outlineLevel="0" collapsed="false">
      <c r="A1631" s="35" t="n">
        <f aca="false">A1630+1</f>
        <v>46438</v>
      </c>
      <c r="B1631" s="35" t="n">
        <f aca="false">EOMONTH(A1631+1,0)</f>
        <v>46446</v>
      </c>
      <c r="C1631" s="36" t="n">
        <f aca="false">IF(MOD(YEAR(A1631),4)=0,366,365)</f>
        <v>365</v>
      </c>
      <c r="D1631" s="37" t="n">
        <f aca="false">Inputs!$B$9-SUMIFS(Cash_Events!$G$6:$G$20,Cash_Events!$C$6:$C$20,"rAGMF",Cash_Events!$B$6:$B$20,"&lt;="&amp;A1631)</f>
        <v>735000</v>
      </c>
      <c r="E1631" s="38" t="n">
        <f aca="false">VLOOKUP(A1631,Inputs!$A$40:$B$48,2,TRUE())</f>
        <v>0.0363225</v>
      </c>
      <c r="F1631" s="38" t="n">
        <f aca="false">E1631+Inputs!$B$10</f>
        <v>0.1038225</v>
      </c>
      <c r="G1631" s="37" t="n">
        <f aca="false">D1631*F1631/C1631</f>
        <v>209.067226027397</v>
      </c>
      <c r="H1631" s="37" t="n">
        <f aca="false">IF(AND(A1631&gt;=Inputs!$B$13,OR(A1631&lt;Inputs!$B$19,Inputs!$B$20=1)),D1631*Inputs!$B$11/C1631,0)</f>
        <v>40.2739726027397</v>
      </c>
      <c r="I1631" s="37" t="n">
        <f aca="false">Inputs!$C$9-SUMIFS(Cash_Events!$G$6:$G$20,Cash_Events!$C$6:$C$20,"FHL",Cash_Events!$B$6:$B$20,"&lt;="&amp;A1631)</f>
        <v>735000</v>
      </c>
      <c r="J1631" s="38" t="n">
        <f aca="false">VLOOKUP(A1631,Inputs!$F$40:$G$48,2,TRUE())</f>
        <v>0.0364054</v>
      </c>
      <c r="K1631" s="38" t="n">
        <f aca="false">J1631+Inputs!$C$10</f>
        <v>0.1039054</v>
      </c>
      <c r="L1631" s="37" t="n">
        <f aca="false">I1631*K1631/C1631</f>
        <v>209.234161643836</v>
      </c>
      <c r="M1631" s="37" t="n">
        <f aca="false">IF(AND(A1631&gt;=Inputs!$C$13,OR(A1631&lt;Inputs!$B$19,Inputs!$B$20=1)),I1631*Inputs!$C$11/C1631,0)</f>
        <v>40.2739726027397</v>
      </c>
    </row>
    <row r="1632" customFormat="false" ht="15" hidden="false" customHeight="false" outlineLevel="0" collapsed="false">
      <c r="A1632" s="35" t="n">
        <f aca="false">A1631+1</f>
        <v>46439</v>
      </c>
      <c r="B1632" s="35" t="n">
        <f aca="false">EOMONTH(A1632+1,0)</f>
        <v>46446</v>
      </c>
      <c r="C1632" s="36" t="n">
        <f aca="false">IF(MOD(YEAR(A1632),4)=0,366,365)</f>
        <v>365</v>
      </c>
      <c r="D1632" s="37" t="n">
        <f aca="false">Inputs!$B$9-SUMIFS(Cash_Events!$G$6:$G$20,Cash_Events!$C$6:$C$20,"rAGMF",Cash_Events!$B$6:$B$20,"&lt;="&amp;A1632)</f>
        <v>735000</v>
      </c>
      <c r="E1632" s="38" t="n">
        <f aca="false">VLOOKUP(A1632,Inputs!$A$40:$B$48,2,TRUE())</f>
        <v>0.0363225</v>
      </c>
      <c r="F1632" s="38" t="n">
        <f aca="false">E1632+Inputs!$B$10</f>
        <v>0.1038225</v>
      </c>
      <c r="G1632" s="37" t="n">
        <f aca="false">D1632*F1632/C1632</f>
        <v>209.067226027397</v>
      </c>
      <c r="H1632" s="37" t="n">
        <f aca="false">IF(AND(A1632&gt;=Inputs!$B$13,OR(A1632&lt;Inputs!$B$19,Inputs!$B$20=1)),D1632*Inputs!$B$11/C1632,0)</f>
        <v>40.2739726027397</v>
      </c>
      <c r="I1632" s="37" t="n">
        <f aca="false">Inputs!$C$9-SUMIFS(Cash_Events!$G$6:$G$20,Cash_Events!$C$6:$C$20,"FHL",Cash_Events!$B$6:$B$20,"&lt;="&amp;A1632)</f>
        <v>735000</v>
      </c>
      <c r="J1632" s="38" t="n">
        <f aca="false">VLOOKUP(A1632,Inputs!$F$40:$G$48,2,TRUE())</f>
        <v>0.0364054</v>
      </c>
      <c r="K1632" s="38" t="n">
        <f aca="false">J1632+Inputs!$C$10</f>
        <v>0.1039054</v>
      </c>
      <c r="L1632" s="37" t="n">
        <f aca="false">I1632*K1632/C1632</f>
        <v>209.234161643836</v>
      </c>
      <c r="M1632" s="37" t="n">
        <f aca="false">IF(AND(A1632&gt;=Inputs!$C$13,OR(A1632&lt;Inputs!$B$19,Inputs!$B$20=1)),I1632*Inputs!$C$11/C1632,0)</f>
        <v>40.2739726027397</v>
      </c>
    </row>
    <row r="1633" customFormat="false" ht="15" hidden="false" customHeight="false" outlineLevel="0" collapsed="false">
      <c r="A1633" s="35" t="n">
        <f aca="false">A1632+1</f>
        <v>46440</v>
      </c>
      <c r="B1633" s="35" t="n">
        <f aca="false">EOMONTH(A1633+1,0)</f>
        <v>46446</v>
      </c>
      <c r="C1633" s="36" t="n">
        <f aca="false">IF(MOD(YEAR(A1633),4)=0,366,365)</f>
        <v>365</v>
      </c>
      <c r="D1633" s="37" t="n">
        <f aca="false">Inputs!$B$9-SUMIFS(Cash_Events!$G$6:$G$20,Cash_Events!$C$6:$C$20,"rAGMF",Cash_Events!$B$6:$B$20,"&lt;="&amp;A1633)</f>
        <v>735000</v>
      </c>
      <c r="E1633" s="38" t="n">
        <f aca="false">VLOOKUP(A1633,Inputs!$A$40:$B$48,2,TRUE())</f>
        <v>0.0363225</v>
      </c>
      <c r="F1633" s="38" t="n">
        <f aca="false">E1633+Inputs!$B$10</f>
        <v>0.1038225</v>
      </c>
      <c r="G1633" s="37" t="n">
        <f aca="false">D1633*F1633/C1633</f>
        <v>209.067226027397</v>
      </c>
      <c r="H1633" s="37" t="n">
        <f aca="false">IF(AND(A1633&gt;=Inputs!$B$13,OR(A1633&lt;Inputs!$B$19,Inputs!$B$20=1)),D1633*Inputs!$B$11/C1633,0)</f>
        <v>40.2739726027397</v>
      </c>
      <c r="I1633" s="37" t="n">
        <f aca="false">Inputs!$C$9-SUMIFS(Cash_Events!$G$6:$G$20,Cash_Events!$C$6:$C$20,"FHL",Cash_Events!$B$6:$B$20,"&lt;="&amp;A1633)</f>
        <v>735000</v>
      </c>
      <c r="J1633" s="38" t="n">
        <f aca="false">VLOOKUP(A1633,Inputs!$F$40:$G$48,2,TRUE())</f>
        <v>0.0364054</v>
      </c>
      <c r="K1633" s="38" t="n">
        <f aca="false">J1633+Inputs!$C$10</f>
        <v>0.1039054</v>
      </c>
      <c r="L1633" s="37" t="n">
        <f aca="false">I1633*K1633/C1633</f>
        <v>209.234161643836</v>
      </c>
      <c r="M1633" s="37" t="n">
        <f aca="false">IF(AND(A1633&gt;=Inputs!$C$13,OR(A1633&lt;Inputs!$B$19,Inputs!$B$20=1)),I1633*Inputs!$C$11/C1633,0)</f>
        <v>40.2739726027397</v>
      </c>
    </row>
    <row r="1634" customFormat="false" ht="15" hidden="false" customHeight="false" outlineLevel="0" collapsed="false">
      <c r="A1634" s="35" t="n">
        <f aca="false">A1633+1</f>
        <v>46441</v>
      </c>
      <c r="B1634" s="35" t="n">
        <f aca="false">EOMONTH(A1634+1,0)</f>
        <v>46446</v>
      </c>
      <c r="C1634" s="36" t="n">
        <f aca="false">IF(MOD(YEAR(A1634),4)=0,366,365)</f>
        <v>365</v>
      </c>
      <c r="D1634" s="37" t="n">
        <f aca="false">Inputs!$B$9-SUMIFS(Cash_Events!$G$6:$G$20,Cash_Events!$C$6:$C$20,"rAGMF",Cash_Events!$B$6:$B$20,"&lt;="&amp;A1634)</f>
        <v>735000</v>
      </c>
      <c r="E1634" s="38" t="n">
        <f aca="false">VLOOKUP(A1634,Inputs!$A$40:$B$48,2,TRUE())</f>
        <v>0.0363225</v>
      </c>
      <c r="F1634" s="38" t="n">
        <f aca="false">E1634+Inputs!$B$10</f>
        <v>0.1038225</v>
      </c>
      <c r="G1634" s="37" t="n">
        <f aca="false">D1634*F1634/C1634</f>
        <v>209.067226027397</v>
      </c>
      <c r="H1634" s="37" t="n">
        <f aca="false">IF(AND(A1634&gt;=Inputs!$B$13,OR(A1634&lt;Inputs!$B$19,Inputs!$B$20=1)),D1634*Inputs!$B$11/C1634,0)</f>
        <v>40.2739726027397</v>
      </c>
      <c r="I1634" s="37" t="n">
        <f aca="false">Inputs!$C$9-SUMIFS(Cash_Events!$G$6:$G$20,Cash_Events!$C$6:$C$20,"FHL",Cash_Events!$B$6:$B$20,"&lt;="&amp;A1634)</f>
        <v>735000</v>
      </c>
      <c r="J1634" s="38" t="n">
        <f aca="false">VLOOKUP(A1634,Inputs!$F$40:$G$48,2,TRUE())</f>
        <v>0.0364054</v>
      </c>
      <c r="K1634" s="38" t="n">
        <f aca="false">J1634+Inputs!$C$10</f>
        <v>0.1039054</v>
      </c>
      <c r="L1634" s="37" t="n">
        <f aca="false">I1634*K1634/C1634</f>
        <v>209.234161643836</v>
      </c>
      <c r="M1634" s="37" t="n">
        <f aca="false">IF(AND(A1634&gt;=Inputs!$C$13,OR(A1634&lt;Inputs!$B$19,Inputs!$B$20=1)),I1634*Inputs!$C$11/C1634,0)</f>
        <v>40.2739726027397</v>
      </c>
    </row>
    <row r="1635" customFormat="false" ht="15" hidden="false" customHeight="false" outlineLevel="0" collapsed="false">
      <c r="A1635" s="35" t="n">
        <f aca="false">A1634+1</f>
        <v>46442</v>
      </c>
      <c r="B1635" s="35" t="n">
        <f aca="false">EOMONTH(A1635+1,0)</f>
        <v>46446</v>
      </c>
      <c r="C1635" s="36" t="n">
        <f aca="false">IF(MOD(YEAR(A1635),4)=0,366,365)</f>
        <v>365</v>
      </c>
      <c r="D1635" s="37" t="n">
        <f aca="false">Inputs!$B$9-SUMIFS(Cash_Events!$G$6:$G$20,Cash_Events!$C$6:$C$20,"rAGMF",Cash_Events!$B$6:$B$20,"&lt;="&amp;A1635)</f>
        <v>735000</v>
      </c>
      <c r="E1635" s="38" t="n">
        <f aca="false">VLOOKUP(A1635,Inputs!$A$40:$B$48,2,TRUE())</f>
        <v>0.0363225</v>
      </c>
      <c r="F1635" s="38" t="n">
        <f aca="false">E1635+Inputs!$B$10</f>
        <v>0.1038225</v>
      </c>
      <c r="G1635" s="37" t="n">
        <f aca="false">D1635*F1635/C1635</f>
        <v>209.067226027397</v>
      </c>
      <c r="H1635" s="37" t="n">
        <f aca="false">IF(AND(A1635&gt;=Inputs!$B$13,OR(A1635&lt;Inputs!$B$19,Inputs!$B$20=1)),D1635*Inputs!$B$11/C1635,0)</f>
        <v>40.2739726027397</v>
      </c>
      <c r="I1635" s="37" t="n">
        <f aca="false">Inputs!$C$9-SUMIFS(Cash_Events!$G$6:$G$20,Cash_Events!$C$6:$C$20,"FHL",Cash_Events!$B$6:$B$20,"&lt;="&amp;A1635)</f>
        <v>735000</v>
      </c>
      <c r="J1635" s="38" t="n">
        <f aca="false">VLOOKUP(A1635,Inputs!$F$40:$G$48,2,TRUE())</f>
        <v>0.0364054</v>
      </c>
      <c r="K1635" s="38" t="n">
        <f aca="false">J1635+Inputs!$C$10</f>
        <v>0.1039054</v>
      </c>
      <c r="L1635" s="37" t="n">
        <f aca="false">I1635*K1635/C1635</f>
        <v>209.234161643836</v>
      </c>
      <c r="M1635" s="37" t="n">
        <f aca="false">IF(AND(A1635&gt;=Inputs!$C$13,OR(A1635&lt;Inputs!$B$19,Inputs!$B$20=1)),I1635*Inputs!$C$11/C1635,0)</f>
        <v>40.2739726027397</v>
      </c>
    </row>
    <row r="1636" customFormat="false" ht="15" hidden="false" customHeight="false" outlineLevel="0" collapsed="false">
      <c r="A1636" s="35" t="n">
        <f aca="false">A1635+1</f>
        <v>46443</v>
      </c>
      <c r="B1636" s="35" t="n">
        <f aca="false">EOMONTH(A1636+1,0)</f>
        <v>46446</v>
      </c>
      <c r="C1636" s="36" t="n">
        <f aca="false">IF(MOD(YEAR(A1636),4)=0,366,365)</f>
        <v>365</v>
      </c>
      <c r="D1636" s="37" t="n">
        <f aca="false">Inputs!$B$9-SUMIFS(Cash_Events!$G$6:$G$20,Cash_Events!$C$6:$C$20,"rAGMF",Cash_Events!$B$6:$B$20,"&lt;="&amp;A1636)</f>
        <v>735000</v>
      </c>
      <c r="E1636" s="38" t="n">
        <f aca="false">VLOOKUP(A1636,Inputs!$A$40:$B$48,2,TRUE())</f>
        <v>0.0363225</v>
      </c>
      <c r="F1636" s="38" t="n">
        <f aca="false">E1636+Inputs!$B$10</f>
        <v>0.1038225</v>
      </c>
      <c r="G1636" s="37" t="n">
        <f aca="false">D1636*F1636/C1636</f>
        <v>209.067226027397</v>
      </c>
      <c r="H1636" s="37" t="n">
        <f aca="false">IF(AND(A1636&gt;=Inputs!$B$13,OR(A1636&lt;Inputs!$B$19,Inputs!$B$20=1)),D1636*Inputs!$B$11/C1636,0)</f>
        <v>40.2739726027397</v>
      </c>
      <c r="I1636" s="37" t="n">
        <f aca="false">Inputs!$C$9-SUMIFS(Cash_Events!$G$6:$G$20,Cash_Events!$C$6:$C$20,"FHL",Cash_Events!$B$6:$B$20,"&lt;="&amp;A1636)</f>
        <v>735000</v>
      </c>
      <c r="J1636" s="38" t="n">
        <f aca="false">VLOOKUP(A1636,Inputs!$F$40:$G$48,2,TRUE())</f>
        <v>0.0364054</v>
      </c>
      <c r="K1636" s="38" t="n">
        <f aca="false">J1636+Inputs!$C$10</f>
        <v>0.1039054</v>
      </c>
      <c r="L1636" s="37" t="n">
        <f aca="false">I1636*K1636/C1636</f>
        <v>209.234161643836</v>
      </c>
      <c r="M1636" s="37" t="n">
        <f aca="false">IF(AND(A1636&gt;=Inputs!$C$13,OR(A1636&lt;Inputs!$B$19,Inputs!$B$20=1)),I1636*Inputs!$C$11/C1636,0)</f>
        <v>40.2739726027397</v>
      </c>
    </row>
    <row r="1637" customFormat="false" ht="15" hidden="false" customHeight="false" outlineLevel="0" collapsed="false">
      <c r="A1637" s="35" t="n">
        <f aca="false">A1636+1</f>
        <v>46444</v>
      </c>
      <c r="B1637" s="35" t="n">
        <f aca="false">EOMONTH(A1637+1,0)</f>
        <v>46446</v>
      </c>
      <c r="C1637" s="36" t="n">
        <f aca="false">IF(MOD(YEAR(A1637),4)=0,366,365)</f>
        <v>365</v>
      </c>
      <c r="D1637" s="37" t="n">
        <f aca="false">Inputs!$B$9-SUMIFS(Cash_Events!$G$6:$G$20,Cash_Events!$C$6:$C$20,"rAGMF",Cash_Events!$B$6:$B$20,"&lt;="&amp;A1637)</f>
        <v>735000</v>
      </c>
      <c r="E1637" s="38" t="n">
        <f aca="false">VLOOKUP(A1637,Inputs!$A$40:$B$48,2,TRUE())</f>
        <v>0.0363225</v>
      </c>
      <c r="F1637" s="38" t="n">
        <f aca="false">E1637+Inputs!$B$10</f>
        <v>0.1038225</v>
      </c>
      <c r="G1637" s="37" t="n">
        <f aca="false">D1637*F1637/C1637</f>
        <v>209.067226027397</v>
      </c>
      <c r="H1637" s="37" t="n">
        <f aca="false">IF(AND(A1637&gt;=Inputs!$B$13,OR(A1637&lt;Inputs!$B$19,Inputs!$B$20=1)),D1637*Inputs!$B$11/C1637,0)</f>
        <v>40.2739726027397</v>
      </c>
      <c r="I1637" s="37" t="n">
        <f aca="false">Inputs!$C$9-SUMIFS(Cash_Events!$G$6:$G$20,Cash_Events!$C$6:$C$20,"FHL",Cash_Events!$B$6:$B$20,"&lt;="&amp;A1637)</f>
        <v>735000</v>
      </c>
      <c r="J1637" s="38" t="n">
        <f aca="false">VLOOKUP(A1637,Inputs!$F$40:$G$48,2,TRUE())</f>
        <v>0.0364054</v>
      </c>
      <c r="K1637" s="38" t="n">
        <f aca="false">J1637+Inputs!$C$10</f>
        <v>0.1039054</v>
      </c>
      <c r="L1637" s="37" t="n">
        <f aca="false">I1637*K1637/C1637</f>
        <v>209.234161643836</v>
      </c>
      <c r="M1637" s="37" t="n">
        <f aca="false">IF(AND(A1637&gt;=Inputs!$C$13,OR(A1637&lt;Inputs!$B$19,Inputs!$B$20=1)),I1637*Inputs!$C$11/C1637,0)</f>
        <v>40.2739726027397</v>
      </c>
    </row>
    <row r="1638" customFormat="false" ht="15" hidden="false" customHeight="false" outlineLevel="0" collapsed="false">
      <c r="A1638" s="35" t="n">
        <f aca="false">A1637+1</f>
        <v>46445</v>
      </c>
      <c r="B1638" s="35" t="n">
        <f aca="false">EOMONTH(A1638+1,0)</f>
        <v>46446</v>
      </c>
      <c r="C1638" s="36" t="n">
        <f aca="false">IF(MOD(YEAR(A1638),4)=0,366,365)</f>
        <v>365</v>
      </c>
      <c r="D1638" s="37" t="n">
        <f aca="false">Inputs!$B$9-SUMIFS(Cash_Events!$G$6:$G$20,Cash_Events!$C$6:$C$20,"rAGMF",Cash_Events!$B$6:$B$20,"&lt;="&amp;A1638)</f>
        <v>735000</v>
      </c>
      <c r="E1638" s="38" t="n">
        <f aca="false">VLOOKUP(A1638,Inputs!$A$40:$B$48,2,TRUE())</f>
        <v>0.0363225</v>
      </c>
      <c r="F1638" s="38" t="n">
        <f aca="false">E1638+Inputs!$B$10</f>
        <v>0.1038225</v>
      </c>
      <c r="G1638" s="37" t="n">
        <f aca="false">D1638*F1638/C1638</f>
        <v>209.067226027397</v>
      </c>
      <c r="H1638" s="37" t="n">
        <f aca="false">IF(AND(A1638&gt;=Inputs!$B$13,OR(A1638&lt;Inputs!$B$19,Inputs!$B$20=1)),D1638*Inputs!$B$11/C1638,0)</f>
        <v>40.2739726027397</v>
      </c>
      <c r="I1638" s="37" t="n">
        <f aca="false">Inputs!$C$9-SUMIFS(Cash_Events!$G$6:$G$20,Cash_Events!$C$6:$C$20,"FHL",Cash_Events!$B$6:$B$20,"&lt;="&amp;A1638)</f>
        <v>735000</v>
      </c>
      <c r="J1638" s="38" t="n">
        <f aca="false">VLOOKUP(A1638,Inputs!$F$40:$G$48,2,TRUE())</f>
        <v>0.0364054</v>
      </c>
      <c r="K1638" s="38" t="n">
        <f aca="false">J1638+Inputs!$C$10</f>
        <v>0.1039054</v>
      </c>
      <c r="L1638" s="37" t="n">
        <f aca="false">I1638*K1638/C1638</f>
        <v>209.234161643836</v>
      </c>
      <c r="M1638" s="37" t="n">
        <f aca="false">IF(AND(A1638&gt;=Inputs!$C$13,OR(A1638&lt;Inputs!$B$19,Inputs!$B$20=1)),I1638*Inputs!$C$11/C1638,0)</f>
        <v>40.2739726027397</v>
      </c>
    </row>
    <row r="1639" customFormat="false" ht="15" hidden="false" customHeight="false" outlineLevel="0" collapsed="false">
      <c r="A1639" s="35" t="n">
        <f aca="false">A1638+1</f>
        <v>46446</v>
      </c>
      <c r="B1639" s="35" t="n">
        <f aca="false">EOMONTH(A1639+1,0)</f>
        <v>46477</v>
      </c>
      <c r="C1639" s="36" t="n">
        <f aca="false">IF(MOD(YEAR(A1639),4)=0,366,365)</f>
        <v>365</v>
      </c>
      <c r="D1639" s="37" t="n">
        <f aca="false">Inputs!$B$9-SUMIFS(Cash_Events!$G$6:$G$20,Cash_Events!$C$6:$C$20,"rAGMF",Cash_Events!$B$6:$B$20,"&lt;="&amp;A1639)</f>
        <v>735000</v>
      </c>
      <c r="E1639" s="38" t="n">
        <f aca="false">VLOOKUP(A1639,Inputs!$A$40:$B$48,2,TRUE())</f>
        <v>0.0363225</v>
      </c>
      <c r="F1639" s="38" t="n">
        <f aca="false">E1639+Inputs!$B$10</f>
        <v>0.1038225</v>
      </c>
      <c r="G1639" s="37" t="n">
        <f aca="false">D1639*F1639/C1639</f>
        <v>209.067226027397</v>
      </c>
      <c r="H1639" s="37" t="n">
        <f aca="false">IF(AND(A1639&gt;=Inputs!$B$13,OR(A1639&lt;Inputs!$B$19,Inputs!$B$20=1)),D1639*Inputs!$B$11/C1639,0)</f>
        <v>40.2739726027397</v>
      </c>
      <c r="I1639" s="37" t="n">
        <f aca="false">Inputs!$C$9-SUMIFS(Cash_Events!$G$6:$G$20,Cash_Events!$C$6:$C$20,"FHL",Cash_Events!$B$6:$B$20,"&lt;="&amp;A1639)</f>
        <v>735000</v>
      </c>
      <c r="J1639" s="38" t="n">
        <f aca="false">VLOOKUP(A1639,Inputs!$F$40:$G$48,2,TRUE())</f>
        <v>0.0364054</v>
      </c>
      <c r="K1639" s="38" t="n">
        <f aca="false">J1639+Inputs!$C$10</f>
        <v>0.1039054</v>
      </c>
      <c r="L1639" s="37" t="n">
        <f aca="false">I1639*K1639/C1639</f>
        <v>209.234161643836</v>
      </c>
      <c r="M1639" s="37" t="n">
        <f aca="false">IF(AND(A1639&gt;=Inputs!$C$13,OR(A1639&lt;Inputs!$B$19,Inputs!$B$20=1)),I1639*Inputs!$C$11/C1639,0)</f>
        <v>40.2739726027397</v>
      </c>
    </row>
    <row r="1640" customFormat="false" ht="15" hidden="false" customHeight="false" outlineLevel="0" collapsed="false">
      <c r="A1640" s="35" t="n">
        <f aca="false">A1639+1</f>
        <v>46447</v>
      </c>
      <c r="B1640" s="35" t="n">
        <f aca="false">EOMONTH(A1640+1,0)</f>
        <v>46477</v>
      </c>
      <c r="C1640" s="36" t="n">
        <f aca="false">IF(MOD(YEAR(A1640),4)=0,366,365)</f>
        <v>365</v>
      </c>
      <c r="D1640" s="37" t="n">
        <f aca="false">Inputs!$B$9-SUMIFS(Cash_Events!$G$6:$G$20,Cash_Events!$C$6:$C$20,"rAGMF",Cash_Events!$B$6:$B$20,"&lt;="&amp;A1640)</f>
        <v>735000</v>
      </c>
      <c r="E1640" s="38" t="n">
        <f aca="false">VLOOKUP(A1640,Inputs!$A$40:$B$48,2,TRUE())</f>
        <v>0.0363225</v>
      </c>
      <c r="F1640" s="38" t="n">
        <f aca="false">E1640+Inputs!$B$10</f>
        <v>0.1038225</v>
      </c>
      <c r="G1640" s="37" t="n">
        <f aca="false">D1640*F1640/C1640</f>
        <v>209.067226027397</v>
      </c>
      <c r="H1640" s="37" t="n">
        <f aca="false">IF(AND(A1640&gt;=Inputs!$B$13,OR(A1640&lt;Inputs!$B$19,Inputs!$B$20=1)),D1640*Inputs!$B$11/C1640,0)</f>
        <v>40.2739726027397</v>
      </c>
      <c r="I1640" s="37" t="n">
        <f aca="false">Inputs!$C$9-SUMIFS(Cash_Events!$G$6:$G$20,Cash_Events!$C$6:$C$20,"FHL",Cash_Events!$B$6:$B$20,"&lt;="&amp;A1640)</f>
        <v>735000</v>
      </c>
      <c r="J1640" s="38" t="n">
        <f aca="false">VLOOKUP(A1640,Inputs!$F$40:$G$48,2,TRUE())</f>
        <v>0.0364054</v>
      </c>
      <c r="K1640" s="38" t="n">
        <f aca="false">J1640+Inputs!$C$10</f>
        <v>0.1039054</v>
      </c>
      <c r="L1640" s="37" t="n">
        <f aca="false">I1640*K1640/C1640</f>
        <v>209.234161643836</v>
      </c>
      <c r="M1640" s="37" t="n">
        <f aca="false">IF(AND(A1640&gt;=Inputs!$C$13,OR(A1640&lt;Inputs!$B$19,Inputs!$B$20=1)),I1640*Inputs!$C$11/C1640,0)</f>
        <v>40.2739726027397</v>
      </c>
    </row>
    <row r="1641" customFormat="false" ht="15" hidden="false" customHeight="false" outlineLevel="0" collapsed="false">
      <c r="A1641" s="35" t="n">
        <f aca="false">A1640+1</f>
        <v>46448</v>
      </c>
      <c r="B1641" s="35" t="n">
        <f aca="false">EOMONTH(A1641+1,0)</f>
        <v>46477</v>
      </c>
      <c r="C1641" s="36" t="n">
        <f aca="false">IF(MOD(YEAR(A1641),4)=0,366,365)</f>
        <v>365</v>
      </c>
      <c r="D1641" s="37" t="n">
        <f aca="false">Inputs!$B$9-SUMIFS(Cash_Events!$G$6:$G$20,Cash_Events!$C$6:$C$20,"rAGMF",Cash_Events!$B$6:$B$20,"&lt;="&amp;A1641)</f>
        <v>735000</v>
      </c>
      <c r="E1641" s="38" t="n">
        <f aca="false">VLOOKUP(A1641,Inputs!$A$40:$B$48,2,TRUE())</f>
        <v>0.0363225</v>
      </c>
      <c r="F1641" s="38" t="n">
        <f aca="false">E1641+Inputs!$B$10</f>
        <v>0.1038225</v>
      </c>
      <c r="G1641" s="37" t="n">
        <f aca="false">D1641*F1641/C1641</f>
        <v>209.067226027397</v>
      </c>
      <c r="H1641" s="37" t="n">
        <f aca="false">IF(AND(A1641&gt;=Inputs!$B$13,OR(A1641&lt;Inputs!$B$19,Inputs!$B$20=1)),D1641*Inputs!$B$11/C1641,0)</f>
        <v>40.2739726027397</v>
      </c>
      <c r="I1641" s="37" t="n">
        <f aca="false">Inputs!$C$9-SUMIFS(Cash_Events!$G$6:$G$20,Cash_Events!$C$6:$C$20,"FHL",Cash_Events!$B$6:$B$20,"&lt;="&amp;A1641)</f>
        <v>735000</v>
      </c>
      <c r="J1641" s="38" t="n">
        <f aca="false">VLOOKUP(A1641,Inputs!$F$40:$G$48,2,TRUE())</f>
        <v>0.0364054</v>
      </c>
      <c r="K1641" s="38" t="n">
        <f aca="false">J1641+Inputs!$C$10</f>
        <v>0.1039054</v>
      </c>
      <c r="L1641" s="37" t="n">
        <f aca="false">I1641*K1641/C1641</f>
        <v>209.234161643836</v>
      </c>
      <c r="M1641" s="37" t="n">
        <f aca="false">IF(AND(A1641&gt;=Inputs!$C$13,OR(A1641&lt;Inputs!$B$19,Inputs!$B$20=1)),I1641*Inputs!$C$11/C1641,0)</f>
        <v>40.2739726027397</v>
      </c>
    </row>
    <row r="1642" customFormat="false" ht="15" hidden="false" customHeight="false" outlineLevel="0" collapsed="false">
      <c r="A1642" s="35" t="n">
        <f aca="false">A1641+1</f>
        <v>46449</v>
      </c>
      <c r="B1642" s="35" t="n">
        <f aca="false">EOMONTH(A1642+1,0)</f>
        <v>46477</v>
      </c>
      <c r="C1642" s="36" t="n">
        <f aca="false">IF(MOD(YEAR(A1642),4)=0,366,365)</f>
        <v>365</v>
      </c>
      <c r="D1642" s="37" t="n">
        <f aca="false">Inputs!$B$9-SUMIFS(Cash_Events!$G$6:$G$20,Cash_Events!$C$6:$C$20,"rAGMF",Cash_Events!$B$6:$B$20,"&lt;="&amp;A1642)</f>
        <v>735000</v>
      </c>
      <c r="E1642" s="38" t="n">
        <f aca="false">VLOOKUP(A1642,Inputs!$A$40:$B$48,2,TRUE())</f>
        <v>0.0363225</v>
      </c>
      <c r="F1642" s="38" t="n">
        <f aca="false">E1642+Inputs!$B$10</f>
        <v>0.1038225</v>
      </c>
      <c r="G1642" s="37" t="n">
        <f aca="false">D1642*F1642/C1642</f>
        <v>209.067226027397</v>
      </c>
      <c r="H1642" s="37" t="n">
        <f aca="false">IF(AND(A1642&gt;=Inputs!$B$13,OR(A1642&lt;Inputs!$B$19,Inputs!$B$20=1)),D1642*Inputs!$B$11/C1642,0)</f>
        <v>40.2739726027397</v>
      </c>
      <c r="I1642" s="37" t="n">
        <f aca="false">Inputs!$C$9-SUMIFS(Cash_Events!$G$6:$G$20,Cash_Events!$C$6:$C$20,"FHL",Cash_Events!$B$6:$B$20,"&lt;="&amp;A1642)</f>
        <v>735000</v>
      </c>
      <c r="J1642" s="38" t="n">
        <f aca="false">VLOOKUP(A1642,Inputs!$F$40:$G$48,2,TRUE())</f>
        <v>0.0364054</v>
      </c>
      <c r="K1642" s="38" t="n">
        <f aca="false">J1642+Inputs!$C$10</f>
        <v>0.1039054</v>
      </c>
      <c r="L1642" s="37" t="n">
        <f aca="false">I1642*K1642/C1642</f>
        <v>209.234161643836</v>
      </c>
      <c r="M1642" s="37" t="n">
        <f aca="false">IF(AND(A1642&gt;=Inputs!$C$13,OR(A1642&lt;Inputs!$B$19,Inputs!$B$20=1)),I1642*Inputs!$C$11/C1642,0)</f>
        <v>40.2739726027397</v>
      </c>
    </row>
    <row r="1643" customFormat="false" ht="15" hidden="false" customHeight="false" outlineLevel="0" collapsed="false">
      <c r="A1643" s="35" t="n">
        <f aca="false">A1642+1</f>
        <v>46450</v>
      </c>
      <c r="B1643" s="35" t="n">
        <f aca="false">EOMONTH(A1643+1,0)</f>
        <v>46477</v>
      </c>
      <c r="C1643" s="36" t="n">
        <f aca="false">IF(MOD(YEAR(A1643),4)=0,366,365)</f>
        <v>365</v>
      </c>
      <c r="D1643" s="37" t="n">
        <f aca="false">Inputs!$B$9-SUMIFS(Cash_Events!$G$6:$G$20,Cash_Events!$C$6:$C$20,"rAGMF",Cash_Events!$B$6:$B$20,"&lt;="&amp;A1643)</f>
        <v>735000</v>
      </c>
      <c r="E1643" s="38" t="n">
        <f aca="false">VLOOKUP(A1643,Inputs!$A$40:$B$48,2,TRUE())</f>
        <v>0.0363225</v>
      </c>
      <c r="F1643" s="38" t="n">
        <f aca="false">E1643+Inputs!$B$10</f>
        <v>0.1038225</v>
      </c>
      <c r="G1643" s="37" t="n">
        <f aca="false">D1643*F1643/C1643</f>
        <v>209.067226027397</v>
      </c>
      <c r="H1643" s="37" t="n">
        <f aca="false">IF(AND(A1643&gt;=Inputs!$B$13,OR(A1643&lt;Inputs!$B$19,Inputs!$B$20=1)),D1643*Inputs!$B$11/C1643,0)</f>
        <v>40.2739726027397</v>
      </c>
      <c r="I1643" s="37" t="n">
        <f aca="false">Inputs!$C$9-SUMIFS(Cash_Events!$G$6:$G$20,Cash_Events!$C$6:$C$20,"FHL",Cash_Events!$B$6:$B$20,"&lt;="&amp;A1643)</f>
        <v>735000</v>
      </c>
      <c r="J1643" s="38" t="n">
        <f aca="false">VLOOKUP(A1643,Inputs!$F$40:$G$48,2,TRUE())</f>
        <v>0.0364054</v>
      </c>
      <c r="K1643" s="38" t="n">
        <f aca="false">J1643+Inputs!$C$10</f>
        <v>0.1039054</v>
      </c>
      <c r="L1643" s="37" t="n">
        <f aca="false">I1643*K1643/C1643</f>
        <v>209.234161643836</v>
      </c>
      <c r="M1643" s="37" t="n">
        <f aca="false">IF(AND(A1643&gt;=Inputs!$C$13,OR(A1643&lt;Inputs!$B$19,Inputs!$B$20=1)),I1643*Inputs!$C$11/C1643,0)</f>
        <v>40.2739726027397</v>
      </c>
    </row>
    <row r="1644" customFormat="false" ht="15" hidden="false" customHeight="false" outlineLevel="0" collapsed="false">
      <c r="A1644" s="35" t="n">
        <f aca="false">A1643+1</f>
        <v>46451</v>
      </c>
      <c r="B1644" s="35" t="n">
        <f aca="false">EOMONTH(A1644+1,0)</f>
        <v>46477</v>
      </c>
      <c r="C1644" s="36" t="n">
        <f aca="false">IF(MOD(YEAR(A1644),4)=0,366,365)</f>
        <v>365</v>
      </c>
      <c r="D1644" s="37" t="n">
        <f aca="false">Inputs!$B$9-SUMIFS(Cash_Events!$G$6:$G$20,Cash_Events!$C$6:$C$20,"rAGMF",Cash_Events!$B$6:$B$20,"&lt;="&amp;A1644)</f>
        <v>735000</v>
      </c>
      <c r="E1644" s="38" t="n">
        <f aca="false">VLOOKUP(A1644,Inputs!$A$40:$B$48,2,TRUE())</f>
        <v>0.0363225</v>
      </c>
      <c r="F1644" s="38" t="n">
        <f aca="false">E1644+Inputs!$B$10</f>
        <v>0.1038225</v>
      </c>
      <c r="G1644" s="37" t="n">
        <f aca="false">D1644*F1644/C1644</f>
        <v>209.067226027397</v>
      </c>
      <c r="H1644" s="37" t="n">
        <f aca="false">IF(AND(A1644&gt;=Inputs!$B$13,OR(A1644&lt;Inputs!$B$19,Inputs!$B$20=1)),D1644*Inputs!$B$11/C1644,0)</f>
        <v>40.2739726027397</v>
      </c>
      <c r="I1644" s="37" t="n">
        <f aca="false">Inputs!$C$9-SUMIFS(Cash_Events!$G$6:$G$20,Cash_Events!$C$6:$C$20,"FHL",Cash_Events!$B$6:$B$20,"&lt;="&amp;A1644)</f>
        <v>735000</v>
      </c>
      <c r="J1644" s="38" t="n">
        <f aca="false">VLOOKUP(A1644,Inputs!$F$40:$G$48,2,TRUE())</f>
        <v>0.0364054</v>
      </c>
      <c r="K1644" s="38" t="n">
        <f aca="false">J1644+Inputs!$C$10</f>
        <v>0.1039054</v>
      </c>
      <c r="L1644" s="37" t="n">
        <f aca="false">I1644*K1644/C1644</f>
        <v>209.234161643836</v>
      </c>
      <c r="M1644" s="37" t="n">
        <f aca="false">IF(AND(A1644&gt;=Inputs!$C$13,OR(A1644&lt;Inputs!$B$19,Inputs!$B$20=1)),I1644*Inputs!$C$11/C1644,0)</f>
        <v>40.2739726027397</v>
      </c>
    </row>
    <row r="1645" customFormat="false" ht="15" hidden="false" customHeight="false" outlineLevel="0" collapsed="false">
      <c r="A1645" s="35" t="n">
        <f aca="false">A1644+1</f>
        <v>46452</v>
      </c>
      <c r="B1645" s="35" t="n">
        <f aca="false">EOMONTH(A1645+1,0)</f>
        <v>46477</v>
      </c>
      <c r="C1645" s="36" t="n">
        <f aca="false">IF(MOD(YEAR(A1645),4)=0,366,365)</f>
        <v>365</v>
      </c>
      <c r="D1645" s="37" t="n">
        <f aca="false">Inputs!$B$9-SUMIFS(Cash_Events!$G$6:$G$20,Cash_Events!$C$6:$C$20,"rAGMF",Cash_Events!$B$6:$B$20,"&lt;="&amp;A1645)</f>
        <v>735000</v>
      </c>
      <c r="E1645" s="38" t="n">
        <f aca="false">VLOOKUP(A1645,Inputs!$A$40:$B$48,2,TRUE())</f>
        <v>0.0363225</v>
      </c>
      <c r="F1645" s="38" t="n">
        <f aca="false">E1645+Inputs!$B$10</f>
        <v>0.1038225</v>
      </c>
      <c r="G1645" s="37" t="n">
        <f aca="false">D1645*F1645/C1645</f>
        <v>209.067226027397</v>
      </c>
      <c r="H1645" s="37" t="n">
        <f aca="false">IF(AND(A1645&gt;=Inputs!$B$13,OR(A1645&lt;Inputs!$B$19,Inputs!$B$20=1)),D1645*Inputs!$B$11/C1645,0)</f>
        <v>40.2739726027397</v>
      </c>
      <c r="I1645" s="37" t="n">
        <f aca="false">Inputs!$C$9-SUMIFS(Cash_Events!$G$6:$G$20,Cash_Events!$C$6:$C$20,"FHL",Cash_Events!$B$6:$B$20,"&lt;="&amp;A1645)</f>
        <v>735000</v>
      </c>
      <c r="J1645" s="38" t="n">
        <f aca="false">VLOOKUP(A1645,Inputs!$F$40:$G$48,2,TRUE())</f>
        <v>0.0364054</v>
      </c>
      <c r="K1645" s="38" t="n">
        <f aca="false">J1645+Inputs!$C$10</f>
        <v>0.1039054</v>
      </c>
      <c r="L1645" s="37" t="n">
        <f aca="false">I1645*K1645/C1645</f>
        <v>209.234161643836</v>
      </c>
      <c r="M1645" s="37" t="n">
        <f aca="false">IF(AND(A1645&gt;=Inputs!$C$13,OR(A1645&lt;Inputs!$B$19,Inputs!$B$20=1)),I1645*Inputs!$C$11/C1645,0)</f>
        <v>40.2739726027397</v>
      </c>
    </row>
    <row r="1646" customFormat="false" ht="15" hidden="false" customHeight="false" outlineLevel="0" collapsed="false">
      <c r="A1646" s="35" t="n">
        <f aca="false">A1645+1</f>
        <v>46453</v>
      </c>
      <c r="B1646" s="35" t="n">
        <f aca="false">EOMONTH(A1646+1,0)</f>
        <v>46477</v>
      </c>
      <c r="C1646" s="36" t="n">
        <f aca="false">IF(MOD(YEAR(A1646),4)=0,366,365)</f>
        <v>365</v>
      </c>
      <c r="D1646" s="37" t="n">
        <f aca="false">Inputs!$B$9-SUMIFS(Cash_Events!$G$6:$G$20,Cash_Events!$C$6:$C$20,"rAGMF",Cash_Events!$B$6:$B$20,"&lt;="&amp;A1646)</f>
        <v>735000</v>
      </c>
      <c r="E1646" s="38" t="n">
        <f aca="false">VLOOKUP(A1646,Inputs!$A$40:$B$48,2,TRUE())</f>
        <v>0.0363225</v>
      </c>
      <c r="F1646" s="38" t="n">
        <f aca="false">E1646+Inputs!$B$10</f>
        <v>0.1038225</v>
      </c>
      <c r="G1646" s="37" t="n">
        <f aca="false">D1646*F1646/C1646</f>
        <v>209.067226027397</v>
      </c>
      <c r="H1646" s="37" t="n">
        <f aca="false">IF(AND(A1646&gt;=Inputs!$B$13,OR(A1646&lt;Inputs!$B$19,Inputs!$B$20=1)),D1646*Inputs!$B$11/C1646,0)</f>
        <v>40.2739726027397</v>
      </c>
      <c r="I1646" s="37" t="n">
        <f aca="false">Inputs!$C$9-SUMIFS(Cash_Events!$G$6:$G$20,Cash_Events!$C$6:$C$20,"FHL",Cash_Events!$B$6:$B$20,"&lt;="&amp;A1646)</f>
        <v>735000</v>
      </c>
      <c r="J1646" s="38" t="n">
        <f aca="false">VLOOKUP(A1646,Inputs!$F$40:$G$48,2,TRUE())</f>
        <v>0.0364054</v>
      </c>
      <c r="K1646" s="38" t="n">
        <f aca="false">J1646+Inputs!$C$10</f>
        <v>0.1039054</v>
      </c>
      <c r="L1646" s="37" t="n">
        <f aca="false">I1646*K1646/C1646</f>
        <v>209.234161643836</v>
      </c>
      <c r="M1646" s="37" t="n">
        <f aca="false">IF(AND(A1646&gt;=Inputs!$C$13,OR(A1646&lt;Inputs!$B$19,Inputs!$B$20=1)),I1646*Inputs!$C$11/C1646,0)</f>
        <v>40.2739726027397</v>
      </c>
    </row>
    <row r="1647" customFormat="false" ht="15" hidden="false" customHeight="false" outlineLevel="0" collapsed="false">
      <c r="A1647" s="35" t="n">
        <f aca="false">A1646+1</f>
        <v>46454</v>
      </c>
      <c r="B1647" s="35" t="n">
        <f aca="false">EOMONTH(A1647+1,0)</f>
        <v>46477</v>
      </c>
      <c r="C1647" s="36" t="n">
        <f aca="false">IF(MOD(YEAR(A1647),4)=0,366,365)</f>
        <v>365</v>
      </c>
      <c r="D1647" s="37" t="n">
        <f aca="false">Inputs!$B$9-SUMIFS(Cash_Events!$G$6:$G$20,Cash_Events!$C$6:$C$20,"rAGMF",Cash_Events!$B$6:$B$20,"&lt;="&amp;A1647)</f>
        <v>735000</v>
      </c>
      <c r="E1647" s="38" t="n">
        <f aca="false">VLOOKUP(A1647,Inputs!$A$40:$B$48,2,TRUE())</f>
        <v>0.0363225</v>
      </c>
      <c r="F1647" s="38" t="n">
        <f aca="false">E1647+Inputs!$B$10</f>
        <v>0.1038225</v>
      </c>
      <c r="G1647" s="37" t="n">
        <f aca="false">D1647*F1647/C1647</f>
        <v>209.067226027397</v>
      </c>
      <c r="H1647" s="37" t="n">
        <f aca="false">IF(AND(A1647&gt;=Inputs!$B$13,OR(A1647&lt;Inputs!$B$19,Inputs!$B$20=1)),D1647*Inputs!$B$11/C1647,0)</f>
        <v>40.2739726027397</v>
      </c>
      <c r="I1647" s="37" t="n">
        <f aca="false">Inputs!$C$9-SUMIFS(Cash_Events!$G$6:$G$20,Cash_Events!$C$6:$C$20,"FHL",Cash_Events!$B$6:$B$20,"&lt;="&amp;A1647)</f>
        <v>735000</v>
      </c>
      <c r="J1647" s="38" t="n">
        <f aca="false">VLOOKUP(A1647,Inputs!$F$40:$G$48,2,TRUE())</f>
        <v>0.0364054</v>
      </c>
      <c r="K1647" s="38" t="n">
        <f aca="false">J1647+Inputs!$C$10</f>
        <v>0.1039054</v>
      </c>
      <c r="L1647" s="37" t="n">
        <f aca="false">I1647*K1647/C1647</f>
        <v>209.234161643836</v>
      </c>
      <c r="M1647" s="37" t="n">
        <f aca="false">IF(AND(A1647&gt;=Inputs!$C$13,OR(A1647&lt;Inputs!$B$19,Inputs!$B$20=1)),I1647*Inputs!$C$11/C1647,0)</f>
        <v>40.2739726027397</v>
      </c>
    </row>
    <row r="1648" customFormat="false" ht="15" hidden="false" customHeight="false" outlineLevel="0" collapsed="false">
      <c r="A1648" s="35" t="n">
        <f aca="false">A1647+1</f>
        <v>46455</v>
      </c>
      <c r="B1648" s="35" t="n">
        <f aca="false">EOMONTH(A1648+1,0)</f>
        <v>46477</v>
      </c>
      <c r="C1648" s="36" t="n">
        <f aca="false">IF(MOD(YEAR(A1648),4)=0,366,365)</f>
        <v>365</v>
      </c>
      <c r="D1648" s="37" t="n">
        <f aca="false">Inputs!$B$9-SUMIFS(Cash_Events!$G$6:$G$20,Cash_Events!$C$6:$C$20,"rAGMF",Cash_Events!$B$6:$B$20,"&lt;="&amp;A1648)</f>
        <v>735000</v>
      </c>
      <c r="E1648" s="38" t="n">
        <f aca="false">VLOOKUP(A1648,Inputs!$A$40:$B$48,2,TRUE())</f>
        <v>0.0363225</v>
      </c>
      <c r="F1648" s="38" t="n">
        <f aca="false">E1648+Inputs!$B$10</f>
        <v>0.1038225</v>
      </c>
      <c r="G1648" s="37" t="n">
        <f aca="false">D1648*F1648/C1648</f>
        <v>209.067226027397</v>
      </c>
      <c r="H1648" s="37" t="n">
        <f aca="false">IF(AND(A1648&gt;=Inputs!$B$13,OR(A1648&lt;Inputs!$B$19,Inputs!$B$20=1)),D1648*Inputs!$B$11/C1648,0)</f>
        <v>40.2739726027397</v>
      </c>
      <c r="I1648" s="37" t="n">
        <f aca="false">Inputs!$C$9-SUMIFS(Cash_Events!$G$6:$G$20,Cash_Events!$C$6:$C$20,"FHL",Cash_Events!$B$6:$B$20,"&lt;="&amp;A1648)</f>
        <v>735000</v>
      </c>
      <c r="J1648" s="38" t="n">
        <f aca="false">VLOOKUP(A1648,Inputs!$F$40:$G$48,2,TRUE())</f>
        <v>0.0364054</v>
      </c>
      <c r="K1648" s="38" t="n">
        <f aca="false">J1648+Inputs!$C$10</f>
        <v>0.1039054</v>
      </c>
      <c r="L1648" s="37" t="n">
        <f aca="false">I1648*K1648/C1648</f>
        <v>209.234161643836</v>
      </c>
      <c r="M1648" s="37" t="n">
        <f aca="false">IF(AND(A1648&gt;=Inputs!$C$13,OR(A1648&lt;Inputs!$B$19,Inputs!$B$20=1)),I1648*Inputs!$C$11/C1648,0)</f>
        <v>40.2739726027397</v>
      </c>
    </row>
    <row r="1649" customFormat="false" ht="15" hidden="false" customHeight="false" outlineLevel="0" collapsed="false">
      <c r="A1649" s="35" t="n">
        <f aca="false">A1648+1</f>
        <v>46456</v>
      </c>
      <c r="B1649" s="35" t="n">
        <f aca="false">EOMONTH(A1649+1,0)</f>
        <v>46477</v>
      </c>
      <c r="C1649" s="36" t="n">
        <f aca="false">IF(MOD(YEAR(A1649),4)=0,366,365)</f>
        <v>365</v>
      </c>
      <c r="D1649" s="37" t="n">
        <f aca="false">Inputs!$B$9-SUMIFS(Cash_Events!$G$6:$G$20,Cash_Events!$C$6:$C$20,"rAGMF",Cash_Events!$B$6:$B$20,"&lt;="&amp;A1649)</f>
        <v>735000</v>
      </c>
      <c r="E1649" s="38" t="n">
        <f aca="false">VLOOKUP(A1649,Inputs!$A$40:$B$48,2,TRUE())</f>
        <v>0.0363225</v>
      </c>
      <c r="F1649" s="38" t="n">
        <f aca="false">E1649+Inputs!$B$10</f>
        <v>0.1038225</v>
      </c>
      <c r="G1649" s="37" t="n">
        <f aca="false">D1649*F1649/C1649</f>
        <v>209.067226027397</v>
      </c>
      <c r="H1649" s="37" t="n">
        <f aca="false">IF(AND(A1649&gt;=Inputs!$B$13,OR(A1649&lt;Inputs!$B$19,Inputs!$B$20=1)),D1649*Inputs!$B$11/C1649,0)</f>
        <v>40.2739726027397</v>
      </c>
      <c r="I1649" s="37" t="n">
        <f aca="false">Inputs!$C$9-SUMIFS(Cash_Events!$G$6:$G$20,Cash_Events!$C$6:$C$20,"FHL",Cash_Events!$B$6:$B$20,"&lt;="&amp;A1649)</f>
        <v>735000</v>
      </c>
      <c r="J1649" s="38" t="n">
        <f aca="false">VLOOKUP(A1649,Inputs!$F$40:$G$48,2,TRUE())</f>
        <v>0.0364054</v>
      </c>
      <c r="K1649" s="38" t="n">
        <f aca="false">J1649+Inputs!$C$10</f>
        <v>0.1039054</v>
      </c>
      <c r="L1649" s="37" t="n">
        <f aca="false">I1649*K1649/C1649</f>
        <v>209.234161643836</v>
      </c>
      <c r="M1649" s="37" t="n">
        <f aca="false">IF(AND(A1649&gt;=Inputs!$C$13,OR(A1649&lt;Inputs!$B$19,Inputs!$B$20=1)),I1649*Inputs!$C$11/C1649,0)</f>
        <v>40.2739726027397</v>
      </c>
    </row>
    <row r="1650" customFormat="false" ht="15" hidden="false" customHeight="false" outlineLevel="0" collapsed="false">
      <c r="A1650" s="35" t="n">
        <f aca="false">A1649+1</f>
        <v>46457</v>
      </c>
      <c r="B1650" s="35" t="n">
        <f aca="false">EOMONTH(A1650+1,0)</f>
        <v>46477</v>
      </c>
      <c r="C1650" s="36" t="n">
        <f aca="false">IF(MOD(YEAR(A1650),4)=0,366,365)</f>
        <v>365</v>
      </c>
      <c r="D1650" s="37" t="n">
        <f aca="false">Inputs!$B$9-SUMIFS(Cash_Events!$G$6:$G$20,Cash_Events!$C$6:$C$20,"rAGMF",Cash_Events!$B$6:$B$20,"&lt;="&amp;A1650)</f>
        <v>735000</v>
      </c>
      <c r="E1650" s="38" t="n">
        <f aca="false">VLOOKUP(A1650,Inputs!$A$40:$B$48,2,TRUE())</f>
        <v>0.0363225</v>
      </c>
      <c r="F1650" s="38" t="n">
        <f aca="false">E1650+Inputs!$B$10</f>
        <v>0.1038225</v>
      </c>
      <c r="G1650" s="37" t="n">
        <f aca="false">D1650*F1650/C1650</f>
        <v>209.067226027397</v>
      </c>
      <c r="H1650" s="37" t="n">
        <f aca="false">IF(AND(A1650&gt;=Inputs!$B$13,OR(A1650&lt;Inputs!$B$19,Inputs!$B$20=1)),D1650*Inputs!$B$11/C1650,0)</f>
        <v>40.2739726027397</v>
      </c>
      <c r="I1650" s="37" t="n">
        <f aca="false">Inputs!$C$9-SUMIFS(Cash_Events!$G$6:$G$20,Cash_Events!$C$6:$C$20,"FHL",Cash_Events!$B$6:$B$20,"&lt;="&amp;A1650)</f>
        <v>735000</v>
      </c>
      <c r="J1650" s="38" t="n">
        <f aca="false">VLOOKUP(A1650,Inputs!$F$40:$G$48,2,TRUE())</f>
        <v>0.0364054</v>
      </c>
      <c r="K1650" s="38" t="n">
        <f aca="false">J1650+Inputs!$C$10</f>
        <v>0.1039054</v>
      </c>
      <c r="L1650" s="37" t="n">
        <f aca="false">I1650*K1650/C1650</f>
        <v>209.234161643836</v>
      </c>
      <c r="M1650" s="37" t="n">
        <f aca="false">IF(AND(A1650&gt;=Inputs!$C$13,OR(A1650&lt;Inputs!$B$19,Inputs!$B$20=1)),I1650*Inputs!$C$11/C1650,0)</f>
        <v>40.2739726027397</v>
      </c>
    </row>
    <row r="1651" customFormat="false" ht="15" hidden="false" customHeight="false" outlineLevel="0" collapsed="false">
      <c r="A1651" s="35" t="n">
        <f aca="false">A1650+1</f>
        <v>46458</v>
      </c>
      <c r="B1651" s="35" t="n">
        <f aca="false">EOMONTH(A1651+1,0)</f>
        <v>46477</v>
      </c>
      <c r="C1651" s="36" t="n">
        <f aca="false">IF(MOD(YEAR(A1651),4)=0,366,365)</f>
        <v>365</v>
      </c>
      <c r="D1651" s="37" t="n">
        <f aca="false">Inputs!$B$9-SUMIFS(Cash_Events!$G$6:$G$20,Cash_Events!$C$6:$C$20,"rAGMF",Cash_Events!$B$6:$B$20,"&lt;="&amp;A1651)</f>
        <v>735000</v>
      </c>
      <c r="E1651" s="38" t="n">
        <f aca="false">VLOOKUP(A1651,Inputs!$A$40:$B$48,2,TRUE())</f>
        <v>0.0363225</v>
      </c>
      <c r="F1651" s="38" t="n">
        <f aca="false">E1651+Inputs!$B$10</f>
        <v>0.1038225</v>
      </c>
      <c r="G1651" s="37" t="n">
        <f aca="false">D1651*F1651/C1651</f>
        <v>209.067226027397</v>
      </c>
      <c r="H1651" s="37" t="n">
        <f aca="false">IF(AND(A1651&gt;=Inputs!$B$13,OR(A1651&lt;Inputs!$B$19,Inputs!$B$20=1)),D1651*Inputs!$B$11/C1651,0)</f>
        <v>40.2739726027397</v>
      </c>
      <c r="I1651" s="37" t="n">
        <f aca="false">Inputs!$C$9-SUMIFS(Cash_Events!$G$6:$G$20,Cash_Events!$C$6:$C$20,"FHL",Cash_Events!$B$6:$B$20,"&lt;="&amp;A1651)</f>
        <v>735000</v>
      </c>
      <c r="J1651" s="38" t="n">
        <f aca="false">VLOOKUP(A1651,Inputs!$F$40:$G$48,2,TRUE())</f>
        <v>0.0364054</v>
      </c>
      <c r="K1651" s="38" t="n">
        <f aca="false">J1651+Inputs!$C$10</f>
        <v>0.1039054</v>
      </c>
      <c r="L1651" s="37" t="n">
        <f aca="false">I1651*K1651/C1651</f>
        <v>209.234161643836</v>
      </c>
      <c r="M1651" s="37" t="n">
        <f aca="false">IF(AND(A1651&gt;=Inputs!$C$13,OR(A1651&lt;Inputs!$B$19,Inputs!$B$20=1)),I1651*Inputs!$C$11/C1651,0)</f>
        <v>40.2739726027397</v>
      </c>
    </row>
    <row r="1652" customFormat="false" ht="15" hidden="false" customHeight="false" outlineLevel="0" collapsed="false">
      <c r="A1652" s="35" t="n">
        <f aca="false">A1651+1</f>
        <v>46459</v>
      </c>
      <c r="B1652" s="35" t="n">
        <f aca="false">EOMONTH(A1652+1,0)</f>
        <v>46477</v>
      </c>
      <c r="C1652" s="36" t="n">
        <f aca="false">IF(MOD(YEAR(A1652),4)=0,366,365)</f>
        <v>365</v>
      </c>
      <c r="D1652" s="37" t="n">
        <f aca="false">Inputs!$B$9-SUMIFS(Cash_Events!$G$6:$G$20,Cash_Events!$C$6:$C$20,"rAGMF",Cash_Events!$B$6:$B$20,"&lt;="&amp;A1652)</f>
        <v>735000</v>
      </c>
      <c r="E1652" s="38" t="n">
        <f aca="false">VLOOKUP(A1652,Inputs!$A$40:$B$48,2,TRUE())</f>
        <v>0.0363225</v>
      </c>
      <c r="F1652" s="38" t="n">
        <f aca="false">E1652+Inputs!$B$10</f>
        <v>0.1038225</v>
      </c>
      <c r="G1652" s="37" t="n">
        <f aca="false">D1652*F1652/C1652</f>
        <v>209.067226027397</v>
      </c>
      <c r="H1652" s="37" t="n">
        <f aca="false">IF(AND(A1652&gt;=Inputs!$B$13,OR(A1652&lt;Inputs!$B$19,Inputs!$B$20=1)),D1652*Inputs!$B$11/C1652,0)</f>
        <v>40.2739726027397</v>
      </c>
      <c r="I1652" s="37" t="n">
        <f aca="false">Inputs!$C$9-SUMIFS(Cash_Events!$G$6:$G$20,Cash_Events!$C$6:$C$20,"FHL",Cash_Events!$B$6:$B$20,"&lt;="&amp;A1652)</f>
        <v>735000</v>
      </c>
      <c r="J1652" s="38" t="n">
        <f aca="false">VLOOKUP(A1652,Inputs!$F$40:$G$48,2,TRUE())</f>
        <v>0.0364054</v>
      </c>
      <c r="K1652" s="38" t="n">
        <f aca="false">J1652+Inputs!$C$10</f>
        <v>0.1039054</v>
      </c>
      <c r="L1652" s="37" t="n">
        <f aca="false">I1652*K1652/C1652</f>
        <v>209.234161643836</v>
      </c>
      <c r="M1652" s="37" t="n">
        <f aca="false">IF(AND(A1652&gt;=Inputs!$C$13,OR(A1652&lt;Inputs!$B$19,Inputs!$B$20=1)),I1652*Inputs!$C$11/C1652,0)</f>
        <v>40.2739726027397</v>
      </c>
    </row>
    <row r="1653" customFormat="false" ht="15" hidden="false" customHeight="false" outlineLevel="0" collapsed="false">
      <c r="A1653" s="35" t="n">
        <f aca="false">A1652+1</f>
        <v>46460</v>
      </c>
      <c r="B1653" s="35" t="n">
        <f aca="false">EOMONTH(A1653+1,0)</f>
        <v>46477</v>
      </c>
      <c r="C1653" s="36" t="n">
        <f aca="false">IF(MOD(YEAR(A1653),4)=0,366,365)</f>
        <v>365</v>
      </c>
      <c r="D1653" s="37" t="n">
        <f aca="false">Inputs!$B$9-SUMIFS(Cash_Events!$G$6:$G$20,Cash_Events!$C$6:$C$20,"rAGMF",Cash_Events!$B$6:$B$20,"&lt;="&amp;A1653)</f>
        <v>735000</v>
      </c>
      <c r="E1653" s="38" t="n">
        <f aca="false">VLOOKUP(A1653,Inputs!$A$40:$B$48,2,TRUE())</f>
        <v>0.0363225</v>
      </c>
      <c r="F1653" s="38" t="n">
        <f aca="false">E1653+Inputs!$B$10</f>
        <v>0.1038225</v>
      </c>
      <c r="G1653" s="37" t="n">
        <f aca="false">D1653*F1653/C1653</f>
        <v>209.067226027397</v>
      </c>
      <c r="H1653" s="37" t="n">
        <f aca="false">IF(AND(A1653&gt;=Inputs!$B$13,OR(A1653&lt;Inputs!$B$19,Inputs!$B$20=1)),D1653*Inputs!$B$11/C1653,0)</f>
        <v>40.2739726027397</v>
      </c>
      <c r="I1653" s="37" t="n">
        <f aca="false">Inputs!$C$9-SUMIFS(Cash_Events!$G$6:$G$20,Cash_Events!$C$6:$C$20,"FHL",Cash_Events!$B$6:$B$20,"&lt;="&amp;A1653)</f>
        <v>735000</v>
      </c>
      <c r="J1653" s="38" t="n">
        <f aca="false">VLOOKUP(A1653,Inputs!$F$40:$G$48,2,TRUE())</f>
        <v>0.0364054</v>
      </c>
      <c r="K1653" s="38" t="n">
        <f aca="false">J1653+Inputs!$C$10</f>
        <v>0.1039054</v>
      </c>
      <c r="L1653" s="37" t="n">
        <f aca="false">I1653*K1653/C1653</f>
        <v>209.234161643836</v>
      </c>
      <c r="M1653" s="37" t="n">
        <f aca="false">IF(AND(A1653&gt;=Inputs!$C$13,OR(A1653&lt;Inputs!$B$19,Inputs!$B$20=1)),I1653*Inputs!$C$11/C1653,0)</f>
        <v>40.2739726027397</v>
      </c>
    </row>
    <row r="1654" customFormat="false" ht="15" hidden="false" customHeight="false" outlineLevel="0" collapsed="false">
      <c r="A1654" s="35" t="n">
        <f aca="false">A1653+1</f>
        <v>46461</v>
      </c>
      <c r="B1654" s="35" t="n">
        <f aca="false">EOMONTH(A1654+1,0)</f>
        <v>46477</v>
      </c>
      <c r="C1654" s="36" t="n">
        <f aca="false">IF(MOD(YEAR(A1654),4)=0,366,365)</f>
        <v>365</v>
      </c>
      <c r="D1654" s="37" t="n">
        <f aca="false">Inputs!$B$9-SUMIFS(Cash_Events!$G$6:$G$20,Cash_Events!$C$6:$C$20,"rAGMF",Cash_Events!$B$6:$B$20,"&lt;="&amp;A1654)</f>
        <v>735000</v>
      </c>
      <c r="E1654" s="38" t="n">
        <f aca="false">VLOOKUP(A1654,Inputs!$A$40:$B$48,2,TRUE())</f>
        <v>0.0363225</v>
      </c>
      <c r="F1654" s="38" t="n">
        <f aca="false">E1654+Inputs!$B$10</f>
        <v>0.1038225</v>
      </c>
      <c r="G1654" s="37" t="n">
        <f aca="false">D1654*F1654/C1654</f>
        <v>209.067226027397</v>
      </c>
      <c r="H1654" s="37" t="n">
        <f aca="false">IF(AND(A1654&gt;=Inputs!$B$13,OR(A1654&lt;Inputs!$B$19,Inputs!$B$20=1)),D1654*Inputs!$B$11/C1654,0)</f>
        <v>40.2739726027397</v>
      </c>
      <c r="I1654" s="37" t="n">
        <f aca="false">Inputs!$C$9-SUMIFS(Cash_Events!$G$6:$G$20,Cash_Events!$C$6:$C$20,"FHL",Cash_Events!$B$6:$B$20,"&lt;="&amp;A1654)</f>
        <v>735000</v>
      </c>
      <c r="J1654" s="38" t="n">
        <f aca="false">VLOOKUP(A1654,Inputs!$F$40:$G$48,2,TRUE())</f>
        <v>0.0364054</v>
      </c>
      <c r="K1654" s="38" t="n">
        <f aca="false">J1654+Inputs!$C$10</f>
        <v>0.1039054</v>
      </c>
      <c r="L1654" s="37" t="n">
        <f aca="false">I1654*K1654/C1654</f>
        <v>209.234161643836</v>
      </c>
      <c r="M1654" s="37" t="n">
        <f aca="false">IF(AND(A1654&gt;=Inputs!$C$13,OR(A1654&lt;Inputs!$B$19,Inputs!$B$20=1)),I1654*Inputs!$C$11/C1654,0)</f>
        <v>40.2739726027397</v>
      </c>
    </row>
    <row r="1655" customFormat="false" ht="15" hidden="false" customHeight="false" outlineLevel="0" collapsed="false">
      <c r="A1655" s="35" t="n">
        <f aca="false">A1654+1</f>
        <v>46462</v>
      </c>
      <c r="B1655" s="35" t="n">
        <f aca="false">EOMONTH(A1655+1,0)</f>
        <v>46477</v>
      </c>
      <c r="C1655" s="36" t="n">
        <f aca="false">IF(MOD(YEAR(A1655),4)=0,366,365)</f>
        <v>365</v>
      </c>
      <c r="D1655" s="37" t="n">
        <f aca="false">Inputs!$B$9-SUMIFS(Cash_Events!$G$6:$G$20,Cash_Events!$C$6:$C$20,"rAGMF",Cash_Events!$B$6:$B$20,"&lt;="&amp;A1655)</f>
        <v>735000</v>
      </c>
      <c r="E1655" s="38" t="n">
        <f aca="false">VLOOKUP(A1655,Inputs!$A$40:$B$48,2,TRUE())</f>
        <v>0.0363225</v>
      </c>
      <c r="F1655" s="38" t="n">
        <f aca="false">E1655+Inputs!$B$10</f>
        <v>0.1038225</v>
      </c>
      <c r="G1655" s="37" t="n">
        <f aca="false">D1655*F1655/C1655</f>
        <v>209.067226027397</v>
      </c>
      <c r="H1655" s="37" t="n">
        <f aca="false">IF(AND(A1655&gt;=Inputs!$B$13,OR(A1655&lt;Inputs!$B$19,Inputs!$B$20=1)),D1655*Inputs!$B$11/C1655,0)</f>
        <v>40.2739726027397</v>
      </c>
      <c r="I1655" s="37" t="n">
        <f aca="false">Inputs!$C$9-SUMIFS(Cash_Events!$G$6:$G$20,Cash_Events!$C$6:$C$20,"FHL",Cash_Events!$B$6:$B$20,"&lt;="&amp;A1655)</f>
        <v>735000</v>
      </c>
      <c r="J1655" s="38" t="n">
        <f aca="false">VLOOKUP(A1655,Inputs!$F$40:$G$48,2,TRUE())</f>
        <v>0.0364054</v>
      </c>
      <c r="K1655" s="38" t="n">
        <f aca="false">J1655+Inputs!$C$10</f>
        <v>0.1039054</v>
      </c>
      <c r="L1655" s="37" t="n">
        <f aca="false">I1655*K1655/C1655</f>
        <v>209.234161643836</v>
      </c>
      <c r="M1655" s="37" t="n">
        <f aca="false">IF(AND(A1655&gt;=Inputs!$C$13,OR(A1655&lt;Inputs!$B$19,Inputs!$B$20=1)),I1655*Inputs!$C$11/C1655,0)</f>
        <v>40.2739726027397</v>
      </c>
    </row>
    <row r="1656" customFormat="false" ht="15" hidden="false" customHeight="false" outlineLevel="0" collapsed="false">
      <c r="A1656" s="35" t="n">
        <f aca="false">A1655+1</f>
        <v>46463</v>
      </c>
      <c r="B1656" s="35" t="n">
        <f aca="false">EOMONTH(A1656+1,0)</f>
        <v>46477</v>
      </c>
      <c r="C1656" s="36" t="n">
        <f aca="false">IF(MOD(YEAR(A1656),4)=0,366,365)</f>
        <v>365</v>
      </c>
      <c r="D1656" s="37" t="n">
        <f aca="false">Inputs!$B$9-SUMIFS(Cash_Events!$G$6:$G$20,Cash_Events!$C$6:$C$20,"rAGMF",Cash_Events!$B$6:$B$20,"&lt;="&amp;A1656)</f>
        <v>735000</v>
      </c>
      <c r="E1656" s="38" t="n">
        <f aca="false">VLOOKUP(A1656,Inputs!$A$40:$B$48,2,TRUE())</f>
        <v>0.0363225</v>
      </c>
      <c r="F1656" s="38" t="n">
        <f aca="false">E1656+Inputs!$B$10</f>
        <v>0.1038225</v>
      </c>
      <c r="G1656" s="37" t="n">
        <f aca="false">D1656*F1656/C1656</f>
        <v>209.067226027397</v>
      </c>
      <c r="H1656" s="37" t="n">
        <f aca="false">IF(AND(A1656&gt;=Inputs!$B$13,OR(A1656&lt;Inputs!$B$19,Inputs!$B$20=1)),D1656*Inputs!$B$11/C1656,0)</f>
        <v>40.2739726027397</v>
      </c>
      <c r="I1656" s="37" t="n">
        <f aca="false">Inputs!$C$9-SUMIFS(Cash_Events!$G$6:$G$20,Cash_Events!$C$6:$C$20,"FHL",Cash_Events!$B$6:$B$20,"&lt;="&amp;A1656)</f>
        <v>735000</v>
      </c>
      <c r="J1656" s="38" t="n">
        <f aca="false">VLOOKUP(A1656,Inputs!$F$40:$G$48,2,TRUE())</f>
        <v>0.0364054</v>
      </c>
      <c r="K1656" s="38" t="n">
        <f aca="false">J1656+Inputs!$C$10</f>
        <v>0.1039054</v>
      </c>
      <c r="L1656" s="37" t="n">
        <f aca="false">I1656*K1656/C1656</f>
        <v>209.234161643836</v>
      </c>
      <c r="M1656" s="37" t="n">
        <f aca="false">IF(AND(A1656&gt;=Inputs!$C$13,OR(A1656&lt;Inputs!$B$19,Inputs!$B$20=1)),I1656*Inputs!$C$11/C1656,0)</f>
        <v>40.2739726027397</v>
      </c>
    </row>
    <row r="1657" customFormat="false" ht="15" hidden="false" customHeight="false" outlineLevel="0" collapsed="false">
      <c r="A1657" s="35" t="n">
        <f aca="false">A1656+1</f>
        <v>46464</v>
      </c>
      <c r="B1657" s="35" t="n">
        <f aca="false">EOMONTH(A1657+1,0)</f>
        <v>46477</v>
      </c>
      <c r="C1657" s="36" t="n">
        <f aca="false">IF(MOD(YEAR(A1657),4)=0,366,365)</f>
        <v>365</v>
      </c>
      <c r="D1657" s="37" t="n">
        <f aca="false">Inputs!$B$9-SUMIFS(Cash_Events!$G$6:$G$20,Cash_Events!$C$6:$C$20,"rAGMF",Cash_Events!$B$6:$B$20,"&lt;="&amp;A1657)</f>
        <v>735000</v>
      </c>
      <c r="E1657" s="38" t="n">
        <f aca="false">VLOOKUP(A1657,Inputs!$A$40:$B$48,2,TRUE())</f>
        <v>0.0363225</v>
      </c>
      <c r="F1657" s="38" t="n">
        <f aca="false">E1657+Inputs!$B$10</f>
        <v>0.1038225</v>
      </c>
      <c r="G1657" s="37" t="n">
        <f aca="false">D1657*F1657/C1657</f>
        <v>209.067226027397</v>
      </c>
      <c r="H1657" s="37" t="n">
        <f aca="false">IF(AND(A1657&gt;=Inputs!$B$13,OR(A1657&lt;Inputs!$B$19,Inputs!$B$20=1)),D1657*Inputs!$B$11/C1657,0)</f>
        <v>40.2739726027397</v>
      </c>
      <c r="I1657" s="37" t="n">
        <f aca="false">Inputs!$C$9-SUMIFS(Cash_Events!$G$6:$G$20,Cash_Events!$C$6:$C$20,"FHL",Cash_Events!$B$6:$B$20,"&lt;="&amp;A1657)</f>
        <v>735000</v>
      </c>
      <c r="J1657" s="38" t="n">
        <f aca="false">VLOOKUP(A1657,Inputs!$F$40:$G$48,2,TRUE())</f>
        <v>0.0364054</v>
      </c>
      <c r="K1657" s="38" t="n">
        <f aca="false">J1657+Inputs!$C$10</f>
        <v>0.1039054</v>
      </c>
      <c r="L1657" s="37" t="n">
        <f aca="false">I1657*K1657/C1657</f>
        <v>209.234161643836</v>
      </c>
      <c r="M1657" s="37" t="n">
        <f aca="false">IF(AND(A1657&gt;=Inputs!$C$13,OR(A1657&lt;Inputs!$B$19,Inputs!$B$20=1)),I1657*Inputs!$C$11/C1657,0)</f>
        <v>40.2739726027397</v>
      </c>
    </row>
    <row r="1658" customFormat="false" ht="15" hidden="false" customHeight="false" outlineLevel="0" collapsed="false">
      <c r="A1658" s="35" t="n">
        <f aca="false">A1657+1</f>
        <v>46465</v>
      </c>
      <c r="B1658" s="35" t="n">
        <f aca="false">EOMONTH(A1658+1,0)</f>
        <v>46477</v>
      </c>
      <c r="C1658" s="36" t="n">
        <f aca="false">IF(MOD(YEAR(A1658),4)=0,366,365)</f>
        <v>365</v>
      </c>
      <c r="D1658" s="37" t="n">
        <f aca="false">Inputs!$B$9-SUMIFS(Cash_Events!$G$6:$G$20,Cash_Events!$C$6:$C$20,"rAGMF",Cash_Events!$B$6:$B$20,"&lt;="&amp;A1658)</f>
        <v>735000</v>
      </c>
      <c r="E1658" s="38" t="n">
        <f aca="false">VLOOKUP(A1658,Inputs!$A$40:$B$48,2,TRUE())</f>
        <v>0.0363225</v>
      </c>
      <c r="F1658" s="38" t="n">
        <f aca="false">E1658+Inputs!$B$10</f>
        <v>0.1038225</v>
      </c>
      <c r="G1658" s="37" t="n">
        <f aca="false">D1658*F1658/C1658</f>
        <v>209.067226027397</v>
      </c>
      <c r="H1658" s="37" t="n">
        <f aca="false">IF(AND(A1658&gt;=Inputs!$B$13,OR(A1658&lt;Inputs!$B$19,Inputs!$B$20=1)),D1658*Inputs!$B$11/C1658,0)</f>
        <v>40.2739726027397</v>
      </c>
      <c r="I1658" s="37" t="n">
        <f aca="false">Inputs!$C$9-SUMIFS(Cash_Events!$G$6:$G$20,Cash_Events!$C$6:$C$20,"FHL",Cash_Events!$B$6:$B$20,"&lt;="&amp;A1658)</f>
        <v>735000</v>
      </c>
      <c r="J1658" s="38" t="n">
        <f aca="false">VLOOKUP(A1658,Inputs!$F$40:$G$48,2,TRUE())</f>
        <v>0.0364054</v>
      </c>
      <c r="K1658" s="38" t="n">
        <f aca="false">J1658+Inputs!$C$10</f>
        <v>0.1039054</v>
      </c>
      <c r="L1658" s="37" t="n">
        <f aca="false">I1658*K1658/C1658</f>
        <v>209.234161643836</v>
      </c>
      <c r="M1658" s="37" t="n">
        <f aca="false">IF(AND(A1658&gt;=Inputs!$C$13,OR(A1658&lt;Inputs!$B$19,Inputs!$B$20=1)),I1658*Inputs!$C$11/C1658,0)</f>
        <v>40.2739726027397</v>
      </c>
    </row>
    <row r="1659" customFormat="false" ht="15" hidden="false" customHeight="false" outlineLevel="0" collapsed="false">
      <c r="A1659" s="35" t="n">
        <f aca="false">A1658+1</f>
        <v>46466</v>
      </c>
      <c r="B1659" s="35" t="n">
        <f aca="false">EOMONTH(A1659+1,0)</f>
        <v>46477</v>
      </c>
      <c r="C1659" s="36" t="n">
        <f aca="false">IF(MOD(YEAR(A1659),4)=0,366,365)</f>
        <v>365</v>
      </c>
      <c r="D1659" s="37" t="n">
        <f aca="false">Inputs!$B$9-SUMIFS(Cash_Events!$G$6:$G$20,Cash_Events!$C$6:$C$20,"rAGMF",Cash_Events!$B$6:$B$20,"&lt;="&amp;A1659)</f>
        <v>735000</v>
      </c>
      <c r="E1659" s="38" t="n">
        <f aca="false">VLOOKUP(A1659,Inputs!$A$40:$B$48,2,TRUE())</f>
        <v>0.0363225</v>
      </c>
      <c r="F1659" s="38" t="n">
        <f aca="false">E1659+Inputs!$B$10</f>
        <v>0.1038225</v>
      </c>
      <c r="G1659" s="37" t="n">
        <f aca="false">D1659*F1659/C1659</f>
        <v>209.067226027397</v>
      </c>
      <c r="H1659" s="37" t="n">
        <f aca="false">IF(AND(A1659&gt;=Inputs!$B$13,OR(A1659&lt;Inputs!$B$19,Inputs!$B$20=1)),D1659*Inputs!$B$11/C1659,0)</f>
        <v>40.2739726027397</v>
      </c>
      <c r="I1659" s="37" t="n">
        <f aca="false">Inputs!$C$9-SUMIFS(Cash_Events!$G$6:$G$20,Cash_Events!$C$6:$C$20,"FHL",Cash_Events!$B$6:$B$20,"&lt;="&amp;A1659)</f>
        <v>735000</v>
      </c>
      <c r="J1659" s="38" t="n">
        <f aca="false">VLOOKUP(A1659,Inputs!$F$40:$G$48,2,TRUE())</f>
        <v>0.0364054</v>
      </c>
      <c r="K1659" s="38" t="n">
        <f aca="false">J1659+Inputs!$C$10</f>
        <v>0.1039054</v>
      </c>
      <c r="L1659" s="37" t="n">
        <f aca="false">I1659*K1659/C1659</f>
        <v>209.234161643836</v>
      </c>
      <c r="M1659" s="37" t="n">
        <f aca="false">IF(AND(A1659&gt;=Inputs!$C$13,OR(A1659&lt;Inputs!$B$19,Inputs!$B$20=1)),I1659*Inputs!$C$11/C1659,0)</f>
        <v>40.2739726027397</v>
      </c>
    </row>
    <row r="1660" customFormat="false" ht="15" hidden="false" customHeight="false" outlineLevel="0" collapsed="false">
      <c r="A1660" s="35" t="n">
        <f aca="false">A1659+1</f>
        <v>46467</v>
      </c>
      <c r="B1660" s="35" t="n">
        <f aca="false">EOMONTH(A1660+1,0)</f>
        <v>46477</v>
      </c>
      <c r="C1660" s="36" t="n">
        <f aca="false">IF(MOD(YEAR(A1660),4)=0,366,365)</f>
        <v>365</v>
      </c>
      <c r="D1660" s="37" t="n">
        <f aca="false">Inputs!$B$9-SUMIFS(Cash_Events!$G$6:$G$20,Cash_Events!$C$6:$C$20,"rAGMF",Cash_Events!$B$6:$B$20,"&lt;="&amp;A1660)</f>
        <v>735000</v>
      </c>
      <c r="E1660" s="38" t="n">
        <f aca="false">VLOOKUP(A1660,Inputs!$A$40:$B$48,2,TRUE())</f>
        <v>0.0363225</v>
      </c>
      <c r="F1660" s="38" t="n">
        <f aca="false">E1660+Inputs!$B$10</f>
        <v>0.1038225</v>
      </c>
      <c r="G1660" s="37" t="n">
        <f aca="false">D1660*F1660/C1660</f>
        <v>209.067226027397</v>
      </c>
      <c r="H1660" s="37" t="n">
        <f aca="false">IF(AND(A1660&gt;=Inputs!$B$13,OR(A1660&lt;Inputs!$B$19,Inputs!$B$20=1)),D1660*Inputs!$B$11/C1660,0)</f>
        <v>40.2739726027397</v>
      </c>
      <c r="I1660" s="37" t="n">
        <f aca="false">Inputs!$C$9-SUMIFS(Cash_Events!$G$6:$G$20,Cash_Events!$C$6:$C$20,"FHL",Cash_Events!$B$6:$B$20,"&lt;="&amp;A1660)</f>
        <v>735000</v>
      </c>
      <c r="J1660" s="38" t="n">
        <f aca="false">VLOOKUP(A1660,Inputs!$F$40:$G$48,2,TRUE())</f>
        <v>0.0364054</v>
      </c>
      <c r="K1660" s="38" t="n">
        <f aca="false">J1660+Inputs!$C$10</f>
        <v>0.1039054</v>
      </c>
      <c r="L1660" s="37" t="n">
        <f aca="false">I1660*K1660/C1660</f>
        <v>209.234161643836</v>
      </c>
      <c r="M1660" s="37" t="n">
        <f aca="false">IF(AND(A1660&gt;=Inputs!$C$13,OR(A1660&lt;Inputs!$B$19,Inputs!$B$20=1)),I1660*Inputs!$C$11/C1660,0)</f>
        <v>40.2739726027397</v>
      </c>
    </row>
    <row r="1661" customFormat="false" ht="15" hidden="false" customHeight="false" outlineLevel="0" collapsed="false">
      <c r="A1661" s="35" t="n">
        <f aca="false">A1660+1</f>
        <v>46468</v>
      </c>
      <c r="B1661" s="35" t="n">
        <f aca="false">EOMONTH(A1661+1,0)</f>
        <v>46477</v>
      </c>
      <c r="C1661" s="36" t="n">
        <f aca="false">IF(MOD(YEAR(A1661),4)=0,366,365)</f>
        <v>365</v>
      </c>
      <c r="D1661" s="37" t="n">
        <f aca="false">Inputs!$B$9-SUMIFS(Cash_Events!$G$6:$G$20,Cash_Events!$C$6:$C$20,"rAGMF",Cash_Events!$B$6:$B$20,"&lt;="&amp;A1661)</f>
        <v>735000</v>
      </c>
      <c r="E1661" s="38" t="n">
        <f aca="false">VLOOKUP(A1661,Inputs!$A$40:$B$48,2,TRUE())</f>
        <v>0.0363225</v>
      </c>
      <c r="F1661" s="38" t="n">
        <f aca="false">E1661+Inputs!$B$10</f>
        <v>0.1038225</v>
      </c>
      <c r="G1661" s="37" t="n">
        <f aca="false">D1661*F1661/C1661</f>
        <v>209.067226027397</v>
      </c>
      <c r="H1661" s="37" t="n">
        <f aca="false">IF(AND(A1661&gt;=Inputs!$B$13,OR(A1661&lt;Inputs!$B$19,Inputs!$B$20=1)),D1661*Inputs!$B$11/C1661,0)</f>
        <v>40.2739726027397</v>
      </c>
      <c r="I1661" s="37" t="n">
        <f aca="false">Inputs!$C$9-SUMIFS(Cash_Events!$G$6:$G$20,Cash_Events!$C$6:$C$20,"FHL",Cash_Events!$B$6:$B$20,"&lt;="&amp;A1661)</f>
        <v>735000</v>
      </c>
      <c r="J1661" s="38" t="n">
        <f aca="false">VLOOKUP(A1661,Inputs!$F$40:$G$48,2,TRUE())</f>
        <v>0.0364054</v>
      </c>
      <c r="K1661" s="38" t="n">
        <f aca="false">J1661+Inputs!$C$10</f>
        <v>0.1039054</v>
      </c>
      <c r="L1661" s="37" t="n">
        <f aca="false">I1661*K1661/C1661</f>
        <v>209.234161643836</v>
      </c>
      <c r="M1661" s="37" t="n">
        <f aca="false">IF(AND(A1661&gt;=Inputs!$C$13,OR(A1661&lt;Inputs!$B$19,Inputs!$B$20=1)),I1661*Inputs!$C$11/C1661,0)</f>
        <v>40.2739726027397</v>
      </c>
    </row>
    <row r="1662" customFormat="false" ht="15" hidden="false" customHeight="false" outlineLevel="0" collapsed="false">
      <c r="A1662" s="35" t="n">
        <f aca="false">A1661+1</f>
        <v>46469</v>
      </c>
      <c r="B1662" s="35" t="n">
        <f aca="false">EOMONTH(A1662+1,0)</f>
        <v>46477</v>
      </c>
      <c r="C1662" s="36" t="n">
        <f aca="false">IF(MOD(YEAR(A1662),4)=0,366,365)</f>
        <v>365</v>
      </c>
      <c r="D1662" s="37" t="n">
        <f aca="false">Inputs!$B$9-SUMIFS(Cash_Events!$G$6:$G$20,Cash_Events!$C$6:$C$20,"rAGMF",Cash_Events!$B$6:$B$20,"&lt;="&amp;A1662)</f>
        <v>735000</v>
      </c>
      <c r="E1662" s="38" t="n">
        <f aca="false">VLOOKUP(A1662,Inputs!$A$40:$B$48,2,TRUE())</f>
        <v>0.0363225</v>
      </c>
      <c r="F1662" s="38" t="n">
        <f aca="false">E1662+Inputs!$B$10</f>
        <v>0.1038225</v>
      </c>
      <c r="G1662" s="37" t="n">
        <f aca="false">D1662*F1662/C1662</f>
        <v>209.067226027397</v>
      </c>
      <c r="H1662" s="37" t="n">
        <f aca="false">IF(AND(A1662&gt;=Inputs!$B$13,OR(A1662&lt;Inputs!$B$19,Inputs!$B$20=1)),D1662*Inputs!$B$11/C1662,0)</f>
        <v>40.2739726027397</v>
      </c>
      <c r="I1662" s="37" t="n">
        <f aca="false">Inputs!$C$9-SUMIFS(Cash_Events!$G$6:$G$20,Cash_Events!$C$6:$C$20,"FHL",Cash_Events!$B$6:$B$20,"&lt;="&amp;A1662)</f>
        <v>735000</v>
      </c>
      <c r="J1662" s="38" t="n">
        <f aca="false">VLOOKUP(A1662,Inputs!$F$40:$G$48,2,TRUE())</f>
        <v>0.0364054</v>
      </c>
      <c r="K1662" s="38" t="n">
        <f aca="false">J1662+Inputs!$C$10</f>
        <v>0.1039054</v>
      </c>
      <c r="L1662" s="37" t="n">
        <f aca="false">I1662*K1662/C1662</f>
        <v>209.234161643836</v>
      </c>
      <c r="M1662" s="37" t="n">
        <f aca="false">IF(AND(A1662&gt;=Inputs!$C$13,OR(A1662&lt;Inputs!$B$19,Inputs!$B$20=1)),I1662*Inputs!$C$11/C1662,0)</f>
        <v>40.2739726027397</v>
      </c>
    </row>
    <row r="1663" customFormat="false" ht="15" hidden="false" customHeight="false" outlineLevel="0" collapsed="false">
      <c r="A1663" s="35" t="n">
        <f aca="false">A1662+1</f>
        <v>46470</v>
      </c>
      <c r="B1663" s="35" t="n">
        <f aca="false">EOMONTH(A1663+1,0)</f>
        <v>46477</v>
      </c>
      <c r="C1663" s="36" t="n">
        <f aca="false">IF(MOD(YEAR(A1663),4)=0,366,365)</f>
        <v>365</v>
      </c>
      <c r="D1663" s="37" t="n">
        <f aca="false">Inputs!$B$9-SUMIFS(Cash_Events!$G$6:$G$20,Cash_Events!$C$6:$C$20,"rAGMF",Cash_Events!$B$6:$B$20,"&lt;="&amp;A1663)</f>
        <v>735000</v>
      </c>
      <c r="E1663" s="38" t="n">
        <f aca="false">VLOOKUP(A1663,Inputs!$A$40:$B$48,2,TRUE())</f>
        <v>0.0363225</v>
      </c>
      <c r="F1663" s="38" t="n">
        <f aca="false">E1663+Inputs!$B$10</f>
        <v>0.1038225</v>
      </c>
      <c r="G1663" s="37" t="n">
        <f aca="false">D1663*F1663/C1663</f>
        <v>209.067226027397</v>
      </c>
      <c r="H1663" s="37" t="n">
        <f aca="false">IF(AND(A1663&gt;=Inputs!$B$13,OR(A1663&lt;Inputs!$B$19,Inputs!$B$20=1)),D1663*Inputs!$B$11/C1663,0)</f>
        <v>40.2739726027397</v>
      </c>
      <c r="I1663" s="37" t="n">
        <f aca="false">Inputs!$C$9-SUMIFS(Cash_Events!$G$6:$G$20,Cash_Events!$C$6:$C$20,"FHL",Cash_Events!$B$6:$B$20,"&lt;="&amp;A1663)</f>
        <v>735000</v>
      </c>
      <c r="J1663" s="38" t="n">
        <f aca="false">VLOOKUP(A1663,Inputs!$F$40:$G$48,2,TRUE())</f>
        <v>0.0364054</v>
      </c>
      <c r="K1663" s="38" t="n">
        <f aca="false">J1663+Inputs!$C$10</f>
        <v>0.1039054</v>
      </c>
      <c r="L1663" s="37" t="n">
        <f aca="false">I1663*K1663/C1663</f>
        <v>209.234161643836</v>
      </c>
      <c r="M1663" s="37" t="n">
        <f aca="false">IF(AND(A1663&gt;=Inputs!$C$13,OR(A1663&lt;Inputs!$B$19,Inputs!$B$20=1)),I1663*Inputs!$C$11/C1663,0)</f>
        <v>40.2739726027397</v>
      </c>
    </row>
    <row r="1664" customFormat="false" ht="15" hidden="false" customHeight="false" outlineLevel="0" collapsed="false">
      <c r="A1664" s="35" t="n">
        <f aca="false">A1663+1</f>
        <v>46471</v>
      </c>
      <c r="B1664" s="35" t="n">
        <f aca="false">EOMONTH(A1664+1,0)</f>
        <v>46477</v>
      </c>
      <c r="C1664" s="36" t="n">
        <f aca="false">IF(MOD(YEAR(A1664),4)=0,366,365)</f>
        <v>365</v>
      </c>
      <c r="D1664" s="37" t="n">
        <f aca="false">Inputs!$B$9-SUMIFS(Cash_Events!$G$6:$G$20,Cash_Events!$C$6:$C$20,"rAGMF",Cash_Events!$B$6:$B$20,"&lt;="&amp;A1664)</f>
        <v>735000</v>
      </c>
      <c r="E1664" s="38" t="n">
        <f aca="false">VLOOKUP(A1664,Inputs!$A$40:$B$48,2,TRUE())</f>
        <v>0.0363225</v>
      </c>
      <c r="F1664" s="38" t="n">
        <f aca="false">E1664+Inputs!$B$10</f>
        <v>0.1038225</v>
      </c>
      <c r="G1664" s="37" t="n">
        <f aca="false">D1664*F1664/C1664</f>
        <v>209.067226027397</v>
      </c>
      <c r="H1664" s="37" t="n">
        <f aca="false">IF(AND(A1664&gt;=Inputs!$B$13,OR(A1664&lt;Inputs!$B$19,Inputs!$B$20=1)),D1664*Inputs!$B$11/C1664,0)</f>
        <v>40.2739726027397</v>
      </c>
      <c r="I1664" s="37" t="n">
        <f aca="false">Inputs!$C$9-SUMIFS(Cash_Events!$G$6:$G$20,Cash_Events!$C$6:$C$20,"FHL",Cash_Events!$B$6:$B$20,"&lt;="&amp;A1664)</f>
        <v>735000</v>
      </c>
      <c r="J1664" s="38" t="n">
        <f aca="false">VLOOKUP(A1664,Inputs!$F$40:$G$48,2,TRUE())</f>
        <v>0.0364054</v>
      </c>
      <c r="K1664" s="38" t="n">
        <f aca="false">J1664+Inputs!$C$10</f>
        <v>0.1039054</v>
      </c>
      <c r="L1664" s="37" t="n">
        <f aca="false">I1664*K1664/C1664</f>
        <v>209.234161643836</v>
      </c>
      <c r="M1664" s="37" t="n">
        <f aca="false">IF(AND(A1664&gt;=Inputs!$C$13,OR(A1664&lt;Inputs!$B$19,Inputs!$B$20=1)),I1664*Inputs!$C$11/C1664,0)</f>
        <v>40.2739726027397</v>
      </c>
    </row>
    <row r="1665" customFormat="false" ht="15" hidden="false" customHeight="false" outlineLevel="0" collapsed="false">
      <c r="A1665" s="35" t="n">
        <f aca="false">A1664+1</f>
        <v>46472</v>
      </c>
      <c r="B1665" s="35" t="n">
        <f aca="false">EOMONTH(A1665+1,0)</f>
        <v>46477</v>
      </c>
      <c r="C1665" s="36" t="n">
        <f aca="false">IF(MOD(YEAR(A1665),4)=0,366,365)</f>
        <v>365</v>
      </c>
      <c r="D1665" s="37" t="n">
        <f aca="false">Inputs!$B$9-SUMIFS(Cash_Events!$G$6:$G$20,Cash_Events!$C$6:$C$20,"rAGMF",Cash_Events!$B$6:$B$20,"&lt;="&amp;A1665)</f>
        <v>735000</v>
      </c>
      <c r="E1665" s="38" t="n">
        <f aca="false">VLOOKUP(A1665,Inputs!$A$40:$B$48,2,TRUE())</f>
        <v>0.0363225</v>
      </c>
      <c r="F1665" s="38" t="n">
        <f aca="false">E1665+Inputs!$B$10</f>
        <v>0.1038225</v>
      </c>
      <c r="G1665" s="37" t="n">
        <f aca="false">D1665*F1665/C1665</f>
        <v>209.067226027397</v>
      </c>
      <c r="H1665" s="37" t="n">
        <f aca="false">IF(AND(A1665&gt;=Inputs!$B$13,OR(A1665&lt;Inputs!$B$19,Inputs!$B$20=1)),D1665*Inputs!$B$11/C1665,0)</f>
        <v>40.2739726027397</v>
      </c>
      <c r="I1665" s="37" t="n">
        <f aca="false">Inputs!$C$9-SUMIFS(Cash_Events!$G$6:$G$20,Cash_Events!$C$6:$C$20,"FHL",Cash_Events!$B$6:$B$20,"&lt;="&amp;A1665)</f>
        <v>735000</v>
      </c>
      <c r="J1665" s="38" t="n">
        <f aca="false">VLOOKUP(A1665,Inputs!$F$40:$G$48,2,TRUE())</f>
        <v>0.0364054</v>
      </c>
      <c r="K1665" s="38" t="n">
        <f aca="false">J1665+Inputs!$C$10</f>
        <v>0.1039054</v>
      </c>
      <c r="L1665" s="37" t="n">
        <f aca="false">I1665*K1665/C1665</f>
        <v>209.234161643836</v>
      </c>
      <c r="M1665" s="37" t="n">
        <f aca="false">IF(AND(A1665&gt;=Inputs!$C$13,OR(A1665&lt;Inputs!$B$19,Inputs!$B$20=1)),I1665*Inputs!$C$11/C1665,0)</f>
        <v>40.2739726027397</v>
      </c>
    </row>
    <row r="1666" customFormat="false" ht="15" hidden="false" customHeight="false" outlineLevel="0" collapsed="false">
      <c r="A1666" s="35" t="n">
        <f aca="false">A1665+1</f>
        <v>46473</v>
      </c>
      <c r="B1666" s="35" t="n">
        <f aca="false">EOMONTH(A1666+1,0)</f>
        <v>46477</v>
      </c>
      <c r="C1666" s="36" t="n">
        <f aca="false">IF(MOD(YEAR(A1666),4)=0,366,365)</f>
        <v>365</v>
      </c>
      <c r="D1666" s="37" t="n">
        <f aca="false">Inputs!$B$9-SUMIFS(Cash_Events!$G$6:$G$20,Cash_Events!$C$6:$C$20,"rAGMF",Cash_Events!$B$6:$B$20,"&lt;="&amp;A1666)</f>
        <v>735000</v>
      </c>
      <c r="E1666" s="38" t="n">
        <f aca="false">VLOOKUP(A1666,Inputs!$A$40:$B$48,2,TRUE())</f>
        <v>0.0363225</v>
      </c>
      <c r="F1666" s="38" t="n">
        <f aca="false">E1666+Inputs!$B$10</f>
        <v>0.1038225</v>
      </c>
      <c r="G1666" s="37" t="n">
        <f aca="false">D1666*F1666/C1666</f>
        <v>209.067226027397</v>
      </c>
      <c r="H1666" s="37" t="n">
        <f aca="false">IF(AND(A1666&gt;=Inputs!$B$13,OR(A1666&lt;Inputs!$B$19,Inputs!$B$20=1)),D1666*Inputs!$B$11/C1666,0)</f>
        <v>40.2739726027397</v>
      </c>
      <c r="I1666" s="37" t="n">
        <f aca="false">Inputs!$C$9-SUMIFS(Cash_Events!$G$6:$G$20,Cash_Events!$C$6:$C$20,"FHL",Cash_Events!$B$6:$B$20,"&lt;="&amp;A1666)</f>
        <v>735000</v>
      </c>
      <c r="J1666" s="38" t="n">
        <f aca="false">VLOOKUP(A1666,Inputs!$F$40:$G$48,2,TRUE())</f>
        <v>0.0364054</v>
      </c>
      <c r="K1666" s="38" t="n">
        <f aca="false">J1666+Inputs!$C$10</f>
        <v>0.1039054</v>
      </c>
      <c r="L1666" s="37" t="n">
        <f aca="false">I1666*K1666/C1666</f>
        <v>209.234161643836</v>
      </c>
      <c r="M1666" s="37" t="n">
        <f aca="false">IF(AND(A1666&gt;=Inputs!$C$13,OR(A1666&lt;Inputs!$B$19,Inputs!$B$20=1)),I1666*Inputs!$C$11/C1666,0)</f>
        <v>40.2739726027397</v>
      </c>
    </row>
    <row r="1667" customFormat="false" ht="15" hidden="false" customHeight="false" outlineLevel="0" collapsed="false">
      <c r="A1667" s="35" t="n">
        <f aca="false">A1666+1</f>
        <v>46474</v>
      </c>
      <c r="B1667" s="35" t="n">
        <f aca="false">EOMONTH(A1667+1,0)</f>
        <v>46477</v>
      </c>
      <c r="C1667" s="36" t="n">
        <f aca="false">IF(MOD(YEAR(A1667),4)=0,366,365)</f>
        <v>365</v>
      </c>
      <c r="D1667" s="37" t="n">
        <f aca="false">Inputs!$B$9-SUMIFS(Cash_Events!$G$6:$G$20,Cash_Events!$C$6:$C$20,"rAGMF",Cash_Events!$B$6:$B$20,"&lt;="&amp;A1667)</f>
        <v>735000</v>
      </c>
      <c r="E1667" s="38" t="n">
        <f aca="false">VLOOKUP(A1667,Inputs!$A$40:$B$48,2,TRUE())</f>
        <v>0.0363225</v>
      </c>
      <c r="F1667" s="38" t="n">
        <f aca="false">E1667+Inputs!$B$10</f>
        <v>0.1038225</v>
      </c>
      <c r="G1667" s="37" t="n">
        <f aca="false">D1667*F1667/C1667</f>
        <v>209.067226027397</v>
      </c>
      <c r="H1667" s="37" t="n">
        <f aca="false">IF(AND(A1667&gt;=Inputs!$B$13,OR(A1667&lt;Inputs!$B$19,Inputs!$B$20=1)),D1667*Inputs!$B$11/C1667,0)</f>
        <v>40.2739726027397</v>
      </c>
      <c r="I1667" s="37" t="n">
        <f aca="false">Inputs!$C$9-SUMIFS(Cash_Events!$G$6:$G$20,Cash_Events!$C$6:$C$20,"FHL",Cash_Events!$B$6:$B$20,"&lt;="&amp;A1667)</f>
        <v>735000</v>
      </c>
      <c r="J1667" s="38" t="n">
        <f aca="false">VLOOKUP(A1667,Inputs!$F$40:$G$48,2,TRUE())</f>
        <v>0.0364054</v>
      </c>
      <c r="K1667" s="38" t="n">
        <f aca="false">J1667+Inputs!$C$10</f>
        <v>0.1039054</v>
      </c>
      <c r="L1667" s="37" t="n">
        <f aca="false">I1667*K1667/C1667</f>
        <v>209.234161643836</v>
      </c>
      <c r="M1667" s="37" t="n">
        <f aca="false">IF(AND(A1667&gt;=Inputs!$C$13,OR(A1667&lt;Inputs!$B$19,Inputs!$B$20=1)),I1667*Inputs!$C$11/C1667,0)</f>
        <v>40.2739726027397</v>
      </c>
    </row>
    <row r="1668" customFormat="false" ht="15" hidden="false" customHeight="false" outlineLevel="0" collapsed="false">
      <c r="A1668" s="35" t="n">
        <f aca="false">A1667+1</f>
        <v>46475</v>
      </c>
      <c r="B1668" s="35" t="n">
        <f aca="false">EOMONTH(A1668+1,0)</f>
        <v>46477</v>
      </c>
      <c r="C1668" s="36" t="n">
        <f aca="false">IF(MOD(YEAR(A1668),4)=0,366,365)</f>
        <v>365</v>
      </c>
      <c r="D1668" s="37" t="n">
        <f aca="false">Inputs!$B$9-SUMIFS(Cash_Events!$G$6:$G$20,Cash_Events!$C$6:$C$20,"rAGMF",Cash_Events!$B$6:$B$20,"&lt;="&amp;A1668)</f>
        <v>735000</v>
      </c>
      <c r="E1668" s="38" t="n">
        <f aca="false">VLOOKUP(A1668,Inputs!$A$40:$B$48,2,TRUE())</f>
        <v>0.0363225</v>
      </c>
      <c r="F1668" s="38" t="n">
        <f aca="false">E1668+Inputs!$B$10</f>
        <v>0.1038225</v>
      </c>
      <c r="G1668" s="37" t="n">
        <f aca="false">D1668*F1668/C1668</f>
        <v>209.067226027397</v>
      </c>
      <c r="H1668" s="37" t="n">
        <f aca="false">IF(AND(A1668&gt;=Inputs!$B$13,OR(A1668&lt;Inputs!$B$19,Inputs!$B$20=1)),D1668*Inputs!$B$11/C1668,0)</f>
        <v>40.2739726027397</v>
      </c>
      <c r="I1668" s="37" t="n">
        <f aca="false">Inputs!$C$9-SUMIFS(Cash_Events!$G$6:$G$20,Cash_Events!$C$6:$C$20,"FHL",Cash_Events!$B$6:$B$20,"&lt;="&amp;A1668)</f>
        <v>735000</v>
      </c>
      <c r="J1668" s="38" t="n">
        <f aca="false">VLOOKUP(A1668,Inputs!$F$40:$G$48,2,TRUE())</f>
        <v>0.0364054</v>
      </c>
      <c r="K1668" s="38" t="n">
        <f aca="false">J1668+Inputs!$C$10</f>
        <v>0.1039054</v>
      </c>
      <c r="L1668" s="37" t="n">
        <f aca="false">I1668*K1668/C1668</f>
        <v>209.234161643836</v>
      </c>
      <c r="M1668" s="37" t="n">
        <f aca="false">IF(AND(A1668&gt;=Inputs!$C$13,OR(A1668&lt;Inputs!$B$19,Inputs!$B$20=1)),I1668*Inputs!$C$11/C1668,0)</f>
        <v>40.2739726027397</v>
      </c>
    </row>
    <row r="1669" customFormat="false" ht="15" hidden="false" customHeight="false" outlineLevel="0" collapsed="false">
      <c r="A1669" s="35" t="n">
        <f aca="false">A1668+1</f>
        <v>46476</v>
      </c>
      <c r="B1669" s="35" t="n">
        <f aca="false">EOMONTH(A1669+1,0)</f>
        <v>46477</v>
      </c>
      <c r="C1669" s="36" t="n">
        <f aca="false">IF(MOD(YEAR(A1669),4)=0,366,365)</f>
        <v>365</v>
      </c>
      <c r="D1669" s="37" t="n">
        <f aca="false">Inputs!$B$9-SUMIFS(Cash_Events!$G$6:$G$20,Cash_Events!$C$6:$C$20,"rAGMF",Cash_Events!$B$6:$B$20,"&lt;="&amp;A1669)</f>
        <v>735000</v>
      </c>
      <c r="E1669" s="38" t="n">
        <f aca="false">VLOOKUP(A1669,Inputs!$A$40:$B$48,2,TRUE())</f>
        <v>0.0363225</v>
      </c>
      <c r="F1669" s="38" t="n">
        <f aca="false">E1669+Inputs!$B$10</f>
        <v>0.1038225</v>
      </c>
      <c r="G1669" s="37" t="n">
        <f aca="false">D1669*F1669/C1669</f>
        <v>209.067226027397</v>
      </c>
      <c r="H1669" s="37" t="n">
        <f aca="false">IF(AND(A1669&gt;=Inputs!$B$13,OR(A1669&lt;Inputs!$B$19,Inputs!$B$20=1)),D1669*Inputs!$B$11/C1669,0)</f>
        <v>40.2739726027397</v>
      </c>
      <c r="I1669" s="37" t="n">
        <f aca="false">Inputs!$C$9-SUMIFS(Cash_Events!$G$6:$G$20,Cash_Events!$C$6:$C$20,"FHL",Cash_Events!$B$6:$B$20,"&lt;="&amp;A1669)</f>
        <v>735000</v>
      </c>
      <c r="J1669" s="38" t="n">
        <f aca="false">VLOOKUP(A1669,Inputs!$F$40:$G$48,2,TRUE())</f>
        <v>0.0364054</v>
      </c>
      <c r="K1669" s="38" t="n">
        <f aca="false">J1669+Inputs!$C$10</f>
        <v>0.1039054</v>
      </c>
      <c r="L1669" s="37" t="n">
        <f aca="false">I1669*K1669/C1669</f>
        <v>209.234161643836</v>
      </c>
      <c r="M1669" s="37" t="n">
        <f aca="false">IF(AND(A1669&gt;=Inputs!$C$13,OR(A1669&lt;Inputs!$B$19,Inputs!$B$20=1)),I1669*Inputs!$C$11/C1669,0)</f>
        <v>40.2739726027397</v>
      </c>
    </row>
    <row r="1670" customFormat="false" ht="15" hidden="false" customHeight="false" outlineLevel="0" collapsed="false">
      <c r="A1670" s="35" t="n">
        <f aca="false">A1669+1</f>
        <v>46477</v>
      </c>
      <c r="B1670" s="35" t="n">
        <f aca="false">EOMONTH(A1670+1,0)</f>
        <v>46507</v>
      </c>
      <c r="C1670" s="36" t="n">
        <f aca="false">IF(MOD(YEAR(A1670),4)=0,366,365)</f>
        <v>365</v>
      </c>
      <c r="D1670" s="37" t="n">
        <f aca="false">Inputs!$B$9-SUMIFS(Cash_Events!$G$6:$G$20,Cash_Events!$C$6:$C$20,"rAGMF",Cash_Events!$B$6:$B$20,"&lt;="&amp;A1670)</f>
        <v>735000</v>
      </c>
      <c r="E1670" s="38" t="n">
        <f aca="false">VLOOKUP(A1670,Inputs!$A$40:$B$48,2,TRUE())</f>
        <v>0.0363225</v>
      </c>
      <c r="F1670" s="38" t="n">
        <f aca="false">E1670+Inputs!$B$10</f>
        <v>0.1038225</v>
      </c>
      <c r="G1670" s="37" t="n">
        <f aca="false">D1670*F1670/C1670</f>
        <v>209.067226027397</v>
      </c>
      <c r="H1670" s="37" t="n">
        <f aca="false">IF(AND(A1670&gt;=Inputs!$B$13,OR(A1670&lt;Inputs!$B$19,Inputs!$B$20=1)),D1670*Inputs!$B$11/C1670,0)</f>
        <v>40.2739726027397</v>
      </c>
      <c r="I1670" s="37" t="n">
        <f aca="false">Inputs!$C$9-SUMIFS(Cash_Events!$G$6:$G$20,Cash_Events!$C$6:$C$20,"FHL",Cash_Events!$B$6:$B$20,"&lt;="&amp;A1670)</f>
        <v>735000</v>
      </c>
      <c r="J1670" s="38" t="n">
        <f aca="false">VLOOKUP(A1670,Inputs!$F$40:$G$48,2,TRUE())</f>
        <v>0.0364054</v>
      </c>
      <c r="K1670" s="38" t="n">
        <f aca="false">J1670+Inputs!$C$10</f>
        <v>0.1039054</v>
      </c>
      <c r="L1670" s="37" t="n">
        <f aca="false">I1670*K1670/C1670</f>
        <v>209.234161643836</v>
      </c>
      <c r="M1670" s="37" t="n">
        <f aca="false">IF(AND(A1670&gt;=Inputs!$C$13,OR(A1670&lt;Inputs!$B$19,Inputs!$B$20=1)),I1670*Inputs!$C$11/C1670,0)</f>
        <v>40.2739726027397</v>
      </c>
    </row>
    <row r="1671" customFormat="false" ht="15" hidden="false" customHeight="false" outlineLevel="0" collapsed="false">
      <c r="A1671" s="35" t="n">
        <f aca="false">A1670+1</f>
        <v>46478</v>
      </c>
      <c r="B1671" s="35" t="n">
        <f aca="false">EOMONTH(A1671+1,0)</f>
        <v>46507</v>
      </c>
      <c r="C1671" s="36" t="n">
        <f aca="false">IF(MOD(YEAR(A1671),4)=0,366,365)</f>
        <v>365</v>
      </c>
      <c r="D1671" s="37" t="n">
        <f aca="false">Inputs!$B$9-SUMIFS(Cash_Events!$G$6:$G$20,Cash_Events!$C$6:$C$20,"rAGMF",Cash_Events!$B$6:$B$20,"&lt;="&amp;A1671)</f>
        <v>735000</v>
      </c>
      <c r="E1671" s="38" t="n">
        <f aca="false">VLOOKUP(A1671,Inputs!$A$40:$B$48,2,TRUE())</f>
        <v>0.0363225</v>
      </c>
      <c r="F1671" s="38" t="n">
        <f aca="false">E1671+Inputs!$B$10</f>
        <v>0.1038225</v>
      </c>
      <c r="G1671" s="37" t="n">
        <f aca="false">D1671*F1671/C1671</f>
        <v>209.067226027397</v>
      </c>
      <c r="H1671" s="37" t="n">
        <f aca="false">IF(AND(A1671&gt;=Inputs!$B$13,OR(A1671&lt;Inputs!$B$19,Inputs!$B$20=1)),D1671*Inputs!$B$11/C1671,0)</f>
        <v>40.2739726027397</v>
      </c>
      <c r="I1671" s="37" t="n">
        <f aca="false">Inputs!$C$9-SUMIFS(Cash_Events!$G$6:$G$20,Cash_Events!$C$6:$C$20,"FHL",Cash_Events!$B$6:$B$20,"&lt;="&amp;A1671)</f>
        <v>735000</v>
      </c>
      <c r="J1671" s="38" t="n">
        <f aca="false">VLOOKUP(A1671,Inputs!$F$40:$G$48,2,TRUE())</f>
        <v>0.0364054</v>
      </c>
      <c r="K1671" s="38" t="n">
        <f aca="false">J1671+Inputs!$C$10</f>
        <v>0.1039054</v>
      </c>
      <c r="L1671" s="37" t="n">
        <f aca="false">I1671*K1671/C1671</f>
        <v>209.234161643836</v>
      </c>
      <c r="M1671" s="37" t="n">
        <f aca="false">IF(AND(A1671&gt;=Inputs!$C$13,OR(A1671&lt;Inputs!$B$19,Inputs!$B$20=1)),I1671*Inputs!$C$11/C1671,0)</f>
        <v>40.2739726027397</v>
      </c>
    </row>
    <row r="1672" customFormat="false" ht="15" hidden="false" customHeight="false" outlineLevel="0" collapsed="false">
      <c r="A1672" s="35" t="n">
        <f aca="false">A1671+1</f>
        <v>46479</v>
      </c>
      <c r="B1672" s="35" t="n">
        <f aca="false">EOMONTH(A1672+1,0)</f>
        <v>46507</v>
      </c>
      <c r="C1672" s="36" t="n">
        <f aca="false">IF(MOD(YEAR(A1672),4)=0,366,365)</f>
        <v>365</v>
      </c>
      <c r="D1672" s="37" t="n">
        <f aca="false">Inputs!$B$9-SUMIFS(Cash_Events!$G$6:$G$20,Cash_Events!$C$6:$C$20,"rAGMF",Cash_Events!$B$6:$B$20,"&lt;="&amp;A1672)</f>
        <v>735000</v>
      </c>
      <c r="E1672" s="38" t="n">
        <f aca="false">VLOOKUP(A1672,Inputs!$A$40:$B$48,2,TRUE())</f>
        <v>0.0363225</v>
      </c>
      <c r="F1672" s="38" t="n">
        <f aca="false">E1672+Inputs!$B$10</f>
        <v>0.1038225</v>
      </c>
      <c r="G1672" s="37" t="n">
        <f aca="false">D1672*F1672/C1672</f>
        <v>209.067226027397</v>
      </c>
      <c r="H1672" s="37" t="n">
        <f aca="false">IF(AND(A1672&gt;=Inputs!$B$13,OR(A1672&lt;Inputs!$B$19,Inputs!$B$20=1)),D1672*Inputs!$B$11/C1672,0)</f>
        <v>40.2739726027397</v>
      </c>
      <c r="I1672" s="37" t="n">
        <f aca="false">Inputs!$C$9-SUMIFS(Cash_Events!$G$6:$G$20,Cash_Events!$C$6:$C$20,"FHL",Cash_Events!$B$6:$B$20,"&lt;="&amp;A1672)</f>
        <v>735000</v>
      </c>
      <c r="J1672" s="38" t="n">
        <f aca="false">VLOOKUP(A1672,Inputs!$F$40:$G$48,2,TRUE())</f>
        <v>0.0364054</v>
      </c>
      <c r="K1672" s="38" t="n">
        <f aca="false">J1672+Inputs!$C$10</f>
        <v>0.1039054</v>
      </c>
      <c r="L1672" s="37" t="n">
        <f aca="false">I1672*K1672/C1672</f>
        <v>209.234161643836</v>
      </c>
      <c r="M1672" s="37" t="n">
        <f aca="false">IF(AND(A1672&gt;=Inputs!$C$13,OR(A1672&lt;Inputs!$B$19,Inputs!$B$20=1)),I1672*Inputs!$C$11/C1672,0)</f>
        <v>40.2739726027397</v>
      </c>
    </row>
    <row r="1673" customFormat="false" ht="15" hidden="false" customHeight="false" outlineLevel="0" collapsed="false">
      <c r="A1673" s="35" t="n">
        <f aca="false">A1672+1</f>
        <v>46480</v>
      </c>
      <c r="B1673" s="35" t="n">
        <f aca="false">EOMONTH(A1673+1,0)</f>
        <v>46507</v>
      </c>
      <c r="C1673" s="36" t="n">
        <f aca="false">IF(MOD(YEAR(A1673),4)=0,366,365)</f>
        <v>365</v>
      </c>
      <c r="D1673" s="37" t="n">
        <f aca="false">Inputs!$B$9-SUMIFS(Cash_Events!$G$6:$G$20,Cash_Events!$C$6:$C$20,"rAGMF",Cash_Events!$B$6:$B$20,"&lt;="&amp;A1673)</f>
        <v>735000</v>
      </c>
      <c r="E1673" s="38" t="n">
        <f aca="false">VLOOKUP(A1673,Inputs!$A$40:$B$48,2,TRUE())</f>
        <v>0.0363225</v>
      </c>
      <c r="F1673" s="38" t="n">
        <f aca="false">E1673+Inputs!$B$10</f>
        <v>0.1038225</v>
      </c>
      <c r="G1673" s="37" t="n">
        <f aca="false">D1673*F1673/C1673</f>
        <v>209.067226027397</v>
      </c>
      <c r="H1673" s="37" t="n">
        <f aca="false">IF(AND(A1673&gt;=Inputs!$B$13,OR(A1673&lt;Inputs!$B$19,Inputs!$B$20=1)),D1673*Inputs!$B$11/C1673,0)</f>
        <v>40.2739726027397</v>
      </c>
      <c r="I1673" s="37" t="n">
        <f aca="false">Inputs!$C$9-SUMIFS(Cash_Events!$G$6:$G$20,Cash_Events!$C$6:$C$20,"FHL",Cash_Events!$B$6:$B$20,"&lt;="&amp;A1673)</f>
        <v>735000</v>
      </c>
      <c r="J1673" s="38" t="n">
        <f aca="false">VLOOKUP(A1673,Inputs!$F$40:$G$48,2,TRUE())</f>
        <v>0.0364054</v>
      </c>
      <c r="K1673" s="38" t="n">
        <f aca="false">J1673+Inputs!$C$10</f>
        <v>0.1039054</v>
      </c>
      <c r="L1673" s="37" t="n">
        <f aca="false">I1673*K1673/C1673</f>
        <v>209.234161643836</v>
      </c>
      <c r="M1673" s="37" t="n">
        <f aca="false">IF(AND(A1673&gt;=Inputs!$C$13,OR(A1673&lt;Inputs!$B$19,Inputs!$B$20=1)),I1673*Inputs!$C$11/C1673,0)</f>
        <v>40.2739726027397</v>
      </c>
    </row>
    <row r="1674" customFormat="false" ht="15" hidden="false" customHeight="false" outlineLevel="0" collapsed="false">
      <c r="A1674" s="35" t="n">
        <f aca="false">A1673+1</f>
        <v>46481</v>
      </c>
      <c r="B1674" s="35" t="n">
        <f aca="false">EOMONTH(A1674+1,0)</f>
        <v>46507</v>
      </c>
      <c r="C1674" s="36" t="n">
        <f aca="false">IF(MOD(YEAR(A1674),4)=0,366,365)</f>
        <v>365</v>
      </c>
      <c r="D1674" s="37" t="n">
        <f aca="false">Inputs!$B$9-SUMIFS(Cash_Events!$G$6:$G$20,Cash_Events!$C$6:$C$20,"rAGMF",Cash_Events!$B$6:$B$20,"&lt;="&amp;A1674)</f>
        <v>735000</v>
      </c>
      <c r="E1674" s="38" t="n">
        <f aca="false">VLOOKUP(A1674,Inputs!$A$40:$B$48,2,TRUE())</f>
        <v>0.0363225</v>
      </c>
      <c r="F1674" s="38" t="n">
        <f aca="false">E1674+Inputs!$B$10</f>
        <v>0.1038225</v>
      </c>
      <c r="G1674" s="37" t="n">
        <f aca="false">D1674*F1674/C1674</f>
        <v>209.067226027397</v>
      </c>
      <c r="H1674" s="37" t="n">
        <f aca="false">IF(AND(A1674&gt;=Inputs!$B$13,OR(A1674&lt;Inputs!$B$19,Inputs!$B$20=1)),D1674*Inputs!$B$11/C1674,0)</f>
        <v>40.2739726027397</v>
      </c>
      <c r="I1674" s="37" t="n">
        <f aca="false">Inputs!$C$9-SUMIFS(Cash_Events!$G$6:$G$20,Cash_Events!$C$6:$C$20,"FHL",Cash_Events!$B$6:$B$20,"&lt;="&amp;A1674)</f>
        <v>735000</v>
      </c>
      <c r="J1674" s="38" t="n">
        <f aca="false">VLOOKUP(A1674,Inputs!$F$40:$G$48,2,TRUE())</f>
        <v>0.0364054</v>
      </c>
      <c r="K1674" s="38" t="n">
        <f aca="false">J1674+Inputs!$C$10</f>
        <v>0.1039054</v>
      </c>
      <c r="L1674" s="37" t="n">
        <f aca="false">I1674*K1674/C1674</f>
        <v>209.234161643836</v>
      </c>
      <c r="M1674" s="37" t="n">
        <f aca="false">IF(AND(A1674&gt;=Inputs!$C$13,OR(A1674&lt;Inputs!$B$19,Inputs!$B$20=1)),I1674*Inputs!$C$11/C1674,0)</f>
        <v>40.2739726027397</v>
      </c>
    </row>
    <row r="1675" customFormat="false" ht="15" hidden="false" customHeight="false" outlineLevel="0" collapsed="false">
      <c r="A1675" s="35" t="n">
        <f aca="false">A1674+1</f>
        <v>46482</v>
      </c>
      <c r="B1675" s="35" t="n">
        <f aca="false">EOMONTH(A1675+1,0)</f>
        <v>46507</v>
      </c>
      <c r="C1675" s="36" t="n">
        <f aca="false">IF(MOD(YEAR(A1675),4)=0,366,365)</f>
        <v>365</v>
      </c>
      <c r="D1675" s="37" t="n">
        <f aca="false">Inputs!$B$9-SUMIFS(Cash_Events!$G$6:$G$20,Cash_Events!$C$6:$C$20,"rAGMF",Cash_Events!$B$6:$B$20,"&lt;="&amp;A1675)</f>
        <v>735000</v>
      </c>
      <c r="E1675" s="38" t="n">
        <f aca="false">VLOOKUP(A1675,Inputs!$A$40:$B$48,2,TRUE())</f>
        <v>0.0363225</v>
      </c>
      <c r="F1675" s="38" t="n">
        <f aca="false">E1675+Inputs!$B$10</f>
        <v>0.1038225</v>
      </c>
      <c r="G1675" s="37" t="n">
        <f aca="false">D1675*F1675/C1675</f>
        <v>209.067226027397</v>
      </c>
      <c r="H1675" s="37" t="n">
        <f aca="false">IF(AND(A1675&gt;=Inputs!$B$13,OR(A1675&lt;Inputs!$B$19,Inputs!$B$20=1)),D1675*Inputs!$B$11/C1675,0)</f>
        <v>40.2739726027397</v>
      </c>
      <c r="I1675" s="37" t="n">
        <f aca="false">Inputs!$C$9-SUMIFS(Cash_Events!$G$6:$G$20,Cash_Events!$C$6:$C$20,"FHL",Cash_Events!$B$6:$B$20,"&lt;="&amp;A1675)</f>
        <v>735000</v>
      </c>
      <c r="J1675" s="38" t="n">
        <f aca="false">VLOOKUP(A1675,Inputs!$F$40:$G$48,2,TRUE())</f>
        <v>0.0364054</v>
      </c>
      <c r="K1675" s="38" t="n">
        <f aca="false">J1675+Inputs!$C$10</f>
        <v>0.1039054</v>
      </c>
      <c r="L1675" s="37" t="n">
        <f aca="false">I1675*K1675/C1675</f>
        <v>209.234161643836</v>
      </c>
      <c r="M1675" s="37" t="n">
        <f aca="false">IF(AND(A1675&gt;=Inputs!$C$13,OR(A1675&lt;Inputs!$B$19,Inputs!$B$20=1)),I1675*Inputs!$C$11/C1675,0)</f>
        <v>40.2739726027397</v>
      </c>
    </row>
    <row r="1676" customFormat="false" ht="15" hidden="false" customHeight="false" outlineLevel="0" collapsed="false">
      <c r="A1676" s="35" t="n">
        <f aca="false">A1675+1</f>
        <v>46483</v>
      </c>
      <c r="B1676" s="35" t="n">
        <f aca="false">EOMONTH(A1676+1,0)</f>
        <v>46507</v>
      </c>
      <c r="C1676" s="36" t="n">
        <f aca="false">IF(MOD(YEAR(A1676),4)=0,366,365)</f>
        <v>365</v>
      </c>
      <c r="D1676" s="37" t="n">
        <f aca="false">Inputs!$B$9-SUMIFS(Cash_Events!$G$6:$G$20,Cash_Events!$C$6:$C$20,"rAGMF",Cash_Events!$B$6:$B$20,"&lt;="&amp;A1676)</f>
        <v>735000</v>
      </c>
      <c r="E1676" s="38" t="n">
        <f aca="false">VLOOKUP(A1676,Inputs!$A$40:$B$48,2,TRUE())</f>
        <v>0.0363225</v>
      </c>
      <c r="F1676" s="38" t="n">
        <f aca="false">E1676+Inputs!$B$10</f>
        <v>0.1038225</v>
      </c>
      <c r="G1676" s="37" t="n">
        <f aca="false">D1676*F1676/C1676</f>
        <v>209.067226027397</v>
      </c>
      <c r="H1676" s="37" t="n">
        <f aca="false">IF(AND(A1676&gt;=Inputs!$B$13,OR(A1676&lt;Inputs!$B$19,Inputs!$B$20=1)),D1676*Inputs!$B$11/C1676,0)</f>
        <v>40.2739726027397</v>
      </c>
      <c r="I1676" s="37" t="n">
        <f aca="false">Inputs!$C$9-SUMIFS(Cash_Events!$G$6:$G$20,Cash_Events!$C$6:$C$20,"FHL",Cash_Events!$B$6:$B$20,"&lt;="&amp;A1676)</f>
        <v>735000</v>
      </c>
      <c r="J1676" s="38" t="n">
        <f aca="false">VLOOKUP(A1676,Inputs!$F$40:$G$48,2,TRUE())</f>
        <v>0.0364054</v>
      </c>
      <c r="K1676" s="38" t="n">
        <f aca="false">J1676+Inputs!$C$10</f>
        <v>0.1039054</v>
      </c>
      <c r="L1676" s="37" t="n">
        <f aca="false">I1676*K1676/C1676</f>
        <v>209.234161643836</v>
      </c>
      <c r="M1676" s="37" t="n">
        <f aca="false">IF(AND(A1676&gt;=Inputs!$C$13,OR(A1676&lt;Inputs!$B$19,Inputs!$B$20=1)),I1676*Inputs!$C$11/C1676,0)</f>
        <v>40.2739726027397</v>
      </c>
    </row>
    <row r="1677" customFormat="false" ht="15" hidden="false" customHeight="false" outlineLevel="0" collapsed="false">
      <c r="A1677" s="35" t="n">
        <f aca="false">A1676+1</f>
        <v>46484</v>
      </c>
      <c r="B1677" s="35" t="n">
        <f aca="false">EOMONTH(A1677+1,0)</f>
        <v>46507</v>
      </c>
      <c r="C1677" s="36" t="n">
        <f aca="false">IF(MOD(YEAR(A1677),4)=0,366,365)</f>
        <v>365</v>
      </c>
      <c r="D1677" s="37" t="n">
        <f aca="false">Inputs!$B$9-SUMIFS(Cash_Events!$G$6:$G$20,Cash_Events!$C$6:$C$20,"rAGMF",Cash_Events!$B$6:$B$20,"&lt;="&amp;A1677)</f>
        <v>735000</v>
      </c>
      <c r="E1677" s="38" t="n">
        <f aca="false">VLOOKUP(A1677,Inputs!$A$40:$B$48,2,TRUE())</f>
        <v>0.0363225</v>
      </c>
      <c r="F1677" s="38" t="n">
        <f aca="false">E1677+Inputs!$B$10</f>
        <v>0.1038225</v>
      </c>
      <c r="G1677" s="37" t="n">
        <f aca="false">D1677*F1677/C1677</f>
        <v>209.067226027397</v>
      </c>
      <c r="H1677" s="37" t="n">
        <f aca="false">IF(AND(A1677&gt;=Inputs!$B$13,OR(A1677&lt;Inputs!$B$19,Inputs!$B$20=1)),D1677*Inputs!$B$11/C1677,0)</f>
        <v>40.2739726027397</v>
      </c>
      <c r="I1677" s="37" t="n">
        <f aca="false">Inputs!$C$9-SUMIFS(Cash_Events!$G$6:$G$20,Cash_Events!$C$6:$C$20,"FHL",Cash_Events!$B$6:$B$20,"&lt;="&amp;A1677)</f>
        <v>735000</v>
      </c>
      <c r="J1677" s="38" t="n">
        <f aca="false">VLOOKUP(A1677,Inputs!$F$40:$G$48,2,TRUE())</f>
        <v>0.0364054</v>
      </c>
      <c r="K1677" s="38" t="n">
        <f aca="false">J1677+Inputs!$C$10</f>
        <v>0.1039054</v>
      </c>
      <c r="L1677" s="37" t="n">
        <f aca="false">I1677*K1677/C1677</f>
        <v>209.234161643836</v>
      </c>
      <c r="M1677" s="37" t="n">
        <f aca="false">IF(AND(A1677&gt;=Inputs!$C$13,OR(A1677&lt;Inputs!$B$19,Inputs!$B$20=1)),I1677*Inputs!$C$11/C1677,0)</f>
        <v>40.2739726027397</v>
      </c>
    </row>
    <row r="1678" customFormat="false" ht="15" hidden="false" customHeight="false" outlineLevel="0" collapsed="false">
      <c r="A1678" s="35" t="n">
        <f aca="false">A1677+1</f>
        <v>46485</v>
      </c>
      <c r="B1678" s="35" t="n">
        <f aca="false">EOMONTH(A1678+1,0)</f>
        <v>46507</v>
      </c>
      <c r="C1678" s="36" t="n">
        <f aca="false">IF(MOD(YEAR(A1678),4)=0,366,365)</f>
        <v>365</v>
      </c>
      <c r="D1678" s="37" t="n">
        <f aca="false">Inputs!$B$9-SUMIFS(Cash_Events!$G$6:$G$20,Cash_Events!$C$6:$C$20,"rAGMF",Cash_Events!$B$6:$B$20,"&lt;="&amp;A1678)</f>
        <v>735000</v>
      </c>
      <c r="E1678" s="38" t="n">
        <f aca="false">VLOOKUP(A1678,Inputs!$A$40:$B$48,2,TRUE())</f>
        <v>0.0363225</v>
      </c>
      <c r="F1678" s="38" t="n">
        <f aca="false">E1678+Inputs!$B$10</f>
        <v>0.1038225</v>
      </c>
      <c r="G1678" s="37" t="n">
        <f aca="false">D1678*F1678/C1678</f>
        <v>209.067226027397</v>
      </c>
      <c r="H1678" s="37" t="n">
        <f aca="false">IF(AND(A1678&gt;=Inputs!$B$13,OR(A1678&lt;Inputs!$B$19,Inputs!$B$20=1)),D1678*Inputs!$B$11/C1678,0)</f>
        <v>40.2739726027397</v>
      </c>
      <c r="I1678" s="37" t="n">
        <f aca="false">Inputs!$C$9-SUMIFS(Cash_Events!$G$6:$G$20,Cash_Events!$C$6:$C$20,"FHL",Cash_Events!$B$6:$B$20,"&lt;="&amp;A1678)</f>
        <v>735000</v>
      </c>
      <c r="J1678" s="38" t="n">
        <f aca="false">VLOOKUP(A1678,Inputs!$F$40:$G$48,2,TRUE())</f>
        <v>0.0364054</v>
      </c>
      <c r="K1678" s="38" t="n">
        <f aca="false">J1678+Inputs!$C$10</f>
        <v>0.1039054</v>
      </c>
      <c r="L1678" s="37" t="n">
        <f aca="false">I1678*K1678/C1678</f>
        <v>209.234161643836</v>
      </c>
      <c r="M1678" s="37" t="n">
        <f aca="false">IF(AND(A1678&gt;=Inputs!$C$13,OR(A1678&lt;Inputs!$B$19,Inputs!$B$20=1)),I1678*Inputs!$C$11/C1678,0)</f>
        <v>40.2739726027397</v>
      </c>
    </row>
    <row r="1679" customFormat="false" ht="15" hidden="false" customHeight="false" outlineLevel="0" collapsed="false">
      <c r="A1679" s="35" t="n">
        <f aca="false">A1678+1</f>
        <v>46486</v>
      </c>
      <c r="B1679" s="35" t="n">
        <f aca="false">EOMONTH(A1679+1,0)</f>
        <v>46507</v>
      </c>
      <c r="C1679" s="36" t="n">
        <f aca="false">IF(MOD(YEAR(A1679),4)=0,366,365)</f>
        <v>365</v>
      </c>
      <c r="D1679" s="37" t="n">
        <f aca="false">Inputs!$B$9-SUMIFS(Cash_Events!$G$6:$G$20,Cash_Events!$C$6:$C$20,"rAGMF",Cash_Events!$B$6:$B$20,"&lt;="&amp;A1679)</f>
        <v>735000</v>
      </c>
      <c r="E1679" s="38" t="n">
        <f aca="false">VLOOKUP(A1679,Inputs!$A$40:$B$48,2,TRUE())</f>
        <v>0.0363225</v>
      </c>
      <c r="F1679" s="38" t="n">
        <f aca="false">E1679+Inputs!$B$10</f>
        <v>0.1038225</v>
      </c>
      <c r="G1679" s="37" t="n">
        <f aca="false">D1679*F1679/C1679</f>
        <v>209.067226027397</v>
      </c>
      <c r="H1679" s="37" t="n">
        <f aca="false">IF(AND(A1679&gt;=Inputs!$B$13,OR(A1679&lt;Inputs!$B$19,Inputs!$B$20=1)),D1679*Inputs!$B$11/C1679,0)</f>
        <v>40.2739726027397</v>
      </c>
      <c r="I1679" s="37" t="n">
        <f aca="false">Inputs!$C$9-SUMIFS(Cash_Events!$G$6:$G$20,Cash_Events!$C$6:$C$20,"FHL",Cash_Events!$B$6:$B$20,"&lt;="&amp;A1679)</f>
        <v>735000</v>
      </c>
      <c r="J1679" s="38" t="n">
        <f aca="false">VLOOKUP(A1679,Inputs!$F$40:$G$48,2,TRUE())</f>
        <v>0.0364054</v>
      </c>
      <c r="K1679" s="38" t="n">
        <f aca="false">J1679+Inputs!$C$10</f>
        <v>0.1039054</v>
      </c>
      <c r="L1679" s="37" t="n">
        <f aca="false">I1679*K1679/C1679</f>
        <v>209.234161643836</v>
      </c>
      <c r="M1679" s="37" t="n">
        <f aca="false">IF(AND(A1679&gt;=Inputs!$C$13,OR(A1679&lt;Inputs!$B$19,Inputs!$B$20=1)),I1679*Inputs!$C$11/C1679,0)</f>
        <v>40.2739726027397</v>
      </c>
    </row>
    <row r="1680" customFormat="false" ht="15" hidden="false" customHeight="false" outlineLevel="0" collapsed="false">
      <c r="A1680" s="35" t="n">
        <f aca="false">A1679+1</f>
        <v>46487</v>
      </c>
      <c r="B1680" s="35" t="n">
        <f aca="false">EOMONTH(A1680+1,0)</f>
        <v>46507</v>
      </c>
      <c r="C1680" s="36" t="n">
        <f aca="false">IF(MOD(YEAR(A1680),4)=0,366,365)</f>
        <v>365</v>
      </c>
      <c r="D1680" s="37" t="n">
        <f aca="false">Inputs!$B$9-SUMIFS(Cash_Events!$G$6:$G$20,Cash_Events!$C$6:$C$20,"rAGMF",Cash_Events!$B$6:$B$20,"&lt;="&amp;A1680)</f>
        <v>735000</v>
      </c>
      <c r="E1680" s="38" t="n">
        <f aca="false">VLOOKUP(A1680,Inputs!$A$40:$B$48,2,TRUE())</f>
        <v>0.0363225</v>
      </c>
      <c r="F1680" s="38" t="n">
        <f aca="false">E1680+Inputs!$B$10</f>
        <v>0.1038225</v>
      </c>
      <c r="G1680" s="37" t="n">
        <f aca="false">D1680*F1680/C1680</f>
        <v>209.067226027397</v>
      </c>
      <c r="H1680" s="37" t="n">
        <f aca="false">IF(AND(A1680&gt;=Inputs!$B$13,OR(A1680&lt;Inputs!$B$19,Inputs!$B$20=1)),D1680*Inputs!$B$11/C1680,0)</f>
        <v>40.2739726027397</v>
      </c>
      <c r="I1680" s="37" t="n">
        <f aca="false">Inputs!$C$9-SUMIFS(Cash_Events!$G$6:$G$20,Cash_Events!$C$6:$C$20,"FHL",Cash_Events!$B$6:$B$20,"&lt;="&amp;A1680)</f>
        <v>735000</v>
      </c>
      <c r="J1680" s="38" t="n">
        <f aca="false">VLOOKUP(A1680,Inputs!$F$40:$G$48,2,TRUE())</f>
        <v>0.0364054</v>
      </c>
      <c r="K1680" s="38" t="n">
        <f aca="false">J1680+Inputs!$C$10</f>
        <v>0.1039054</v>
      </c>
      <c r="L1680" s="37" t="n">
        <f aca="false">I1680*K1680/C1680</f>
        <v>209.234161643836</v>
      </c>
      <c r="M1680" s="37" t="n">
        <f aca="false">IF(AND(A1680&gt;=Inputs!$C$13,OR(A1680&lt;Inputs!$B$19,Inputs!$B$20=1)),I1680*Inputs!$C$11/C1680,0)</f>
        <v>40.2739726027397</v>
      </c>
    </row>
    <row r="1681" customFormat="false" ht="15" hidden="false" customHeight="false" outlineLevel="0" collapsed="false">
      <c r="A1681" s="35" t="n">
        <f aca="false">A1680+1</f>
        <v>46488</v>
      </c>
      <c r="B1681" s="35" t="n">
        <f aca="false">EOMONTH(A1681+1,0)</f>
        <v>46507</v>
      </c>
      <c r="C1681" s="36" t="n">
        <f aca="false">IF(MOD(YEAR(A1681),4)=0,366,365)</f>
        <v>365</v>
      </c>
      <c r="D1681" s="37" t="n">
        <f aca="false">Inputs!$B$9-SUMIFS(Cash_Events!$G$6:$G$20,Cash_Events!$C$6:$C$20,"rAGMF",Cash_Events!$B$6:$B$20,"&lt;="&amp;A1681)</f>
        <v>735000</v>
      </c>
      <c r="E1681" s="38" t="n">
        <f aca="false">VLOOKUP(A1681,Inputs!$A$40:$B$48,2,TRUE())</f>
        <v>0.0363225</v>
      </c>
      <c r="F1681" s="38" t="n">
        <f aca="false">E1681+Inputs!$B$10</f>
        <v>0.1038225</v>
      </c>
      <c r="G1681" s="37" t="n">
        <f aca="false">D1681*F1681/C1681</f>
        <v>209.067226027397</v>
      </c>
      <c r="H1681" s="37" t="n">
        <f aca="false">IF(AND(A1681&gt;=Inputs!$B$13,OR(A1681&lt;Inputs!$B$19,Inputs!$B$20=1)),D1681*Inputs!$B$11/C1681,0)</f>
        <v>40.2739726027397</v>
      </c>
      <c r="I1681" s="37" t="n">
        <f aca="false">Inputs!$C$9-SUMIFS(Cash_Events!$G$6:$G$20,Cash_Events!$C$6:$C$20,"FHL",Cash_Events!$B$6:$B$20,"&lt;="&amp;A1681)</f>
        <v>735000</v>
      </c>
      <c r="J1681" s="38" t="n">
        <f aca="false">VLOOKUP(A1681,Inputs!$F$40:$G$48,2,TRUE())</f>
        <v>0.0364054</v>
      </c>
      <c r="K1681" s="38" t="n">
        <f aca="false">J1681+Inputs!$C$10</f>
        <v>0.1039054</v>
      </c>
      <c r="L1681" s="37" t="n">
        <f aca="false">I1681*K1681/C1681</f>
        <v>209.234161643836</v>
      </c>
      <c r="M1681" s="37" t="n">
        <f aca="false">IF(AND(A1681&gt;=Inputs!$C$13,OR(A1681&lt;Inputs!$B$19,Inputs!$B$20=1)),I1681*Inputs!$C$11/C1681,0)</f>
        <v>40.2739726027397</v>
      </c>
    </row>
    <row r="1682" customFormat="false" ht="15" hidden="false" customHeight="false" outlineLevel="0" collapsed="false">
      <c r="A1682" s="35" t="n">
        <f aca="false">A1681+1</f>
        <v>46489</v>
      </c>
      <c r="B1682" s="35" t="n">
        <f aca="false">EOMONTH(A1682+1,0)</f>
        <v>46507</v>
      </c>
      <c r="C1682" s="36" t="n">
        <f aca="false">IF(MOD(YEAR(A1682),4)=0,366,365)</f>
        <v>365</v>
      </c>
      <c r="D1682" s="37" t="n">
        <f aca="false">Inputs!$B$9-SUMIFS(Cash_Events!$G$6:$G$20,Cash_Events!$C$6:$C$20,"rAGMF",Cash_Events!$B$6:$B$20,"&lt;="&amp;A1682)</f>
        <v>735000</v>
      </c>
      <c r="E1682" s="38" t="n">
        <f aca="false">VLOOKUP(A1682,Inputs!$A$40:$B$48,2,TRUE())</f>
        <v>0.0363225</v>
      </c>
      <c r="F1682" s="38" t="n">
        <f aca="false">E1682+Inputs!$B$10</f>
        <v>0.1038225</v>
      </c>
      <c r="G1682" s="37" t="n">
        <f aca="false">D1682*F1682/C1682</f>
        <v>209.067226027397</v>
      </c>
      <c r="H1682" s="37" t="n">
        <f aca="false">IF(AND(A1682&gt;=Inputs!$B$13,OR(A1682&lt;Inputs!$B$19,Inputs!$B$20=1)),D1682*Inputs!$B$11/C1682,0)</f>
        <v>40.2739726027397</v>
      </c>
      <c r="I1682" s="37" t="n">
        <f aca="false">Inputs!$C$9-SUMIFS(Cash_Events!$G$6:$G$20,Cash_Events!$C$6:$C$20,"FHL",Cash_Events!$B$6:$B$20,"&lt;="&amp;A1682)</f>
        <v>735000</v>
      </c>
      <c r="J1682" s="38" t="n">
        <f aca="false">VLOOKUP(A1682,Inputs!$F$40:$G$48,2,TRUE())</f>
        <v>0.0364054</v>
      </c>
      <c r="K1682" s="38" t="n">
        <f aca="false">J1682+Inputs!$C$10</f>
        <v>0.1039054</v>
      </c>
      <c r="L1682" s="37" t="n">
        <f aca="false">I1682*K1682/C1682</f>
        <v>209.234161643836</v>
      </c>
      <c r="M1682" s="37" t="n">
        <f aca="false">IF(AND(A1682&gt;=Inputs!$C$13,OR(A1682&lt;Inputs!$B$19,Inputs!$B$20=1)),I1682*Inputs!$C$11/C1682,0)</f>
        <v>40.2739726027397</v>
      </c>
    </row>
    <row r="1683" customFormat="false" ht="15" hidden="false" customHeight="false" outlineLevel="0" collapsed="false">
      <c r="A1683" s="35" t="n">
        <f aca="false">A1682+1</f>
        <v>46490</v>
      </c>
      <c r="B1683" s="35" t="n">
        <f aca="false">EOMONTH(A1683+1,0)</f>
        <v>46507</v>
      </c>
      <c r="C1683" s="36" t="n">
        <f aca="false">IF(MOD(YEAR(A1683),4)=0,366,365)</f>
        <v>365</v>
      </c>
      <c r="D1683" s="37" t="n">
        <f aca="false">Inputs!$B$9-SUMIFS(Cash_Events!$G$6:$G$20,Cash_Events!$C$6:$C$20,"rAGMF",Cash_Events!$B$6:$B$20,"&lt;="&amp;A1683)</f>
        <v>735000</v>
      </c>
      <c r="E1683" s="38" t="n">
        <f aca="false">VLOOKUP(A1683,Inputs!$A$40:$B$48,2,TRUE())</f>
        <v>0.0363225</v>
      </c>
      <c r="F1683" s="38" t="n">
        <f aca="false">E1683+Inputs!$B$10</f>
        <v>0.1038225</v>
      </c>
      <c r="G1683" s="37" t="n">
        <f aca="false">D1683*F1683/C1683</f>
        <v>209.067226027397</v>
      </c>
      <c r="H1683" s="37" t="n">
        <f aca="false">IF(AND(A1683&gt;=Inputs!$B$13,OR(A1683&lt;Inputs!$B$19,Inputs!$B$20=1)),D1683*Inputs!$B$11/C1683,0)</f>
        <v>40.2739726027397</v>
      </c>
      <c r="I1683" s="37" t="n">
        <f aca="false">Inputs!$C$9-SUMIFS(Cash_Events!$G$6:$G$20,Cash_Events!$C$6:$C$20,"FHL",Cash_Events!$B$6:$B$20,"&lt;="&amp;A1683)</f>
        <v>735000</v>
      </c>
      <c r="J1683" s="38" t="n">
        <f aca="false">VLOOKUP(A1683,Inputs!$F$40:$G$48,2,TRUE())</f>
        <v>0.0364054</v>
      </c>
      <c r="K1683" s="38" t="n">
        <f aca="false">J1683+Inputs!$C$10</f>
        <v>0.1039054</v>
      </c>
      <c r="L1683" s="37" t="n">
        <f aca="false">I1683*K1683/C1683</f>
        <v>209.234161643836</v>
      </c>
      <c r="M1683" s="37" t="n">
        <f aca="false">IF(AND(A1683&gt;=Inputs!$C$13,OR(A1683&lt;Inputs!$B$19,Inputs!$B$20=1)),I1683*Inputs!$C$11/C1683,0)</f>
        <v>40.2739726027397</v>
      </c>
    </row>
    <row r="1684" customFormat="false" ht="15" hidden="false" customHeight="false" outlineLevel="0" collapsed="false">
      <c r="A1684" s="35" t="n">
        <f aca="false">A1683+1</f>
        <v>46491</v>
      </c>
      <c r="B1684" s="35" t="n">
        <f aca="false">EOMONTH(A1684+1,0)</f>
        <v>46507</v>
      </c>
      <c r="C1684" s="36" t="n">
        <f aca="false">IF(MOD(YEAR(A1684),4)=0,366,365)</f>
        <v>365</v>
      </c>
      <c r="D1684" s="37" t="n">
        <f aca="false">Inputs!$B$9-SUMIFS(Cash_Events!$G$6:$G$20,Cash_Events!$C$6:$C$20,"rAGMF",Cash_Events!$B$6:$B$20,"&lt;="&amp;A1684)</f>
        <v>735000</v>
      </c>
      <c r="E1684" s="38" t="n">
        <f aca="false">VLOOKUP(A1684,Inputs!$A$40:$B$48,2,TRUE())</f>
        <v>0.0363225</v>
      </c>
      <c r="F1684" s="38" t="n">
        <f aca="false">E1684+Inputs!$B$10</f>
        <v>0.1038225</v>
      </c>
      <c r="G1684" s="37" t="n">
        <f aca="false">D1684*F1684/C1684</f>
        <v>209.067226027397</v>
      </c>
      <c r="H1684" s="37" t="n">
        <f aca="false">IF(AND(A1684&gt;=Inputs!$B$13,OR(A1684&lt;Inputs!$B$19,Inputs!$B$20=1)),D1684*Inputs!$B$11/C1684,0)</f>
        <v>40.2739726027397</v>
      </c>
      <c r="I1684" s="37" t="n">
        <f aca="false">Inputs!$C$9-SUMIFS(Cash_Events!$G$6:$G$20,Cash_Events!$C$6:$C$20,"FHL",Cash_Events!$B$6:$B$20,"&lt;="&amp;A1684)</f>
        <v>735000</v>
      </c>
      <c r="J1684" s="38" t="n">
        <f aca="false">VLOOKUP(A1684,Inputs!$F$40:$G$48,2,TRUE())</f>
        <v>0.0364054</v>
      </c>
      <c r="K1684" s="38" t="n">
        <f aca="false">J1684+Inputs!$C$10</f>
        <v>0.1039054</v>
      </c>
      <c r="L1684" s="37" t="n">
        <f aca="false">I1684*K1684/C1684</f>
        <v>209.234161643836</v>
      </c>
      <c r="M1684" s="37" t="n">
        <f aca="false">IF(AND(A1684&gt;=Inputs!$C$13,OR(A1684&lt;Inputs!$B$19,Inputs!$B$20=1)),I1684*Inputs!$C$11/C1684,0)</f>
        <v>40.2739726027397</v>
      </c>
    </row>
    <row r="1685" customFormat="false" ht="15" hidden="false" customHeight="false" outlineLevel="0" collapsed="false">
      <c r="A1685" s="35" t="n">
        <f aca="false">A1684+1</f>
        <v>46492</v>
      </c>
      <c r="B1685" s="35" t="n">
        <f aca="false">EOMONTH(A1685+1,0)</f>
        <v>46507</v>
      </c>
      <c r="C1685" s="36" t="n">
        <f aca="false">IF(MOD(YEAR(A1685),4)=0,366,365)</f>
        <v>365</v>
      </c>
      <c r="D1685" s="37" t="n">
        <f aca="false">Inputs!$B$9-SUMIFS(Cash_Events!$G$6:$G$20,Cash_Events!$C$6:$C$20,"rAGMF",Cash_Events!$B$6:$B$20,"&lt;="&amp;A1685)</f>
        <v>735000</v>
      </c>
      <c r="E1685" s="38" t="n">
        <f aca="false">VLOOKUP(A1685,Inputs!$A$40:$B$48,2,TRUE())</f>
        <v>0.0363225</v>
      </c>
      <c r="F1685" s="38" t="n">
        <f aca="false">E1685+Inputs!$B$10</f>
        <v>0.1038225</v>
      </c>
      <c r="G1685" s="37" t="n">
        <f aca="false">D1685*F1685/C1685</f>
        <v>209.067226027397</v>
      </c>
      <c r="H1685" s="37" t="n">
        <f aca="false">IF(AND(A1685&gt;=Inputs!$B$13,OR(A1685&lt;Inputs!$B$19,Inputs!$B$20=1)),D1685*Inputs!$B$11/C1685,0)</f>
        <v>40.2739726027397</v>
      </c>
      <c r="I1685" s="37" t="n">
        <f aca="false">Inputs!$C$9-SUMIFS(Cash_Events!$G$6:$G$20,Cash_Events!$C$6:$C$20,"FHL",Cash_Events!$B$6:$B$20,"&lt;="&amp;A1685)</f>
        <v>735000</v>
      </c>
      <c r="J1685" s="38" t="n">
        <f aca="false">VLOOKUP(A1685,Inputs!$F$40:$G$48,2,TRUE())</f>
        <v>0.0364054</v>
      </c>
      <c r="K1685" s="38" t="n">
        <f aca="false">J1685+Inputs!$C$10</f>
        <v>0.1039054</v>
      </c>
      <c r="L1685" s="37" t="n">
        <f aca="false">I1685*K1685/C1685</f>
        <v>209.234161643836</v>
      </c>
      <c r="M1685" s="37" t="n">
        <f aca="false">IF(AND(A1685&gt;=Inputs!$C$13,OR(A1685&lt;Inputs!$B$19,Inputs!$B$20=1)),I1685*Inputs!$C$11/C1685,0)</f>
        <v>40.2739726027397</v>
      </c>
    </row>
    <row r="1686" customFormat="false" ht="15" hidden="false" customHeight="false" outlineLevel="0" collapsed="false">
      <c r="A1686" s="35" t="n">
        <f aca="false">A1685+1</f>
        <v>46493</v>
      </c>
      <c r="B1686" s="35" t="n">
        <f aca="false">EOMONTH(A1686+1,0)</f>
        <v>46507</v>
      </c>
      <c r="C1686" s="36" t="n">
        <f aca="false">IF(MOD(YEAR(A1686),4)=0,366,365)</f>
        <v>365</v>
      </c>
      <c r="D1686" s="37" t="n">
        <f aca="false">Inputs!$B$9-SUMIFS(Cash_Events!$G$6:$G$20,Cash_Events!$C$6:$C$20,"rAGMF",Cash_Events!$B$6:$B$20,"&lt;="&amp;A1686)</f>
        <v>735000</v>
      </c>
      <c r="E1686" s="38" t="n">
        <f aca="false">VLOOKUP(A1686,Inputs!$A$40:$B$48,2,TRUE())</f>
        <v>0.0363225</v>
      </c>
      <c r="F1686" s="38" t="n">
        <f aca="false">E1686+Inputs!$B$10</f>
        <v>0.1038225</v>
      </c>
      <c r="G1686" s="37" t="n">
        <f aca="false">D1686*F1686/C1686</f>
        <v>209.067226027397</v>
      </c>
      <c r="H1686" s="37" t="n">
        <f aca="false">IF(AND(A1686&gt;=Inputs!$B$13,OR(A1686&lt;Inputs!$B$19,Inputs!$B$20=1)),D1686*Inputs!$B$11/C1686,0)</f>
        <v>40.2739726027397</v>
      </c>
      <c r="I1686" s="37" t="n">
        <f aca="false">Inputs!$C$9-SUMIFS(Cash_Events!$G$6:$G$20,Cash_Events!$C$6:$C$20,"FHL",Cash_Events!$B$6:$B$20,"&lt;="&amp;A1686)</f>
        <v>735000</v>
      </c>
      <c r="J1686" s="38" t="n">
        <f aca="false">VLOOKUP(A1686,Inputs!$F$40:$G$48,2,TRUE())</f>
        <v>0.0364054</v>
      </c>
      <c r="K1686" s="38" t="n">
        <f aca="false">J1686+Inputs!$C$10</f>
        <v>0.1039054</v>
      </c>
      <c r="L1686" s="37" t="n">
        <f aca="false">I1686*K1686/C1686</f>
        <v>209.234161643836</v>
      </c>
      <c r="M1686" s="37" t="n">
        <f aca="false">IF(AND(A1686&gt;=Inputs!$C$13,OR(A1686&lt;Inputs!$B$19,Inputs!$B$20=1)),I1686*Inputs!$C$11/C1686,0)</f>
        <v>40.2739726027397</v>
      </c>
    </row>
    <row r="1687" customFormat="false" ht="15" hidden="false" customHeight="false" outlineLevel="0" collapsed="false">
      <c r="A1687" s="35" t="n">
        <f aca="false">A1686+1</f>
        <v>46494</v>
      </c>
      <c r="B1687" s="35" t="n">
        <f aca="false">EOMONTH(A1687+1,0)</f>
        <v>46507</v>
      </c>
      <c r="C1687" s="36" t="n">
        <f aca="false">IF(MOD(YEAR(A1687),4)=0,366,365)</f>
        <v>365</v>
      </c>
      <c r="D1687" s="37" t="n">
        <f aca="false">Inputs!$B$9-SUMIFS(Cash_Events!$G$6:$G$20,Cash_Events!$C$6:$C$20,"rAGMF",Cash_Events!$B$6:$B$20,"&lt;="&amp;A1687)</f>
        <v>735000</v>
      </c>
      <c r="E1687" s="38" t="n">
        <f aca="false">VLOOKUP(A1687,Inputs!$A$40:$B$48,2,TRUE())</f>
        <v>0.0363225</v>
      </c>
      <c r="F1687" s="38" t="n">
        <f aca="false">E1687+Inputs!$B$10</f>
        <v>0.1038225</v>
      </c>
      <c r="G1687" s="37" t="n">
        <f aca="false">D1687*F1687/C1687</f>
        <v>209.067226027397</v>
      </c>
      <c r="H1687" s="37" t="n">
        <f aca="false">IF(AND(A1687&gt;=Inputs!$B$13,OR(A1687&lt;Inputs!$B$19,Inputs!$B$20=1)),D1687*Inputs!$B$11/C1687,0)</f>
        <v>40.2739726027397</v>
      </c>
      <c r="I1687" s="37" t="n">
        <f aca="false">Inputs!$C$9-SUMIFS(Cash_Events!$G$6:$G$20,Cash_Events!$C$6:$C$20,"FHL",Cash_Events!$B$6:$B$20,"&lt;="&amp;A1687)</f>
        <v>735000</v>
      </c>
      <c r="J1687" s="38" t="n">
        <f aca="false">VLOOKUP(A1687,Inputs!$F$40:$G$48,2,TRUE())</f>
        <v>0.0364054</v>
      </c>
      <c r="K1687" s="38" t="n">
        <f aca="false">J1687+Inputs!$C$10</f>
        <v>0.1039054</v>
      </c>
      <c r="L1687" s="37" t="n">
        <f aca="false">I1687*K1687/C1687</f>
        <v>209.234161643836</v>
      </c>
      <c r="M1687" s="37" t="n">
        <f aca="false">IF(AND(A1687&gt;=Inputs!$C$13,OR(A1687&lt;Inputs!$B$19,Inputs!$B$20=1)),I1687*Inputs!$C$11/C1687,0)</f>
        <v>40.2739726027397</v>
      </c>
    </row>
    <row r="1688" customFormat="false" ht="15" hidden="false" customHeight="false" outlineLevel="0" collapsed="false">
      <c r="A1688" s="35" t="n">
        <f aca="false">A1687+1</f>
        <v>46495</v>
      </c>
      <c r="B1688" s="35" t="n">
        <f aca="false">EOMONTH(A1688+1,0)</f>
        <v>46507</v>
      </c>
      <c r="C1688" s="36" t="n">
        <f aca="false">IF(MOD(YEAR(A1688),4)=0,366,365)</f>
        <v>365</v>
      </c>
      <c r="D1688" s="37" t="n">
        <f aca="false">Inputs!$B$9-SUMIFS(Cash_Events!$G$6:$G$20,Cash_Events!$C$6:$C$20,"rAGMF",Cash_Events!$B$6:$B$20,"&lt;="&amp;A1688)</f>
        <v>735000</v>
      </c>
      <c r="E1688" s="38" t="n">
        <f aca="false">VLOOKUP(A1688,Inputs!$A$40:$B$48,2,TRUE())</f>
        <v>0.0363225</v>
      </c>
      <c r="F1688" s="38" t="n">
        <f aca="false">E1688+Inputs!$B$10</f>
        <v>0.1038225</v>
      </c>
      <c r="G1688" s="37" t="n">
        <f aca="false">D1688*F1688/C1688</f>
        <v>209.067226027397</v>
      </c>
      <c r="H1688" s="37" t="n">
        <f aca="false">IF(AND(A1688&gt;=Inputs!$B$13,OR(A1688&lt;Inputs!$B$19,Inputs!$B$20=1)),D1688*Inputs!$B$11/C1688,0)</f>
        <v>40.2739726027397</v>
      </c>
      <c r="I1688" s="37" t="n">
        <f aca="false">Inputs!$C$9-SUMIFS(Cash_Events!$G$6:$G$20,Cash_Events!$C$6:$C$20,"FHL",Cash_Events!$B$6:$B$20,"&lt;="&amp;A1688)</f>
        <v>735000</v>
      </c>
      <c r="J1688" s="38" t="n">
        <f aca="false">VLOOKUP(A1688,Inputs!$F$40:$G$48,2,TRUE())</f>
        <v>0.0364054</v>
      </c>
      <c r="K1688" s="38" t="n">
        <f aca="false">J1688+Inputs!$C$10</f>
        <v>0.1039054</v>
      </c>
      <c r="L1688" s="37" t="n">
        <f aca="false">I1688*K1688/C1688</f>
        <v>209.234161643836</v>
      </c>
      <c r="M1688" s="37" t="n">
        <f aca="false">IF(AND(A1688&gt;=Inputs!$C$13,OR(A1688&lt;Inputs!$B$19,Inputs!$B$20=1)),I1688*Inputs!$C$11/C1688,0)</f>
        <v>40.2739726027397</v>
      </c>
    </row>
    <row r="1689" customFormat="false" ht="15" hidden="false" customHeight="false" outlineLevel="0" collapsed="false">
      <c r="A1689" s="35" t="n">
        <f aca="false">A1688+1</f>
        <v>46496</v>
      </c>
      <c r="B1689" s="35" t="n">
        <f aca="false">EOMONTH(A1689+1,0)</f>
        <v>46507</v>
      </c>
      <c r="C1689" s="36" t="n">
        <f aca="false">IF(MOD(YEAR(A1689),4)=0,366,365)</f>
        <v>365</v>
      </c>
      <c r="D1689" s="37" t="n">
        <f aca="false">Inputs!$B$9-SUMIFS(Cash_Events!$G$6:$G$20,Cash_Events!$C$6:$C$20,"rAGMF",Cash_Events!$B$6:$B$20,"&lt;="&amp;A1689)</f>
        <v>735000</v>
      </c>
      <c r="E1689" s="38" t="n">
        <f aca="false">VLOOKUP(A1689,Inputs!$A$40:$B$48,2,TRUE())</f>
        <v>0.0363225</v>
      </c>
      <c r="F1689" s="38" t="n">
        <f aca="false">E1689+Inputs!$B$10</f>
        <v>0.1038225</v>
      </c>
      <c r="G1689" s="37" t="n">
        <f aca="false">D1689*F1689/C1689</f>
        <v>209.067226027397</v>
      </c>
      <c r="H1689" s="37" t="n">
        <f aca="false">IF(AND(A1689&gt;=Inputs!$B$13,OR(A1689&lt;Inputs!$B$19,Inputs!$B$20=1)),D1689*Inputs!$B$11/C1689,0)</f>
        <v>40.2739726027397</v>
      </c>
      <c r="I1689" s="37" t="n">
        <f aca="false">Inputs!$C$9-SUMIFS(Cash_Events!$G$6:$G$20,Cash_Events!$C$6:$C$20,"FHL",Cash_Events!$B$6:$B$20,"&lt;="&amp;A1689)</f>
        <v>735000</v>
      </c>
      <c r="J1689" s="38" t="n">
        <f aca="false">VLOOKUP(A1689,Inputs!$F$40:$G$48,2,TRUE())</f>
        <v>0.0364054</v>
      </c>
      <c r="K1689" s="38" t="n">
        <f aca="false">J1689+Inputs!$C$10</f>
        <v>0.1039054</v>
      </c>
      <c r="L1689" s="37" t="n">
        <f aca="false">I1689*K1689/C1689</f>
        <v>209.234161643836</v>
      </c>
      <c r="M1689" s="37" t="n">
        <f aca="false">IF(AND(A1689&gt;=Inputs!$C$13,OR(A1689&lt;Inputs!$B$19,Inputs!$B$20=1)),I1689*Inputs!$C$11/C1689,0)</f>
        <v>40.2739726027397</v>
      </c>
    </row>
    <row r="1690" customFormat="false" ht="15" hidden="false" customHeight="false" outlineLevel="0" collapsed="false">
      <c r="A1690" s="35" t="n">
        <f aca="false">A1689+1</f>
        <v>46497</v>
      </c>
      <c r="B1690" s="35" t="n">
        <f aca="false">EOMONTH(A1690+1,0)</f>
        <v>46507</v>
      </c>
      <c r="C1690" s="36" t="n">
        <f aca="false">IF(MOD(YEAR(A1690),4)=0,366,365)</f>
        <v>365</v>
      </c>
      <c r="D1690" s="37" t="n">
        <f aca="false">Inputs!$B$9-SUMIFS(Cash_Events!$G$6:$G$20,Cash_Events!$C$6:$C$20,"rAGMF",Cash_Events!$B$6:$B$20,"&lt;="&amp;A1690)</f>
        <v>735000</v>
      </c>
      <c r="E1690" s="38" t="n">
        <f aca="false">VLOOKUP(A1690,Inputs!$A$40:$B$48,2,TRUE())</f>
        <v>0.0363225</v>
      </c>
      <c r="F1690" s="38" t="n">
        <f aca="false">E1690+Inputs!$B$10</f>
        <v>0.1038225</v>
      </c>
      <c r="G1690" s="37" t="n">
        <f aca="false">D1690*F1690/C1690</f>
        <v>209.067226027397</v>
      </c>
      <c r="H1690" s="37" t="n">
        <f aca="false">IF(AND(A1690&gt;=Inputs!$B$13,OR(A1690&lt;Inputs!$B$19,Inputs!$B$20=1)),D1690*Inputs!$B$11/C1690,0)</f>
        <v>40.2739726027397</v>
      </c>
      <c r="I1690" s="37" t="n">
        <f aca="false">Inputs!$C$9-SUMIFS(Cash_Events!$G$6:$G$20,Cash_Events!$C$6:$C$20,"FHL",Cash_Events!$B$6:$B$20,"&lt;="&amp;A1690)</f>
        <v>735000</v>
      </c>
      <c r="J1690" s="38" t="n">
        <f aca="false">VLOOKUP(A1690,Inputs!$F$40:$G$48,2,TRUE())</f>
        <v>0.0364054</v>
      </c>
      <c r="K1690" s="38" t="n">
        <f aca="false">J1690+Inputs!$C$10</f>
        <v>0.1039054</v>
      </c>
      <c r="L1690" s="37" t="n">
        <f aca="false">I1690*K1690/C1690</f>
        <v>209.234161643836</v>
      </c>
      <c r="M1690" s="37" t="n">
        <f aca="false">IF(AND(A1690&gt;=Inputs!$C$13,OR(A1690&lt;Inputs!$B$19,Inputs!$B$20=1)),I1690*Inputs!$C$11/C1690,0)</f>
        <v>40.2739726027397</v>
      </c>
    </row>
    <row r="1691" customFormat="false" ht="15" hidden="false" customHeight="false" outlineLevel="0" collapsed="false">
      <c r="A1691" s="35" t="n">
        <f aca="false">A1690+1</f>
        <v>46498</v>
      </c>
      <c r="B1691" s="35" t="n">
        <f aca="false">EOMONTH(A1691+1,0)</f>
        <v>46507</v>
      </c>
      <c r="C1691" s="36" t="n">
        <f aca="false">IF(MOD(YEAR(A1691),4)=0,366,365)</f>
        <v>365</v>
      </c>
      <c r="D1691" s="37" t="n">
        <f aca="false">Inputs!$B$9-SUMIFS(Cash_Events!$G$6:$G$20,Cash_Events!$C$6:$C$20,"rAGMF",Cash_Events!$B$6:$B$20,"&lt;="&amp;A1691)</f>
        <v>735000</v>
      </c>
      <c r="E1691" s="38" t="n">
        <f aca="false">VLOOKUP(A1691,Inputs!$A$40:$B$48,2,TRUE())</f>
        <v>0.0363225</v>
      </c>
      <c r="F1691" s="38" t="n">
        <f aca="false">E1691+Inputs!$B$10</f>
        <v>0.1038225</v>
      </c>
      <c r="G1691" s="37" t="n">
        <f aca="false">D1691*F1691/C1691</f>
        <v>209.067226027397</v>
      </c>
      <c r="H1691" s="37" t="n">
        <f aca="false">IF(AND(A1691&gt;=Inputs!$B$13,OR(A1691&lt;Inputs!$B$19,Inputs!$B$20=1)),D1691*Inputs!$B$11/C1691,0)</f>
        <v>40.2739726027397</v>
      </c>
      <c r="I1691" s="37" t="n">
        <f aca="false">Inputs!$C$9-SUMIFS(Cash_Events!$G$6:$G$20,Cash_Events!$C$6:$C$20,"FHL",Cash_Events!$B$6:$B$20,"&lt;="&amp;A1691)</f>
        <v>735000</v>
      </c>
      <c r="J1691" s="38" t="n">
        <f aca="false">VLOOKUP(A1691,Inputs!$F$40:$G$48,2,TRUE())</f>
        <v>0.0364054</v>
      </c>
      <c r="K1691" s="38" t="n">
        <f aca="false">J1691+Inputs!$C$10</f>
        <v>0.1039054</v>
      </c>
      <c r="L1691" s="37" t="n">
        <f aca="false">I1691*K1691/C1691</f>
        <v>209.234161643836</v>
      </c>
      <c r="M1691" s="37" t="n">
        <f aca="false">IF(AND(A1691&gt;=Inputs!$C$13,OR(A1691&lt;Inputs!$B$19,Inputs!$B$20=1)),I1691*Inputs!$C$11/C1691,0)</f>
        <v>40.2739726027397</v>
      </c>
    </row>
    <row r="1692" customFormat="false" ht="15" hidden="false" customHeight="false" outlineLevel="0" collapsed="false">
      <c r="A1692" s="35" t="n">
        <f aca="false">A1691+1</f>
        <v>46499</v>
      </c>
      <c r="B1692" s="35" t="n">
        <f aca="false">EOMONTH(A1692+1,0)</f>
        <v>46507</v>
      </c>
      <c r="C1692" s="36" t="n">
        <f aca="false">IF(MOD(YEAR(A1692),4)=0,366,365)</f>
        <v>365</v>
      </c>
      <c r="D1692" s="37" t="n">
        <f aca="false">Inputs!$B$9-SUMIFS(Cash_Events!$G$6:$G$20,Cash_Events!$C$6:$C$20,"rAGMF",Cash_Events!$B$6:$B$20,"&lt;="&amp;A1692)</f>
        <v>735000</v>
      </c>
      <c r="E1692" s="38" t="n">
        <f aca="false">VLOOKUP(A1692,Inputs!$A$40:$B$48,2,TRUE())</f>
        <v>0.0363225</v>
      </c>
      <c r="F1692" s="38" t="n">
        <f aca="false">E1692+Inputs!$B$10</f>
        <v>0.1038225</v>
      </c>
      <c r="G1692" s="37" t="n">
        <f aca="false">D1692*F1692/C1692</f>
        <v>209.067226027397</v>
      </c>
      <c r="H1692" s="37" t="n">
        <f aca="false">IF(AND(A1692&gt;=Inputs!$B$13,OR(A1692&lt;Inputs!$B$19,Inputs!$B$20=1)),D1692*Inputs!$B$11/C1692,0)</f>
        <v>40.2739726027397</v>
      </c>
      <c r="I1692" s="37" t="n">
        <f aca="false">Inputs!$C$9-SUMIFS(Cash_Events!$G$6:$G$20,Cash_Events!$C$6:$C$20,"FHL",Cash_Events!$B$6:$B$20,"&lt;="&amp;A1692)</f>
        <v>735000</v>
      </c>
      <c r="J1692" s="38" t="n">
        <f aca="false">VLOOKUP(A1692,Inputs!$F$40:$G$48,2,TRUE())</f>
        <v>0.0364054</v>
      </c>
      <c r="K1692" s="38" t="n">
        <f aca="false">J1692+Inputs!$C$10</f>
        <v>0.1039054</v>
      </c>
      <c r="L1692" s="37" t="n">
        <f aca="false">I1692*K1692/C1692</f>
        <v>209.234161643836</v>
      </c>
      <c r="M1692" s="37" t="n">
        <f aca="false">IF(AND(A1692&gt;=Inputs!$C$13,OR(A1692&lt;Inputs!$B$19,Inputs!$B$20=1)),I1692*Inputs!$C$11/C1692,0)</f>
        <v>40.2739726027397</v>
      </c>
    </row>
    <row r="1693" customFormat="false" ht="15" hidden="false" customHeight="false" outlineLevel="0" collapsed="false">
      <c r="A1693" s="35" t="n">
        <f aca="false">A1692+1</f>
        <v>46500</v>
      </c>
      <c r="B1693" s="35" t="n">
        <f aca="false">EOMONTH(A1693+1,0)</f>
        <v>46507</v>
      </c>
      <c r="C1693" s="36" t="n">
        <f aca="false">IF(MOD(YEAR(A1693),4)=0,366,365)</f>
        <v>365</v>
      </c>
      <c r="D1693" s="37" t="n">
        <f aca="false">Inputs!$B$9-SUMIFS(Cash_Events!$G$6:$G$20,Cash_Events!$C$6:$C$20,"rAGMF",Cash_Events!$B$6:$B$20,"&lt;="&amp;A1693)</f>
        <v>735000</v>
      </c>
      <c r="E1693" s="38" t="n">
        <f aca="false">VLOOKUP(A1693,Inputs!$A$40:$B$48,2,TRUE())</f>
        <v>0.0363225</v>
      </c>
      <c r="F1693" s="38" t="n">
        <f aca="false">E1693+Inputs!$B$10</f>
        <v>0.1038225</v>
      </c>
      <c r="G1693" s="37" t="n">
        <f aca="false">D1693*F1693/C1693</f>
        <v>209.067226027397</v>
      </c>
      <c r="H1693" s="37" t="n">
        <f aca="false">IF(AND(A1693&gt;=Inputs!$B$13,OR(A1693&lt;Inputs!$B$19,Inputs!$B$20=1)),D1693*Inputs!$B$11/C1693,0)</f>
        <v>40.2739726027397</v>
      </c>
      <c r="I1693" s="37" t="n">
        <f aca="false">Inputs!$C$9-SUMIFS(Cash_Events!$G$6:$G$20,Cash_Events!$C$6:$C$20,"FHL",Cash_Events!$B$6:$B$20,"&lt;="&amp;A1693)</f>
        <v>735000</v>
      </c>
      <c r="J1693" s="38" t="n">
        <f aca="false">VLOOKUP(A1693,Inputs!$F$40:$G$48,2,TRUE())</f>
        <v>0.0364054</v>
      </c>
      <c r="K1693" s="38" t="n">
        <f aca="false">J1693+Inputs!$C$10</f>
        <v>0.1039054</v>
      </c>
      <c r="L1693" s="37" t="n">
        <f aca="false">I1693*K1693/C1693</f>
        <v>209.234161643836</v>
      </c>
      <c r="M1693" s="37" t="n">
        <f aca="false">IF(AND(A1693&gt;=Inputs!$C$13,OR(A1693&lt;Inputs!$B$19,Inputs!$B$20=1)),I1693*Inputs!$C$11/C1693,0)</f>
        <v>40.2739726027397</v>
      </c>
    </row>
    <row r="1694" customFormat="false" ht="15" hidden="false" customHeight="false" outlineLevel="0" collapsed="false">
      <c r="A1694" s="35" t="n">
        <f aca="false">A1693+1</f>
        <v>46501</v>
      </c>
      <c r="B1694" s="35" t="n">
        <f aca="false">EOMONTH(A1694+1,0)</f>
        <v>46507</v>
      </c>
      <c r="C1694" s="36" t="n">
        <f aca="false">IF(MOD(YEAR(A1694),4)=0,366,365)</f>
        <v>365</v>
      </c>
      <c r="D1694" s="37" t="n">
        <f aca="false">Inputs!$B$9-SUMIFS(Cash_Events!$G$6:$G$20,Cash_Events!$C$6:$C$20,"rAGMF",Cash_Events!$B$6:$B$20,"&lt;="&amp;A1694)</f>
        <v>735000</v>
      </c>
      <c r="E1694" s="38" t="n">
        <f aca="false">VLOOKUP(A1694,Inputs!$A$40:$B$48,2,TRUE())</f>
        <v>0.0363225</v>
      </c>
      <c r="F1694" s="38" t="n">
        <f aca="false">E1694+Inputs!$B$10</f>
        <v>0.1038225</v>
      </c>
      <c r="G1694" s="37" t="n">
        <f aca="false">D1694*F1694/C1694</f>
        <v>209.067226027397</v>
      </c>
      <c r="H1694" s="37" t="n">
        <f aca="false">IF(AND(A1694&gt;=Inputs!$B$13,OR(A1694&lt;Inputs!$B$19,Inputs!$B$20=1)),D1694*Inputs!$B$11/C1694,0)</f>
        <v>40.2739726027397</v>
      </c>
      <c r="I1694" s="37" t="n">
        <f aca="false">Inputs!$C$9-SUMIFS(Cash_Events!$G$6:$G$20,Cash_Events!$C$6:$C$20,"FHL",Cash_Events!$B$6:$B$20,"&lt;="&amp;A1694)</f>
        <v>735000</v>
      </c>
      <c r="J1694" s="38" t="n">
        <f aca="false">VLOOKUP(A1694,Inputs!$F$40:$G$48,2,TRUE())</f>
        <v>0.0364054</v>
      </c>
      <c r="K1694" s="38" t="n">
        <f aca="false">J1694+Inputs!$C$10</f>
        <v>0.1039054</v>
      </c>
      <c r="L1694" s="37" t="n">
        <f aca="false">I1694*K1694/C1694</f>
        <v>209.234161643836</v>
      </c>
      <c r="M1694" s="37" t="n">
        <f aca="false">IF(AND(A1694&gt;=Inputs!$C$13,OR(A1694&lt;Inputs!$B$19,Inputs!$B$20=1)),I1694*Inputs!$C$11/C1694,0)</f>
        <v>40.2739726027397</v>
      </c>
    </row>
    <row r="1695" customFormat="false" ht="15" hidden="false" customHeight="false" outlineLevel="0" collapsed="false">
      <c r="A1695" s="35" t="n">
        <f aca="false">A1694+1</f>
        <v>46502</v>
      </c>
      <c r="B1695" s="35" t="n">
        <f aca="false">EOMONTH(A1695+1,0)</f>
        <v>46507</v>
      </c>
      <c r="C1695" s="36" t="n">
        <f aca="false">IF(MOD(YEAR(A1695),4)=0,366,365)</f>
        <v>365</v>
      </c>
      <c r="D1695" s="37" t="n">
        <f aca="false">Inputs!$B$9-SUMIFS(Cash_Events!$G$6:$G$20,Cash_Events!$C$6:$C$20,"rAGMF",Cash_Events!$B$6:$B$20,"&lt;="&amp;A1695)</f>
        <v>735000</v>
      </c>
      <c r="E1695" s="38" t="n">
        <f aca="false">VLOOKUP(A1695,Inputs!$A$40:$B$48,2,TRUE())</f>
        <v>0.0363225</v>
      </c>
      <c r="F1695" s="38" t="n">
        <f aca="false">E1695+Inputs!$B$10</f>
        <v>0.1038225</v>
      </c>
      <c r="G1695" s="37" t="n">
        <f aca="false">D1695*F1695/C1695</f>
        <v>209.067226027397</v>
      </c>
      <c r="H1695" s="37" t="n">
        <f aca="false">IF(AND(A1695&gt;=Inputs!$B$13,OR(A1695&lt;Inputs!$B$19,Inputs!$B$20=1)),D1695*Inputs!$B$11/C1695,0)</f>
        <v>40.2739726027397</v>
      </c>
      <c r="I1695" s="37" t="n">
        <f aca="false">Inputs!$C$9-SUMIFS(Cash_Events!$G$6:$G$20,Cash_Events!$C$6:$C$20,"FHL",Cash_Events!$B$6:$B$20,"&lt;="&amp;A1695)</f>
        <v>735000</v>
      </c>
      <c r="J1695" s="38" t="n">
        <f aca="false">VLOOKUP(A1695,Inputs!$F$40:$G$48,2,TRUE())</f>
        <v>0.0364054</v>
      </c>
      <c r="K1695" s="38" t="n">
        <f aca="false">J1695+Inputs!$C$10</f>
        <v>0.1039054</v>
      </c>
      <c r="L1695" s="37" t="n">
        <f aca="false">I1695*K1695/C1695</f>
        <v>209.234161643836</v>
      </c>
      <c r="M1695" s="37" t="n">
        <f aca="false">IF(AND(A1695&gt;=Inputs!$C$13,OR(A1695&lt;Inputs!$B$19,Inputs!$B$20=1)),I1695*Inputs!$C$11/C1695,0)</f>
        <v>40.2739726027397</v>
      </c>
    </row>
    <row r="1696" customFormat="false" ht="15" hidden="false" customHeight="false" outlineLevel="0" collapsed="false">
      <c r="A1696" s="35" t="n">
        <f aca="false">A1695+1</f>
        <v>46503</v>
      </c>
      <c r="B1696" s="35" t="n">
        <f aca="false">EOMONTH(A1696+1,0)</f>
        <v>46507</v>
      </c>
      <c r="C1696" s="36" t="n">
        <f aca="false">IF(MOD(YEAR(A1696),4)=0,366,365)</f>
        <v>365</v>
      </c>
      <c r="D1696" s="37" t="n">
        <f aca="false">Inputs!$B$9-SUMIFS(Cash_Events!$G$6:$G$20,Cash_Events!$C$6:$C$20,"rAGMF",Cash_Events!$B$6:$B$20,"&lt;="&amp;A1696)</f>
        <v>735000</v>
      </c>
      <c r="E1696" s="38" t="n">
        <f aca="false">VLOOKUP(A1696,Inputs!$A$40:$B$48,2,TRUE())</f>
        <v>0.0363225</v>
      </c>
      <c r="F1696" s="38" t="n">
        <f aca="false">E1696+Inputs!$B$10</f>
        <v>0.1038225</v>
      </c>
      <c r="G1696" s="37" t="n">
        <f aca="false">D1696*F1696/C1696</f>
        <v>209.067226027397</v>
      </c>
      <c r="H1696" s="37" t="n">
        <f aca="false">IF(AND(A1696&gt;=Inputs!$B$13,OR(A1696&lt;Inputs!$B$19,Inputs!$B$20=1)),D1696*Inputs!$B$11/C1696,0)</f>
        <v>40.2739726027397</v>
      </c>
      <c r="I1696" s="37" t="n">
        <f aca="false">Inputs!$C$9-SUMIFS(Cash_Events!$G$6:$G$20,Cash_Events!$C$6:$C$20,"FHL",Cash_Events!$B$6:$B$20,"&lt;="&amp;A1696)</f>
        <v>735000</v>
      </c>
      <c r="J1696" s="38" t="n">
        <f aca="false">VLOOKUP(A1696,Inputs!$F$40:$G$48,2,TRUE())</f>
        <v>0.0364054</v>
      </c>
      <c r="K1696" s="38" t="n">
        <f aca="false">J1696+Inputs!$C$10</f>
        <v>0.1039054</v>
      </c>
      <c r="L1696" s="37" t="n">
        <f aca="false">I1696*K1696/C1696</f>
        <v>209.234161643836</v>
      </c>
      <c r="M1696" s="37" t="n">
        <f aca="false">IF(AND(A1696&gt;=Inputs!$C$13,OR(A1696&lt;Inputs!$B$19,Inputs!$B$20=1)),I1696*Inputs!$C$11/C1696,0)</f>
        <v>40.2739726027397</v>
      </c>
    </row>
    <row r="1697" customFormat="false" ht="15" hidden="false" customHeight="false" outlineLevel="0" collapsed="false">
      <c r="A1697" s="35" t="n">
        <f aca="false">A1696+1</f>
        <v>46504</v>
      </c>
      <c r="B1697" s="35" t="n">
        <f aca="false">EOMONTH(A1697+1,0)</f>
        <v>46507</v>
      </c>
      <c r="C1697" s="36" t="n">
        <f aca="false">IF(MOD(YEAR(A1697),4)=0,366,365)</f>
        <v>365</v>
      </c>
      <c r="D1697" s="37" t="n">
        <f aca="false">Inputs!$B$9-SUMIFS(Cash_Events!$G$6:$G$20,Cash_Events!$C$6:$C$20,"rAGMF",Cash_Events!$B$6:$B$20,"&lt;="&amp;A1697)</f>
        <v>735000</v>
      </c>
      <c r="E1697" s="38" t="n">
        <f aca="false">VLOOKUP(A1697,Inputs!$A$40:$B$48,2,TRUE())</f>
        <v>0.0363225</v>
      </c>
      <c r="F1697" s="38" t="n">
        <f aca="false">E1697+Inputs!$B$10</f>
        <v>0.1038225</v>
      </c>
      <c r="G1697" s="37" t="n">
        <f aca="false">D1697*F1697/C1697</f>
        <v>209.067226027397</v>
      </c>
      <c r="H1697" s="37" t="n">
        <f aca="false">IF(AND(A1697&gt;=Inputs!$B$13,OR(A1697&lt;Inputs!$B$19,Inputs!$B$20=1)),D1697*Inputs!$B$11/C1697,0)</f>
        <v>40.2739726027397</v>
      </c>
      <c r="I1697" s="37" t="n">
        <f aca="false">Inputs!$C$9-SUMIFS(Cash_Events!$G$6:$G$20,Cash_Events!$C$6:$C$20,"FHL",Cash_Events!$B$6:$B$20,"&lt;="&amp;A1697)</f>
        <v>735000</v>
      </c>
      <c r="J1697" s="38" t="n">
        <f aca="false">VLOOKUP(A1697,Inputs!$F$40:$G$48,2,TRUE())</f>
        <v>0.0364054</v>
      </c>
      <c r="K1697" s="38" t="n">
        <f aca="false">J1697+Inputs!$C$10</f>
        <v>0.1039054</v>
      </c>
      <c r="L1697" s="37" t="n">
        <f aca="false">I1697*K1697/C1697</f>
        <v>209.234161643836</v>
      </c>
      <c r="M1697" s="37" t="n">
        <f aca="false">IF(AND(A1697&gt;=Inputs!$C$13,OR(A1697&lt;Inputs!$B$19,Inputs!$B$20=1)),I1697*Inputs!$C$11/C1697,0)</f>
        <v>40.2739726027397</v>
      </c>
    </row>
    <row r="1698" customFormat="false" ht="15" hidden="false" customHeight="false" outlineLevel="0" collapsed="false">
      <c r="A1698" s="35" t="n">
        <f aca="false">A1697+1</f>
        <v>46505</v>
      </c>
      <c r="B1698" s="35" t="n">
        <f aca="false">EOMONTH(A1698+1,0)</f>
        <v>46507</v>
      </c>
      <c r="C1698" s="36" t="n">
        <f aca="false">IF(MOD(YEAR(A1698),4)=0,366,365)</f>
        <v>365</v>
      </c>
      <c r="D1698" s="37" t="n">
        <f aca="false">Inputs!$B$9-SUMIFS(Cash_Events!$G$6:$G$20,Cash_Events!$C$6:$C$20,"rAGMF",Cash_Events!$B$6:$B$20,"&lt;="&amp;A1698)</f>
        <v>735000</v>
      </c>
      <c r="E1698" s="38" t="n">
        <f aca="false">VLOOKUP(A1698,Inputs!$A$40:$B$48,2,TRUE())</f>
        <v>0.0363225</v>
      </c>
      <c r="F1698" s="38" t="n">
        <f aca="false">E1698+Inputs!$B$10</f>
        <v>0.1038225</v>
      </c>
      <c r="G1698" s="37" t="n">
        <f aca="false">D1698*F1698/C1698</f>
        <v>209.067226027397</v>
      </c>
      <c r="H1698" s="37" t="n">
        <f aca="false">IF(AND(A1698&gt;=Inputs!$B$13,OR(A1698&lt;Inputs!$B$19,Inputs!$B$20=1)),D1698*Inputs!$B$11/C1698,0)</f>
        <v>40.2739726027397</v>
      </c>
      <c r="I1698" s="37" t="n">
        <f aca="false">Inputs!$C$9-SUMIFS(Cash_Events!$G$6:$G$20,Cash_Events!$C$6:$C$20,"FHL",Cash_Events!$B$6:$B$20,"&lt;="&amp;A1698)</f>
        <v>735000</v>
      </c>
      <c r="J1698" s="38" t="n">
        <f aca="false">VLOOKUP(A1698,Inputs!$F$40:$G$48,2,TRUE())</f>
        <v>0.0364054</v>
      </c>
      <c r="K1698" s="38" t="n">
        <f aca="false">J1698+Inputs!$C$10</f>
        <v>0.1039054</v>
      </c>
      <c r="L1698" s="37" t="n">
        <f aca="false">I1698*K1698/C1698</f>
        <v>209.234161643836</v>
      </c>
      <c r="M1698" s="37" t="n">
        <f aca="false">IF(AND(A1698&gt;=Inputs!$C$13,OR(A1698&lt;Inputs!$B$19,Inputs!$B$20=1)),I1698*Inputs!$C$11/C1698,0)</f>
        <v>40.2739726027397</v>
      </c>
    </row>
    <row r="1699" customFormat="false" ht="15" hidden="false" customHeight="false" outlineLevel="0" collapsed="false">
      <c r="A1699" s="35" t="n">
        <f aca="false">A1698+1</f>
        <v>46506</v>
      </c>
      <c r="B1699" s="35" t="n">
        <f aca="false">EOMONTH(A1699+1,0)</f>
        <v>46507</v>
      </c>
      <c r="C1699" s="36" t="n">
        <f aca="false">IF(MOD(YEAR(A1699),4)=0,366,365)</f>
        <v>365</v>
      </c>
      <c r="D1699" s="37" t="n">
        <f aca="false">Inputs!$B$9-SUMIFS(Cash_Events!$G$6:$G$20,Cash_Events!$C$6:$C$20,"rAGMF",Cash_Events!$B$6:$B$20,"&lt;="&amp;A1699)</f>
        <v>735000</v>
      </c>
      <c r="E1699" s="38" t="n">
        <f aca="false">VLOOKUP(A1699,Inputs!$A$40:$B$48,2,TRUE())</f>
        <v>0.0363225</v>
      </c>
      <c r="F1699" s="38" t="n">
        <f aca="false">E1699+Inputs!$B$10</f>
        <v>0.1038225</v>
      </c>
      <c r="G1699" s="37" t="n">
        <f aca="false">D1699*F1699/C1699</f>
        <v>209.067226027397</v>
      </c>
      <c r="H1699" s="37" t="n">
        <f aca="false">IF(AND(A1699&gt;=Inputs!$B$13,OR(A1699&lt;Inputs!$B$19,Inputs!$B$20=1)),D1699*Inputs!$B$11/C1699,0)</f>
        <v>40.2739726027397</v>
      </c>
      <c r="I1699" s="37" t="n">
        <f aca="false">Inputs!$C$9-SUMIFS(Cash_Events!$G$6:$G$20,Cash_Events!$C$6:$C$20,"FHL",Cash_Events!$B$6:$B$20,"&lt;="&amp;A1699)</f>
        <v>735000</v>
      </c>
      <c r="J1699" s="38" t="n">
        <f aca="false">VLOOKUP(A1699,Inputs!$F$40:$G$48,2,TRUE())</f>
        <v>0.0364054</v>
      </c>
      <c r="K1699" s="38" t="n">
        <f aca="false">J1699+Inputs!$C$10</f>
        <v>0.1039054</v>
      </c>
      <c r="L1699" s="37" t="n">
        <f aca="false">I1699*K1699/C1699</f>
        <v>209.234161643836</v>
      </c>
      <c r="M1699" s="37" t="n">
        <f aca="false">IF(AND(A1699&gt;=Inputs!$C$13,OR(A1699&lt;Inputs!$B$19,Inputs!$B$20=1)),I1699*Inputs!$C$11/C1699,0)</f>
        <v>40.2739726027397</v>
      </c>
    </row>
    <row r="1700" customFormat="false" ht="15" hidden="false" customHeight="false" outlineLevel="0" collapsed="false">
      <c r="A1700" s="35" t="n">
        <f aca="false">A1699+1</f>
        <v>46507</v>
      </c>
      <c r="B1700" s="35" t="n">
        <f aca="false">EOMONTH(A1700+1,0)</f>
        <v>46538</v>
      </c>
      <c r="C1700" s="36" t="n">
        <f aca="false">IF(MOD(YEAR(A1700),4)=0,366,365)</f>
        <v>365</v>
      </c>
      <c r="D1700" s="37" t="n">
        <f aca="false">Inputs!$B$9-SUMIFS(Cash_Events!$G$6:$G$20,Cash_Events!$C$6:$C$20,"rAGMF",Cash_Events!$B$6:$B$20,"&lt;="&amp;A1700)</f>
        <v>735000</v>
      </c>
      <c r="E1700" s="38" t="n">
        <f aca="false">VLOOKUP(A1700,Inputs!$A$40:$B$48,2,TRUE())</f>
        <v>0.0363225</v>
      </c>
      <c r="F1700" s="38" t="n">
        <f aca="false">E1700+Inputs!$B$10</f>
        <v>0.1038225</v>
      </c>
      <c r="G1700" s="37" t="n">
        <f aca="false">D1700*F1700/C1700</f>
        <v>209.067226027397</v>
      </c>
      <c r="H1700" s="37" t="n">
        <f aca="false">IF(AND(A1700&gt;=Inputs!$B$13,OR(A1700&lt;Inputs!$B$19,Inputs!$B$20=1)),D1700*Inputs!$B$11/C1700,0)</f>
        <v>40.2739726027397</v>
      </c>
      <c r="I1700" s="37" t="n">
        <f aca="false">Inputs!$C$9-SUMIFS(Cash_Events!$G$6:$G$20,Cash_Events!$C$6:$C$20,"FHL",Cash_Events!$B$6:$B$20,"&lt;="&amp;A1700)</f>
        <v>735000</v>
      </c>
      <c r="J1700" s="38" t="n">
        <f aca="false">VLOOKUP(A1700,Inputs!$F$40:$G$48,2,TRUE())</f>
        <v>0.0364054</v>
      </c>
      <c r="K1700" s="38" t="n">
        <f aca="false">J1700+Inputs!$C$10</f>
        <v>0.1039054</v>
      </c>
      <c r="L1700" s="37" t="n">
        <f aca="false">I1700*K1700/C1700</f>
        <v>209.234161643836</v>
      </c>
      <c r="M1700" s="37" t="n">
        <f aca="false">IF(AND(A1700&gt;=Inputs!$C$13,OR(A1700&lt;Inputs!$B$19,Inputs!$B$20=1)),I1700*Inputs!$C$11/C1700,0)</f>
        <v>40.2739726027397</v>
      </c>
    </row>
    <row r="1701" customFormat="false" ht="15" hidden="false" customHeight="false" outlineLevel="0" collapsed="false">
      <c r="A1701" s="35" t="n">
        <f aca="false">A1700+1</f>
        <v>46508</v>
      </c>
      <c r="B1701" s="35" t="n">
        <f aca="false">EOMONTH(A1701+1,0)</f>
        <v>46538</v>
      </c>
      <c r="C1701" s="36" t="n">
        <f aca="false">IF(MOD(YEAR(A1701),4)=0,366,365)</f>
        <v>365</v>
      </c>
      <c r="D1701" s="37" t="n">
        <f aca="false">Inputs!$B$9-SUMIFS(Cash_Events!$G$6:$G$20,Cash_Events!$C$6:$C$20,"rAGMF",Cash_Events!$B$6:$B$20,"&lt;="&amp;A1701)</f>
        <v>735000</v>
      </c>
      <c r="E1701" s="38" t="n">
        <f aca="false">VLOOKUP(A1701,Inputs!$A$40:$B$48,2,TRUE())</f>
        <v>0.0363225</v>
      </c>
      <c r="F1701" s="38" t="n">
        <f aca="false">E1701+Inputs!$B$10</f>
        <v>0.1038225</v>
      </c>
      <c r="G1701" s="37" t="n">
        <f aca="false">D1701*F1701/C1701</f>
        <v>209.067226027397</v>
      </c>
      <c r="H1701" s="37" t="n">
        <f aca="false">IF(AND(A1701&gt;=Inputs!$B$13,OR(A1701&lt;Inputs!$B$19,Inputs!$B$20=1)),D1701*Inputs!$B$11/C1701,0)</f>
        <v>40.2739726027397</v>
      </c>
      <c r="I1701" s="37" t="n">
        <f aca="false">Inputs!$C$9-SUMIFS(Cash_Events!$G$6:$G$20,Cash_Events!$C$6:$C$20,"FHL",Cash_Events!$B$6:$B$20,"&lt;="&amp;A1701)</f>
        <v>735000</v>
      </c>
      <c r="J1701" s="38" t="n">
        <f aca="false">VLOOKUP(A1701,Inputs!$F$40:$G$48,2,TRUE())</f>
        <v>0.0364054</v>
      </c>
      <c r="K1701" s="38" t="n">
        <f aca="false">J1701+Inputs!$C$10</f>
        <v>0.1039054</v>
      </c>
      <c r="L1701" s="37" t="n">
        <f aca="false">I1701*K1701/C1701</f>
        <v>209.234161643836</v>
      </c>
      <c r="M1701" s="37" t="n">
        <f aca="false">IF(AND(A1701&gt;=Inputs!$C$13,OR(A1701&lt;Inputs!$B$19,Inputs!$B$20=1)),I1701*Inputs!$C$11/C1701,0)</f>
        <v>40.2739726027397</v>
      </c>
    </row>
    <row r="1702" customFormat="false" ht="15" hidden="false" customHeight="false" outlineLevel="0" collapsed="false">
      <c r="A1702" s="35" t="n">
        <f aca="false">A1701+1</f>
        <v>46509</v>
      </c>
      <c r="B1702" s="35" t="n">
        <f aca="false">EOMONTH(A1702+1,0)</f>
        <v>46538</v>
      </c>
      <c r="C1702" s="36" t="n">
        <f aca="false">IF(MOD(YEAR(A1702),4)=0,366,365)</f>
        <v>365</v>
      </c>
      <c r="D1702" s="37" t="n">
        <f aca="false">Inputs!$B$9-SUMIFS(Cash_Events!$G$6:$G$20,Cash_Events!$C$6:$C$20,"rAGMF",Cash_Events!$B$6:$B$20,"&lt;="&amp;A1702)</f>
        <v>735000</v>
      </c>
      <c r="E1702" s="38" t="n">
        <f aca="false">VLOOKUP(A1702,Inputs!$A$40:$B$48,2,TRUE())</f>
        <v>0.0363225</v>
      </c>
      <c r="F1702" s="38" t="n">
        <f aca="false">E1702+Inputs!$B$10</f>
        <v>0.1038225</v>
      </c>
      <c r="G1702" s="37" t="n">
        <f aca="false">D1702*F1702/C1702</f>
        <v>209.067226027397</v>
      </c>
      <c r="H1702" s="37" t="n">
        <f aca="false">IF(AND(A1702&gt;=Inputs!$B$13,OR(A1702&lt;Inputs!$B$19,Inputs!$B$20=1)),D1702*Inputs!$B$11/C1702,0)</f>
        <v>40.2739726027397</v>
      </c>
      <c r="I1702" s="37" t="n">
        <f aca="false">Inputs!$C$9-SUMIFS(Cash_Events!$G$6:$G$20,Cash_Events!$C$6:$C$20,"FHL",Cash_Events!$B$6:$B$20,"&lt;="&amp;A1702)</f>
        <v>735000</v>
      </c>
      <c r="J1702" s="38" t="n">
        <f aca="false">VLOOKUP(A1702,Inputs!$F$40:$G$48,2,TRUE())</f>
        <v>0.0364054</v>
      </c>
      <c r="K1702" s="38" t="n">
        <f aca="false">J1702+Inputs!$C$10</f>
        <v>0.1039054</v>
      </c>
      <c r="L1702" s="37" t="n">
        <f aca="false">I1702*K1702/C1702</f>
        <v>209.234161643836</v>
      </c>
      <c r="M1702" s="37" t="n">
        <f aca="false">IF(AND(A1702&gt;=Inputs!$C$13,OR(A1702&lt;Inputs!$B$19,Inputs!$B$20=1)),I1702*Inputs!$C$11/C1702,0)</f>
        <v>40.2739726027397</v>
      </c>
    </row>
    <row r="1703" customFormat="false" ht="15" hidden="false" customHeight="false" outlineLevel="0" collapsed="false">
      <c r="A1703" s="35" t="n">
        <f aca="false">A1702+1</f>
        <v>46510</v>
      </c>
      <c r="B1703" s="35" t="n">
        <f aca="false">EOMONTH(A1703+1,0)</f>
        <v>46538</v>
      </c>
      <c r="C1703" s="36" t="n">
        <f aca="false">IF(MOD(YEAR(A1703),4)=0,366,365)</f>
        <v>365</v>
      </c>
      <c r="D1703" s="37" t="n">
        <f aca="false">Inputs!$B$9-SUMIFS(Cash_Events!$G$6:$G$20,Cash_Events!$C$6:$C$20,"rAGMF",Cash_Events!$B$6:$B$20,"&lt;="&amp;A1703)</f>
        <v>735000</v>
      </c>
      <c r="E1703" s="38" t="n">
        <f aca="false">VLOOKUP(A1703,Inputs!$A$40:$B$48,2,TRUE())</f>
        <v>0.0363225</v>
      </c>
      <c r="F1703" s="38" t="n">
        <f aca="false">E1703+Inputs!$B$10</f>
        <v>0.1038225</v>
      </c>
      <c r="G1703" s="37" t="n">
        <f aca="false">D1703*F1703/C1703</f>
        <v>209.067226027397</v>
      </c>
      <c r="H1703" s="37" t="n">
        <f aca="false">IF(AND(A1703&gt;=Inputs!$B$13,OR(A1703&lt;Inputs!$B$19,Inputs!$B$20=1)),D1703*Inputs!$B$11/C1703,0)</f>
        <v>40.2739726027397</v>
      </c>
      <c r="I1703" s="37" t="n">
        <f aca="false">Inputs!$C$9-SUMIFS(Cash_Events!$G$6:$G$20,Cash_Events!$C$6:$C$20,"FHL",Cash_Events!$B$6:$B$20,"&lt;="&amp;A1703)</f>
        <v>735000</v>
      </c>
      <c r="J1703" s="38" t="n">
        <f aca="false">VLOOKUP(A1703,Inputs!$F$40:$G$48,2,TRUE())</f>
        <v>0.0364054</v>
      </c>
      <c r="K1703" s="38" t="n">
        <f aca="false">J1703+Inputs!$C$10</f>
        <v>0.1039054</v>
      </c>
      <c r="L1703" s="37" t="n">
        <f aca="false">I1703*K1703/C1703</f>
        <v>209.234161643836</v>
      </c>
      <c r="M1703" s="37" t="n">
        <f aca="false">IF(AND(A1703&gt;=Inputs!$C$13,OR(A1703&lt;Inputs!$B$19,Inputs!$B$20=1)),I1703*Inputs!$C$11/C1703,0)</f>
        <v>40.2739726027397</v>
      </c>
    </row>
    <row r="1704" customFormat="false" ht="15" hidden="false" customHeight="false" outlineLevel="0" collapsed="false">
      <c r="A1704" s="35" t="n">
        <f aca="false">A1703+1</f>
        <v>46511</v>
      </c>
      <c r="B1704" s="35" t="n">
        <f aca="false">EOMONTH(A1704+1,0)</f>
        <v>46538</v>
      </c>
      <c r="C1704" s="36" t="n">
        <f aca="false">IF(MOD(YEAR(A1704),4)=0,366,365)</f>
        <v>365</v>
      </c>
      <c r="D1704" s="37" t="n">
        <f aca="false">Inputs!$B$9-SUMIFS(Cash_Events!$G$6:$G$20,Cash_Events!$C$6:$C$20,"rAGMF",Cash_Events!$B$6:$B$20,"&lt;="&amp;A1704)</f>
        <v>735000</v>
      </c>
      <c r="E1704" s="38" t="n">
        <f aca="false">VLOOKUP(A1704,Inputs!$A$40:$B$48,2,TRUE())</f>
        <v>0.0363225</v>
      </c>
      <c r="F1704" s="38" t="n">
        <f aca="false">E1704+Inputs!$B$10</f>
        <v>0.1038225</v>
      </c>
      <c r="G1704" s="37" t="n">
        <f aca="false">D1704*F1704/C1704</f>
        <v>209.067226027397</v>
      </c>
      <c r="H1704" s="37" t="n">
        <f aca="false">IF(AND(A1704&gt;=Inputs!$B$13,OR(A1704&lt;Inputs!$B$19,Inputs!$B$20=1)),D1704*Inputs!$B$11/C1704,0)</f>
        <v>40.2739726027397</v>
      </c>
      <c r="I1704" s="37" t="n">
        <f aca="false">Inputs!$C$9-SUMIFS(Cash_Events!$G$6:$G$20,Cash_Events!$C$6:$C$20,"FHL",Cash_Events!$B$6:$B$20,"&lt;="&amp;A1704)</f>
        <v>735000</v>
      </c>
      <c r="J1704" s="38" t="n">
        <f aca="false">VLOOKUP(A1704,Inputs!$F$40:$G$48,2,TRUE())</f>
        <v>0.0364054</v>
      </c>
      <c r="K1704" s="38" t="n">
        <f aca="false">J1704+Inputs!$C$10</f>
        <v>0.1039054</v>
      </c>
      <c r="L1704" s="37" t="n">
        <f aca="false">I1704*K1704/C1704</f>
        <v>209.234161643836</v>
      </c>
      <c r="M1704" s="37" t="n">
        <f aca="false">IF(AND(A1704&gt;=Inputs!$C$13,OR(A1704&lt;Inputs!$B$19,Inputs!$B$20=1)),I1704*Inputs!$C$11/C1704,0)</f>
        <v>40.2739726027397</v>
      </c>
    </row>
    <row r="1705" customFormat="false" ht="15" hidden="false" customHeight="false" outlineLevel="0" collapsed="false">
      <c r="A1705" s="35" t="n">
        <f aca="false">A1704+1</f>
        <v>46512</v>
      </c>
      <c r="B1705" s="35" t="n">
        <f aca="false">EOMONTH(A1705+1,0)</f>
        <v>46538</v>
      </c>
      <c r="C1705" s="36" t="n">
        <f aca="false">IF(MOD(YEAR(A1705),4)=0,366,365)</f>
        <v>365</v>
      </c>
      <c r="D1705" s="37" t="n">
        <f aca="false">Inputs!$B$9-SUMIFS(Cash_Events!$G$6:$G$20,Cash_Events!$C$6:$C$20,"rAGMF",Cash_Events!$B$6:$B$20,"&lt;="&amp;A1705)</f>
        <v>735000</v>
      </c>
      <c r="E1705" s="38" t="n">
        <f aca="false">VLOOKUP(A1705,Inputs!$A$40:$B$48,2,TRUE())</f>
        <v>0.0363225</v>
      </c>
      <c r="F1705" s="38" t="n">
        <f aca="false">E1705+Inputs!$B$10</f>
        <v>0.1038225</v>
      </c>
      <c r="G1705" s="37" t="n">
        <f aca="false">D1705*F1705/C1705</f>
        <v>209.067226027397</v>
      </c>
      <c r="H1705" s="37" t="n">
        <f aca="false">IF(AND(A1705&gt;=Inputs!$B$13,OR(A1705&lt;Inputs!$B$19,Inputs!$B$20=1)),D1705*Inputs!$B$11/C1705,0)</f>
        <v>40.2739726027397</v>
      </c>
      <c r="I1705" s="37" t="n">
        <f aca="false">Inputs!$C$9-SUMIFS(Cash_Events!$G$6:$G$20,Cash_Events!$C$6:$C$20,"FHL",Cash_Events!$B$6:$B$20,"&lt;="&amp;A1705)</f>
        <v>735000</v>
      </c>
      <c r="J1705" s="38" t="n">
        <f aca="false">VLOOKUP(A1705,Inputs!$F$40:$G$48,2,TRUE())</f>
        <v>0.0364054</v>
      </c>
      <c r="K1705" s="38" t="n">
        <f aca="false">J1705+Inputs!$C$10</f>
        <v>0.1039054</v>
      </c>
      <c r="L1705" s="37" t="n">
        <f aca="false">I1705*K1705/C1705</f>
        <v>209.234161643836</v>
      </c>
      <c r="M1705" s="37" t="n">
        <f aca="false">IF(AND(A1705&gt;=Inputs!$C$13,OR(A1705&lt;Inputs!$B$19,Inputs!$B$20=1)),I1705*Inputs!$C$11/C1705,0)</f>
        <v>40.2739726027397</v>
      </c>
    </row>
    <row r="1706" customFormat="false" ht="15" hidden="false" customHeight="false" outlineLevel="0" collapsed="false">
      <c r="A1706" s="35" t="n">
        <f aca="false">A1705+1</f>
        <v>46513</v>
      </c>
      <c r="B1706" s="35" t="n">
        <f aca="false">EOMONTH(A1706+1,0)</f>
        <v>46538</v>
      </c>
      <c r="C1706" s="36" t="n">
        <f aca="false">IF(MOD(YEAR(A1706),4)=0,366,365)</f>
        <v>365</v>
      </c>
      <c r="D1706" s="37" t="n">
        <f aca="false">Inputs!$B$9-SUMIFS(Cash_Events!$G$6:$G$20,Cash_Events!$C$6:$C$20,"rAGMF",Cash_Events!$B$6:$B$20,"&lt;="&amp;A1706)</f>
        <v>735000</v>
      </c>
      <c r="E1706" s="38" t="n">
        <f aca="false">VLOOKUP(A1706,Inputs!$A$40:$B$48,2,TRUE())</f>
        <v>0.0363225</v>
      </c>
      <c r="F1706" s="38" t="n">
        <f aca="false">E1706+Inputs!$B$10</f>
        <v>0.1038225</v>
      </c>
      <c r="G1706" s="37" t="n">
        <f aca="false">D1706*F1706/C1706</f>
        <v>209.067226027397</v>
      </c>
      <c r="H1706" s="37" t="n">
        <f aca="false">IF(AND(A1706&gt;=Inputs!$B$13,OR(A1706&lt;Inputs!$B$19,Inputs!$B$20=1)),D1706*Inputs!$B$11/C1706,0)</f>
        <v>40.2739726027397</v>
      </c>
      <c r="I1706" s="37" t="n">
        <f aca="false">Inputs!$C$9-SUMIFS(Cash_Events!$G$6:$G$20,Cash_Events!$C$6:$C$20,"FHL",Cash_Events!$B$6:$B$20,"&lt;="&amp;A1706)</f>
        <v>735000</v>
      </c>
      <c r="J1706" s="38" t="n">
        <f aca="false">VLOOKUP(A1706,Inputs!$F$40:$G$48,2,TRUE())</f>
        <v>0.0364054</v>
      </c>
      <c r="K1706" s="38" t="n">
        <f aca="false">J1706+Inputs!$C$10</f>
        <v>0.1039054</v>
      </c>
      <c r="L1706" s="37" t="n">
        <f aca="false">I1706*K1706/C1706</f>
        <v>209.234161643836</v>
      </c>
      <c r="M1706" s="37" t="n">
        <f aca="false">IF(AND(A1706&gt;=Inputs!$C$13,OR(A1706&lt;Inputs!$B$19,Inputs!$B$20=1)),I1706*Inputs!$C$11/C1706,0)</f>
        <v>40.2739726027397</v>
      </c>
    </row>
    <row r="1707" customFormat="false" ht="15" hidden="false" customHeight="false" outlineLevel="0" collapsed="false">
      <c r="A1707" s="35" t="n">
        <f aca="false">A1706+1</f>
        <v>46514</v>
      </c>
      <c r="B1707" s="35" t="n">
        <f aca="false">EOMONTH(A1707+1,0)</f>
        <v>46538</v>
      </c>
      <c r="C1707" s="36" t="n">
        <f aca="false">IF(MOD(YEAR(A1707),4)=0,366,365)</f>
        <v>365</v>
      </c>
      <c r="D1707" s="37" t="n">
        <f aca="false">Inputs!$B$9-SUMIFS(Cash_Events!$G$6:$G$20,Cash_Events!$C$6:$C$20,"rAGMF",Cash_Events!$B$6:$B$20,"&lt;="&amp;A1707)</f>
        <v>735000</v>
      </c>
      <c r="E1707" s="38" t="n">
        <f aca="false">VLOOKUP(A1707,Inputs!$A$40:$B$48,2,TRUE())</f>
        <v>0.0363225</v>
      </c>
      <c r="F1707" s="38" t="n">
        <f aca="false">E1707+Inputs!$B$10</f>
        <v>0.1038225</v>
      </c>
      <c r="G1707" s="37" t="n">
        <f aca="false">D1707*F1707/C1707</f>
        <v>209.067226027397</v>
      </c>
      <c r="H1707" s="37" t="n">
        <f aca="false">IF(AND(A1707&gt;=Inputs!$B$13,OR(A1707&lt;Inputs!$B$19,Inputs!$B$20=1)),D1707*Inputs!$B$11/C1707,0)</f>
        <v>40.2739726027397</v>
      </c>
      <c r="I1707" s="37" t="n">
        <f aca="false">Inputs!$C$9-SUMIFS(Cash_Events!$G$6:$G$20,Cash_Events!$C$6:$C$20,"FHL",Cash_Events!$B$6:$B$20,"&lt;="&amp;A1707)</f>
        <v>735000</v>
      </c>
      <c r="J1707" s="38" t="n">
        <f aca="false">VLOOKUP(A1707,Inputs!$F$40:$G$48,2,TRUE())</f>
        <v>0.0364054</v>
      </c>
      <c r="K1707" s="38" t="n">
        <f aca="false">J1707+Inputs!$C$10</f>
        <v>0.1039054</v>
      </c>
      <c r="L1707" s="37" t="n">
        <f aca="false">I1707*K1707/C1707</f>
        <v>209.234161643836</v>
      </c>
      <c r="M1707" s="37" t="n">
        <f aca="false">IF(AND(A1707&gt;=Inputs!$C$13,OR(A1707&lt;Inputs!$B$19,Inputs!$B$20=1)),I1707*Inputs!$C$11/C1707,0)</f>
        <v>40.2739726027397</v>
      </c>
    </row>
    <row r="1708" customFormat="false" ht="15" hidden="false" customHeight="false" outlineLevel="0" collapsed="false">
      <c r="A1708" s="35" t="n">
        <f aca="false">A1707+1</f>
        <v>46515</v>
      </c>
      <c r="B1708" s="35" t="n">
        <f aca="false">EOMONTH(A1708+1,0)</f>
        <v>46538</v>
      </c>
      <c r="C1708" s="36" t="n">
        <f aca="false">IF(MOD(YEAR(A1708),4)=0,366,365)</f>
        <v>365</v>
      </c>
      <c r="D1708" s="37" t="n">
        <f aca="false">Inputs!$B$9-SUMIFS(Cash_Events!$G$6:$G$20,Cash_Events!$C$6:$C$20,"rAGMF",Cash_Events!$B$6:$B$20,"&lt;="&amp;A1708)</f>
        <v>735000</v>
      </c>
      <c r="E1708" s="38" t="n">
        <f aca="false">VLOOKUP(A1708,Inputs!$A$40:$B$48,2,TRUE())</f>
        <v>0.0363225</v>
      </c>
      <c r="F1708" s="38" t="n">
        <f aca="false">E1708+Inputs!$B$10</f>
        <v>0.1038225</v>
      </c>
      <c r="G1708" s="37" t="n">
        <f aca="false">D1708*F1708/C1708</f>
        <v>209.067226027397</v>
      </c>
      <c r="H1708" s="37" t="n">
        <f aca="false">IF(AND(A1708&gt;=Inputs!$B$13,OR(A1708&lt;Inputs!$B$19,Inputs!$B$20=1)),D1708*Inputs!$B$11/C1708,0)</f>
        <v>40.2739726027397</v>
      </c>
      <c r="I1708" s="37" t="n">
        <f aca="false">Inputs!$C$9-SUMIFS(Cash_Events!$G$6:$G$20,Cash_Events!$C$6:$C$20,"FHL",Cash_Events!$B$6:$B$20,"&lt;="&amp;A1708)</f>
        <v>735000</v>
      </c>
      <c r="J1708" s="38" t="n">
        <f aca="false">VLOOKUP(A1708,Inputs!$F$40:$G$48,2,TRUE())</f>
        <v>0.0364054</v>
      </c>
      <c r="K1708" s="38" t="n">
        <f aca="false">J1708+Inputs!$C$10</f>
        <v>0.1039054</v>
      </c>
      <c r="L1708" s="37" t="n">
        <f aca="false">I1708*K1708/C1708</f>
        <v>209.234161643836</v>
      </c>
      <c r="M1708" s="37" t="n">
        <f aca="false">IF(AND(A1708&gt;=Inputs!$C$13,OR(A1708&lt;Inputs!$B$19,Inputs!$B$20=1)),I1708*Inputs!$C$11/C1708,0)</f>
        <v>40.2739726027397</v>
      </c>
    </row>
    <row r="1709" customFormat="false" ht="15" hidden="false" customHeight="false" outlineLevel="0" collapsed="false">
      <c r="A1709" s="35" t="n">
        <f aca="false">A1708+1</f>
        <v>46516</v>
      </c>
      <c r="B1709" s="35" t="n">
        <f aca="false">EOMONTH(A1709+1,0)</f>
        <v>46538</v>
      </c>
      <c r="C1709" s="36" t="n">
        <f aca="false">IF(MOD(YEAR(A1709),4)=0,366,365)</f>
        <v>365</v>
      </c>
      <c r="D1709" s="37" t="n">
        <f aca="false">Inputs!$B$9-SUMIFS(Cash_Events!$G$6:$G$20,Cash_Events!$C$6:$C$20,"rAGMF",Cash_Events!$B$6:$B$20,"&lt;="&amp;A1709)</f>
        <v>735000</v>
      </c>
      <c r="E1709" s="38" t="n">
        <f aca="false">VLOOKUP(A1709,Inputs!$A$40:$B$48,2,TRUE())</f>
        <v>0.0363225</v>
      </c>
      <c r="F1709" s="38" t="n">
        <f aca="false">E1709+Inputs!$B$10</f>
        <v>0.1038225</v>
      </c>
      <c r="G1709" s="37" t="n">
        <f aca="false">D1709*F1709/C1709</f>
        <v>209.067226027397</v>
      </c>
      <c r="H1709" s="37" t="n">
        <f aca="false">IF(AND(A1709&gt;=Inputs!$B$13,OR(A1709&lt;Inputs!$B$19,Inputs!$B$20=1)),D1709*Inputs!$B$11/C1709,0)</f>
        <v>40.2739726027397</v>
      </c>
      <c r="I1709" s="37" t="n">
        <f aca="false">Inputs!$C$9-SUMIFS(Cash_Events!$G$6:$G$20,Cash_Events!$C$6:$C$20,"FHL",Cash_Events!$B$6:$B$20,"&lt;="&amp;A1709)</f>
        <v>735000</v>
      </c>
      <c r="J1709" s="38" t="n">
        <f aca="false">VLOOKUP(A1709,Inputs!$F$40:$G$48,2,TRUE())</f>
        <v>0.0364054</v>
      </c>
      <c r="K1709" s="38" t="n">
        <f aca="false">J1709+Inputs!$C$10</f>
        <v>0.1039054</v>
      </c>
      <c r="L1709" s="37" t="n">
        <f aca="false">I1709*K1709/C1709</f>
        <v>209.234161643836</v>
      </c>
      <c r="M1709" s="37" t="n">
        <f aca="false">IF(AND(A1709&gt;=Inputs!$C$13,OR(A1709&lt;Inputs!$B$19,Inputs!$B$20=1)),I1709*Inputs!$C$11/C1709,0)</f>
        <v>40.2739726027397</v>
      </c>
    </row>
    <row r="1710" customFormat="false" ht="15" hidden="false" customHeight="false" outlineLevel="0" collapsed="false">
      <c r="A1710" s="35" t="n">
        <f aca="false">A1709+1</f>
        <v>46517</v>
      </c>
      <c r="B1710" s="35" t="n">
        <f aca="false">EOMONTH(A1710+1,0)</f>
        <v>46538</v>
      </c>
      <c r="C1710" s="36" t="n">
        <f aca="false">IF(MOD(YEAR(A1710),4)=0,366,365)</f>
        <v>365</v>
      </c>
      <c r="D1710" s="37" t="n">
        <f aca="false">Inputs!$B$9-SUMIFS(Cash_Events!$G$6:$G$20,Cash_Events!$C$6:$C$20,"rAGMF",Cash_Events!$B$6:$B$20,"&lt;="&amp;A1710)</f>
        <v>735000</v>
      </c>
      <c r="E1710" s="38" t="n">
        <f aca="false">VLOOKUP(A1710,Inputs!$A$40:$B$48,2,TRUE())</f>
        <v>0.0363225</v>
      </c>
      <c r="F1710" s="38" t="n">
        <f aca="false">E1710+Inputs!$B$10</f>
        <v>0.1038225</v>
      </c>
      <c r="G1710" s="37" t="n">
        <f aca="false">D1710*F1710/C1710</f>
        <v>209.067226027397</v>
      </c>
      <c r="H1710" s="37" t="n">
        <f aca="false">IF(AND(A1710&gt;=Inputs!$B$13,OR(A1710&lt;Inputs!$B$19,Inputs!$B$20=1)),D1710*Inputs!$B$11/C1710,0)</f>
        <v>40.2739726027397</v>
      </c>
      <c r="I1710" s="37" t="n">
        <f aca="false">Inputs!$C$9-SUMIFS(Cash_Events!$G$6:$G$20,Cash_Events!$C$6:$C$20,"FHL",Cash_Events!$B$6:$B$20,"&lt;="&amp;A1710)</f>
        <v>735000</v>
      </c>
      <c r="J1710" s="38" t="n">
        <f aca="false">VLOOKUP(A1710,Inputs!$F$40:$G$48,2,TRUE())</f>
        <v>0.0364054</v>
      </c>
      <c r="K1710" s="38" t="n">
        <f aca="false">J1710+Inputs!$C$10</f>
        <v>0.1039054</v>
      </c>
      <c r="L1710" s="37" t="n">
        <f aca="false">I1710*K1710/C1710</f>
        <v>209.234161643836</v>
      </c>
      <c r="M1710" s="37" t="n">
        <f aca="false">IF(AND(A1710&gt;=Inputs!$C$13,OR(A1710&lt;Inputs!$B$19,Inputs!$B$20=1)),I1710*Inputs!$C$11/C1710,0)</f>
        <v>40.2739726027397</v>
      </c>
    </row>
    <row r="1711" customFormat="false" ht="15" hidden="false" customHeight="false" outlineLevel="0" collapsed="false">
      <c r="A1711" s="35" t="n">
        <f aca="false">A1710+1</f>
        <v>46518</v>
      </c>
      <c r="B1711" s="35" t="n">
        <f aca="false">EOMONTH(A1711+1,0)</f>
        <v>46538</v>
      </c>
      <c r="C1711" s="36" t="n">
        <f aca="false">IF(MOD(YEAR(A1711),4)=0,366,365)</f>
        <v>365</v>
      </c>
      <c r="D1711" s="37" t="n">
        <f aca="false">Inputs!$B$9-SUMIFS(Cash_Events!$G$6:$G$20,Cash_Events!$C$6:$C$20,"rAGMF",Cash_Events!$B$6:$B$20,"&lt;="&amp;A1711)</f>
        <v>735000</v>
      </c>
      <c r="E1711" s="38" t="n">
        <f aca="false">VLOOKUP(A1711,Inputs!$A$40:$B$48,2,TRUE())</f>
        <v>0.0363225</v>
      </c>
      <c r="F1711" s="38" t="n">
        <f aca="false">E1711+Inputs!$B$10</f>
        <v>0.1038225</v>
      </c>
      <c r="G1711" s="37" t="n">
        <f aca="false">D1711*F1711/C1711</f>
        <v>209.067226027397</v>
      </c>
      <c r="H1711" s="37" t="n">
        <f aca="false">IF(AND(A1711&gt;=Inputs!$B$13,OR(A1711&lt;Inputs!$B$19,Inputs!$B$20=1)),D1711*Inputs!$B$11/C1711,0)</f>
        <v>40.2739726027397</v>
      </c>
      <c r="I1711" s="37" t="n">
        <f aca="false">Inputs!$C$9-SUMIFS(Cash_Events!$G$6:$G$20,Cash_Events!$C$6:$C$20,"FHL",Cash_Events!$B$6:$B$20,"&lt;="&amp;A1711)</f>
        <v>735000</v>
      </c>
      <c r="J1711" s="38" t="n">
        <f aca="false">VLOOKUP(A1711,Inputs!$F$40:$G$48,2,TRUE())</f>
        <v>0.0364054</v>
      </c>
      <c r="K1711" s="38" t="n">
        <f aca="false">J1711+Inputs!$C$10</f>
        <v>0.1039054</v>
      </c>
      <c r="L1711" s="37" t="n">
        <f aca="false">I1711*K1711/C1711</f>
        <v>209.234161643836</v>
      </c>
      <c r="M1711" s="37" t="n">
        <f aca="false">IF(AND(A1711&gt;=Inputs!$C$13,OR(A1711&lt;Inputs!$B$19,Inputs!$B$20=1)),I1711*Inputs!$C$11/C1711,0)</f>
        <v>40.2739726027397</v>
      </c>
    </row>
    <row r="1712" customFormat="false" ht="15" hidden="false" customHeight="false" outlineLevel="0" collapsed="false">
      <c r="A1712" s="35" t="n">
        <f aca="false">A1711+1</f>
        <v>46519</v>
      </c>
      <c r="B1712" s="35" t="n">
        <f aca="false">EOMONTH(A1712+1,0)</f>
        <v>46538</v>
      </c>
      <c r="C1712" s="36" t="n">
        <f aca="false">IF(MOD(YEAR(A1712),4)=0,366,365)</f>
        <v>365</v>
      </c>
      <c r="D1712" s="37" t="n">
        <f aca="false">Inputs!$B$9-SUMIFS(Cash_Events!$G$6:$G$20,Cash_Events!$C$6:$C$20,"rAGMF",Cash_Events!$B$6:$B$20,"&lt;="&amp;A1712)</f>
        <v>735000</v>
      </c>
      <c r="E1712" s="38" t="n">
        <f aca="false">VLOOKUP(A1712,Inputs!$A$40:$B$48,2,TRUE())</f>
        <v>0.0363225</v>
      </c>
      <c r="F1712" s="38" t="n">
        <f aca="false">E1712+Inputs!$B$10</f>
        <v>0.1038225</v>
      </c>
      <c r="G1712" s="37" t="n">
        <f aca="false">D1712*F1712/C1712</f>
        <v>209.067226027397</v>
      </c>
      <c r="H1712" s="37" t="n">
        <f aca="false">IF(AND(A1712&gt;=Inputs!$B$13,OR(A1712&lt;Inputs!$B$19,Inputs!$B$20=1)),D1712*Inputs!$B$11/C1712,0)</f>
        <v>40.2739726027397</v>
      </c>
      <c r="I1712" s="37" t="n">
        <f aca="false">Inputs!$C$9-SUMIFS(Cash_Events!$G$6:$G$20,Cash_Events!$C$6:$C$20,"FHL",Cash_Events!$B$6:$B$20,"&lt;="&amp;A1712)</f>
        <v>735000</v>
      </c>
      <c r="J1712" s="38" t="n">
        <f aca="false">VLOOKUP(A1712,Inputs!$F$40:$G$48,2,TRUE())</f>
        <v>0.0364054</v>
      </c>
      <c r="K1712" s="38" t="n">
        <f aca="false">J1712+Inputs!$C$10</f>
        <v>0.1039054</v>
      </c>
      <c r="L1712" s="37" t="n">
        <f aca="false">I1712*K1712/C1712</f>
        <v>209.234161643836</v>
      </c>
      <c r="M1712" s="37" t="n">
        <f aca="false">IF(AND(A1712&gt;=Inputs!$C$13,OR(A1712&lt;Inputs!$B$19,Inputs!$B$20=1)),I1712*Inputs!$C$11/C1712,0)</f>
        <v>40.2739726027397</v>
      </c>
    </row>
    <row r="1713" customFormat="false" ht="15" hidden="false" customHeight="false" outlineLevel="0" collapsed="false">
      <c r="A1713" s="35" t="n">
        <f aca="false">A1712+1</f>
        <v>46520</v>
      </c>
      <c r="B1713" s="35" t="n">
        <f aca="false">EOMONTH(A1713+1,0)</f>
        <v>46538</v>
      </c>
      <c r="C1713" s="36" t="n">
        <f aca="false">IF(MOD(YEAR(A1713),4)=0,366,365)</f>
        <v>365</v>
      </c>
      <c r="D1713" s="37" t="n">
        <f aca="false">Inputs!$B$9-SUMIFS(Cash_Events!$G$6:$G$20,Cash_Events!$C$6:$C$20,"rAGMF",Cash_Events!$B$6:$B$20,"&lt;="&amp;A1713)</f>
        <v>735000</v>
      </c>
      <c r="E1713" s="38" t="n">
        <f aca="false">VLOOKUP(A1713,Inputs!$A$40:$B$48,2,TRUE())</f>
        <v>0.0363225</v>
      </c>
      <c r="F1713" s="38" t="n">
        <f aca="false">E1713+Inputs!$B$10</f>
        <v>0.1038225</v>
      </c>
      <c r="G1713" s="37" t="n">
        <f aca="false">D1713*F1713/C1713</f>
        <v>209.067226027397</v>
      </c>
      <c r="H1713" s="37" t="n">
        <f aca="false">IF(AND(A1713&gt;=Inputs!$B$13,OR(A1713&lt;Inputs!$B$19,Inputs!$B$20=1)),D1713*Inputs!$B$11/C1713,0)</f>
        <v>40.2739726027397</v>
      </c>
      <c r="I1713" s="37" t="n">
        <f aca="false">Inputs!$C$9-SUMIFS(Cash_Events!$G$6:$G$20,Cash_Events!$C$6:$C$20,"FHL",Cash_Events!$B$6:$B$20,"&lt;="&amp;A1713)</f>
        <v>735000</v>
      </c>
      <c r="J1713" s="38" t="n">
        <f aca="false">VLOOKUP(A1713,Inputs!$F$40:$G$48,2,TRUE())</f>
        <v>0.0364054</v>
      </c>
      <c r="K1713" s="38" t="n">
        <f aca="false">J1713+Inputs!$C$10</f>
        <v>0.1039054</v>
      </c>
      <c r="L1713" s="37" t="n">
        <f aca="false">I1713*K1713/C1713</f>
        <v>209.234161643836</v>
      </c>
      <c r="M1713" s="37" t="n">
        <f aca="false">IF(AND(A1713&gt;=Inputs!$C$13,OR(A1713&lt;Inputs!$B$19,Inputs!$B$20=1)),I1713*Inputs!$C$11/C1713,0)</f>
        <v>40.2739726027397</v>
      </c>
    </row>
    <row r="1714" customFormat="false" ht="15" hidden="false" customHeight="false" outlineLevel="0" collapsed="false">
      <c r="A1714" s="35" t="n">
        <f aca="false">A1713+1</f>
        <v>46521</v>
      </c>
      <c r="B1714" s="35" t="n">
        <f aca="false">EOMONTH(A1714+1,0)</f>
        <v>46538</v>
      </c>
      <c r="C1714" s="36" t="n">
        <f aca="false">IF(MOD(YEAR(A1714),4)=0,366,365)</f>
        <v>365</v>
      </c>
      <c r="D1714" s="37" t="n">
        <f aca="false">Inputs!$B$9-SUMIFS(Cash_Events!$G$6:$G$20,Cash_Events!$C$6:$C$20,"rAGMF",Cash_Events!$B$6:$B$20,"&lt;="&amp;A1714)</f>
        <v>735000</v>
      </c>
      <c r="E1714" s="38" t="n">
        <f aca="false">VLOOKUP(A1714,Inputs!$A$40:$B$48,2,TRUE())</f>
        <v>0.0363225</v>
      </c>
      <c r="F1714" s="38" t="n">
        <f aca="false">E1714+Inputs!$B$10</f>
        <v>0.1038225</v>
      </c>
      <c r="G1714" s="37" t="n">
        <f aca="false">D1714*F1714/C1714</f>
        <v>209.067226027397</v>
      </c>
      <c r="H1714" s="37" t="n">
        <f aca="false">IF(AND(A1714&gt;=Inputs!$B$13,OR(A1714&lt;Inputs!$B$19,Inputs!$B$20=1)),D1714*Inputs!$B$11/C1714,0)</f>
        <v>40.2739726027397</v>
      </c>
      <c r="I1714" s="37" t="n">
        <f aca="false">Inputs!$C$9-SUMIFS(Cash_Events!$G$6:$G$20,Cash_Events!$C$6:$C$20,"FHL",Cash_Events!$B$6:$B$20,"&lt;="&amp;A1714)</f>
        <v>735000</v>
      </c>
      <c r="J1714" s="38" t="n">
        <f aca="false">VLOOKUP(A1714,Inputs!$F$40:$G$48,2,TRUE())</f>
        <v>0.0364054</v>
      </c>
      <c r="K1714" s="38" t="n">
        <f aca="false">J1714+Inputs!$C$10</f>
        <v>0.1039054</v>
      </c>
      <c r="L1714" s="37" t="n">
        <f aca="false">I1714*K1714/C1714</f>
        <v>209.234161643836</v>
      </c>
      <c r="M1714" s="37" t="n">
        <f aca="false">IF(AND(A1714&gt;=Inputs!$C$13,OR(A1714&lt;Inputs!$B$19,Inputs!$B$20=1)),I1714*Inputs!$C$11/C1714,0)</f>
        <v>40.2739726027397</v>
      </c>
    </row>
    <row r="1715" customFormat="false" ht="15" hidden="false" customHeight="false" outlineLevel="0" collapsed="false">
      <c r="A1715" s="35" t="n">
        <f aca="false">A1714+1</f>
        <v>46522</v>
      </c>
      <c r="B1715" s="35" t="n">
        <f aca="false">EOMONTH(A1715+1,0)</f>
        <v>46538</v>
      </c>
      <c r="C1715" s="36" t="n">
        <f aca="false">IF(MOD(YEAR(A1715),4)=0,366,365)</f>
        <v>365</v>
      </c>
      <c r="D1715" s="37" t="n">
        <f aca="false">Inputs!$B$9-SUMIFS(Cash_Events!$G$6:$G$20,Cash_Events!$C$6:$C$20,"rAGMF",Cash_Events!$B$6:$B$20,"&lt;="&amp;A1715)</f>
        <v>735000</v>
      </c>
      <c r="E1715" s="38" t="n">
        <f aca="false">VLOOKUP(A1715,Inputs!$A$40:$B$48,2,TRUE())</f>
        <v>0.0363225</v>
      </c>
      <c r="F1715" s="38" t="n">
        <f aca="false">E1715+Inputs!$B$10</f>
        <v>0.1038225</v>
      </c>
      <c r="G1715" s="37" t="n">
        <f aca="false">D1715*F1715/C1715</f>
        <v>209.067226027397</v>
      </c>
      <c r="H1715" s="37" t="n">
        <f aca="false">IF(AND(A1715&gt;=Inputs!$B$13,OR(A1715&lt;Inputs!$B$19,Inputs!$B$20=1)),D1715*Inputs!$B$11/C1715,0)</f>
        <v>40.2739726027397</v>
      </c>
      <c r="I1715" s="37" t="n">
        <f aca="false">Inputs!$C$9-SUMIFS(Cash_Events!$G$6:$G$20,Cash_Events!$C$6:$C$20,"FHL",Cash_Events!$B$6:$B$20,"&lt;="&amp;A1715)</f>
        <v>735000</v>
      </c>
      <c r="J1715" s="38" t="n">
        <f aca="false">VLOOKUP(A1715,Inputs!$F$40:$G$48,2,TRUE())</f>
        <v>0.0364054</v>
      </c>
      <c r="K1715" s="38" t="n">
        <f aca="false">J1715+Inputs!$C$10</f>
        <v>0.1039054</v>
      </c>
      <c r="L1715" s="37" t="n">
        <f aca="false">I1715*K1715/C1715</f>
        <v>209.234161643836</v>
      </c>
      <c r="M1715" s="37" t="n">
        <f aca="false">IF(AND(A1715&gt;=Inputs!$C$13,OR(A1715&lt;Inputs!$B$19,Inputs!$B$20=1)),I1715*Inputs!$C$11/C1715,0)</f>
        <v>40.2739726027397</v>
      </c>
    </row>
    <row r="1716" customFormat="false" ht="15" hidden="false" customHeight="false" outlineLevel="0" collapsed="false">
      <c r="A1716" s="35" t="n">
        <f aca="false">A1715+1</f>
        <v>46523</v>
      </c>
      <c r="B1716" s="35" t="n">
        <f aca="false">EOMONTH(A1716+1,0)</f>
        <v>46538</v>
      </c>
      <c r="C1716" s="36" t="n">
        <f aca="false">IF(MOD(YEAR(A1716),4)=0,366,365)</f>
        <v>365</v>
      </c>
      <c r="D1716" s="37" t="n">
        <f aca="false">Inputs!$B$9-SUMIFS(Cash_Events!$G$6:$G$20,Cash_Events!$C$6:$C$20,"rAGMF",Cash_Events!$B$6:$B$20,"&lt;="&amp;A1716)</f>
        <v>735000</v>
      </c>
      <c r="E1716" s="38" t="n">
        <f aca="false">VLOOKUP(A1716,Inputs!$A$40:$B$48,2,TRUE())</f>
        <v>0.0363225</v>
      </c>
      <c r="F1716" s="38" t="n">
        <f aca="false">E1716+Inputs!$B$10</f>
        <v>0.1038225</v>
      </c>
      <c r="G1716" s="37" t="n">
        <f aca="false">D1716*F1716/C1716</f>
        <v>209.067226027397</v>
      </c>
      <c r="H1716" s="37" t="n">
        <f aca="false">IF(AND(A1716&gt;=Inputs!$B$13,OR(A1716&lt;Inputs!$B$19,Inputs!$B$20=1)),D1716*Inputs!$B$11/C1716,0)</f>
        <v>40.2739726027397</v>
      </c>
      <c r="I1716" s="37" t="n">
        <f aca="false">Inputs!$C$9-SUMIFS(Cash_Events!$G$6:$G$20,Cash_Events!$C$6:$C$20,"FHL",Cash_Events!$B$6:$B$20,"&lt;="&amp;A1716)</f>
        <v>735000</v>
      </c>
      <c r="J1716" s="38" t="n">
        <f aca="false">VLOOKUP(A1716,Inputs!$F$40:$G$48,2,TRUE())</f>
        <v>0.0364054</v>
      </c>
      <c r="K1716" s="38" t="n">
        <f aca="false">J1716+Inputs!$C$10</f>
        <v>0.1039054</v>
      </c>
      <c r="L1716" s="37" t="n">
        <f aca="false">I1716*K1716/C1716</f>
        <v>209.234161643836</v>
      </c>
      <c r="M1716" s="37" t="n">
        <f aca="false">IF(AND(A1716&gt;=Inputs!$C$13,OR(A1716&lt;Inputs!$B$19,Inputs!$B$20=1)),I1716*Inputs!$C$11/C1716,0)</f>
        <v>40.2739726027397</v>
      </c>
    </row>
    <row r="1717" customFormat="false" ht="15" hidden="false" customHeight="false" outlineLevel="0" collapsed="false">
      <c r="A1717" s="35" t="n">
        <f aca="false">A1716+1</f>
        <v>46524</v>
      </c>
      <c r="B1717" s="35" t="n">
        <f aca="false">EOMONTH(A1717+1,0)</f>
        <v>46538</v>
      </c>
      <c r="C1717" s="36" t="n">
        <f aca="false">IF(MOD(YEAR(A1717),4)=0,366,365)</f>
        <v>365</v>
      </c>
      <c r="D1717" s="37" t="n">
        <f aca="false">Inputs!$B$9-SUMIFS(Cash_Events!$G$6:$G$20,Cash_Events!$C$6:$C$20,"rAGMF",Cash_Events!$B$6:$B$20,"&lt;="&amp;A1717)</f>
        <v>735000</v>
      </c>
      <c r="E1717" s="38" t="n">
        <f aca="false">VLOOKUP(A1717,Inputs!$A$40:$B$48,2,TRUE())</f>
        <v>0.0363225</v>
      </c>
      <c r="F1717" s="38" t="n">
        <f aca="false">E1717+Inputs!$B$10</f>
        <v>0.1038225</v>
      </c>
      <c r="G1717" s="37" t="n">
        <f aca="false">D1717*F1717/C1717</f>
        <v>209.067226027397</v>
      </c>
      <c r="H1717" s="37" t="n">
        <f aca="false">IF(AND(A1717&gt;=Inputs!$B$13,OR(A1717&lt;Inputs!$B$19,Inputs!$B$20=1)),D1717*Inputs!$B$11/C1717,0)</f>
        <v>40.2739726027397</v>
      </c>
      <c r="I1717" s="37" t="n">
        <f aca="false">Inputs!$C$9-SUMIFS(Cash_Events!$G$6:$G$20,Cash_Events!$C$6:$C$20,"FHL",Cash_Events!$B$6:$B$20,"&lt;="&amp;A1717)</f>
        <v>735000</v>
      </c>
      <c r="J1717" s="38" t="n">
        <f aca="false">VLOOKUP(A1717,Inputs!$F$40:$G$48,2,TRUE())</f>
        <v>0.0364054</v>
      </c>
      <c r="K1717" s="38" t="n">
        <f aca="false">J1717+Inputs!$C$10</f>
        <v>0.1039054</v>
      </c>
      <c r="L1717" s="37" t="n">
        <f aca="false">I1717*K1717/C1717</f>
        <v>209.234161643836</v>
      </c>
      <c r="M1717" s="37" t="n">
        <f aca="false">IF(AND(A1717&gt;=Inputs!$C$13,OR(A1717&lt;Inputs!$B$19,Inputs!$B$20=1)),I1717*Inputs!$C$11/C1717,0)</f>
        <v>40.2739726027397</v>
      </c>
    </row>
    <row r="1718" customFormat="false" ht="15" hidden="false" customHeight="false" outlineLevel="0" collapsed="false">
      <c r="A1718" s="35" t="n">
        <f aca="false">A1717+1</f>
        <v>46525</v>
      </c>
      <c r="B1718" s="35" t="n">
        <f aca="false">EOMONTH(A1718+1,0)</f>
        <v>46538</v>
      </c>
      <c r="C1718" s="36" t="n">
        <f aca="false">IF(MOD(YEAR(A1718),4)=0,366,365)</f>
        <v>365</v>
      </c>
      <c r="D1718" s="37" t="n">
        <f aca="false">Inputs!$B$9-SUMIFS(Cash_Events!$G$6:$G$20,Cash_Events!$C$6:$C$20,"rAGMF",Cash_Events!$B$6:$B$20,"&lt;="&amp;A1718)</f>
        <v>735000</v>
      </c>
      <c r="E1718" s="38" t="n">
        <f aca="false">VLOOKUP(A1718,Inputs!$A$40:$B$48,2,TRUE())</f>
        <v>0.0363225</v>
      </c>
      <c r="F1718" s="38" t="n">
        <f aca="false">E1718+Inputs!$B$10</f>
        <v>0.1038225</v>
      </c>
      <c r="G1718" s="37" t="n">
        <f aca="false">D1718*F1718/C1718</f>
        <v>209.067226027397</v>
      </c>
      <c r="H1718" s="37" t="n">
        <f aca="false">IF(AND(A1718&gt;=Inputs!$B$13,OR(A1718&lt;Inputs!$B$19,Inputs!$B$20=1)),D1718*Inputs!$B$11/C1718,0)</f>
        <v>40.2739726027397</v>
      </c>
      <c r="I1718" s="37" t="n">
        <f aca="false">Inputs!$C$9-SUMIFS(Cash_Events!$G$6:$G$20,Cash_Events!$C$6:$C$20,"FHL",Cash_Events!$B$6:$B$20,"&lt;="&amp;A1718)</f>
        <v>735000</v>
      </c>
      <c r="J1718" s="38" t="n">
        <f aca="false">VLOOKUP(A1718,Inputs!$F$40:$G$48,2,TRUE())</f>
        <v>0.0364054</v>
      </c>
      <c r="K1718" s="38" t="n">
        <f aca="false">J1718+Inputs!$C$10</f>
        <v>0.1039054</v>
      </c>
      <c r="L1718" s="37" t="n">
        <f aca="false">I1718*K1718/C1718</f>
        <v>209.234161643836</v>
      </c>
      <c r="M1718" s="37" t="n">
        <f aca="false">IF(AND(A1718&gt;=Inputs!$C$13,OR(A1718&lt;Inputs!$B$19,Inputs!$B$20=1)),I1718*Inputs!$C$11/C1718,0)</f>
        <v>40.2739726027397</v>
      </c>
    </row>
    <row r="1719" customFormat="false" ht="15" hidden="false" customHeight="false" outlineLevel="0" collapsed="false">
      <c r="A1719" s="35" t="n">
        <f aca="false">A1718+1</f>
        <v>46526</v>
      </c>
      <c r="B1719" s="35" t="n">
        <f aca="false">EOMONTH(A1719+1,0)</f>
        <v>46538</v>
      </c>
      <c r="C1719" s="36" t="n">
        <f aca="false">IF(MOD(YEAR(A1719),4)=0,366,365)</f>
        <v>365</v>
      </c>
      <c r="D1719" s="37" t="n">
        <f aca="false">Inputs!$B$9-SUMIFS(Cash_Events!$G$6:$G$20,Cash_Events!$C$6:$C$20,"rAGMF",Cash_Events!$B$6:$B$20,"&lt;="&amp;A1719)</f>
        <v>735000</v>
      </c>
      <c r="E1719" s="38" t="n">
        <f aca="false">VLOOKUP(A1719,Inputs!$A$40:$B$48,2,TRUE())</f>
        <v>0.0363225</v>
      </c>
      <c r="F1719" s="38" t="n">
        <f aca="false">E1719+Inputs!$B$10</f>
        <v>0.1038225</v>
      </c>
      <c r="G1719" s="37" t="n">
        <f aca="false">D1719*F1719/C1719</f>
        <v>209.067226027397</v>
      </c>
      <c r="H1719" s="37" t="n">
        <f aca="false">IF(AND(A1719&gt;=Inputs!$B$13,OR(A1719&lt;Inputs!$B$19,Inputs!$B$20=1)),D1719*Inputs!$B$11/C1719,0)</f>
        <v>40.2739726027397</v>
      </c>
      <c r="I1719" s="37" t="n">
        <f aca="false">Inputs!$C$9-SUMIFS(Cash_Events!$G$6:$G$20,Cash_Events!$C$6:$C$20,"FHL",Cash_Events!$B$6:$B$20,"&lt;="&amp;A1719)</f>
        <v>735000</v>
      </c>
      <c r="J1719" s="38" t="n">
        <f aca="false">VLOOKUP(A1719,Inputs!$F$40:$G$48,2,TRUE())</f>
        <v>0.0364054</v>
      </c>
      <c r="K1719" s="38" t="n">
        <f aca="false">J1719+Inputs!$C$10</f>
        <v>0.1039054</v>
      </c>
      <c r="L1719" s="37" t="n">
        <f aca="false">I1719*K1719/C1719</f>
        <v>209.234161643836</v>
      </c>
      <c r="M1719" s="37" t="n">
        <f aca="false">IF(AND(A1719&gt;=Inputs!$C$13,OR(A1719&lt;Inputs!$B$19,Inputs!$B$20=1)),I1719*Inputs!$C$11/C1719,0)</f>
        <v>40.2739726027397</v>
      </c>
    </row>
    <row r="1720" customFormat="false" ht="15" hidden="false" customHeight="false" outlineLevel="0" collapsed="false">
      <c r="A1720" s="35" t="n">
        <f aca="false">A1719+1</f>
        <v>46527</v>
      </c>
      <c r="B1720" s="35" t="n">
        <f aca="false">EOMONTH(A1720+1,0)</f>
        <v>46538</v>
      </c>
      <c r="C1720" s="36" t="n">
        <f aca="false">IF(MOD(YEAR(A1720),4)=0,366,365)</f>
        <v>365</v>
      </c>
      <c r="D1720" s="37" t="n">
        <f aca="false">Inputs!$B$9-SUMIFS(Cash_Events!$G$6:$G$20,Cash_Events!$C$6:$C$20,"rAGMF",Cash_Events!$B$6:$B$20,"&lt;="&amp;A1720)</f>
        <v>735000</v>
      </c>
      <c r="E1720" s="38" t="n">
        <f aca="false">VLOOKUP(A1720,Inputs!$A$40:$B$48,2,TRUE())</f>
        <v>0.0363225</v>
      </c>
      <c r="F1720" s="38" t="n">
        <f aca="false">E1720+Inputs!$B$10</f>
        <v>0.1038225</v>
      </c>
      <c r="G1720" s="37" t="n">
        <f aca="false">D1720*F1720/C1720</f>
        <v>209.067226027397</v>
      </c>
      <c r="H1720" s="37" t="n">
        <f aca="false">IF(AND(A1720&gt;=Inputs!$B$13,OR(A1720&lt;Inputs!$B$19,Inputs!$B$20=1)),D1720*Inputs!$B$11/C1720,0)</f>
        <v>40.2739726027397</v>
      </c>
      <c r="I1720" s="37" t="n">
        <f aca="false">Inputs!$C$9-SUMIFS(Cash_Events!$G$6:$G$20,Cash_Events!$C$6:$C$20,"FHL",Cash_Events!$B$6:$B$20,"&lt;="&amp;A1720)</f>
        <v>735000</v>
      </c>
      <c r="J1720" s="38" t="n">
        <f aca="false">VLOOKUP(A1720,Inputs!$F$40:$G$48,2,TRUE())</f>
        <v>0.0364054</v>
      </c>
      <c r="K1720" s="38" t="n">
        <f aca="false">J1720+Inputs!$C$10</f>
        <v>0.1039054</v>
      </c>
      <c r="L1720" s="37" t="n">
        <f aca="false">I1720*K1720/C1720</f>
        <v>209.234161643836</v>
      </c>
      <c r="M1720" s="37" t="n">
        <f aca="false">IF(AND(A1720&gt;=Inputs!$C$13,OR(A1720&lt;Inputs!$B$19,Inputs!$B$20=1)),I1720*Inputs!$C$11/C1720,0)</f>
        <v>40.2739726027397</v>
      </c>
    </row>
    <row r="1721" customFormat="false" ht="15" hidden="false" customHeight="false" outlineLevel="0" collapsed="false">
      <c r="A1721" s="35" t="n">
        <f aca="false">A1720+1</f>
        <v>46528</v>
      </c>
      <c r="B1721" s="35" t="n">
        <f aca="false">EOMONTH(A1721+1,0)</f>
        <v>46538</v>
      </c>
      <c r="C1721" s="36" t="n">
        <f aca="false">IF(MOD(YEAR(A1721),4)=0,366,365)</f>
        <v>365</v>
      </c>
      <c r="D1721" s="37" t="n">
        <f aca="false">Inputs!$B$9-SUMIFS(Cash_Events!$G$6:$G$20,Cash_Events!$C$6:$C$20,"rAGMF",Cash_Events!$B$6:$B$20,"&lt;="&amp;A1721)</f>
        <v>735000</v>
      </c>
      <c r="E1721" s="38" t="n">
        <f aca="false">VLOOKUP(A1721,Inputs!$A$40:$B$48,2,TRUE())</f>
        <v>0.0363225</v>
      </c>
      <c r="F1721" s="38" t="n">
        <f aca="false">E1721+Inputs!$B$10</f>
        <v>0.1038225</v>
      </c>
      <c r="G1721" s="37" t="n">
        <f aca="false">D1721*F1721/C1721</f>
        <v>209.067226027397</v>
      </c>
      <c r="H1721" s="37" t="n">
        <f aca="false">IF(AND(A1721&gt;=Inputs!$B$13,OR(A1721&lt;Inputs!$B$19,Inputs!$B$20=1)),D1721*Inputs!$B$11/C1721,0)</f>
        <v>40.2739726027397</v>
      </c>
      <c r="I1721" s="37" t="n">
        <f aca="false">Inputs!$C$9-SUMIFS(Cash_Events!$G$6:$G$20,Cash_Events!$C$6:$C$20,"FHL",Cash_Events!$B$6:$B$20,"&lt;="&amp;A1721)</f>
        <v>735000</v>
      </c>
      <c r="J1721" s="38" t="n">
        <f aca="false">VLOOKUP(A1721,Inputs!$F$40:$G$48,2,TRUE())</f>
        <v>0.0364054</v>
      </c>
      <c r="K1721" s="38" t="n">
        <f aca="false">J1721+Inputs!$C$10</f>
        <v>0.1039054</v>
      </c>
      <c r="L1721" s="37" t="n">
        <f aca="false">I1721*K1721/C1721</f>
        <v>209.234161643836</v>
      </c>
      <c r="M1721" s="37" t="n">
        <f aca="false">IF(AND(A1721&gt;=Inputs!$C$13,OR(A1721&lt;Inputs!$B$19,Inputs!$B$20=1)),I1721*Inputs!$C$11/C1721,0)</f>
        <v>40.2739726027397</v>
      </c>
    </row>
    <row r="1722" customFormat="false" ht="15" hidden="false" customHeight="false" outlineLevel="0" collapsed="false">
      <c r="A1722" s="35" t="n">
        <f aca="false">A1721+1</f>
        <v>46529</v>
      </c>
      <c r="B1722" s="35" t="n">
        <f aca="false">EOMONTH(A1722+1,0)</f>
        <v>46538</v>
      </c>
      <c r="C1722" s="36" t="n">
        <f aca="false">IF(MOD(YEAR(A1722),4)=0,366,365)</f>
        <v>365</v>
      </c>
      <c r="D1722" s="37" t="n">
        <f aca="false">Inputs!$B$9-SUMIFS(Cash_Events!$G$6:$G$20,Cash_Events!$C$6:$C$20,"rAGMF",Cash_Events!$B$6:$B$20,"&lt;="&amp;A1722)</f>
        <v>735000</v>
      </c>
      <c r="E1722" s="38" t="n">
        <f aca="false">VLOOKUP(A1722,Inputs!$A$40:$B$48,2,TRUE())</f>
        <v>0.0363225</v>
      </c>
      <c r="F1722" s="38" t="n">
        <f aca="false">E1722+Inputs!$B$10</f>
        <v>0.1038225</v>
      </c>
      <c r="G1722" s="37" t="n">
        <f aca="false">D1722*F1722/C1722</f>
        <v>209.067226027397</v>
      </c>
      <c r="H1722" s="37" t="n">
        <f aca="false">IF(AND(A1722&gt;=Inputs!$B$13,OR(A1722&lt;Inputs!$B$19,Inputs!$B$20=1)),D1722*Inputs!$B$11/C1722,0)</f>
        <v>40.2739726027397</v>
      </c>
      <c r="I1722" s="37" t="n">
        <f aca="false">Inputs!$C$9-SUMIFS(Cash_Events!$G$6:$G$20,Cash_Events!$C$6:$C$20,"FHL",Cash_Events!$B$6:$B$20,"&lt;="&amp;A1722)</f>
        <v>735000</v>
      </c>
      <c r="J1722" s="38" t="n">
        <f aca="false">VLOOKUP(A1722,Inputs!$F$40:$G$48,2,TRUE())</f>
        <v>0.0364054</v>
      </c>
      <c r="K1722" s="38" t="n">
        <f aca="false">J1722+Inputs!$C$10</f>
        <v>0.1039054</v>
      </c>
      <c r="L1722" s="37" t="n">
        <f aca="false">I1722*K1722/C1722</f>
        <v>209.234161643836</v>
      </c>
      <c r="M1722" s="37" t="n">
        <f aca="false">IF(AND(A1722&gt;=Inputs!$C$13,OR(A1722&lt;Inputs!$B$19,Inputs!$B$20=1)),I1722*Inputs!$C$11/C1722,0)</f>
        <v>40.2739726027397</v>
      </c>
    </row>
    <row r="1723" customFormat="false" ht="15" hidden="false" customHeight="false" outlineLevel="0" collapsed="false">
      <c r="A1723" s="35" t="n">
        <f aca="false">A1722+1</f>
        <v>46530</v>
      </c>
      <c r="B1723" s="35" t="n">
        <f aca="false">EOMONTH(A1723+1,0)</f>
        <v>46538</v>
      </c>
      <c r="C1723" s="36" t="n">
        <f aca="false">IF(MOD(YEAR(A1723),4)=0,366,365)</f>
        <v>365</v>
      </c>
      <c r="D1723" s="37" t="n">
        <f aca="false">Inputs!$B$9-SUMIFS(Cash_Events!$G$6:$G$20,Cash_Events!$C$6:$C$20,"rAGMF",Cash_Events!$B$6:$B$20,"&lt;="&amp;A1723)</f>
        <v>735000</v>
      </c>
      <c r="E1723" s="38" t="n">
        <f aca="false">VLOOKUP(A1723,Inputs!$A$40:$B$48,2,TRUE())</f>
        <v>0.0363225</v>
      </c>
      <c r="F1723" s="38" t="n">
        <f aca="false">E1723+Inputs!$B$10</f>
        <v>0.1038225</v>
      </c>
      <c r="G1723" s="37" t="n">
        <f aca="false">D1723*F1723/C1723</f>
        <v>209.067226027397</v>
      </c>
      <c r="H1723" s="37" t="n">
        <f aca="false">IF(AND(A1723&gt;=Inputs!$B$13,OR(A1723&lt;Inputs!$B$19,Inputs!$B$20=1)),D1723*Inputs!$B$11/C1723,0)</f>
        <v>40.2739726027397</v>
      </c>
      <c r="I1723" s="37" t="n">
        <f aca="false">Inputs!$C$9-SUMIFS(Cash_Events!$G$6:$G$20,Cash_Events!$C$6:$C$20,"FHL",Cash_Events!$B$6:$B$20,"&lt;="&amp;A1723)</f>
        <v>735000</v>
      </c>
      <c r="J1723" s="38" t="n">
        <f aca="false">VLOOKUP(A1723,Inputs!$F$40:$G$48,2,TRUE())</f>
        <v>0.0364054</v>
      </c>
      <c r="K1723" s="38" t="n">
        <f aca="false">J1723+Inputs!$C$10</f>
        <v>0.1039054</v>
      </c>
      <c r="L1723" s="37" t="n">
        <f aca="false">I1723*K1723/C1723</f>
        <v>209.234161643836</v>
      </c>
      <c r="M1723" s="37" t="n">
        <f aca="false">IF(AND(A1723&gt;=Inputs!$C$13,OR(A1723&lt;Inputs!$B$19,Inputs!$B$20=1)),I1723*Inputs!$C$11/C1723,0)</f>
        <v>40.2739726027397</v>
      </c>
    </row>
    <row r="1724" customFormat="false" ht="15" hidden="false" customHeight="false" outlineLevel="0" collapsed="false">
      <c r="A1724" s="35" t="n">
        <f aca="false">A1723+1</f>
        <v>46531</v>
      </c>
      <c r="B1724" s="35" t="n">
        <f aca="false">EOMONTH(A1724+1,0)</f>
        <v>46538</v>
      </c>
      <c r="C1724" s="36" t="n">
        <f aca="false">IF(MOD(YEAR(A1724),4)=0,366,365)</f>
        <v>365</v>
      </c>
      <c r="D1724" s="37" t="n">
        <f aca="false">Inputs!$B$9-SUMIFS(Cash_Events!$G$6:$G$20,Cash_Events!$C$6:$C$20,"rAGMF",Cash_Events!$B$6:$B$20,"&lt;="&amp;A1724)</f>
        <v>735000</v>
      </c>
      <c r="E1724" s="38" t="n">
        <f aca="false">VLOOKUP(A1724,Inputs!$A$40:$B$48,2,TRUE())</f>
        <v>0.0363225</v>
      </c>
      <c r="F1724" s="38" t="n">
        <f aca="false">E1724+Inputs!$B$10</f>
        <v>0.1038225</v>
      </c>
      <c r="G1724" s="37" t="n">
        <f aca="false">D1724*F1724/C1724</f>
        <v>209.067226027397</v>
      </c>
      <c r="H1724" s="37" t="n">
        <f aca="false">IF(AND(A1724&gt;=Inputs!$B$13,OR(A1724&lt;Inputs!$B$19,Inputs!$B$20=1)),D1724*Inputs!$B$11/C1724,0)</f>
        <v>40.2739726027397</v>
      </c>
      <c r="I1724" s="37" t="n">
        <f aca="false">Inputs!$C$9-SUMIFS(Cash_Events!$G$6:$G$20,Cash_Events!$C$6:$C$20,"FHL",Cash_Events!$B$6:$B$20,"&lt;="&amp;A1724)</f>
        <v>735000</v>
      </c>
      <c r="J1724" s="38" t="n">
        <f aca="false">VLOOKUP(A1724,Inputs!$F$40:$G$48,2,TRUE())</f>
        <v>0.0364054</v>
      </c>
      <c r="K1724" s="38" t="n">
        <f aca="false">J1724+Inputs!$C$10</f>
        <v>0.1039054</v>
      </c>
      <c r="L1724" s="37" t="n">
        <f aca="false">I1724*K1724/C1724</f>
        <v>209.234161643836</v>
      </c>
      <c r="M1724" s="37" t="n">
        <f aca="false">IF(AND(A1724&gt;=Inputs!$C$13,OR(A1724&lt;Inputs!$B$19,Inputs!$B$20=1)),I1724*Inputs!$C$11/C1724,0)</f>
        <v>40.2739726027397</v>
      </c>
    </row>
    <row r="1725" customFormat="false" ht="15" hidden="false" customHeight="false" outlineLevel="0" collapsed="false">
      <c r="A1725" s="35" t="n">
        <f aca="false">A1724+1</f>
        <v>46532</v>
      </c>
      <c r="B1725" s="35" t="n">
        <f aca="false">EOMONTH(A1725+1,0)</f>
        <v>46538</v>
      </c>
      <c r="C1725" s="36" t="n">
        <f aca="false">IF(MOD(YEAR(A1725),4)=0,366,365)</f>
        <v>365</v>
      </c>
      <c r="D1725" s="37" t="n">
        <f aca="false">Inputs!$B$9-SUMIFS(Cash_Events!$G$6:$G$20,Cash_Events!$C$6:$C$20,"rAGMF",Cash_Events!$B$6:$B$20,"&lt;="&amp;A1725)</f>
        <v>735000</v>
      </c>
      <c r="E1725" s="38" t="n">
        <f aca="false">VLOOKUP(A1725,Inputs!$A$40:$B$48,2,TRUE())</f>
        <v>0.0363225</v>
      </c>
      <c r="F1725" s="38" t="n">
        <f aca="false">E1725+Inputs!$B$10</f>
        <v>0.1038225</v>
      </c>
      <c r="G1725" s="37" t="n">
        <f aca="false">D1725*F1725/C1725</f>
        <v>209.067226027397</v>
      </c>
      <c r="H1725" s="37" t="n">
        <f aca="false">IF(AND(A1725&gt;=Inputs!$B$13,OR(A1725&lt;Inputs!$B$19,Inputs!$B$20=1)),D1725*Inputs!$B$11/C1725,0)</f>
        <v>40.2739726027397</v>
      </c>
      <c r="I1725" s="37" t="n">
        <f aca="false">Inputs!$C$9-SUMIFS(Cash_Events!$G$6:$G$20,Cash_Events!$C$6:$C$20,"FHL",Cash_Events!$B$6:$B$20,"&lt;="&amp;A1725)</f>
        <v>735000</v>
      </c>
      <c r="J1725" s="38" t="n">
        <f aca="false">VLOOKUP(A1725,Inputs!$F$40:$G$48,2,TRUE())</f>
        <v>0.0364054</v>
      </c>
      <c r="K1725" s="38" t="n">
        <f aca="false">J1725+Inputs!$C$10</f>
        <v>0.1039054</v>
      </c>
      <c r="L1725" s="37" t="n">
        <f aca="false">I1725*K1725/C1725</f>
        <v>209.234161643836</v>
      </c>
      <c r="M1725" s="37" t="n">
        <f aca="false">IF(AND(A1725&gt;=Inputs!$C$13,OR(A1725&lt;Inputs!$B$19,Inputs!$B$20=1)),I1725*Inputs!$C$11/C1725,0)</f>
        <v>40.2739726027397</v>
      </c>
    </row>
    <row r="1726" customFormat="false" ht="15" hidden="false" customHeight="false" outlineLevel="0" collapsed="false">
      <c r="A1726" s="35" t="n">
        <f aca="false">A1725+1</f>
        <v>46533</v>
      </c>
      <c r="B1726" s="35" t="n">
        <f aca="false">EOMONTH(A1726+1,0)</f>
        <v>46538</v>
      </c>
      <c r="C1726" s="36" t="n">
        <f aca="false">IF(MOD(YEAR(A1726),4)=0,366,365)</f>
        <v>365</v>
      </c>
      <c r="D1726" s="37" t="n">
        <f aca="false">Inputs!$B$9-SUMIFS(Cash_Events!$G$6:$G$20,Cash_Events!$C$6:$C$20,"rAGMF",Cash_Events!$B$6:$B$20,"&lt;="&amp;A1726)</f>
        <v>735000</v>
      </c>
      <c r="E1726" s="38" t="n">
        <f aca="false">VLOOKUP(A1726,Inputs!$A$40:$B$48,2,TRUE())</f>
        <v>0.0363225</v>
      </c>
      <c r="F1726" s="38" t="n">
        <f aca="false">E1726+Inputs!$B$10</f>
        <v>0.1038225</v>
      </c>
      <c r="G1726" s="37" t="n">
        <f aca="false">D1726*F1726/C1726</f>
        <v>209.067226027397</v>
      </c>
      <c r="H1726" s="37" t="n">
        <f aca="false">IF(AND(A1726&gt;=Inputs!$B$13,OR(A1726&lt;Inputs!$B$19,Inputs!$B$20=1)),D1726*Inputs!$B$11/C1726,0)</f>
        <v>40.2739726027397</v>
      </c>
      <c r="I1726" s="37" t="n">
        <f aca="false">Inputs!$C$9-SUMIFS(Cash_Events!$G$6:$G$20,Cash_Events!$C$6:$C$20,"FHL",Cash_Events!$B$6:$B$20,"&lt;="&amp;A1726)</f>
        <v>735000</v>
      </c>
      <c r="J1726" s="38" t="n">
        <f aca="false">VLOOKUP(A1726,Inputs!$F$40:$G$48,2,TRUE())</f>
        <v>0.0364054</v>
      </c>
      <c r="K1726" s="38" t="n">
        <f aca="false">J1726+Inputs!$C$10</f>
        <v>0.1039054</v>
      </c>
      <c r="L1726" s="37" t="n">
        <f aca="false">I1726*K1726/C1726</f>
        <v>209.234161643836</v>
      </c>
      <c r="M1726" s="37" t="n">
        <f aca="false">IF(AND(A1726&gt;=Inputs!$C$13,OR(A1726&lt;Inputs!$B$19,Inputs!$B$20=1)),I1726*Inputs!$C$11/C1726,0)</f>
        <v>40.2739726027397</v>
      </c>
    </row>
    <row r="1727" customFormat="false" ht="15" hidden="false" customHeight="false" outlineLevel="0" collapsed="false">
      <c r="A1727" s="35" t="n">
        <f aca="false">A1726+1</f>
        <v>46534</v>
      </c>
      <c r="B1727" s="35" t="n">
        <f aca="false">EOMONTH(A1727+1,0)</f>
        <v>46538</v>
      </c>
      <c r="C1727" s="36" t="n">
        <f aca="false">IF(MOD(YEAR(A1727),4)=0,366,365)</f>
        <v>365</v>
      </c>
      <c r="D1727" s="37" t="n">
        <f aca="false">Inputs!$B$9-SUMIFS(Cash_Events!$G$6:$G$20,Cash_Events!$C$6:$C$20,"rAGMF",Cash_Events!$B$6:$B$20,"&lt;="&amp;A1727)</f>
        <v>735000</v>
      </c>
      <c r="E1727" s="38" t="n">
        <f aca="false">VLOOKUP(A1727,Inputs!$A$40:$B$48,2,TRUE())</f>
        <v>0.0363225</v>
      </c>
      <c r="F1727" s="38" t="n">
        <f aca="false">E1727+Inputs!$B$10</f>
        <v>0.1038225</v>
      </c>
      <c r="G1727" s="37" t="n">
        <f aca="false">D1727*F1727/C1727</f>
        <v>209.067226027397</v>
      </c>
      <c r="H1727" s="37" t="n">
        <f aca="false">IF(AND(A1727&gt;=Inputs!$B$13,OR(A1727&lt;Inputs!$B$19,Inputs!$B$20=1)),D1727*Inputs!$B$11/C1727,0)</f>
        <v>40.2739726027397</v>
      </c>
      <c r="I1727" s="37" t="n">
        <f aca="false">Inputs!$C$9-SUMIFS(Cash_Events!$G$6:$G$20,Cash_Events!$C$6:$C$20,"FHL",Cash_Events!$B$6:$B$20,"&lt;="&amp;A1727)</f>
        <v>735000</v>
      </c>
      <c r="J1727" s="38" t="n">
        <f aca="false">VLOOKUP(A1727,Inputs!$F$40:$G$48,2,TRUE())</f>
        <v>0.0364054</v>
      </c>
      <c r="K1727" s="38" t="n">
        <f aca="false">J1727+Inputs!$C$10</f>
        <v>0.1039054</v>
      </c>
      <c r="L1727" s="37" t="n">
        <f aca="false">I1727*K1727/C1727</f>
        <v>209.234161643836</v>
      </c>
      <c r="M1727" s="37" t="n">
        <f aca="false">IF(AND(A1727&gt;=Inputs!$C$13,OR(A1727&lt;Inputs!$B$19,Inputs!$B$20=1)),I1727*Inputs!$C$11/C1727,0)</f>
        <v>40.2739726027397</v>
      </c>
    </row>
    <row r="1728" customFormat="false" ht="15" hidden="false" customHeight="false" outlineLevel="0" collapsed="false">
      <c r="A1728" s="35" t="n">
        <f aca="false">A1727+1</f>
        <v>46535</v>
      </c>
      <c r="B1728" s="35" t="n">
        <f aca="false">EOMONTH(A1728+1,0)</f>
        <v>46538</v>
      </c>
      <c r="C1728" s="36" t="n">
        <f aca="false">IF(MOD(YEAR(A1728),4)=0,366,365)</f>
        <v>365</v>
      </c>
      <c r="D1728" s="37" t="n">
        <f aca="false">Inputs!$B$9-SUMIFS(Cash_Events!$G$6:$G$20,Cash_Events!$C$6:$C$20,"rAGMF",Cash_Events!$B$6:$B$20,"&lt;="&amp;A1728)</f>
        <v>735000</v>
      </c>
      <c r="E1728" s="38" t="n">
        <f aca="false">VLOOKUP(A1728,Inputs!$A$40:$B$48,2,TRUE())</f>
        <v>0.0363225</v>
      </c>
      <c r="F1728" s="38" t="n">
        <f aca="false">E1728+Inputs!$B$10</f>
        <v>0.1038225</v>
      </c>
      <c r="G1728" s="37" t="n">
        <f aca="false">D1728*F1728/C1728</f>
        <v>209.067226027397</v>
      </c>
      <c r="H1728" s="37" t="n">
        <f aca="false">IF(AND(A1728&gt;=Inputs!$B$13,OR(A1728&lt;Inputs!$B$19,Inputs!$B$20=1)),D1728*Inputs!$B$11/C1728,0)</f>
        <v>40.2739726027397</v>
      </c>
      <c r="I1728" s="37" t="n">
        <f aca="false">Inputs!$C$9-SUMIFS(Cash_Events!$G$6:$G$20,Cash_Events!$C$6:$C$20,"FHL",Cash_Events!$B$6:$B$20,"&lt;="&amp;A1728)</f>
        <v>735000</v>
      </c>
      <c r="J1728" s="38" t="n">
        <f aca="false">VLOOKUP(A1728,Inputs!$F$40:$G$48,2,TRUE())</f>
        <v>0.0364054</v>
      </c>
      <c r="K1728" s="38" t="n">
        <f aca="false">J1728+Inputs!$C$10</f>
        <v>0.1039054</v>
      </c>
      <c r="L1728" s="37" t="n">
        <f aca="false">I1728*K1728/C1728</f>
        <v>209.234161643836</v>
      </c>
      <c r="M1728" s="37" t="n">
        <f aca="false">IF(AND(A1728&gt;=Inputs!$C$13,OR(A1728&lt;Inputs!$B$19,Inputs!$B$20=1)),I1728*Inputs!$C$11/C1728,0)</f>
        <v>40.2739726027397</v>
      </c>
    </row>
    <row r="1729" customFormat="false" ht="15" hidden="false" customHeight="false" outlineLevel="0" collapsed="false">
      <c r="A1729" s="35" t="n">
        <f aca="false">A1728+1</f>
        <v>46536</v>
      </c>
      <c r="B1729" s="35" t="n">
        <f aca="false">EOMONTH(A1729+1,0)</f>
        <v>46538</v>
      </c>
      <c r="C1729" s="36" t="n">
        <f aca="false">IF(MOD(YEAR(A1729),4)=0,366,365)</f>
        <v>365</v>
      </c>
      <c r="D1729" s="37" t="n">
        <f aca="false">Inputs!$B$9-SUMIFS(Cash_Events!$G$6:$G$20,Cash_Events!$C$6:$C$20,"rAGMF",Cash_Events!$B$6:$B$20,"&lt;="&amp;A1729)</f>
        <v>735000</v>
      </c>
      <c r="E1729" s="38" t="n">
        <f aca="false">VLOOKUP(A1729,Inputs!$A$40:$B$48,2,TRUE())</f>
        <v>0.0363225</v>
      </c>
      <c r="F1729" s="38" t="n">
        <f aca="false">E1729+Inputs!$B$10</f>
        <v>0.1038225</v>
      </c>
      <c r="G1729" s="37" t="n">
        <f aca="false">D1729*F1729/C1729</f>
        <v>209.067226027397</v>
      </c>
      <c r="H1729" s="37" t="n">
        <f aca="false">IF(AND(A1729&gt;=Inputs!$B$13,OR(A1729&lt;Inputs!$B$19,Inputs!$B$20=1)),D1729*Inputs!$B$11/C1729,0)</f>
        <v>40.2739726027397</v>
      </c>
      <c r="I1729" s="37" t="n">
        <f aca="false">Inputs!$C$9-SUMIFS(Cash_Events!$G$6:$G$20,Cash_Events!$C$6:$C$20,"FHL",Cash_Events!$B$6:$B$20,"&lt;="&amp;A1729)</f>
        <v>735000</v>
      </c>
      <c r="J1729" s="38" t="n">
        <f aca="false">VLOOKUP(A1729,Inputs!$F$40:$G$48,2,TRUE())</f>
        <v>0.0364054</v>
      </c>
      <c r="K1729" s="38" t="n">
        <f aca="false">J1729+Inputs!$C$10</f>
        <v>0.1039054</v>
      </c>
      <c r="L1729" s="37" t="n">
        <f aca="false">I1729*K1729/C1729</f>
        <v>209.234161643836</v>
      </c>
      <c r="M1729" s="37" t="n">
        <f aca="false">IF(AND(A1729&gt;=Inputs!$C$13,OR(A1729&lt;Inputs!$B$19,Inputs!$B$20=1)),I1729*Inputs!$C$11/C1729,0)</f>
        <v>40.2739726027397</v>
      </c>
    </row>
    <row r="1730" customFormat="false" ht="15" hidden="false" customHeight="false" outlineLevel="0" collapsed="false">
      <c r="A1730" s="35" t="n">
        <f aca="false">A1729+1</f>
        <v>46537</v>
      </c>
      <c r="B1730" s="35" t="n">
        <f aca="false">EOMONTH(A1730+1,0)</f>
        <v>46538</v>
      </c>
      <c r="C1730" s="36" t="n">
        <f aca="false">IF(MOD(YEAR(A1730),4)=0,366,365)</f>
        <v>365</v>
      </c>
      <c r="D1730" s="37" t="n">
        <f aca="false">Inputs!$B$9-SUMIFS(Cash_Events!$G$6:$G$20,Cash_Events!$C$6:$C$20,"rAGMF",Cash_Events!$B$6:$B$20,"&lt;="&amp;A1730)</f>
        <v>735000</v>
      </c>
      <c r="E1730" s="38" t="n">
        <f aca="false">VLOOKUP(A1730,Inputs!$A$40:$B$48,2,TRUE())</f>
        <v>0.0363225</v>
      </c>
      <c r="F1730" s="38" t="n">
        <f aca="false">E1730+Inputs!$B$10</f>
        <v>0.1038225</v>
      </c>
      <c r="G1730" s="37" t="n">
        <f aca="false">D1730*F1730/C1730</f>
        <v>209.067226027397</v>
      </c>
      <c r="H1730" s="37" t="n">
        <f aca="false">IF(AND(A1730&gt;=Inputs!$B$13,OR(A1730&lt;Inputs!$B$19,Inputs!$B$20=1)),D1730*Inputs!$B$11/C1730,0)</f>
        <v>40.2739726027397</v>
      </c>
      <c r="I1730" s="37" t="n">
        <f aca="false">Inputs!$C$9-SUMIFS(Cash_Events!$G$6:$G$20,Cash_Events!$C$6:$C$20,"FHL",Cash_Events!$B$6:$B$20,"&lt;="&amp;A1730)</f>
        <v>735000</v>
      </c>
      <c r="J1730" s="38" t="n">
        <f aca="false">VLOOKUP(A1730,Inputs!$F$40:$G$48,2,TRUE())</f>
        <v>0.0364054</v>
      </c>
      <c r="K1730" s="38" t="n">
        <f aca="false">J1730+Inputs!$C$10</f>
        <v>0.1039054</v>
      </c>
      <c r="L1730" s="37" t="n">
        <f aca="false">I1730*K1730/C1730</f>
        <v>209.234161643836</v>
      </c>
      <c r="M1730" s="37" t="n">
        <f aca="false">IF(AND(A1730&gt;=Inputs!$C$13,OR(A1730&lt;Inputs!$B$19,Inputs!$B$20=1)),I1730*Inputs!$C$11/C1730,0)</f>
        <v>40.2739726027397</v>
      </c>
    </row>
    <row r="1731" customFormat="false" ht="15" hidden="false" customHeight="false" outlineLevel="0" collapsed="false">
      <c r="A1731" s="35" t="n">
        <f aca="false">A1730+1</f>
        <v>46538</v>
      </c>
      <c r="B1731" s="35" t="n">
        <f aca="false">EOMONTH(A1731+1,0)</f>
        <v>46568</v>
      </c>
      <c r="C1731" s="36" t="n">
        <f aca="false">IF(MOD(YEAR(A1731),4)=0,366,365)</f>
        <v>365</v>
      </c>
      <c r="D1731" s="37" t="n">
        <f aca="false">Inputs!$B$9-SUMIFS(Cash_Events!$G$6:$G$20,Cash_Events!$C$6:$C$20,"rAGMF",Cash_Events!$B$6:$B$20,"&lt;="&amp;A1731)</f>
        <v>735000</v>
      </c>
      <c r="E1731" s="38" t="n">
        <f aca="false">VLOOKUP(A1731,Inputs!$A$40:$B$48,2,TRUE())</f>
        <v>0.0363225</v>
      </c>
      <c r="F1731" s="38" t="n">
        <f aca="false">E1731+Inputs!$B$10</f>
        <v>0.1038225</v>
      </c>
      <c r="G1731" s="37" t="n">
        <f aca="false">D1731*F1731/C1731</f>
        <v>209.067226027397</v>
      </c>
      <c r="H1731" s="37" t="n">
        <f aca="false">IF(AND(A1731&gt;=Inputs!$B$13,OR(A1731&lt;Inputs!$B$19,Inputs!$B$20=1)),D1731*Inputs!$B$11/C1731,0)</f>
        <v>40.2739726027397</v>
      </c>
      <c r="I1731" s="37" t="n">
        <f aca="false">Inputs!$C$9-SUMIFS(Cash_Events!$G$6:$G$20,Cash_Events!$C$6:$C$20,"FHL",Cash_Events!$B$6:$B$20,"&lt;="&amp;A1731)</f>
        <v>735000</v>
      </c>
      <c r="J1731" s="38" t="n">
        <f aca="false">VLOOKUP(A1731,Inputs!$F$40:$G$48,2,TRUE())</f>
        <v>0.0364054</v>
      </c>
      <c r="K1731" s="38" t="n">
        <f aca="false">J1731+Inputs!$C$10</f>
        <v>0.1039054</v>
      </c>
      <c r="L1731" s="37" t="n">
        <f aca="false">I1731*K1731/C1731</f>
        <v>209.234161643836</v>
      </c>
      <c r="M1731" s="37" t="n">
        <f aca="false">IF(AND(A1731&gt;=Inputs!$C$13,OR(A1731&lt;Inputs!$B$19,Inputs!$B$20=1)),I1731*Inputs!$C$11/C1731,0)</f>
        <v>40.2739726027397</v>
      </c>
    </row>
    <row r="1732" customFormat="false" ht="15" hidden="false" customHeight="false" outlineLevel="0" collapsed="false">
      <c r="A1732" s="35" t="n">
        <f aca="false">A1731+1</f>
        <v>46539</v>
      </c>
      <c r="B1732" s="35" t="n">
        <f aca="false">EOMONTH(A1732+1,0)</f>
        <v>46568</v>
      </c>
      <c r="C1732" s="36" t="n">
        <f aca="false">IF(MOD(YEAR(A1732),4)=0,366,365)</f>
        <v>365</v>
      </c>
      <c r="D1732" s="37" t="n">
        <f aca="false">Inputs!$B$9-SUMIFS(Cash_Events!$G$6:$G$20,Cash_Events!$C$6:$C$20,"rAGMF",Cash_Events!$B$6:$B$20,"&lt;="&amp;A1732)</f>
        <v>735000</v>
      </c>
      <c r="E1732" s="38" t="n">
        <f aca="false">VLOOKUP(A1732,Inputs!$A$40:$B$48,2,TRUE())</f>
        <v>0.0363225</v>
      </c>
      <c r="F1732" s="38" t="n">
        <f aca="false">E1732+Inputs!$B$10</f>
        <v>0.1038225</v>
      </c>
      <c r="G1732" s="37" t="n">
        <f aca="false">D1732*F1732/C1732</f>
        <v>209.067226027397</v>
      </c>
      <c r="H1732" s="37" t="n">
        <f aca="false">IF(AND(A1732&gt;=Inputs!$B$13,OR(A1732&lt;Inputs!$B$19,Inputs!$B$20=1)),D1732*Inputs!$B$11/C1732,0)</f>
        <v>40.2739726027397</v>
      </c>
      <c r="I1732" s="37" t="n">
        <f aca="false">Inputs!$C$9-SUMIFS(Cash_Events!$G$6:$G$20,Cash_Events!$C$6:$C$20,"FHL",Cash_Events!$B$6:$B$20,"&lt;="&amp;A1732)</f>
        <v>735000</v>
      </c>
      <c r="J1732" s="38" t="n">
        <f aca="false">VLOOKUP(A1732,Inputs!$F$40:$G$48,2,TRUE())</f>
        <v>0.0364054</v>
      </c>
      <c r="K1732" s="38" t="n">
        <f aca="false">J1732+Inputs!$C$10</f>
        <v>0.1039054</v>
      </c>
      <c r="L1732" s="37" t="n">
        <f aca="false">I1732*K1732/C1732</f>
        <v>209.234161643836</v>
      </c>
      <c r="M1732" s="37" t="n">
        <f aca="false">IF(AND(A1732&gt;=Inputs!$C$13,OR(A1732&lt;Inputs!$B$19,Inputs!$B$20=1)),I1732*Inputs!$C$11/C1732,0)</f>
        <v>40.2739726027397</v>
      </c>
    </row>
    <row r="1733" customFormat="false" ht="15" hidden="false" customHeight="false" outlineLevel="0" collapsed="false">
      <c r="A1733" s="35" t="n">
        <f aca="false">A1732+1</f>
        <v>46540</v>
      </c>
      <c r="B1733" s="35" t="n">
        <f aca="false">EOMONTH(A1733+1,0)</f>
        <v>46568</v>
      </c>
      <c r="C1733" s="36" t="n">
        <f aca="false">IF(MOD(YEAR(A1733),4)=0,366,365)</f>
        <v>365</v>
      </c>
      <c r="D1733" s="37" t="n">
        <f aca="false">Inputs!$B$9-SUMIFS(Cash_Events!$G$6:$G$20,Cash_Events!$C$6:$C$20,"rAGMF",Cash_Events!$B$6:$B$20,"&lt;="&amp;A1733)</f>
        <v>735000</v>
      </c>
      <c r="E1733" s="38" t="n">
        <f aca="false">VLOOKUP(A1733,Inputs!$A$40:$B$48,2,TRUE())</f>
        <v>0.0363225</v>
      </c>
      <c r="F1733" s="38" t="n">
        <f aca="false">E1733+Inputs!$B$10</f>
        <v>0.1038225</v>
      </c>
      <c r="G1733" s="37" t="n">
        <f aca="false">D1733*F1733/C1733</f>
        <v>209.067226027397</v>
      </c>
      <c r="H1733" s="37" t="n">
        <f aca="false">IF(AND(A1733&gt;=Inputs!$B$13,OR(A1733&lt;Inputs!$B$19,Inputs!$B$20=1)),D1733*Inputs!$B$11/C1733,0)</f>
        <v>40.2739726027397</v>
      </c>
      <c r="I1733" s="37" t="n">
        <f aca="false">Inputs!$C$9-SUMIFS(Cash_Events!$G$6:$G$20,Cash_Events!$C$6:$C$20,"FHL",Cash_Events!$B$6:$B$20,"&lt;="&amp;A1733)</f>
        <v>735000</v>
      </c>
      <c r="J1733" s="38" t="n">
        <f aca="false">VLOOKUP(A1733,Inputs!$F$40:$G$48,2,TRUE())</f>
        <v>0.0364054</v>
      </c>
      <c r="K1733" s="38" t="n">
        <f aca="false">J1733+Inputs!$C$10</f>
        <v>0.1039054</v>
      </c>
      <c r="L1733" s="37" t="n">
        <f aca="false">I1733*K1733/C1733</f>
        <v>209.234161643836</v>
      </c>
      <c r="M1733" s="37" t="n">
        <f aca="false">IF(AND(A1733&gt;=Inputs!$C$13,OR(A1733&lt;Inputs!$B$19,Inputs!$B$20=1)),I1733*Inputs!$C$11/C1733,0)</f>
        <v>40.2739726027397</v>
      </c>
    </row>
    <row r="1734" customFormat="false" ht="15" hidden="false" customHeight="false" outlineLevel="0" collapsed="false">
      <c r="A1734" s="35" t="n">
        <f aca="false">A1733+1</f>
        <v>46541</v>
      </c>
      <c r="B1734" s="35" t="n">
        <f aca="false">EOMONTH(A1734+1,0)</f>
        <v>46568</v>
      </c>
      <c r="C1734" s="36" t="n">
        <f aca="false">IF(MOD(YEAR(A1734),4)=0,366,365)</f>
        <v>365</v>
      </c>
      <c r="D1734" s="37" t="n">
        <f aca="false">Inputs!$B$9-SUMIFS(Cash_Events!$G$6:$G$20,Cash_Events!$C$6:$C$20,"rAGMF",Cash_Events!$B$6:$B$20,"&lt;="&amp;A1734)</f>
        <v>735000</v>
      </c>
      <c r="E1734" s="38" t="n">
        <f aca="false">VLOOKUP(A1734,Inputs!$A$40:$B$48,2,TRUE())</f>
        <v>0.0363225</v>
      </c>
      <c r="F1734" s="38" t="n">
        <f aca="false">E1734+Inputs!$B$10</f>
        <v>0.1038225</v>
      </c>
      <c r="G1734" s="37" t="n">
        <f aca="false">D1734*F1734/C1734</f>
        <v>209.067226027397</v>
      </c>
      <c r="H1734" s="37" t="n">
        <f aca="false">IF(AND(A1734&gt;=Inputs!$B$13,OR(A1734&lt;Inputs!$B$19,Inputs!$B$20=1)),D1734*Inputs!$B$11/C1734,0)</f>
        <v>40.2739726027397</v>
      </c>
      <c r="I1734" s="37" t="n">
        <f aca="false">Inputs!$C$9-SUMIFS(Cash_Events!$G$6:$G$20,Cash_Events!$C$6:$C$20,"FHL",Cash_Events!$B$6:$B$20,"&lt;="&amp;A1734)</f>
        <v>735000</v>
      </c>
      <c r="J1734" s="38" t="n">
        <f aca="false">VLOOKUP(A1734,Inputs!$F$40:$G$48,2,TRUE())</f>
        <v>0.0364054</v>
      </c>
      <c r="K1734" s="38" t="n">
        <f aca="false">J1734+Inputs!$C$10</f>
        <v>0.1039054</v>
      </c>
      <c r="L1734" s="37" t="n">
        <f aca="false">I1734*K1734/C1734</f>
        <v>209.234161643836</v>
      </c>
      <c r="M1734" s="37" t="n">
        <f aca="false">IF(AND(A1734&gt;=Inputs!$C$13,OR(A1734&lt;Inputs!$B$19,Inputs!$B$20=1)),I1734*Inputs!$C$11/C1734,0)</f>
        <v>40.2739726027397</v>
      </c>
    </row>
    <row r="1735" customFormat="false" ht="15" hidden="false" customHeight="false" outlineLevel="0" collapsed="false">
      <c r="A1735" s="35" t="n">
        <f aca="false">A1734+1</f>
        <v>46542</v>
      </c>
      <c r="B1735" s="35" t="n">
        <f aca="false">EOMONTH(A1735+1,0)</f>
        <v>46568</v>
      </c>
      <c r="C1735" s="36" t="n">
        <f aca="false">IF(MOD(YEAR(A1735),4)=0,366,365)</f>
        <v>365</v>
      </c>
      <c r="D1735" s="37" t="n">
        <f aca="false">Inputs!$B$9-SUMIFS(Cash_Events!$G$6:$G$20,Cash_Events!$C$6:$C$20,"rAGMF",Cash_Events!$B$6:$B$20,"&lt;="&amp;A1735)</f>
        <v>735000</v>
      </c>
      <c r="E1735" s="38" t="n">
        <f aca="false">VLOOKUP(A1735,Inputs!$A$40:$B$48,2,TRUE())</f>
        <v>0.0363225</v>
      </c>
      <c r="F1735" s="38" t="n">
        <f aca="false">E1735+Inputs!$B$10</f>
        <v>0.1038225</v>
      </c>
      <c r="G1735" s="37" t="n">
        <f aca="false">D1735*F1735/C1735</f>
        <v>209.067226027397</v>
      </c>
      <c r="H1735" s="37" t="n">
        <f aca="false">IF(AND(A1735&gt;=Inputs!$B$13,OR(A1735&lt;Inputs!$B$19,Inputs!$B$20=1)),D1735*Inputs!$B$11/C1735,0)</f>
        <v>40.2739726027397</v>
      </c>
      <c r="I1735" s="37" t="n">
        <f aca="false">Inputs!$C$9-SUMIFS(Cash_Events!$G$6:$G$20,Cash_Events!$C$6:$C$20,"FHL",Cash_Events!$B$6:$B$20,"&lt;="&amp;A1735)</f>
        <v>735000</v>
      </c>
      <c r="J1735" s="38" t="n">
        <f aca="false">VLOOKUP(A1735,Inputs!$F$40:$G$48,2,TRUE())</f>
        <v>0.0364054</v>
      </c>
      <c r="K1735" s="38" t="n">
        <f aca="false">J1735+Inputs!$C$10</f>
        <v>0.1039054</v>
      </c>
      <c r="L1735" s="37" t="n">
        <f aca="false">I1735*K1735/C1735</f>
        <v>209.234161643836</v>
      </c>
      <c r="M1735" s="37" t="n">
        <f aca="false">IF(AND(A1735&gt;=Inputs!$C$13,OR(A1735&lt;Inputs!$B$19,Inputs!$B$20=1)),I1735*Inputs!$C$11/C1735,0)</f>
        <v>40.2739726027397</v>
      </c>
    </row>
    <row r="1736" customFormat="false" ht="15" hidden="false" customHeight="false" outlineLevel="0" collapsed="false">
      <c r="A1736" s="35" t="n">
        <f aca="false">A1735+1</f>
        <v>46543</v>
      </c>
      <c r="B1736" s="35" t="n">
        <f aca="false">EOMONTH(A1736+1,0)</f>
        <v>46568</v>
      </c>
      <c r="C1736" s="36" t="n">
        <f aca="false">IF(MOD(YEAR(A1736),4)=0,366,365)</f>
        <v>365</v>
      </c>
      <c r="D1736" s="37" t="n">
        <f aca="false">Inputs!$B$9-SUMIFS(Cash_Events!$G$6:$G$20,Cash_Events!$C$6:$C$20,"rAGMF",Cash_Events!$B$6:$B$20,"&lt;="&amp;A1736)</f>
        <v>735000</v>
      </c>
      <c r="E1736" s="38" t="n">
        <f aca="false">VLOOKUP(A1736,Inputs!$A$40:$B$48,2,TRUE())</f>
        <v>0.0363225</v>
      </c>
      <c r="F1736" s="38" t="n">
        <f aca="false">E1736+Inputs!$B$10</f>
        <v>0.1038225</v>
      </c>
      <c r="G1736" s="37" t="n">
        <f aca="false">D1736*F1736/C1736</f>
        <v>209.067226027397</v>
      </c>
      <c r="H1736" s="37" t="n">
        <f aca="false">IF(AND(A1736&gt;=Inputs!$B$13,OR(A1736&lt;Inputs!$B$19,Inputs!$B$20=1)),D1736*Inputs!$B$11/C1736,0)</f>
        <v>40.2739726027397</v>
      </c>
      <c r="I1736" s="37" t="n">
        <f aca="false">Inputs!$C$9-SUMIFS(Cash_Events!$G$6:$G$20,Cash_Events!$C$6:$C$20,"FHL",Cash_Events!$B$6:$B$20,"&lt;="&amp;A1736)</f>
        <v>735000</v>
      </c>
      <c r="J1736" s="38" t="n">
        <f aca="false">VLOOKUP(A1736,Inputs!$F$40:$G$48,2,TRUE())</f>
        <v>0.0364054</v>
      </c>
      <c r="K1736" s="38" t="n">
        <f aca="false">J1736+Inputs!$C$10</f>
        <v>0.1039054</v>
      </c>
      <c r="L1736" s="37" t="n">
        <f aca="false">I1736*K1736/C1736</f>
        <v>209.234161643836</v>
      </c>
      <c r="M1736" s="37" t="n">
        <f aca="false">IF(AND(A1736&gt;=Inputs!$C$13,OR(A1736&lt;Inputs!$B$19,Inputs!$B$20=1)),I1736*Inputs!$C$11/C1736,0)</f>
        <v>40.2739726027397</v>
      </c>
    </row>
    <row r="1737" customFormat="false" ht="15" hidden="false" customHeight="false" outlineLevel="0" collapsed="false">
      <c r="A1737" s="35" t="n">
        <f aca="false">A1736+1</f>
        <v>46544</v>
      </c>
      <c r="B1737" s="35" t="n">
        <f aca="false">EOMONTH(A1737+1,0)</f>
        <v>46568</v>
      </c>
      <c r="C1737" s="36" t="n">
        <f aca="false">IF(MOD(YEAR(A1737),4)=0,366,365)</f>
        <v>365</v>
      </c>
      <c r="D1737" s="37" t="n">
        <f aca="false">Inputs!$B$9-SUMIFS(Cash_Events!$G$6:$G$20,Cash_Events!$C$6:$C$20,"rAGMF",Cash_Events!$B$6:$B$20,"&lt;="&amp;A1737)</f>
        <v>735000</v>
      </c>
      <c r="E1737" s="38" t="n">
        <f aca="false">VLOOKUP(A1737,Inputs!$A$40:$B$48,2,TRUE())</f>
        <v>0.0363225</v>
      </c>
      <c r="F1737" s="38" t="n">
        <f aca="false">E1737+Inputs!$B$10</f>
        <v>0.1038225</v>
      </c>
      <c r="G1737" s="37" t="n">
        <f aca="false">D1737*F1737/C1737</f>
        <v>209.067226027397</v>
      </c>
      <c r="H1737" s="37" t="n">
        <f aca="false">IF(AND(A1737&gt;=Inputs!$B$13,OR(A1737&lt;Inputs!$B$19,Inputs!$B$20=1)),D1737*Inputs!$B$11/C1737,0)</f>
        <v>40.2739726027397</v>
      </c>
      <c r="I1737" s="37" t="n">
        <f aca="false">Inputs!$C$9-SUMIFS(Cash_Events!$G$6:$G$20,Cash_Events!$C$6:$C$20,"FHL",Cash_Events!$B$6:$B$20,"&lt;="&amp;A1737)</f>
        <v>735000</v>
      </c>
      <c r="J1737" s="38" t="n">
        <f aca="false">VLOOKUP(A1737,Inputs!$F$40:$G$48,2,TRUE())</f>
        <v>0.0364054</v>
      </c>
      <c r="K1737" s="38" t="n">
        <f aca="false">J1737+Inputs!$C$10</f>
        <v>0.1039054</v>
      </c>
      <c r="L1737" s="37" t="n">
        <f aca="false">I1737*K1737/C1737</f>
        <v>209.234161643836</v>
      </c>
      <c r="M1737" s="37" t="n">
        <f aca="false">IF(AND(A1737&gt;=Inputs!$C$13,OR(A1737&lt;Inputs!$B$19,Inputs!$B$20=1)),I1737*Inputs!$C$11/C1737,0)</f>
        <v>40.2739726027397</v>
      </c>
    </row>
    <row r="1738" customFormat="false" ht="15" hidden="false" customHeight="false" outlineLevel="0" collapsed="false">
      <c r="A1738" s="35" t="n">
        <f aca="false">A1737+1</f>
        <v>46545</v>
      </c>
      <c r="B1738" s="35" t="n">
        <f aca="false">EOMONTH(A1738+1,0)</f>
        <v>46568</v>
      </c>
      <c r="C1738" s="36" t="n">
        <f aca="false">IF(MOD(YEAR(A1738),4)=0,366,365)</f>
        <v>365</v>
      </c>
      <c r="D1738" s="37" t="n">
        <f aca="false">Inputs!$B$9-SUMIFS(Cash_Events!$G$6:$G$20,Cash_Events!$C$6:$C$20,"rAGMF",Cash_Events!$B$6:$B$20,"&lt;="&amp;A1738)</f>
        <v>735000</v>
      </c>
      <c r="E1738" s="38" t="n">
        <f aca="false">VLOOKUP(A1738,Inputs!$A$40:$B$48,2,TRUE())</f>
        <v>0.0363225</v>
      </c>
      <c r="F1738" s="38" t="n">
        <f aca="false">E1738+Inputs!$B$10</f>
        <v>0.1038225</v>
      </c>
      <c r="G1738" s="37" t="n">
        <f aca="false">D1738*F1738/C1738</f>
        <v>209.067226027397</v>
      </c>
      <c r="H1738" s="37" t="n">
        <f aca="false">IF(AND(A1738&gt;=Inputs!$B$13,OR(A1738&lt;Inputs!$B$19,Inputs!$B$20=1)),D1738*Inputs!$B$11/C1738,0)</f>
        <v>40.2739726027397</v>
      </c>
      <c r="I1738" s="37" t="n">
        <f aca="false">Inputs!$C$9-SUMIFS(Cash_Events!$G$6:$G$20,Cash_Events!$C$6:$C$20,"FHL",Cash_Events!$B$6:$B$20,"&lt;="&amp;A1738)</f>
        <v>735000</v>
      </c>
      <c r="J1738" s="38" t="n">
        <f aca="false">VLOOKUP(A1738,Inputs!$F$40:$G$48,2,TRUE())</f>
        <v>0.0364054</v>
      </c>
      <c r="K1738" s="38" t="n">
        <f aca="false">J1738+Inputs!$C$10</f>
        <v>0.1039054</v>
      </c>
      <c r="L1738" s="37" t="n">
        <f aca="false">I1738*K1738/C1738</f>
        <v>209.234161643836</v>
      </c>
      <c r="M1738" s="37" t="n">
        <f aca="false">IF(AND(A1738&gt;=Inputs!$C$13,OR(A1738&lt;Inputs!$B$19,Inputs!$B$20=1)),I1738*Inputs!$C$11/C1738,0)</f>
        <v>40.2739726027397</v>
      </c>
    </row>
    <row r="1739" customFormat="false" ht="15" hidden="false" customHeight="false" outlineLevel="0" collapsed="false">
      <c r="A1739" s="35" t="n">
        <f aca="false">A1738+1</f>
        <v>46546</v>
      </c>
      <c r="B1739" s="35" t="n">
        <f aca="false">EOMONTH(A1739+1,0)</f>
        <v>46568</v>
      </c>
      <c r="C1739" s="36" t="n">
        <f aca="false">IF(MOD(YEAR(A1739),4)=0,366,365)</f>
        <v>365</v>
      </c>
      <c r="D1739" s="37" t="n">
        <f aca="false">Inputs!$B$9-SUMIFS(Cash_Events!$G$6:$G$20,Cash_Events!$C$6:$C$20,"rAGMF",Cash_Events!$B$6:$B$20,"&lt;="&amp;A1739)</f>
        <v>735000</v>
      </c>
      <c r="E1739" s="38" t="n">
        <f aca="false">VLOOKUP(A1739,Inputs!$A$40:$B$48,2,TRUE())</f>
        <v>0.0363225</v>
      </c>
      <c r="F1739" s="38" t="n">
        <f aca="false">E1739+Inputs!$B$10</f>
        <v>0.1038225</v>
      </c>
      <c r="G1739" s="37" t="n">
        <f aca="false">D1739*F1739/C1739</f>
        <v>209.067226027397</v>
      </c>
      <c r="H1739" s="37" t="n">
        <f aca="false">IF(AND(A1739&gt;=Inputs!$B$13,OR(A1739&lt;Inputs!$B$19,Inputs!$B$20=1)),D1739*Inputs!$B$11/C1739,0)</f>
        <v>40.2739726027397</v>
      </c>
      <c r="I1739" s="37" t="n">
        <f aca="false">Inputs!$C$9-SUMIFS(Cash_Events!$G$6:$G$20,Cash_Events!$C$6:$C$20,"FHL",Cash_Events!$B$6:$B$20,"&lt;="&amp;A1739)</f>
        <v>735000</v>
      </c>
      <c r="J1739" s="38" t="n">
        <f aca="false">VLOOKUP(A1739,Inputs!$F$40:$G$48,2,TRUE())</f>
        <v>0.0364054</v>
      </c>
      <c r="K1739" s="38" t="n">
        <f aca="false">J1739+Inputs!$C$10</f>
        <v>0.1039054</v>
      </c>
      <c r="L1739" s="37" t="n">
        <f aca="false">I1739*K1739/C1739</f>
        <v>209.234161643836</v>
      </c>
      <c r="M1739" s="37" t="n">
        <f aca="false">IF(AND(A1739&gt;=Inputs!$C$13,OR(A1739&lt;Inputs!$B$19,Inputs!$B$20=1)),I1739*Inputs!$C$11/C1739,0)</f>
        <v>40.2739726027397</v>
      </c>
    </row>
    <row r="1740" customFormat="false" ht="15" hidden="false" customHeight="false" outlineLevel="0" collapsed="false">
      <c r="A1740" s="35" t="n">
        <f aca="false">A1739+1</f>
        <v>46547</v>
      </c>
      <c r="B1740" s="35" t="n">
        <f aca="false">EOMONTH(A1740+1,0)</f>
        <v>46568</v>
      </c>
      <c r="C1740" s="36" t="n">
        <f aca="false">IF(MOD(YEAR(A1740),4)=0,366,365)</f>
        <v>365</v>
      </c>
      <c r="D1740" s="37" t="n">
        <f aca="false">Inputs!$B$9-SUMIFS(Cash_Events!$G$6:$G$20,Cash_Events!$C$6:$C$20,"rAGMF",Cash_Events!$B$6:$B$20,"&lt;="&amp;A1740)</f>
        <v>735000</v>
      </c>
      <c r="E1740" s="38" t="n">
        <f aca="false">VLOOKUP(A1740,Inputs!$A$40:$B$48,2,TRUE())</f>
        <v>0.0363225</v>
      </c>
      <c r="F1740" s="38" t="n">
        <f aca="false">E1740+Inputs!$B$10</f>
        <v>0.1038225</v>
      </c>
      <c r="G1740" s="37" t="n">
        <f aca="false">D1740*F1740/C1740</f>
        <v>209.067226027397</v>
      </c>
      <c r="H1740" s="37" t="n">
        <f aca="false">IF(AND(A1740&gt;=Inputs!$B$13,OR(A1740&lt;Inputs!$B$19,Inputs!$B$20=1)),D1740*Inputs!$B$11/C1740,0)</f>
        <v>40.2739726027397</v>
      </c>
      <c r="I1740" s="37" t="n">
        <f aca="false">Inputs!$C$9-SUMIFS(Cash_Events!$G$6:$G$20,Cash_Events!$C$6:$C$20,"FHL",Cash_Events!$B$6:$B$20,"&lt;="&amp;A1740)</f>
        <v>735000</v>
      </c>
      <c r="J1740" s="38" t="n">
        <f aca="false">VLOOKUP(A1740,Inputs!$F$40:$G$48,2,TRUE())</f>
        <v>0.0364054</v>
      </c>
      <c r="K1740" s="38" t="n">
        <f aca="false">J1740+Inputs!$C$10</f>
        <v>0.1039054</v>
      </c>
      <c r="L1740" s="37" t="n">
        <f aca="false">I1740*K1740/C1740</f>
        <v>209.234161643836</v>
      </c>
      <c r="M1740" s="37" t="n">
        <f aca="false">IF(AND(A1740&gt;=Inputs!$C$13,OR(A1740&lt;Inputs!$B$19,Inputs!$B$20=1)),I1740*Inputs!$C$11/C1740,0)</f>
        <v>40.2739726027397</v>
      </c>
    </row>
    <row r="1741" customFormat="false" ht="15" hidden="false" customHeight="false" outlineLevel="0" collapsed="false">
      <c r="A1741" s="35" t="n">
        <f aca="false">A1740+1</f>
        <v>46548</v>
      </c>
      <c r="B1741" s="35" t="n">
        <f aca="false">EOMONTH(A1741+1,0)</f>
        <v>46568</v>
      </c>
      <c r="C1741" s="36" t="n">
        <f aca="false">IF(MOD(YEAR(A1741),4)=0,366,365)</f>
        <v>365</v>
      </c>
      <c r="D1741" s="37" t="n">
        <f aca="false">Inputs!$B$9-SUMIFS(Cash_Events!$G$6:$G$20,Cash_Events!$C$6:$C$20,"rAGMF",Cash_Events!$B$6:$B$20,"&lt;="&amp;A1741)</f>
        <v>735000</v>
      </c>
      <c r="E1741" s="38" t="n">
        <f aca="false">VLOOKUP(A1741,Inputs!$A$40:$B$48,2,TRUE())</f>
        <v>0.0363225</v>
      </c>
      <c r="F1741" s="38" t="n">
        <f aca="false">E1741+Inputs!$B$10</f>
        <v>0.1038225</v>
      </c>
      <c r="G1741" s="37" t="n">
        <f aca="false">D1741*F1741/C1741</f>
        <v>209.067226027397</v>
      </c>
      <c r="H1741" s="37" t="n">
        <f aca="false">IF(AND(A1741&gt;=Inputs!$B$13,OR(A1741&lt;Inputs!$B$19,Inputs!$B$20=1)),D1741*Inputs!$B$11/C1741,0)</f>
        <v>40.2739726027397</v>
      </c>
      <c r="I1741" s="37" t="n">
        <f aca="false">Inputs!$C$9-SUMIFS(Cash_Events!$G$6:$G$20,Cash_Events!$C$6:$C$20,"FHL",Cash_Events!$B$6:$B$20,"&lt;="&amp;A1741)</f>
        <v>735000</v>
      </c>
      <c r="J1741" s="38" t="n">
        <f aca="false">VLOOKUP(A1741,Inputs!$F$40:$G$48,2,TRUE())</f>
        <v>0.0364054</v>
      </c>
      <c r="K1741" s="38" t="n">
        <f aca="false">J1741+Inputs!$C$10</f>
        <v>0.1039054</v>
      </c>
      <c r="L1741" s="37" t="n">
        <f aca="false">I1741*K1741/C1741</f>
        <v>209.234161643836</v>
      </c>
      <c r="M1741" s="37" t="n">
        <f aca="false">IF(AND(A1741&gt;=Inputs!$C$13,OR(A1741&lt;Inputs!$B$19,Inputs!$B$20=1)),I1741*Inputs!$C$11/C1741,0)</f>
        <v>40.2739726027397</v>
      </c>
    </row>
    <row r="1742" customFormat="false" ht="15" hidden="false" customHeight="false" outlineLevel="0" collapsed="false">
      <c r="A1742" s="35" t="n">
        <f aca="false">A1741+1</f>
        <v>46549</v>
      </c>
      <c r="B1742" s="35" t="n">
        <f aca="false">EOMONTH(A1742+1,0)</f>
        <v>46568</v>
      </c>
      <c r="C1742" s="36" t="n">
        <f aca="false">IF(MOD(YEAR(A1742),4)=0,366,365)</f>
        <v>365</v>
      </c>
      <c r="D1742" s="37" t="n">
        <f aca="false">Inputs!$B$9-SUMIFS(Cash_Events!$G$6:$G$20,Cash_Events!$C$6:$C$20,"rAGMF",Cash_Events!$B$6:$B$20,"&lt;="&amp;A1742)</f>
        <v>735000</v>
      </c>
      <c r="E1742" s="38" t="n">
        <f aca="false">VLOOKUP(A1742,Inputs!$A$40:$B$48,2,TRUE())</f>
        <v>0.0363225</v>
      </c>
      <c r="F1742" s="38" t="n">
        <f aca="false">E1742+Inputs!$B$10</f>
        <v>0.1038225</v>
      </c>
      <c r="G1742" s="37" t="n">
        <f aca="false">D1742*F1742/C1742</f>
        <v>209.067226027397</v>
      </c>
      <c r="H1742" s="37" t="n">
        <f aca="false">IF(AND(A1742&gt;=Inputs!$B$13,OR(A1742&lt;Inputs!$B$19,Inputs!$B$20=1)),D1742*Inputs!$B$11/C1742,0)</f>
        <v>40.2739726027397</v>
      </c>
      <c r="I1742" s="37" t="n">
        <f aca="false">Inputs!$C$9-SUMIFS(Cash_Events!$G$6:$G$20,Cash_Events!$C$6:$C$20,"FHL",Cash_Events!$B$6:$B$20,"&lt;="&amp;A1742)</f>
        <v>735000</v>
      </c>
      <c r="J1742" s="38" t="n">
        <f aca="false">VLOOKUP(A1742,Inputs!$F$40:$G$48,2,TRUE())</f>
        <v>0.0364054</v>
      </c>
      <c r="K1742" s="38" t="n">
        <f aca="false">J1742+Inputs!$C$10</f>
        <v>0.1039054</v>
      </c>
      <c r="L1742" s="37" t="n">
        <f aca="false">I1742*K1742/C1742</f>
        <v>209.234161643836</v>
      </c>
      <c r="M1742" s="37" t="n">
        <f aca="false">IF(AND(A1742&gt;=Inputs!$C$13,OR(A1742&lt;Inputs!$B$19,Inputs!$B$20=1)),I1742*Inputs!$C$11/C1742,0)</f>
        <v>40.2739726027397</v>
      </c>
    </row>
    <row r="1743" customFormat="false" ht="15" hidden="false" customHeight="false" outlineLevel="0" collapsed="false">
      <c r="A1743" s="35" t="n">
        <f aca="false">A1742+1</f>
        <v>46550</v>
      </c>
      <c r="B1743" s="35" t="n">
        <f aca="false">EOMONTH(A1743+1,0)</f>
        <v>46568</v>
      </c>
      <c r="C1743" s="36" t="n">
        <f aca="false">IF(MOD(YEAR(A1743),4)=0,366,365)</f>
        <v>365</v>
      </c>
      <c r="D1743" s="37" t="n">
        <f aca="false">Inputs!$B$9-SUMIFS(Cash_Events!$G$6:$G$20,Cash_Events!$C$6:$C$20,"rAGMF",Cash_Events!$B$6:$B$20,"&lt;="&amp;A1743)</f>
        <v>735000</v>
      </c>
      <c r="E1743" s="38" t="n">
        <f aca="false">VLOOKUP(A1743,Inputs!$A$40:$B$48,2,TRUE())</f>
        <v>0.0363225</v>
      </c>
      <c r="F1743" s="38" t="n">
        <f aca="false">E1743+Inputs!$B$10</f>
        <v>0.1038225</v>
      </c>
      <c r="G1743" s="37" t="n">
        <f aca="false">D1743*F1743/C1743</f>
        <v>209.067226027397</v>
      </c>
      <c r="H1743" s="37" t="n">
        <f aca="false">IF(AND(A1743&gt;=Inputs!$B$13,OR(A1743&lt;Inputs!$B$19,Inputs!$B$20=1)),D1743*Inputs!$B$11/C1743,0)</f>
        <v>40.2739726027397</v>
      </c>
      <c r="I1743" s="37" t="n">
        <f aca="false">Inputs!$C$9-SUMIFS(Cash_Events!$G$6:$G$20,Cash_Events!$C$6:$C$20,"FHL",Cash_Events!$B$6:$B$20,"&lt;="&amp;A1743)</f>
        <v>735000</v>
      </c>
      <c r="J1743" s="38" t="n">
        <f aca="false">VLOOKUP(A1743,Inputs!$F$40:$G$48,2,TRUE())</f>
        <v>0.0364054</v>
      </c>
      <c r="K1743" s="38" t="n">
        <f aca="false">J1743+Inputs!$C$10</f>
        <v>0.1039054</v>
      </c>
      <c r="L1743" s="37" t="n">
        <f aca="false">I1743*K1743/C1743</f>
        <v>209.234161643836</v>
      </c>
      <c r="M1743" s="37" t="n">
        <f aca="false">IF(AND(A1743&gt;=Inputs!$C$13,OR(A1743&lt;Inputs!$B$19,Inputs!$B$20=1)),I1743*Inputs!$C$11/C1743,0)</f>
        <v>40.2739726027397</v>
      </c>
    </row>
    <row r="1744" customFormat="false" ht="15" hidden="false" customHeight="false" outlineLevel="0" collapsed="false">
      <c r="A1744" s="35" t="n">
        <f aca="false">A1743+1</f>
        <v>46551</v>
      </c>
      <c r="B1744" s="35" t="n">
        <f aca="false">EOMONTH(A1744+1,0)</f>
        <v>46568</v>
      </c>
      <c r="C1744" s="36" t="n">
        <f aca="false">IF(MOD(YEAR(A1744),4)=0,366,365)</f>
        <v>365</v>
      </c>
      <c r="D1744" s="37" t="n">
        <f aca="false">Inputs!$B$9-SUMIFS(Cash_Events!$G$6:$G$20,Cash_Events!$C$6:$C$20,"rAGMF",Cash_Events!$B$6:$B$20,"&lt;="&amp;A1744)</f>
        <v>735000</v>
      </c>
      <c r="E1744" s="38" t="n">
        <f aca="false">VLOOKUP(A1744,Inputs!$A$40:$B$48,2,TRUE())</f>
        <v>0.0363225</v>
      </c>
      <c r="F1744" s="38" t="n">
        <f aca="false">E1744+Inputs!$B$10</f>
        <v>0.1038225</v>
      </c>
      <c r="G1744" s="37" t="n">
        <f aca="false">D1744*F1744/C1744</f>
        <v>209.067226027397</v>
      </c>
      <c r="H1744" s="37" t="n">
        <f aca="false">IF(AND(A1744&gt;=Inputs!$B$13,OR(A1744&lt;Inputs!$B$19,Inputs!$B$20=1)),D1744*Inputs!$B$11/C1744,0)</f>
        <v>40.2739726027397</v>
      </c>
      <c r="I1744" s="37" t="n">
        <f aca="false">Inputs!$C$9-SUMIFS(Cash_Events!$G$6:$G$20,Cash_Events!$C$6:$C$20,"FHL",Cash_Events!$B$6:$B$20,"&lt;="&amp;A1744)</f>
        <v>735000</v>
      </c>
      <c r="J1744" s="38" t="n">
        <f aca="false">VLOOKUP(A1744,Inputs!$F$40:$G$48,2,TRUE())</f>
        <v>0.0364054</v>
      </c>
      <c r="K1744" s="38" t="n">
        <f aca="false">J1744+Inputs!$C$10</f>
        <v>0.1039054</v>
      </c>
      <c r="L1744" s="37" t="n">
        <f aca="false">I1744*K1744/C1744</f>
        <v>209.234161643836</v>
      </c>
      <c r="M1744" s="37" t="n">
        <f aca="false">IF(AND(A1744&gt;=Inputs!$C$13,OR(A1744&lt;Inputs!$B$19,Inputs!$B$20=1)),I1744*Inputs!$C$11/C1744,0)</f>
        <v>40.2739726027397</v>
      </c>
    </row>
    <row r="1745" customFormat="false" ht="15" hidden="false" customHeight="false" outlineLevel="0" collapsed="false">
      <c r="A1745" s="35" t="n">
        <f aca="false">A1744+1</f>
        <v>46552</v>
      </c>
      <c r="B1745" s="35" t="n">
        <f aca="false">EOMONTH(A1745+1,0)</f>
        <v>46568</v>
      </c>
      <c r="C1745" s="36" t="n">
        <f aca="false">IF(MOD(YEAR(A1745),4)=0,366,365)</f>
        <v>365</v>
      </c>
      <c r="D1745" s="37" t="n">
        <f aca="false">Inputs!$B$9-SUMIFS(Cash_Events!$G$6:$G$20,Cash_Events!$C$6:$C$20,"rAGMF",Cash_Events!$B$6:$B$20,"&lt;="&amp;A1745)</f>
        <v>735000</v>
      </c>
      <c r="E1745" s="38" t="n">
        <f aca="false">VLOOKUP(A1745,Inputs!$A$40:$B$48,2,TRUE())</f>
        <v>0.0363225</v>
      </c>
      <c r="F1745" s="38" t="n">
        <f aca="false">E1745+Inputs!$B$10</f>
        <v>0.1038225</v>
      </c>
      <c r="G1745" s="37" t="n">
        <f aca="false">D1745*F1745/C1745</f>
        <v>209.067226027397</v>
      </c>
      <c r="H1745" s="37" t="n">
        <f aca="false">IF(AND(A1745&gt;=Inputs!$B$13,OR(A1745&lt;Inputs!$B$19,Inputs!$B$20=1)),D1745*Inputs!$B$11/C1745,0)</f>
        <v>40.2739726027397</v>
      </c>
      <c r="I1745" s="37" t="n">
        <f aca="false">Inputs!$C$9-SUMIFS(Cash_Events!$G$6:$G$20,Cash_Events!$C$6:$C$20,"FHL",Cash_Events!$B$6:$B$20,"&lt;="&amp;A1745)</f>
        <v>735000</v>
      </c>
      <c r="J1745" s="38" t="n">
        <f aca="false">VLOOKUP(A1745,Inputs!$F$40:$G$48,2,TRUE())</f>
        <v>0.0364054</v>
      </c>
      <c r="K1745" s="38" t="n">
        <f aca="false">J1745+Inputs!$C$10</f>
        <v>0.1039054</v>
      </c>
      <c r="L1745" s="37" t="n">
        <f aca="false">I1745*K1745/C1745</f>
        <v>209.234161643836</v>
      </c>
      <c r="M1745" s="37" t="n">
        <f aca="false">IF(AND(A1745&gt;=Inputs!$C$13,OR(A1745&lt;Inputs!$B$19,Inputs!$B$20=1)),I1745*Inputs!$C$11/C1745,0)</f>
        <v>40.2739726027397</v>
      </c>
    </row>
    <row r="1746" customFormat="false" ht="15" hidden="false" customHeight="false" outlineLevel="0" collapsed="false">
      <c r="A1746" s="35" t="n">
        <f aca="false">A1745+1</f>
        <v>46553</v>
      </c>
      <c r="B1746" s="35" t="n">
        <f aca="false">EOMONTH(A1746+1,0)</f>
        <v>46568</v>
      </c>
      <c r="C1746" s="36" t="n">
        <f aca="false">IF(MOD(YEAR(A1746),4)=0,366,365)</f>
        <v>365</v>
      </c>
      <c r="D1746" s="37" t="n">
        <f aca="false">Inputs!$B$9-SUMIFS(Cash_Events!$G$6:$G$20,Cash_Events!$C$6:$C$20,"rAGMF",Cash_Events!$B$6:$B$20,"&lt;="&amp;A1746)</f>
        <v>735000</v>
      </c>
      <c r="E1746" s="38" t="n">
        <f aca="false">VLOOKUP(A1746,Inputs!$A$40:$B$48,2,TRUE())</f>
        <v>0.0363225</v>
      </c>
      <c r="F1746" s="38" t="n">
        <f aca="false">E1746+Inputs!$B$10</f>
        <v>0.1038225</v>
      </c>
      <c r="G1746" s="37" t="n">
        <f aca="false">D1746*F1746/C1746</f>
        <v>209.067226027397</v>
      </c>
      <c r="H1746" s="37" t="n">
        <f aca="false">IF(AND(A1746&gt;=Inputs!$B$13,OR(A1746&lt;Inputs!$B$19,Inputs!$B$20=1)),D1746*Inputs!$B$11/C1746,0)</f>
        <v>40.2739726027397</v>
      </c>
      <c r="I1746" s="37" t="n">
        <f aca="false">Inputs!$C$9-SUMIFS(Cash_Events!$G$6:$G$20,Cash_Events!$C$6:$C$20,"FHL",Cash_Events!$B$6:$B$20,"&lt;="&amp;A1746)</f>
        <v>735000</v>
      </c>
      <c r="J1746" s="38" t="n">
        <f aca="false">VLOOKUP(A1746,Inputs!$F$40:$G$48,2,TRUE())</f>
        <v>0.0364054</v>
      </c>
      <c r="K1746" s="38" t="n">
        <f aca="false">J1746+Inputs!$C$10</f>
        <v>0.1039054</v>
      </c>
      <c r="L1746" s="37" t="n">
        <f aca="false">I1746*K1746/C1746</f>
        <v>209.234161643836</v>
      </c>
      <c r="M1746" s="37" t="n">
        <f aca="false">IF(AND(A1746&gt;=Inputs!$C$13,OR(A1746&lt;Inputs!$B$19,Inputs!$B$20=1)),I1746*Inputs!$C$11/C1746,0)</f>
        <v>40.2739726027397</v>
      </c>
    </row>
    <row r="1747" customFormat="false" ht="15" hidden="false" customHeight="false" outlineLevel="0" collapsed="false">
      <c r="A1747" s="35" t="n">
        <f aca="false">A1746+1</f>
        <v>46554</v>
      </c>
      <c r="B1747" s="35" t="n">
        <f aca="false">EOMONTH(A1747+1,0)</f>
        <v>46568</v>
      </c>
      <c r="C1747" s="36" t="n">
        <f aca="false">IF(MOD(YEAR(A1747),4)=0,366,365)</f>
        <v>365</v>
      </c>
      <c r="D1747" s="37" t="n">
        <f aca="false">Inputs!$B$9-SUMIFS(Cash_Events!$G$6:$G$20,Cash_Events!$C$6:$C$20,"rAGMF",Cash_Events!$B$6:$B$20,"&lt;="&amp;A1747)</f>
        <v>735000</v>
      </c>
      <c r="E1747" s="38" t="n">
        <f aca="false">VLOOKUP(A1747,Inputs!$A$40:$B$48,2,TRUE())</f>
        <v>0.0363225</v>
      </c>
      <c r="F1747" s="38" t="n">
        <f aca="false">E1747+Inputs!$B$10</f>
        <v>0.1038225</v>
      </c>
      <c r="G1747" s="37" t="n">
        <f aca="false">D1747*F1747/C1747</f>
        <v>209.067226027397</v>
      </c>
      <c r="H1747" s="37" t="n">
        <f aca="false">IF(AND(A1747&gt;=Inputs!$B$13,OR(A1747&lt;Inputs!$B$19,Inputs!$B$20=1)),D1747*Inputs!$B$11/C1747,0)</f>
        <v>40.2739726027397</v>
      </c>
      <c r="I1747" s="37" t="n">
        <f aca="false">Inputs!$C$9-SUMIFS(Cash_Events!$G$6:$G$20,Cash_Events!$C$6:$C$20,"FHL",Cash_Events!$B$6:$B$20,"&lt;="&amp;A1747)</f>
        <v>735000</v>
      </c>
      <c r="J1747" s="38" t="n">
        <f aca="false">VLOOKUP(A1747,Inputs!$F$40:$G$48,2,TRUE())</f>
        <v>0.0364054</v>
      </c>
      <c r="K1747" s="38" t="n">
        <f aca="false">J1747+Inputs!$C$10</f>
        <v>0.1039054</v>
      </c>
      <c r="L1747" s="37" t="n">
        <f aca="false">I1747*K1747/C1747</f>
        <v>209.234161643836</v>
      </c>
      <c r="M1747" s="37" t="n">
        <f aca="false">IF(AND(A1747&gt;=Inputs!$C$13,OR(A1747&lt;Inputs!$B$19,Inputs!$B$20=1)),I1747*Inputs!$C$11/C1747,0)</f>
        <v>40.2739726027397</v>
      </c>
    </row>
    <row r="1748" customFormat="false" ht="15" hidden="false" customHeight="false" outlineLevel="0" collapsed="false">
      <c r="A1748" s="35" t="n">
        <f aca="false">A1747+1</f>
        <v>46555</v>
      </c>
      <c r="B1748" s="35" t="n">
        <f aca="false">EOMONTH(A1748+1,0)</f>
        <v>46568</v>
      </c>
      <c r="C1748" s="36" t="n">
        <f aca="false">IF(MOD(YEAR(A1748),4)=0,366,365)</f>
        <v>365</v>
      </c>
      <c r="D1748" s="37" t="n">
        <f aca="false">Inputs!$B$9-SUMIFS(Cash_Events!$G$6:$G$20,Cash_Events!$C$6:$C$20,"rAGMF",Cash_Events!$B$6:$B$20,"&lt;="&amp;A1748)</f>
        <v>735000</v>
      </c>
      <c r="E1748" s="38" t="n">
        <f aca="false">VLOOKUP(A1748,Inputs!$A$40:$B$48,2,TRUE())</f>
        <v>0.0363225</v>
      </c>
      <c r="F1748" s="38" t="n">
        <f aca="false">E1748+Inputs!$B$10</f>
        <v>0.1038225</v>
      </c>
      <c r="G1748" s="37" t="n">
        <f aca="false">D1748*F1748/C1748</f>
        <v>209.067226027397</v>
      </c>
      <c r="H1748" s="37" t="n">
        <f aca="false">IF(AND(A1748&gt;=Inputs!$B$13,OR(A1748&lt;Inputs!$B$19,Inputs!$B$20=1)),D1748*Inputs!$B$11/C1748,0)</f>
        <v>40.2739726027397</v>
      </c>
      <c r="I1748" s="37" t="n">
        <f aca="false">Inputs!$C$9-SUMIFS(Cash_Events!$G$6:$G$20,Cash_Events!$C$6:$C$20,"FHL",Cash_Events!$B$6:$B$20,"&lt;="&amp;A1748)</f>
        <v>735000</v>
      </c>
      <c r="J1748" s="38" t="n">
        <f aca="false">VLOOKUP(A1748,Inputs!$F$40:$G$48,2,TRUE())</f>
        <v>0.0364054</v>
      </c>
      <c r="K1748" s="38" t="n">
        <f aca="false">J1748+Inputs!$C$10</f>
        <v>0.1039054</v>
      </c>
      <c r="L1748" s="37" t="n">
        <f aca="false">I1748*K1748/C1748</f>
        <v>209.234161643836</v>
      </c>
      <c r="M1748" s="37" t="n">
        <f aca="false">IF(AND(A1748&gt;=Inputs!$C$13,OR(A1748&lt;Inputs!$B$19,Inputs!$B$20=1)),I1748*Inputs!$C$11/C1748,0)</f>
        <v>40.2739726027397</v>
      </c>
    </row>
    <row r="1749" customFormat="false" ht="15" hidden="false" customHeight="false" outlineLevel="0" collapsed="false">
      <c r="A1749" s="35" t="n">
        <f aca="false">A1748+1</f>
        <v>46556</v>
      </c>
      <c r="B1749" s="35" t="n">
        <f aca="false">EOMONTH(A1749+1,0)</f>
        <v>46568</v>
      </c>
      <c r="C1749" s="36" t="n">
        <f aca="false">IF(MOD(YEAR(A1749),4)=0,366,365)</f>
        <v>365</v>
      </c>
      <c r="D1749" s="37" t="n">
        <f aca="false">Inputs!$B$9-SUMIFS(Cash_Events!$G$6:$G$20,Cash_Events!$C$6:$C$20,"rAGMF",Cash_Events!$B$6:$B$20,"&lt;="&amp;A1749)</f>
        <v>735000</v>
      </c>
      <c r="E1749" s="38" t="n">
        <f aca="false">VLOOKUP(A1749,Inputs!$A$40:$B$48,2,TRUE())</f>
        <v>0.0363225</v>
      </c>
      <c r="F1749" s="38" t="n">
        <f aca="false">E1749+Inputs!$B$10</f>
        <v>0.1038225</v>
      </c>
      <c r="G1749" s="37" t="n">
        <f aca="false">D1749*F1749/C1749</f>
        <v>209.067226027397</v>
      </c>
      <c r="H1749" s="37" t="n">
        <f aca="false">IF(AND(A1749&gt;=Inputs!$B$13,OR(A1749&lt;Inputs!$B$19,Inputs!$B$20=1)),D1749*Inputs!$B$11/C1749,0)</f>
        <v>40.2739726027397</v>
      </c>
      <c r="I1749" s="37" t="n">
        <f aca="false">Inputs!$C$9-SUMIFS(Cash_Events!$G$6:$G$20,Cash_Events!$C$6:$C$20,"FHL",Cash_Events!$B$6:$B$20,"&lt;="&amp;A1749)</f>
        <v>735000</v>
      </c>
      <c r="J1749" s="38" t="n">
        <f aca="false">VLOOKUP(A1749,Inputs!$F$40:$G$48,2,TRUE())</f>
        <v>0.0364054</v>
      </c>
      <c r="K1749" s="38" t="n">
        <f aca="false">J1749+Inputs!$C$10</f>
        <v>0.1039054</v>
      </c>
      <c r="L1749" s="37" t="n">
        <f aca="false">I1749*K1749/C1749</f>
        <v>209.234161643836</v>
      </c>
      <c r="M1749" s="37" t="n">
        <f aca="false">IF(AND(A1749&gt;=Inputs!$C$13,OR(A1749&lt;Inputs!$B$19,Inputs!$B$20=1)),I1749*Inputs!$C$11/C1749,0)</f>
        <v>40.2739726027397</v>
      </c>
    </row>
    <row r="1750" customFormat="false" ht="15" hidden="false" customHeight="false" outlineLevel="0" collapsed="false">
      <c r="A1750" s="35" t="n">
        <f aca="false">A1749+1</f>
        <v>46557</v>
      </c>
      <c r="B1750" s="35" t="n">
        <f aca="false">EOMONTH(A1750+1,0)</f>
        <v>46568</v>
      </c>
      <c r="C1750" s="36" t="n">
        <f aca="false">IF(MOD(YEAR(A1750),4)=0,366,365)</f>
        <v>365</v>
      </c>
      <c r="D1750" s="37" t="n">
        <f aca="false">Inputs!$B$9-SUMIFS(Cash_Events!$G$6:$G$20,Cash_Events!$C$6:$C$20,"rAGMF",Cash_Events!$B$6:$B$20,"&lt;="&amp;A1750)</f>
        <v>735000</v>
      </c>
      <c r="E1750" s="38" t="n">
        <f aca="false">VLOOKUP(A1750,Inputs!$A$40:$B$48,2,TRUE())</f>
        <v>0.0363225</v>
      </c>
      <c r="F1750" s="38" t="n">
        <f aca="false">E1750+Inputs!$B$10</f>
        <v>0.1038225</v>
      </c>
      <c r="G1750" s="37" t="n">
        <f aca="false">D1750*F1750/C1750</f>
        <v>209.067226027397</v>
      </c>
      <c r="H1750" s="37" t="n">
        <f aca="false">IF(AND(A1750&gt;=Inputs!$B$13,OR(A1750&lt;Inputs!$B$19,Inputs!$B$20=1)),D1750*Inputs!$B$11/C1750,0)</f>
        <v>40.2739726027397</v>
      </c>
      <c r="I1750" s="37" t="n">
        <f aca="false">Inputs!$C$9-SUMIFS(Cash_Events!$G$6:$G$20,Cash_Events!$C$6:$C$20,"FHL",Cash_Events!$B$6:$B$20,"&lt;="&amp;A1750)</f>
        <v>735000</v>
      </c>
      <c r="J1750" s="38" t="n">
        <f aca="false">VLOOKUP(A1750,Inputs!$F$40:$G$48,2,TRUE())</f>
        <v>0.0364054</v>
      </c>
      <c r="K1750" s="38" t="n">
        <f aca="false">J1750+Inputs!$C$10</f>
        <v>0.1039054</v>
      </c>
      <c r="L1750" s="37" t="n">
        <f aca="false">I1750*K1750/C1750</f>
        <v>209.234161643836</v>
      </c>
      <c r="M1750" s="37" t="n">
        <f aca="false">IF(AND(A1750&gt;=Inputs!$C$13,OR(A1750&lt;Inputs!$B$19,Inputs!$B$20=1)),I1750*Inputs!$C$11/C1750,0)</f>
        <v>40.2739726027397</v>
      </c>
    </row>
    <row r="1751" customFormat="false" ht="15" hidden="false" customHeight="false" outlineLevel="0" collapsed="false">
      <c r="A1751" s="35" t="n">
        <f aca="false">A1750+1</f>
        <v>46558</v>
      </c>
      <c r="B1751" s="35" t="n">
        <f aca="false">EOMONTH(A1751+1,0)</f>
        <v>46568</v>
      </c>
      <c r="C1751" s="36" t="n">
        <f aca="false">IF(MOD(YEAR(A1751),4)=0,366,365)</f>
        <v>365</v>
      </c>
      <c r="D1751" s="37" t="n">
        <f aca="false">Inputs!$B$9-SUMIFS(Cash_Events!$G$6:$G$20,Cash_Events!$C$6:$C$20,"rAGMF",Cash_Events!$B$6:$B$20,"&lt;="&amp;A1751)</f>
        <v>735000</v>
      </c>
      <c r="E1751" s="38" t="n">
        <f aca="false">VLOOKUP(A1751,Inputs!$A$40:$B$48,2,TRUE())</f>
        <v>0.0363225</v>
      </c>
      <c r="F1751" s="38" t="n">
        <f aca="false">E1751+Inputs!$B$10</f>
        <v>0.1038225</v>
      </c>
      <c r="G1751" s="37" t="n">
        <f aca="false">D1751*F1751/C1751</f>
        <v>209.067226027397</v>
      </c>
      <c r="H1751" s="37" t="n">
        <f aca="false">IF(AND(A1751&gt;=Inputs!$B$13,OR(A1751&lt;Inputs!$B$19,Inputs!$B$20=1)),D1751*Inputs!$B$11/C1751,0)</f>
        <v>40.2739726027397</v>
      </c>
      <c r="I1751" s="37" t="n">
        <f aca="false">Inputs!$C$9-SUMIFS(Cash_Events!$G$6:$G$20,Cash_Events!$C$6:$C$20,"FHL",Cash_Events!$B$6:$B$20,"&lt;="&amp;A1751)</f>
        <v>735000</v>
      </c>
      <c r="J1751" s="38" t="n">
        <f aca="false">VLOOKUP(A1751,Inputs!$F$40:$G$48,2,TRUE())</f>
        <v>0.0364054</v>
      </c>
      <c r="K1751" s="38" t="n">
        <f aca="false">J1751+Inputs!$C$10</f>
        <v>0.1039054</v>
      </c>
      <c r="L1751" s="37" t="n">
        <f aca="false">I1751*K1751/C1751</f>
        <v>209.234161643836</v>
      </c>
      <c r="M1751" s="37" t="n">
        <f aca="false">IF(AND(A1751&gt;=Inputs!$C$13,OR(A1751&lt;Inputs!$B$19,Inputs!$B$20=1)),I1751*Inputs!$C$11/C1751,0)</f>
        <v>40.2739726027397</v>
      </c>
    </row>
    <row r="1752" customFormat="false" ht="15" hidden="false" customHeight="false" outlineLevel="0" collapsed="false">
      <c r="A1752" s="35" t="n">
        <f aca="false">A1751+1</f>
        <v>46559</v>
      </c>
      <c r="B1752" s="35" t="n">
        <f aca="false">EOMONTH(A1752+1,0)</f>
        <v>46568</v>
      </c>
      <c r="C1752" s="36" t="n">
        <f aca="false">IF(MOD(YEAR(A1752),4)=0,366,365)</f>
        <v>365</v>
      </c>
      <c r="D1752" s="37" t="n">
        <f aca="false">Inputs!$B$9-SUMIFS(Cash_Events!$G$6:$G$20,Cash_Events!$C$6:$C$20,"rAGMF",Cash_Events!$B$6:$B$20,"&lt;="&amp;A1752)</f>
        <v>735000</v>
      </c>
      <c r="E1752" s="38" t="n">
        <f aca="false">VLOOKUP(A1752,Inputs!$A$40:$B$48,2,TRUE())</f>
        <v>0.0363225</v>
      </c>
      <c r="F1752" s="38" t="n">
        <f aca="false">E1752+Inputs!$B$10</f>
        <v>0.1038225</v>
      </c>
      <c r="G1752" s="37" t="n">
        <f aca="false">D1752*F1752/C1752</f>
        <v>209.067226027397</v>
      </c>
      <c r="H1752" s="37" t="n">
        <f aca="false">IF(AND(A1752&gt;=Inputs!$B$13,OR(A1752&lt;Inputs!$B$19,Inputs!$B$20=1)),D1752*Inputs!$B$11/C1752,0)</f>
        <v>40.2739726027397</v>
      </c>
      <c r="I1752" s="37" t="n">
        <f aca="false">Inputs!$C$9-SUMIFS(Cash_Events!$G$6:$G$20,Cash_Events!$C$6:$C$20,"FHL",Cash_Events!$B$6:$B$20,"&lt;="&amp;A1752)</f>
        <v>735000</v>
      </c>
      <c r="J1752" s="38" t="n">
        <f aca="false">VLOOKUP(A1752,Inputs!$F$40:$G$48,2,TRUE())</f>
        <v>0.0364054</v>
      </c>
      <c r="K1752" s="38" t="n">
        <f aca="false">J1752+Inputs!$C$10</f>
        <v>0.1039054</v>
      </c>
      <c r="L1752" s="37" t="n">
        <f aca="false">I1752*K1752/C1752</f>
        <v>209.234161643836</v>
      </c>
      <c r="M1752" s="37" t="n">
        <f aca="false">IF(AND(A1752&gt;=Inputs!$C$13,OR(A1752&lt;Inputs!$B$19,Inputs!$B$20=1)),I1752*Inputs!$C$11/C1752,0)</f>
        <v>40.2739726027397</v>
      </c>
    </row>
    <row r="1753" customFormat="false" ht="15" hidden="false" customHeight="false" outlineLevel="0" collapsed="false">
      <c r="A1753" s="35" t="n">
        <f aca="false">A1752+1</f>
        <v>46560</v>
      </c>
      <c r="B1753" s="35" t="n">
        <f aca="false">EOMONTH(A1753+1,0)</f>
        <v>46568</v>
      </c>
      <c r="C1753" s="36" t="n">
        <f aca="false">IF(MOD(YEAR(A1753),4)=0,366,365)</f>
        <v>365</v>
      </c>
      <c r="D1753" s="37" t="n">
        <f aca="false">Inputs!$B$9-SUMIFS(Cash_Events!$G$6:$G$20,Cash_Events!$C$6:$C$20,"rAGMF",Cash_Events!$B$6:$B$20,"&lt;="&amp;A1753)</f>
        <v>735000</v>
      </c>
      <c r="E1753" s="38" t="n">
        <f aca="false">VLOOKUP(A1753,Inputs!$A$40:$B$48,2,TRUE())</f>
        <v>0.0363225</v>
      </c>
      <c r="F1753" s="38" t="n">
        <f aca="false">E1753+Inputs!$B$10</f>
        <v>0.1038225</v>
      </c>
      <c r="G1753" s="37" t="n">
        <f aca="false">D1753*F1753/C1753</f>
        <v>209.067226027397</v>
      </c>
      <c r="H1753" s="37" t="n">
        <f aca="false">IF(AND(A1753&gt;=Inputs!$B$13,OR(A1753&lt;Inputs!$B$19,Inputs!$B$20=1)),D1753*Inputs!$B$11/C1753,0)</f>
        <v>40.2739726027397</v>
      </c>
      <c r="I1753" s="37" t="n">
        <f aca="false">Inputs!$C$9-SUMIFS(Cash_Events!$G$6:$G$20,Cash_Events!$C$6:$C$20,"FHL",Cash_Events!$B$6:$B$20,"&lt;="&amp;A1753)</f>
        <v>735000</v>
      </c>
      <c r="J1753" s="38" t="n">
        <f aca="false">VLOOKUP(A1753,Inputs!$F$40:$G$48,2,TRUE())</f>
        <v>0.0364054</v>
      </c>
      <c r="K1753" s="38" t="n">
        <f aca="false">J1753+Inputs!$C$10</f>
        <v>0.1039054</v>
      </c>
      <c r="L1753" s="37" t="n">
        <f aca="false">I1753*K1753/C1753</f>
        <v>209.234161643836</v>
      </c>
      <c r="M1753" s="37" t="n">
        <f aca="false">IF(AND(A1753&gt;=Inputs!$C$13,OR(A1753&lt;Inputs!$B$19,Inputs!$B$20=1)),I1753*Inputs!$C$11/C1753,0)</f>
        <v>40.2739726027397</v>
      </c>
    </row>
    <row r="1754" customFormat="false" ht="15" hidden="false" customHeight="false" outlineLevel="0" collapsed="false">
      <c r="A1754" s="35" t="n">
        <f aca="false">A1753+1</f>
        <v>46561</v>
      </c>
      <c r="B1754" s="35" t="n">
        <f aca="false">EOMONTH(A1754+1,0)</f>
        <v>46568</v>
      </c>
      <c r="C1754" s="36" t="n">
        <f aca="false">IF(MOD(YEAR(A1754),4)=0,366,365)</f>
        <v>365</v>
      </c>
      <c r="D1754" s="37" t="n">
        <f aca="false">Inputs!$B$9-SUMIFS(Cash_Events!$G$6:$G$20,Cash_Events!$C$6:$C$20,"rAGMF",Cash_Events!$B$6:$B$20,"&lt;="&amp;A1754)</f>
        <v>735000</v>
      </c>
      <c r="E1754" s="38" t="n">
        <f aca="false">VLOOKUP(A1754,Inputs!$A$40:$B$48,2,TRUE())</f>
        <v>0.0363225</v>
      </c>
      <c r="F1754" s="38" t="n">
        <f aca="false">E1754+Inputs!$B$10</f>
        <v>0.1038225</v>
      </c>
      <c r="G1754" s="37" t="n">
        <f aca="false">D1754*F1754/C1754</f>
        <v>209.067226027397</v>
      </c>
      <c r="H1754" s="37" t="n">
        <f aca="false">IF(AND(A1754&gt;=Inputs!$B$13,OR(A1754&lt;Inputs!$B$19,Inputs!$B$20=1)),D1754*Inputs!$B$11/C1754,0)</f>
        <v>40.2739726027397</v>
      </c>
      <c r="I1754" s="37" t="n">
        <f aca="false">Inputs!$C$9-SUMIFS(Cash_Events!$G$6:$G$20,Cash_Events!$C$6:$C$20,"FHL",Cash_Events!$B$6:$B$20,"&lt;="&amp;A1754)</f>
        <v>735000</v>
      </c>
      <c r="J1754" s="38" t="n">
        <f aca="false">VLOOKUP(A1754,Inputs!$F$40:$G$48,2,TRUE())</f>
        <v>0.0364054</v>
      </c>
      <c r="K1754" s="38" t="n">
        <f aca="false">J1754+Inputs!$C$10</f>
        <v>0.1039054</v>
      </c>
      <c r="L1754" s="37" t="n">
        <f aca="false">I1754*K1754/C1754</f>
        <v>209.234161643836</v>
      </c>
      <c r="M1754" s="37" t="n">
        <f aca="false">IF(AND(A1754&gt;=Inputs!$C$13,OR(A1754&lt;Inputs!$B$19,Inputs!$B$20=1)),I1754*Inputs!$C$11/C1754,0)</f>
        <v>40.2739726027397</v>
      </c>
    </row>
    <row r="1755" customFormat="false" ht="15" hidden="false" customHeight="false" outlineLevel="0" collapsed="false">
      <c r="A1755" s="35" t="n">
        <f aca="false">A1754+1</f>
        <v>46562</v>
      </c>
      <c r="B1755" s="35" t="n">
        <f aca="false">EOMONTH(A1755+1,0)</f>
        <v>46568</v>
      </c>
      <c r="C1755" s="36" t="n">
        <f aca="false">IF(MOD(YEAR(A1755),4)=0,366,365)</f>
        <v>365</v>
      </c>
      <c r="D1755" s="37" t="n">
        <f aca="false">Inputs!$B$9-SUMIFS(Cash_Events!$G$6:$G$20,Cash_Events!$C$6:$C$20,"rAGMF",Cash_Events!$B$6:$B$20,"&lt;="&amp;A1755)</f>
        <v>735000</v>
      </c>
      <c r="E1755" s="38" t="n">
        <f aca="false">VLOOKUP(A1755,Inputs!$A$40:$B$48,2,TRUE())</f>
        <v>0.0363225</v>
      </c>
      <c r="F1755" s="38" t="n">
        <f aca="false">E1755+Inputs!$B$10</f>
        <v>0.1038225</v>
      </c>
      <c r="G1755" s="37" t="n">
        <f aca="false">D1755*F1755/C1755</f>
        <v>209.067226027397</v>
      </c>
      <c r="H1755" s="37" t="n">
        <f aca="false">IF(AND(A1755&gt;=Inputs!$B$13,OR(A1755&lt;Inputs!$B$19,Inputs!$B$20=1)),D1755*Inputs!$B$11/C1755,0)</f>
        <v>40.2739726027397</v>
      </c>
      <c r="I1755" s="37" t="n">
        <f aca="false">Inputs!$C$9-SUMIFS(Cash_Events!$G$6:$G$20,Cash_Events!$C$6:$C$20,"FHL",Cash_Events!$B$6:$B$20,"&lt;="&amp;A1755)</f>
        <v>735000</v>
      </c>
      <c r="J1755" s="38" t="n">
        <f aca="false">VLOOKUP(A1755,Inputs!$F$40:$G$48,2,TRUE())</f>
        <v>0.0364054</v>
      </c>
      <c r="K1755" s="38" t="n">
        <f aca="false">J1755+Inputs!$C$10</f>
        <v>0.1039054</v>
      </c>
      <c r="L1755" s="37" t="n">
        <f aca="false">I1755*K1755/C1755</f>
        <v>209.234161643836</v>
      </c>
      <c r="M1755" s="37" t="n">
        <f aca="false">IF(AND(A1755&gt;=Inputs!$C$13,OR(A1755&lt;Inputs!$B$19,Inputs!$B$20=1)),I1755*Inputs!$C$11/C1755,0)</f>
        <v>40.2739726027397</v>
      </c>
    </row>
    <row r="1756" customFormat="false" ht="15" hidden="false" customHeight="false" outlineLevel="0" collapsed="false">
      <c r="A1756" s="35" t="n">
        <f aca="false">A1755+1</f>
        <v>46563</v>
      </c>
      <c r="B1756" s="35" t="n">
        <f aca="false">EOMONTH(A1756+1,0)</f>
        <v>46568</v>
      </c>
      <c r="C1756" s="36" t="n">
        <f aca="false">IF(MOD(YEAR(A1756),4)=0,366,365)</f>
        <v>365</v>
      </c>
      <c r="D1756" s="37" t="n">
        <f aca="false">Inputs!$B$9-SUMIFS(Cash_Events!$G$6:$G$20,Cash_Events!$C$6:$C$20,"rAGMF",Cash_Events!$B$6:$B$20,"&lt;="&amp;A1756)</f>
        <v>735000</v>
      </c>
      <c r="E1756" s="38" t="n">
        <f aca="false">VLOOKUP(A1756,Inputs!$A$40:$B$48,2,TRUE())</f>
        <v>0.0363225</v>
      </c>
      <c r="F1756" s="38" t="n">
        <f aca="false">E1756+Inputs!$B$10</f>
        <v>0.1038225</v>
      </c>
      <c r="G1756" s="37" t="n">
        <f aca="false">D1756*F1756/C1756</f>
        <v>209.067226027397</v>
      </c>
      <c r="H1756" s="37" t="n">
        <f aca="false">IF(AND(A1756&gt;=Inputs!$B$13,OR(A1756&lt;Inputs!$B$19,Inputs!$B$20=1)),D1756*Inputs!$B$11/C1756,0)</f>
        <v>40.2739726027397</v>
      </c>
      <c r="I1756" s="37" t="n">
        <f aca="false">Inputs!$C$9-SUMIFS(Cash_Events!$G$6:$G$20,Cash_Events!$C$6:$C$20,"FHL",Cash_Events!$B$6:$B$20,"&lt;="&amp;A1756)</f>
        <v>735000</v>
      </c>
      <c r="J1756" s="38" t="n">
        <f aca="false">VLOOKUP(A1756,Inputs!$F$40:$G$48,2,TRUE())</f>
        <v>0.0364054</v>
      </c>
      <c r="K1756" s="38" t="n">
        <f aca="false">J1756+Inputs!$C$10</f>
        <v>0.1039054</v>
      </c>
      <c r="L1756" s="37" t="n">
        <f aca="false">I1756*K1756/C1756</f>
        <v>209.234161643836</v>
      </c>
      <c r="M1756" s="37" t="n">
        <f aca="false">IF(AND(A1756&gt;=Inputs!$C$13,OR(A1756&lt;Inputs!$B$19,Inputs!$B$20=1)),I1756*Inputs!$C$11/C1756,0)</f>
        <v>40.2739726027397</v>
      </c>
    </row>
    <row r="1757" customFormat="false" ht="15" hidden="false" customHeight="false" outlineLevel="0" collapsed="false">
      <c r="A1757" s="35" t="n">
        <f aca="false">A1756+1</f>
        <v>46564</v>
      </c>
      <c r="B1757" s="35" t="n">
        <f aca="false">EOMONTH(A1757+1,0)</f>
        <v>46568</v>
      </c>
      <c r="C1757" s="36" t="n">
        <f aca="false">IF(MOD(YEAR(A1757),4)=0,366,365)</f>
        <v>365</v>
      </c>
      <c r="D1757" s="37" t="n">
        <f aca="false">Inputs!$B$9-SUMIFS(Cash_Events!$G$6:$G$20,Cash_Events!$C$6:$C$20,"rAGMF",Cash_Events!$B$6:$B$20,"&lt;="&amp;A1757)</f>
        <v>735000</v>
      </c>
      <c r="E1757" s="38" t="n">
        <f aca="false">VLOOKUP(A1757,Inputs!$A$40:$B$48,2,TRUE())</f>
        <v>0.0363225</v>
      </c>
      <c r="F1757" s="38" t="n">
        <f aca="false">E1757+Inputs!$B$10</f>
        <v>0.1038225</v>
      </c>
      <c r="G1757" s="37" t="n">
        <f aca="false">D1757*F1757/C1757</f>
        <v>209.067226027397</v>
      </c>
      <c r="H1757" s="37" t="n">
        <f aca="false">IF(AND(A1757&gt;=Inputs!$B$13,OR(A1757&lt;Inputs!$B$19,Inputs!$B$20=1)),D1757*Inputs!$B$11/C1757,0)</f>
        <v>40.2739726027397</v>
      </c>
      <c r="I1757" s="37" t="n">
        <f aca="false">Inputs!$C$9-SUMIFS(Cash_Events!$G$6:$G$20,Cash_Events!$C$6:$C$20,"FHL",Cash_Events!$B$6:$B$20,"&lt;="&amp;A1757)</f>
        <v>735000</v>
      </c>
      <c r="J1757" s="38" t="n">
        <f aca="false">VLOOKUP(A1757,Inputs!$F$40:$G$48,2,TRUE())</f>
        <v>0.0364054</v>
      </c>
      <c r="K1757" s="38" t="n">
        <f aca="false">J1757+Inputs!$C$10</f>
        <v>0.1039054</v>
      </c>
      <c r="L1757" s="37" t="n">
        <f aca="false">I1757*K1757/C1757</f>
        <v>209.234161643836</v>
      </c>
      <c r="M1757" s="37" t="n">
        <f aca="false">IF(AND(A1757&gt;=Inputs!$C$13,OR(A1757&lt;Inputs!$B$19,Inputs!$B$20=1)),I1757*Inputs!$C$11/C1757,0)</f>
        <v>40.2739726027397</v>
      </c>
    </row>
    <row r="1758" customFormat="false" ht="15" hidden="false" customHeight="false" outlineLevel="0" collapsed="false">
      <c r="A1758" s="35" t="n">
        <f aca="false">A1757+1</f>
        <v>46565</v>
      </c>
      <c r="B1758" s="35" t="n">
        <f aca="false">EOMONTH(A1758+1,0)</f>
        <v>46568</v>
      </c>
      <c r="C1758" s="36" t="n">
        <f aca="false">IF(MOD(YEAR(A1758),4)=0,366,365)</f>
        <v>365</v>
      </c>
      <c r="D1758" s="37" t="n">
        <f aca="false">Inputs!$B$9-SUMIFS(Cash_Events!$G$6:$G$20,Cash_Events!$C$6:$C$20,"rAGMF",Cash_Events!$B$6:$B$20,"&lt;="&amp;A1758)</f>
        <v>735000</v>
      </c>
      <c r="E1758" s="38" t="n">
        <f aca="false">VLOOKUP(A1758,Inputs!$A$40:$B$48,2,TRUE())</f>
        <v>0.0363225</v>
      </c>
      <c r="F1758" s="38" t="n">
        <f aca="false">E1758+Inputs!$B$10</f>
        <v>0.1038225</v>
      </c>
      <c r="G1758" s="37" t="n">
        <f aca="false">D1758*F1758/C1758</f>
        <v>209.067226027397</v>
      </c>
      <c r="H1758" s="37" t="n">
        <f aca="false">IF(AND(A1758&gt;=Inputs!$B$13,OR(A1758&lt;Inputs!$B$19,Inputs!$B$20=1)),D1758*Inputs!$B$11/C1758,0)</f>
        <v>40.2739726027397</v>
      </c>
      <c r="I1758" s="37" t="n">
        <f aca="false">Inputs!$C$9-SUMIFS(Cash_Events!$G$6:$G$20,Cash_Events!$C$6:$C$20,"FHL",Cash_Events!$B$6:$B$20,"&lt;="&amp;A1758)</f>
        <v>735000</v>
      </c>
      <c r="J1758" s="38" t="n">
        <f aca="false">VLOOKUP(A1758,Inputs!$F$40:$G$48,2,TRUE())</f>
        <v>0.0364054</v>
      </c>
      <c r="K1758" s="38" t="n">
        <f aca="false">J1758+Inputs!$C$10</f>
        <v>0.1039054</v>
      </c>
      <c r="L1758" s="37" t="n">
        <f aca="false">I1758*K1758/C1758</f>
        <v>209.234161643836</v>
      </c>
      <c r="M1758" s="37" t="n">
        <f aca="false">IF(AND(A1758&gt;=Inputs!$C$13,OR(A1758&lt;Inputs!$B$19,Inputs!$B$20=1)),I1758*Inputs!$C$11/C1758,0)</f>
        <v>40.2739726027397</v>
      </c>
    </row>
    <row r="1759" customFormat="false" ht="15" hidden="false" customHeight="false" outlineLevel="0" collapsed="false">
      <c r="A1759" s="35" t="n">
        <f aca="false">A1758+1</f>
        <v>46566</v>
      </c>
      <c r="B1759" s="35" t="n">
        <f aca="false">EOMONTH(A1759+1,0)</f>
        <v>46568</v>
      </c>
      <c r="C1759" s="36" t="n">
        <f aca="false">IF(MOD(YEAR(A1759),4)=0,366,365)</f>
        <v>365</v>
      </c>
      <c r="D1759" s="37" t="n">
        <f aca="false">Inputs!$B$9-SUMIFS(Cash_Events!$G$6:$G$20,Cash_Events!$C$6:$C$20,"rAGMF",Cash_Events!$B$6:$B$20,"&lt;="&amp;A1759)</f>
        <v>735000</v>
      </c>
      <c r="E1759" s="38" t="n">
        <f aca="false">VLOOKUP(A1759,Inputs!$A$40:$B$48,2,TRUE())</f>
        <v>0.0363225</v>
      </c>
      <c r="F1759" s="38" t="n">
        <f aca="false">E1759+Inputs!$B$10</f>
        <v>0.1038225</v>
      </c>
      <c r="G1759" s="37" t="n">
        <f aca="false">D1759*F1759/C1759</f>
        <v>209.067226027397</v>
      </c>
      <c r="H1759" s="37" t="n">
        <f aca="false">IF(AND(A1759&gt;=Inputs!$B$13,OR(A1759&lt;Inputs!$B$19,Inputs!$B$20=1)),D1759*Inputs!$B$11/C1759,0)</f>
        <v>40.2739726027397</v>
      </c>
      <c r="I1759" s="37" t="n">
        <f aca="false">Inputs!$C$9-SUMIFS(Cash_Events!$G$6:$G$20,Cash_Events!$C$6:$C$20,"FHL",Cash_Events!$B$6:$B$20,"&lt;="&amp;A1759)</f>
        <v>735000</v>
      </c>
      <c r="J1759" s="38" t="n">
        <f aca="false">VLOOKUP(A1759,Inputs!$F$40:$G$48,2,TRUE())</f>
        <v>0.0364054</v>
      </c>
      <c r="K1759" s="38" t="n">
        <f aca="false">J1759+Inputs!$C$10</f>
        <v>0.1039054</v>
      </c>
      <c r="L1759" s="37" t="n">
        <f aca="false">I1759*K1759/C1759</f>
        <v>209.234161643836</v>
      </c>
      <c r="M1759" s="37" t="n">
        <f aca="false">IF(AND(A1759&gt;=Inputs!$C$13,OR(A1759&lt;Inputs!$B$19,Inputs!$B$20=1)),I1759*Inputs!$C$11/C1759,0)</f>
        <v>40.2739726027397</v>
      </c>
    </row>
    <row r="1760" customFormat="false" ht="15" hidden="false" customHeight="false" outlineLevel="0" collapsed="false">
      <c r="A1760" s="35" t="n">
        <f aca="false">A1759+1</f>
        <v>46567</v>
      </c>
      <c r="B1760" s="35" t="n">
        <f aca="false">EOMONTH(A1760+1,0)</f>
        <v>46568</v>
      </c>
      <c r="C1760" s="36" t="n">
        <f aca="false">IF(MOD(YEAR(A1760),4)=0,366,365)</f>
        <v>365</v>
      </c>
      <c r="D1760" s="37" t="n">
        <f aca="false">Inputs!$B$9-SUMIFS(Cash_Events!$G$6:$G$20,Cash_Events!$C$6:$C$20,"rAGMF",Cash_Events!$B$6:$B$20,"&lt;="&amp;A1760)</f>
        <v>735000</v>
      </c>
      <c r="E1760" s="38" t="n">
        <f aca="false">VLOOKUP(A1760,Inputs!$A$40:$B$48,2,TRUE())</f>
        <v>0.0363225</v>
      </c>
      <c r="F1760" s="38" t="n">
        <f aca="false">E1760+Inputs!$B$10</f>
        <v>0.1038225</v>
      </c>
      <c r="G1760" s="37" t="n">
        <f aca="false">D1760*F1760/C1760</f>
        <v>209.067226027397</v>
      </c>
      <c r="H1760" s="37" t="n">
        <f aca="false">IF(AND(A1760&gt;=Inputs!$B$13,OR(A1760&lt;Inputs!$B$19,Inputs!$B$20=1)),D1760*Inputs!$B$11/C1760,0)</f>
        <v>40.2739726027397</v>
      </c>
      <c r="I1760" s="37" t="n">
        <f aca="false">Inputs!$C$9-SUMIFS(Cash_Events!$G$6:$G$20,Cash_Events!$C$6:$C$20,"FHL",Cash_Events!$B$6:$B$20,"&lt;="&amp;A1760)</f>
        <v>735000</v>
      </c>
      <c r="J1760" s="38" t="n">
        <f aca="false">VLOOKUP(A1760,Inputs!$F$40:$G$48,2,TRUE())</f>
        <v>0.0364054</v>
      </c>
      <c r="K1760" s="38" t="n">
        <f aca="false">J1760+Inputs!$C$10</f>
        <v>0.1039054</v>
      </c>
      <c r="L1760" s="37" t="n">
        <f aca="false">I1760*K1760/C1760</f>
        <v>209.234161643836</v>
      </c>
      <c r="M1760" s="37" t="n">
        <f aca="false">IF(AND(A1760&gt;=Inputs!$C$13,OR(A1760&lt;Inputs!$B$19,Inputs!$B$20=1)),I1760*Inputs!$C$11/C1760,0)</f>
        <v>40.2739726027397</v>
      </c>
    </row>
    <row r="1761" customFormat="false" ht="15" hidden="false" customHeight="false" outlineLevel="0" collapsed="false">
      <c r="A1761" s="35" t="n">
        <f aca="false">A1760+1</f>
        <v>46568</v>
      </c>
      <c r="B1761" s="35" t="n">
        <f aca="false">EOMONTH(A1761+1,0)</f>
        <v>46599</v>
      </c>
      <c r="C1761" s="36" t="n">
        <f aca="false">IF(MOD(YEAR(A1761),4)=0,366,365)</f>
        <v>365</v>
      </c>
      <c r="D1761" s="37" t="n">
        <f aca="false">Inputs!$B$9-SUMIFS(Cash_Events!$G$6:$G$20,Cash_Events!$C$6:$C$20,"rAGMF",Cash_Events!$B$6:$B$20,"&lt;="&amp;A1761)</f>
        <v>735000</v>
      </c>
      <c r="E1761" s="38" t="n">
        <f aca="false">VLOOKUP(A1761,Inputs!$A$40:$B$48,2,TRUE())</f>
        <v>0.0363225</v>
      </c>
      <c r="F1761" s="38" t="n">
        <f aca="false">E1761+Inputs!$B$10</f>
        <v>0.1038225</v>
      </c>
      <c r="G1761" s="37" t="n">
        <f aca="false">D1761*F1761/C1761</f>
        <v>209.067226027397</v>
      </c>
      <c r="H1761" s="37" t="n">
        <f aca="false">IF(AND(A1761&gt;=Inputs!$B$13,OR(A1761&lt;Inputs!$B$19,Inputs!$B$20=1)),D1761*Inputs!$B$11/C1761,0)</f>
        <v>40.2739726027397</v>
      </c>
      <c r="I1761" s="37" t="n">
        <f aca="false">Inputs!$C$9-SUMIFS(Cash_Events!$G$6:$G$20,Cash_Events!$C$6:$C$20,"FHL",Cash_Events!$B$6:$B$20,"&lt;="&amp;A1761)</f>
        <v>735000</v>
      </c>
      <c r="J1761" s="38" t="n">
        <f aca="false">VLOOKUP(A1761,Inputs!$F$40:$G$48,2,TRUE())</f>
        <v>0.0364054</v>
      </c>
      <c r="K1761" s="38" t="n">
        <f aca="false">J1761+Inputs!$C$10</f>
        <v>0.1039054</v>
      </c>
      <c r="L1761" s="37" t="n">
        <f aca="false">I1761*K1761/C1761</f>
        <v>209.234161643836</v>
      </c>
      <c r="M1761" s="37" t="n">
        <f aca="false">IF(AND(A1761&gt;=Inputs!$C$13,OR(A1761&lt;Inputs!$B$19,Inputs!$B$20=1)),I1761*Inputs!$C$11/C1761,0)</f>
        <v>40.2739726027397</v>
      </c>
    </row>
    <row r="1762" customFormat="false" ht="15" hidden="false" customHeight="false" outlineLevel="0" collapsed="false">
      <c r="A1762" s="35" t="n">
        <f aca="false">A1761+1</f>
        <v>46569</v>
      </c>
      <c r="B1762" s="35" t="n">
        <f aca="false">EOMONTH(A1762+1,0)</f>
        <v>46599</v>
      </c>
      <c r="C1762" s="36" t="n">
        <f aca="false">IF(MOD(YEAR(A1762),4)=0,366,365)</f>
        <v>365</v>
      </c>
      <c r="D1762" s="37" t="n">
        <f aca="false">Inputs!$B$9-SUMIFS(Cash_Events!$G$6:$G$20,Cash_Events!$C$6:$C$20,"rAGMF",Cash_Events!$B$6:$B$20,"&lt;="&amp;A1762)</f>
        <v>735000</v>
      </c>
      <c r="E1762" s="38" t="n">
        <f aca="false">VLOOKUP(A1762,Inputs!$A$40:$B$48,2,TRUE())</f>
        <v>0.0363225</v>
      </c>
      <c r="F1762" s="38" t="n">
        <f aca="false">E1762+Inputs!$B$10</f>
        <v>0.1038225</v>
      </c>
      <c r="G1762" s="37" t="n">
        <f aca="false">D1762*F1762/C1762</f>
        <v>209.067226027397</v>
      </c>
      <c r="H1762" s="37" t="n">
        <f aca="false">IF(AND(A1762&gt;=Inputs!$B$13,OR(A1762&lt;Inputs!$B$19,Inputs!$B$20=1)),D1762*Inputs!$B$11/C1762,0)</f>
        <v>40.2739726027397</v>
      </c>
      <c r="I1762" s="37" t="n">
        <f aca="false">Inputs!$C$9-SUMIFS(Cash_Events!$G$6:$G$20,Cash_Events!$C$6:$C$20,"FHL",Cash_Events!$B$6:$B$20,"&lt;="&amp;A1762)</f>
        <v>735000</v>
      </c>
      <c r="J1762" s="38" t="n">
        <f aca="false">VLOOKUP(A1762,Inputs!$F$40:$G$48,2,TRUE())</f>
        <v>0.0364054</v>
      </c>
      <c r="K1762" s="38" t="n">
        <f aca="false">J1762+Inputs!$C$10</f>
        <v>0.1039054</v>
      </c>
      <c r="L1762" s="37" t="n">
        <f aca="false">I1762*K1762/C1762</f>
        <v>209.234161643836</v>
      </c>
      <c r="M1762" s="37" t="n">
        <f aca="false">IF(AND(A1762&gt;=Inputs!$C$13,OR(A1762&lt;Inputs!$B$19,Inputs!$B$20=1)),I1762*Inputs!$C$11/C1762,0)</f>
        <v>40.2739726027397</v>
      </c>
    </row>
    <row r="1763" customFormat="false" ht="15" hidden="false" customHeight="false" outlineLevel="0" collapsed="false">
      <c r="A1763" s="35" t="n">
        <f aca="false">A1762+1</f>
        <v>46570</v>
      </c>
      <c r="B1763" s="35" t="n">
        <f aca="false">EOMONTH(A1763+1,0)</f>
        <v>46599</v>
      </c>
      <c r="C1763" s="36" t="n">
        <f aca="false">IF(MOD(YEAR(A1763),4)=0,366,365)</f>
        <v>365</v>
      </c>
      <c r="D1763" s="37" t="n">
        <f aca="false">Inputs!$B$9-SUMIFS(Cash_Events!$G$6:$G$20,Cash_Events!$C$6:$C$20,"rAGMF",Cash_Events!$B$6:$B$20,"&lt;="&amp;A1763)</f>
        <v>735000</v>
      </c>
      <c r="E1763" s="38" t="n">
        <f aca="false">VLOOKUP(A1763,Inputs!$A$40:$B$48,2,TRUE())</f>
        <v>0.0363225</v>
      </c>
      <c r="F1763" s="38" t="n">
        <f aca="false">E1763+Inputs!$B$10</f>
        <v>0.1038225</v>
      </c>
      <c r="G1763" s="37" t="n">
        <f aca="false">D1763*F1763/C1763</f>
        <v>209.067226027397</v>
      </c>
      <c r="H1763" s="37" t="n">
        <f aca="false">IF(AND(A1763&gt;=Inputs!$B$13,OR(A1763&lt;Inputs!$B$19,Inputs!$B$20=1)),D1763*Inputs!$B$11/C1763,0)</f>
        <v>40.2739726027397</v>
      </c>
      <c r="I1763" s="37" t="n">
        <f aca="false">Inputs!$C$9-SUMIFS(Cash_Events!$G$6:$G$20,Cash_Events!$C$6:$C$20,"FHL",Cash_Events!$B$6:$B$20,"&lt;="&amp;A1763)</f>
        <v>735000</v>
      </c>
      <c r="J1763" s="38" t="n">
        <f aca="false">VLOOKUP(A1763,Inputs!$F$40:$G$48,2,TRUE())</f>
        <v>0.0364054</v>
      </c>
      <c r="K1763" s="38" t="n">
        <f aca="false">J1763+Inputs!$C$10</f>
        <v>0.1039054</v>
      </c>
      <c r="L1763" s="37" t="n">
        <f aca="false">I1763*K1763/C1763</f>
        <v>209.234161643836</v>
      </c>
      <c r="M1763" s="37" t="n">
        <f aca="false">IF(AND(A1763&gt;=Inputs!$C$13,OR(A1763&lt;Inputs!$B$19,Inputs!$B$20=1)),I1763*Inputs!$C$11/C1763,0)</f>
        <v>40.2739726027397</v>
      </c>
    </row>
    <row r="1764" customFormat="false" ht="15" hidden="false" customHeight="false" outlineLevel="0" collapsed="false">
      <c r="A1764" s="35" t="n">
        <f aca="false">A1763+1</f>
        <v>46571</v>
      </c>
      <c r="B1764" s="35" t="n">
        <f aca="false">EOMONTH(A1764+1,0)</f>
        <v>46599</v>
      </c>
      <c r="C1764" s="36" t="n">
        <f aca="false">IF(MOD(YEAR(A1764),4)=0,366,365)</f>
        <v>365</v>
      </c>
      <c r="D1764" s="37" t="n">
        <f aca="false">Inputs!$B$9-SUMIFS(Cash_Events!$G$6:$G$20,Cash_Events!$C$6:$C$20,"rAGMF",Cash_Events!$B$6:$B$20,"&lt;="&amp;A1764)</f>
        <v>735000</v>
      </c>
      <c r="E1764" s="38" t="n">
        <f aca="false">VLOOKUP(A1764,Inputs!$A$40:$B$48,2,TRUE())</f>
        <v>0.0363225</v>
      </c>
      <c r="F1764" s="38" t="n">
        <f aca="false">E1764+Inputs!$B$10</f>
        <v>0.1038225</v>
      </c>
      <c r="G1764" s="37" t="n">
        <f aca="false">D1764*F1764/C1764</f>
        <v>209.067226027397</v>
      </c>
      <c r="H1764" s="37" t="n">
        <f aca="false">IF(AND(A1764&gt;=Inputs!$B$13,OR(A1764&lt;Inputs!$B$19,Inputs!$B$20=1)),D1764*Inputs!$B$11/C1764,0)</f>
        <v>40.2739726027397</v>
      </c>
      <c r="I1764" s="37" t="n">
        <f aca="false">Inputs!$C$9-SUMIFS(Cash_Events!$G$6:$G$20,Cash_Events!$C$6:$C$20,"FHL",Cash_Events!$B$6:$B$20,"&lt;="&amp;A1764)</f>
        <v>735000</v>
      </c>
      <c r="J1764" s="38" t="n">
        <f aca="false">VLOOKUP(A1764,Inputs!$F$40:$G$48,2,TRUE())</f>
        <v>0.0364054</v>
      </c>
      <c r="K1764" s="38" t="n">
        <f aca="false">J1764+Inputs!$C$10</f>
        <v>0.1039054</v>
      </c>
      <c r="L1764" s="37" t="n">
        <f aca="false">I1764*K1764/C1764</f>
        <v>209.234161643836</v>
      </c>
      <c r="M1764" s="37" t="n">
        <f aca="false">IF(AND(A1764&gt;=Inputs!$C$13,OR(A1764&lt;Inputs!$B$19,Inputs!$B$20=1)),I1764*Inputs!$C$11/C1764,0)</f>
        <v>40.2739726027397</v>
      </c>
    </row>
    <row r="1765" customFormat="false" ht="15" hidden="false" customHeight="false" outlineLevel="0" collapsed="false">
      <c r="A1765" s="35" t="n">
        <f aca="false">A1764+1</f>
        <v>46572</v>
      </c>
      <c r="B1765" s="35" t="n">
        <f aca="false">EOMONTH(A1765+1,0)</f>
        <v>46599</v>
      </c>
      <c r="C1765" s="36" t="n">
        <f aca="false">IF(MOD(YEAR(A1765),4)=0,366,365)</f>
        <v>365</v>
      </c>
      <c r="D1765" s="37" t="n">
        <f aca="false">Inputs!$B$9-SUMIFS(Cash_Events!$G$6:$G$20,Cash_Events!$C$6:$C$20,"rAGMF",Cash_Events!$B$6:$B$20,"&lt;="&amp;A1765)</f>
        <v>735000</v>
      </c>
      <c r="E1765" s="38" t="n">
        <f aca="false">VLOOKUP(A1765,Inputs!$A$40:$B$48,2,TRUE())</f>
        <v>0.0363225</v>
      </c>
      <c r="F1765" s="38" t="n">
        <f aca="false">E1765+Inputs!$B$10</f>
        <v>0.1038225</v>
      </c>
      <c r="G1765" s="37" t="n">
        <f aca="false">D1765*F1765/C1765</f>
        <v>209.067226027397</v>
      </c>
      <c r="H1765" s="37" t="n">
        <f aca="false">IF(AND(A1765&gt;=Inputs!$B$13,OR(A1765&lt;Inputs!$B$19,Inputs!$B$20=1)),D1765*Inputs!$B$11/C1765,0)</f>
        <v>40.2739726027397</v>
      </c>
      <c r="I1765" s="37" t="n">
        <f aca="false">Inputs!$C$9-SUMIFS(Cash_Events!$G$6:$G$20,Cash_Events!$C$6:$C$20,"FHL",Cash_Events!$B$6:$B$20,"&lt;="&amp;A1765)</f>
        <v>735000</v>
      </c>
      <c r="J1765" s="38" t="n">
        <f aca="false">VLOOKUP(A1765,Inputs!$F$40:$G$48,2,TRUE())</f>
        <v>0.0364054</v>
      </c>
      <c r="K1765" s="38" t="n">
        <f aca="false">J1765+Inputs!$C$10</f>
        <v>0.1039054</v>
      </c>
      <c r="L1765" s="37" t="n">
        <f aca="false">I1765*K1765/C1765</f>
        <v>209.234161643836</v>
      </c>
      <c r="M1765" s="37" t="n">
        <f aca="false">IF(AND(A1765&gt;=Inputs!$C$13,OR(A1765&lt;Inputs!$B$19,Inputs!$B$20=1)),I1765*Inputs!$C$11/C1765,0)</f>
        <v>40.2739726027397</v>
      </c>
    </row>
    <row r="1766" customFormat="false" ht="15" hidden="false" customHeight="false" outlineLevel="0" collapsed="false">
      <c r="A1766" s="35" t="n">
        <f aca="false">A1765+1</f>
        <v>46573</v>
      </c>
      <c r="B1766" s="35" t="n">
        <f aca="false">EOMONTH(A1766+1,0)</f>
        <v>46599</v>
      </c>
      <c r="C1766" s="36" t="n">
        <f aca="false">IF(MOD(YEAR(A1766),4)=0,366,365)</f>
        <v>365</v>
      </c>
      <c r="D1766" s="37" t="n">
        <f aca="false">Inputs!$B$9-SUMIFS(Cash_Events!$G$6:$G$20,Cash_Events!$C$6:$C$20,"rAGMF",Cash_Events!$B$6:$B$20,"&lt;="&amp;A1766)</f>
        <v>735000</v>
      </c>
      <c r="E1766" s="38" t="n">
        <f aca="false">VLOOKUP(A1766,Inputs!$A$40:$B$48,2,TRUE())</f>
        <v>0.0363225</v>
      </c>
      <c r="F1766" s="38" t="n">
        <f aca="false">E1766+Inputs!$B$10</f>
        <v>0.1038225</v>
      </c>
      <c r="G1766" s="37" t="n">
        <f aca="false">D1766*F1766/C1766</f>
        <v>209.067226027397</v>
      </c>
      <c r="H1766" s="37" t="n">
        <f aca="false">IF(AND(A1766&gt;=Inputs!$B$13,OR(A1766&lt;Inputs!$B$19,Inputs!$B$20=1)),D1766*Inputs!$B$11/C1766,0)</f>
        <v>40.2739726027397</v>
      </c>
      <c r="I1766" s="37" t="n">
        <f aca="false">Inputs!$C$9-SUMIFS(Cash_Events!$G$6:$G$20,Cash_Events!$C$6:$C$20,"FHL",Cash_Events!$B$6:$B$20,"&lt;="&amp;A1766)</f>
        <v>735000</v>
      </c>
      <c r="J1766" s="38" t="n">
        <f aca="false">VLOOKUP(A1766,Inputs!$F$40:$G$48,2,TRUE())</f>
        <v>0.0364054</v>
      </c>
      <c r="K1766" s="38" t="n">
        <f aca="false">J1766+Inputs!$C$10</f>
        <v>0.1039054</v>
      </c>
      <c r="L1766" s="37" t="n">
        <f aca="false">I1766*K1766/C1766</f>
        <v>209.234161643836</v>
      </c>
      <c r="M1766" s="37" t="n">
        <f aca="false">IF(AND(A1766&gt;=Inputs!$C$13,OR(A1766&lt;Inputs!$B$19,Inputs!$B$20=1)),I1766*Inputs!$C$11/C1766,0)</f>
        <v>40.2739726027397</v>
      </c>
    </row>
    <row r="1767" customFormat="false" ht="15" hidden="false" customHeight="false" outlineLevel="0" collapsed="false">
      <c r="A1767" s="35" t="n">
        <f aca="false">A1766+1</f>
        <v>46574</v>
      </c>
      <c r="B1767" s="35" t="n">
        <f aca="false">EOMONTH(A1767+1,0)</f>
        <v>46599</v>
      </c>
      <c r="C1767" s="36" t="n">
        <f aca="false">IF(MOD(YEAR(A1767),4)=0,366,365)</f>
        <v>365</v>
      </c>
      <c r="D1767" s="37" t="n">
        <f aca="false">Inputs!$B$9-SUMIFS(Cash_Events!$G$6:$G$20,Cash_Events!$C$6:$C$20,"rAGMF",Cash_Events!$B$6:$B$20,"&lt;="&amp;A1767)</f>
        <v>735000</v>
      </c>
      <c r="E1767" s="38" t="n">
        <f aca="false">VLOOKUP(A1767,Inputs!$A$40:$B$48,2,TRUE())</f>
        <v>0.0363225</v>
      </c>
      <c r="F1767" s="38" t="n">
        <f aca="false">E1767+Inputs!$B$10</f>
        <v>0.1038225</v>
      </c>
      <c r="G1767" s="37" t="n">
        <f aca="false">D1767*F1767/C1767</f>
        <v>209.067226027397</v>
      </c>
      <c r="H1767" s="37" t="n">
        <f aca="false">IF(AND(A1767&gt;=Inputs!$B$13,OR(A1767&lt;Inputs!$B$19,Inputs!$B$20=1)),D1767*Inputs!$B$11/C1767,0)</f>
        <v>40.2739726027397</v>
      </c>
      <c r="I1767" s="37" t="n">
        <f aca="false">Inputs!$C$9-SUMIFS(Cash_Events!$G$6:$G$20,Cash_Events!$C$6:$C$20,"FHL",Cash_Events!$B$6:$B$20,"&lt;="&amp;A1767)</f>
        <v>735000</v>
      </c>
      <c r="J1767" s="38" t="n">
        <f aca="false">VLOOKUP(A1767,Inputs!$F$40:$G$48,2,TRUE())</f>
        <v>0.0364054</v>
      </c>
      <c r="K1767" s="38" t="n">
        <f aca="false">J1767+Inputs!$C$10</f>
        <v>0.1039054</v>
      </c>
      <c r="L1767" s="37" t="n">
        <f aca="false">I1767*K1767/C1767</f>
        <v>209.234161643836</v>
      </c>
      <c r="M1767" s="37" t="n">
        <f aca="false">IF(AND(A1767&gt;=Inputs!$C$13,OR(A1767&lt;Inputs!$B$19,Inputs!$B$20=1)),I1767*Inputs!$C$11/C1767,0)</f>
        <v>40.2739726027397</v>
      </c>
    </row>
    <row r="1768" customFormat="false" ht="15" hidden="false" customHeight="false" outlineLevel="0" collapsed="false">
      <c r="A1768" s="35" t="n">
        <f aca="false">A1767+1</f>
        <v>46575</v>
      </c>
      <c r="B1768" s="35" t="n">
        <f aca="false">EOMONTH(A1768+1,0)</f>
        <v>46599</v>
      </c>
      <c r="C1768" s="36" t="n">
        <f aca="false">IF(MOD(YEAR(A1768),4)=0,366,365)</f>
        <v>365</v>
      </c>
      <c r="D1768" s="37" t="n">
        <f aca="false">Inputs!$B$9-SUMIFS(Cash_Events!$G$6:$G$20,Cash_Events!$C$6:$C$20,"rAGMF",Cash_Events!$B$6:$B$20,"&lt;="&amp;A1768)</f>
        <v>735000</v>
      </c>
      <c r="E1768" s="38" t="n">
        <f aca="false">VLOOKUP(A1768,Inputs!$A$40:$B$48,2,TRUE())</f>
        <v>0.0363225</v>
      </c>
      <c r="F1768" s="38" t="n">
        <f aca="false">E1768+Inputs!$B$10</f>
        <v>0.1038225</v>
      </c>
      <c r="G1768" s="37" t="n">
        <f aca="false">D1768*F1768/C1768</f>
        <v>209.067226027397</v>
      </c>
      <c r="H1768" s="37" t="n">
        <f aca="false">IF(AND(A1768&gt;=Inputs!$B$13,OR(A1768&lt;Inputs!$B$19,Inputs!$B$20=1)),D1768*Inputs!$B$11/C1768,0)</f>
        <v>40.2739726027397</v>
      </c>
      <c r="I1768" s="37" t="n">
        <f aca="false">Inputs!$C$9-SUMIFS(Cash_Events!$G$6:$G$20,Cash_Events!$C$6:$C$20,"FHL",Cash_Events!$B$6:$B$20,"&lt;="&amp;A1768)</f>
        <v>735000</v>
      </c>
      <c r="J1768" s="38" t="n">
        <f aca="false">VLOOKUP(A1768,Inputs!$F$40:$G$48,2,TRUE())</f>
        <v>0.0364054</v>
      </c>
      <c r="K1768" s="38" t="n">
        <f aca="false">J1768+Inputs!$C$10</f>
        <v>0.1039054</v>
      </c>
      <c r="L1768" s="37" t="n">
        <f aca="false">I1768*K1768/C1768</f>
        <v>209.234161643836</v>
      </c>
      <c r="M1768" s="37" t="n">
        <f aca="false">IF(AND(A1768&gt;=Inputs!$C$13,OR(A1768&lt;Inputs!$B$19,Inputs!$B$20=1)),I1768*Inputs!$C$11/C1768,0)</f>
        <v>40.2739726027397</v>
      </c>
    </row>
    <row r="1769" customFormat="false" ht="15" hidden="false" customHeight="false" outlineLevel="0" collapsed="false">
      <c r="A1769" s="35" t="n">
        <f aca="false">A1768+1</f>
        <v>46576</v>
      </c>
      <c r="B1769" s="35" t="n">
        <f aca="false">EOMONTH(A1769+1,0)</f>
        <v>46599</v>
      </c>
      <c r="C1769" s="36" t="n">
        <f aca="false">IF(MOD(YEAR(A1769),4)=0,366,365)</f>
        <v>365</v>
      </c>
      <c r="D1769" s="37" t="n">
        <f aca="false">Inputs!$B$9-SUMIFS(Cash_Events!$G$6:$G$20,Cash_Events!$C$6:$C$20,"rAGMF",Cash_Events!$B$6:$B$20,"&lt;="&amp;A1769)</f>
        <v>735000</v>
      </c>
      <c r="E1769" s="38" t="n">
        <f aca="false">VLOOKUP(A1769,Inputs!$A$40:$B$48,2,TRUE())</f>
        <v>0.0363225</v>
      </c>
      <c r="F1769" s="38" t="n">
        <f aca="false">E1769+Inputs!$B$10</f>
        <v>0.1038225</v>
      </c>
      <c r="G1769" s="37" t="n">
        <f aca="false">D1769*F1769/C1769</f>
        <v>209.067226027397</v>
      </c>
      <c r="H1769" s="37" t="n">
        <f aca="false">IF(AND(A1769&gt;=Inputs!$B$13,OR(A1769&lt;Inputs!$B$19,Inputs!$B$20=1)),D1769*Inputs!$B$11/C1769,0)</f>
        <v>40.2739726027397</v>
      </c>
      <c r="I1769" s="37" t="n">
        <f aca="false">Inputs!$C$9-SUMIFS(Cash_Events!$G$6:$G$20,Cash_Events!$C$6:$C$20,"FHL",Cash_Events!$B$6:$B$20,"&lt;="&amp;A1769)</f>
        <v>735000</v>
      </c>
      <c r="J1769" s="38" t="n">
        <f aca="false">VLOOKUP(A1769,Inputs!$F$40:$G$48,2,TRUE())</f>
        <v>0.0364054</v>
      </c>
      <c r="K1769" s="38" t="n">
        <f aca="false">J1769+Inputs!$C$10</f>
        <v>0.1039054</v>
      </c>
      <c r="L1769" s="37" t="n">
        <f aca="false">I1769*K1769/C1769</f>
        <v>209.234161643836</v>
      </c>
      <c r="M1769" s="37" t="n">
        <f aca="false">IF(AND(A1769&gt;=Inputs!$C$13,OR(A1769&lt;Inputs!$B$19,Inputs!$B$20=1)),I1769*Inputs!$C$11/C1769,0)</f>
        <v>40.2739726027397</v>
      </c>
    </row>
    <row r="1770" customFormat="false" ht="15" hidden="false" customHeight="false" outlineLevel="0" collapsed="false">
      <c r="A1770" s="35" t="n">
        <f aca="false">A1769+1</f>
        <v>46577</v>
      </c>
      <c r="B1770" s="35" t="n">
        <f aca="false">EOMONTH(A1770+1,0)</f>
        <v>46599</v>
      </c>
      <c r="C1770" s="36" t="n">
        <f aca="false">IF(MOD(YEAR(A1770),4)=0,366,365)</f>
        <v>365</v>
      </c>
      <c r="D1770" s="37" t="n">
        <f aca="false">Inputs!$B$9-SUMIFS(Cash_Events!$G$6:$G$20,Cash_Events!$C$6:$C$20,"rAGMF",Cash_Events!$B$6:$B$20,"&lt;="&amp;A1770)</f>
        <v>735000</v>
      </c>
      <c r="E1770" s="38" t="n">
        <f aca="false">VLOOKUP(A1770,Inputs!$A$40:$B$48,2,TRUE())</f>
        <v>0.0363225</v>
      </c>
      <c r="F1770" s="38" t="n">
        <f aca="false">E1770+Inputs!$B$10</f>
        <v>0.1038225</v>
      </c>
      <c r="G1770" s="37" t="n">
        <f aca="false">D1770*F1770/C1770</f>
        <v>209.067226027397</v>
      </c>
      <c r="H1770" s="37" t="n">
        <f aca="false">IF(AND(A1770&gt;=Inputs!$B$13,OR(A1770&lt;Inputs!$B$19,Inputs!$B$20=1)),D1770*Inputs!$B$11/C1770,0)</f>
        <v>40.2739726027397</v>
      </c>
      <c r="I1770" s="37" t="n">
        <f aca="false">Inputs!$C$9-SUMIFS(Cash_Events!$G$6:$G$20,Cash_Events!$C$6:$C$20,"FHL",Cash_Events!$B$6:$B$20,"&lt;="&amp;A1770)</f>
        <v>735000</v>
      </c>
      <c r="J1770" s="38" t="n">
        <f aca="false">VLOOKUP(A1770,Inputs!$F$40:$G$48,2,TRUE())</f>
        <v>0.0364054</v>
      </c>
      <c r="K1770" s="38" t="n">
        <f aca="false">J1770+Inputs!$C$10</f>
        <v>0.1039054</v>
      </c>
      <c r="L1770" s="37" t="n">
        <f aca="false">I1770*K1770/C1770</f>
        <v>209.234161643836</v>
      </c>
      <c r="M1770" s="37" t="n">
        <f aca="false">IF(AND(A1770&gt;=Inputs!$C$13,OR(A1770&lt;Inputs!$B$19,Inputs!$B$20=1)),I1770*Inputs!$C$11/C1770,0)</f>
        <v>40.2739726027397</v>
      </c>
    </row>
    <row r="1771" customFormat="false" ht="15" hidden="false" customHeight="false" outlineLevel="0" collapsed="false">
      <c r="A1771" s="35" t="n">
        <f aca="false">A1770+1</f>
        <v>46578</v>
      </c>
      <c r="B1771" s="35" t="n">
        <f aca="false">EOMONTH(A1771+1,0)</f>
        <v>46599</v>
      </c>
      <c r="C1771" s="36" t="n">
        <f aca="false">IF(MOD(YEAR(A1771),4)=0,366,365)</f>
        <v>365</v>
      </c>
      <c r="D1771" s="37" t="n">
        <f aca="false">Inputs!$B$9-SUMIFS(Cash_Events!$G$6:$G$20,Cash_Events!$C$6:$C$20,"rAGMF",Cash_Events!$B$6:$B$20,"&lt;="&amp;A1771)</f>
        <v>735000</v>
      </c>
      <c r="E1771" s="38" t="n">
        <f aca="false">VLOOKUP(A1771,Inputs!$A$40:$B$48,2,TRUE())</f>
        <v>0.0363225</v>
      </c>
      <c r="F1771" s="38" t="n">
        <f aca="false">E1771+Inputs!$B$10</f>
        <v>0.1038225</v>
      </c>
      <c r="G1771" s="37" t="n">
        <f aca="false">D1771*F1771/C1771</f>
        <v>209.067226027397</v>
      </c>
      <c r="H1771" s="37" t="n">
        <f aca="false">IF(AND(A1771&gt;=Inputs!$B$13,OR(A1771&lt;Inputs!$B$19,Inputs!$B$20=1)),D1771*Inputs!$B$11/C1771,0)</f>
        <v>40.2739726027397</v>
      </c>
      <c r="I1771" s="37" t="n">
        <f aca="false">Inputs!$C$9-SUMIFS(Cash_Events!$G$6:$G$20,Cash_Events!$C$6:$C$20,"FHL",Cash_Events!$B$6:$B$20,"&lt;="&amp;A1771)</f>
        <v>735000</v>
      </c>
      <c r="J1771" s="38" t="n">
        <f aca="false">VLOOKUP(A1771,Inputs!$F$40:$G$48,2,TRUE())</f>
        <v>0.0364054</v>
      </c>
      <c r="K1771" s="38" t="n">
        <f aca="false">J1771+Inputs!$C$10</f>
        <v>0.1039054</v>
      </c>
      <c r="L1771" s="37" t="n">
        <f aca="false">I1771*K1771/C1771</f>
        <v>209.234161643836</v>
      </c>
      <c r="M1771" s="37" t="n">
        <f aca="false">IF(AND(A1771&gt;=Inputs!$C$13,OR(A1771&lt;Inputs!$B$19,Inputs!$B$20=1)),I1771*Inputs!$C$11/C1771,0)</f>
        <v>40.2739726027397</v>
      </c>
    </row>
    <row r="1772" customFormat="false" ht="15" hidden="false" customHeight="false" outlineLevel="0" collapsed="false">
      <c r="A1772" s="35" t="n">
        <f aca="false">A1771+1</f>
        <v>46579</v>
      </c>
      <c r="B1772" s="35" t="n">
        <f aca="false">EOMONTH(A1772+1,0)</f>
        <v>46599</v>
      </c>
      <c r="C1772" s="36" t="n">
        <f aca="false">IF(MOD(YEAR(A1772),4)=0,366,365)</f>
        <v>365</v>
      </c>
      <c r="D1772" s="37" t="n">
        <f aca="false">Inputs!$B$9-SUMIFS(Cash_Events!$G$6:$G$20,Cash_Events!$C$6:$C$20,"rAGMF",Cash_Events!$B$6:$B$20,"&lt;="&amp;A1772)</f>
        <v>735000</v>
      </c>
      <c r="E1772" s="38" t="n">
        <f aca="false">VLOOKUP(A1772,Inputs!$A$40:$B$48,2,TRUE())</f>
        <v>0.0363225</v>
      </c>
      <c r="F1772" s="38" t="n">
        <f aca="false">E1772+Inputs!$B$10</f>
        <v>0.1038225</v>
      </c>
      <c r="G1772" s="37" t="n">
        <f aca="false">D1772*F1772/C1772</f>
        <v>209.067226027397</v>
      </c>
      <c r="H1772" s="37" t="n">
        <f aca="false">IF(AND(A1772&gt;=Inputs!$B$13,OR(A1772&lt;Inputs!$B$19,Inputs!$B$20=1)),D1772*Inputs!$B$11/C1772,0)</f>
        <v>40.2739726027397</v>
      </c>
      <c r="I1772" s="37" t="n">
        <f aca="false">Inputs!$C$9-SUMIFS(Cash_Events!$G$6:$G$20,Cash_Events!$C$6:$C$20,"FHL",Cash_Events!$B$6:$B$20,"&lt;="&amp;A1772)</f>
        <v>735000</v>
      </c>
      <c r="J1772" s="38" t="n">
        <f aca="false">VLOOKUP(A1772,Inputs!$F$40:$G$48,2,TRUE())</f>
        <v>0.0364054</v>
      </c>
      <c r="K1772" s="38" t="n">
        <f aca="false">J1772+Inputs!$C$10</f>
        <v>0.1039054</v>
      </c>
      <c r="L1772" s="37" t="n">
        <f aca="false">I1772*K1772/C1772</f>
        <v>209.234161643836</v>
      </c>
      <c r="M1772" s="37" t="n">
        <f aca="false">IF(AND(A1772&gt;=Inputs!$C$13,OR(A1772&lt;Inputs!$B$19,Inputs!$B$20=1)),I1772*Inputs!$C$11/C1772,0)</f>
        <v>40.2739726027397</v>
      </c>
    </row>
    <row r="1773" customFormat="false" ht="15" hidden="false" customHeight="false" outlineLevel="0" collapsed="false">
      <c r="A1773" s="35" t="n">
        <f aca="false">A1772+1</f>
        <v>46580</v>
      </c>
      <c r="B1773" s="35" t="n">
        <f aca="false">EOMONTH(A1773+1,0)</f>
        <v>46599</v>
      </c>
      <c r="C1773" s="36" t="n">
        <f aca="false">IF(MOD(YEAR(A1773),4)=0,366,365)</f>
        <v>365</v>
      </c>
      <c r="D1773" s="37" t="n">
        <f aca="false">Inputs!$B$9-SUMIFS(Cash_Events!$G$6:$G$20,Cash_Events!$C$6:$C$20,"rAGMF",Cash_Events!$B$6:$B$20,"&lt;="&amp;A1773)</f>
        <v>735000</v>
      </c>
      <c r="E1773" s="38" t="n">
        <f aca="false">VLOOKUP(A1773,Inputs!$A$40:$B$48,2,TRUE())</f>
        <v>0.0363225</v>
      </c>
      <c r="F1773" s="38" t="n">
        <f aca="false">E1773+Inputs!$B$10</f>
        <v>0.1038225</v>
      </c>
      <c r="G1773" s="37" t="n">
        <f aca="false">D1773*F1773/C1773</f>
        <v>209.067226027397</v>
      </c>
      <c r="H1773" s="37" t="n">
        <f aca="false">IF(AND(A1773&gt;=Inputs!$B$13,OR(A1773&lt;Inputs!$B$19,Inputs!$B$20=1)),D1773*Inputs!$B$11/C1773,0)</f>
        <v>40.2739726027397</v>
      </c>
      <c r="I1773" s="37" t="n">
        <f aca="false">Inputs!$C$9-SUMIFS(Cash_Events!$G$6:$G$20,Cash_Events!$C$6:$C$20,"FHL",Cash_Events!$B$6:$B$20,"&lt;="&amp;A1773)</f>
        <v>735000</v>
      </c>
      <c r="J1773" s="38" t="n">
        <f aca="false">VLOOKUP(A1773,Inputs!$F$40:$G$48,2,TRUE())</f>
        <v>0.0364054</v>
      </c>
      <c r="K1773" s="38" t="n">
        <f aca="false">J1773+Inputs!$C$10</f>
        <v>0.1039054</v>
      </c>
      <c r="L1773" s="37" t="n">
        <f aca="false">I1773*K1773/C1773</f>
        <v>209.234161643836</v>
      </c>
      <c r="M1773" s="37" t="n">
        <f aca="false">IF(AND(A1773&gt;=Inputs!$C$13,OR(A1773&lt;Inputs!$B$19,Inputs!$B$20=1)),I1773*Inputs!$C$11/C1773,0)</f>
        <v>40.2739726027397</v>
      </c>
    </row>
    <row r="1774" customFormat="false" ht="15" hidden="false" customHeight="false" outlineLevel="0" collapsed="false">
      <c r="A1774" s="35" t="n">
        <f aca="false">A1773+1</f>
        <v>46581</v>
      </c>
      <c r="B1774" s="35" t="n">
        <f aca="false">EOMONTH(A1774+1,0)</f>
        <v>46599</v>
      </c>
      <c r="C1774" s="36" t="n">
        <f aca="false">IF(MOD(YEAR(A1774),4)=0,366,365)</f>
        <v>365</v>
      </c>
      <c r="D1774" s="37" t="n">
        <f aca="false">Inputs!$B$9-SUMIFS(Cash_Events!$G$6:$G$20,Cash_Events!$C$6:$C$20,"rAGMF",Cash_Events!$B$6:$B$20,"&lt;="&amp;A1774)</f>
        <v>735000</v>
      </c>
      <c r="E1774" s="38" t="n">
        <f aca="false">VLOOKUP(A1774,Inputs!$A$40:$B$48,2,TRUE())</f>
        <v>0.0363225</v>
      </c>
      <c r="F1774" s="38" t="n">
        <f aca="false">E1774+Inputs!$B$10</f>
        <v>0.1038225</v>
      </c>
      <c r="G1774" s="37" t="n">
        <f aca="false">D1774*F1774/C1774</f>
        <v>209.067226027397</v>
      </c>
      <c r="H1774" s="37" t="n">
        <f aca="false">IF(AND(A1774&gt;=Inputs!$B$13,OR(A1774&lt;Inputs!$B$19,Inputs!$B$20=1)),D1774*Inputs!$B$11/C1774,0)</f>
        <v>40.2739726027397</v>
      </c>
      <c r="I1774" s="37" t="n">
        <f aca="false">Inputs!$C$9-SUMIFS(Cash_Events!$G$6:$G$20,Cash_Events!$C$6:$C$20,"FHL",Cash_Events!$B$6:$B$20,"&lt;="&amp;A1774)</f>
        <v>735000</v>
      </c>
      <c r="J1774" s="38" t="n">
        <f aca="false">VLOOKUP(A1774,Inputs!$F$40:$G$48,2,TRUE())</f>
        <v>0.0364054</v>
      </c>
      <c r="K1774" s="38" t="n">
        <f aca="false">J1774+Inputs!$C$10</f>
        <v>0.1039054</v>
      </c>
      <c r="L1774" s="37" t="n">
        <f aca="false">I1774*K1774/C1774</f>
        <v>209.234161643836</v>
      </c>
      <c r="M1774" s="37" t="n">
        <f aca="false">IF(AND(A1774&gt;=Inputs!$C$13,OR(A1774&lt;Inputs!$B$19,Inputs!$B$20=1)),I1774*Inputs!$C$11/C1774,0)</f>
        <v>40.2739726027397</v>
      </c>
    </row>
    <row r="1775" customFormat="false" ht="15" hidden="false" customHeight="false" outlineLevel="0" collapsed="false">
      <c r="A1775" s="35" t="n">
        <f aca="false">A1774+1</f>
        <v>46582</v>
      </c>
      <c r="B1775" s="35" t="n">
        <f aca="false">EOMONTH(A1775+1,0)</f>
        <v>46599</v>
      </c>
      <c r="C1775" s="36" t="n">
        <f aca="false">IF(MOD(YEAR(A1775),4)=0,366,365)</f>
        <v>365</v>
      </c>
      <c r="D1775" s="37" t="n">
        <f aca="false">Inputs!$B$9-SUMIFS(Cash_Events!$G$6:$G$20,Cash_Events!$C$6:$C$20,"rAGMF",Cash_Events!$B$6:$B$20,"&lt;="&amp;A1775)</f>
        <v>735000</v>
      </c>
      <c r="E1775" s="38" t="n">
        <f aca="false">VLOOKUP(A1775,Inputs!$A$40:$B$48,2,TRUE())</f>
        <v>0.0363225</v>
      </c>
      <c r="F1775" s="38" t="n">
        <f aca="false">E1775+Inputs!$B$10</f>
        <v>0.1038225</v>
      </c>
      <c r="G1775" s="37" t="n">
        <f aca="false">D1775*F1775/C1775</f>
        <v>209.067226027397</v>
      </c>
      <c r="H1775" s="37" t="n">
        <f aca="false">IF(AND(A1775&gt;=Inputs!$B$13,OR(A1775&lt;Inputs!$B$19,Inputs!$B$20=1)),D1775*Inputs!$B$11/C1775,0)</f>
        <v>40.2739726027397</v>
      </c>
      <c r="I1775" s="37" t="n">
        <f aca="false">Inputs!$C$9-SUMIFS(Cash_Events!$G$6:$G$20,Cash_Events!$C$6:$C$20,"FHL",Cash_Events!$B$6:$B$20,"&lt;="&amp;A1775)</f>
        <v>735000</v>
      </c>
      <c r="J1775" s="38" t="n">
        <f aca="false">VLOOKUP(A1775,Inputs!$F$40:$G$48,2,TRUE())</f>
        <v>0.0364054</v>
      </c>
      <c r="K1775" s="38" t="n">
        <f aca="false">J1775+Inputs!$C$10</f>
        <v>0.1039054</v>
      </c>
      <c r="L1775" s="37" t="n">
        <f aca="false">I1775*K1775/C1775</f>
        <v>209.234161643836</v>
      </c>
      <c r="M1775" s="37" t="n">
        <f aca="false">IF(AND(A1775&gt;=Inputs!$C$13,OR(A1775&lt;Inputs!$B$19,Inputs!$B$20=1)),I1775*Inputs!$C$11/C1775,0)</f>
        <v>40.2739726027397</v>
      </c>
    </row>
    <row r="1776" customFormat="false" ht="15" hidden="false" customHeight="false" outlineLevel="0" collapsed="false">
      <c r="A1776" s="35" t="n">
        <f aca="false">A1775+1</f>
        <v>46583</v>
      </c>
      <c r="B1776" s="35" t="n">
        <f aca="false">EOMONTH(A1776+1,0)</f>
        <v>46599</v>
      </c>
      <c r="C1776" s="36" t="n">
        <f aca="false">IF(MOD(YEAR(A1776),4)=0,366,365)</f>
        <v>365</v>
      </c>
      <c r="D1776" s="37" t="n">
        <f aca="false">Inputs!$B$9-SUMIFS(Cash_Events!$G$6:$G$20,Cash_Events!$C$6:$C$20,"rAGMF",Cash_Events!$B$6:$B$20,"&lt;="&amp;A1776)</f>
        <v>735000</v>
      </c>
      <c r="E1776" s="38" t="n">
        <f aca="false">VLOOKUP(A1776,Inputs!$A$40:$B$48,2,TRUE())</f>
        <v>0.0363225</v>
      </c>
      <c r="F1776" s="38" t="n">
        <f aca="false">E1776+Inputs!$B$10</f>
        <v>0.1038225</v>
      </c>
      <c r="G1776" s="37" t="n">
        <f aca="false">D1776*F1776/C1776</f>
        <v>209.067226027397</v>
      </c>
      <c r="H1776" s="37" t="n">
        <f aca="false">IF(AND(A1776&gt;=Inputs!$B$13,OR(A1776&lt;Inputs!$B$19,Inputs!$B$20=1)),D1776*Inputs!$B$11/C1776,0)</f>
        <v>40.2739726027397</v>
      </c>
      <c r="I1776" s="37" t="n">
        <f aca="false">Inputs!$C$9-SUMIFS(Cash_Events!$G$6:$G$20,Cash_Events!$C$6:$C$20,"FHL",Cash_Events!$B$6:$B$20,"&lt;="&amp;A1776)</f>
        <v>735000</v>
      </c>
      <c r="J1776" s="38" t="n">
        <f aca="false">VLOOKUP(A1776,Inputs!$F$40:$G$48,2,TRUE())</f>
        <v>0.0364054</v>
      </c>
      <c r="K1776" s="38" t="n">
        <f aca="false">J1776+Inputs!$C$10</f>
        <v>0.1039054</v>
      </c>
      <c r="L1776" s="37" t="n">
        <f aca="false">I1776*K1776/C1776</f>
        <v>209.234161643836</v>
      </c>
      <c r="M1776" s="37" t="n">
        <f aca="false">IF(AND(A1776&gt;=Inputs!$C$13,OR(A1776&lt;Inputs!$B$19,Inputs!$B$20=1)),I1776*Inputs!$C$11/C1776,0)</f>
        <v>40.2739726027397</v>
      </c>
    </row>
    <row r="1777" customFormat="false" ht="15" hidden="false" customHeight="false" outlineLevel="0" collapsed="false">
      <c r="A1777" s="35" t="n">
        <f aca="false">A1776+1</f>
        <v>46584</v>
      </c>
      <c r="B1777" s="35" t="n">
        <f aca="false">EOMONTH(A1777+1,0)</f>
        <v>46599</v>
      </c>
      <c r="C1777" s="36" t="n">
        <f aca="false">IF(MOD(YEAR(A1777),4)=0,366,365)</f>
        <v>365</v>
      </c>
      <c r="D1777" s="37" t="n">
        <f aca="false">Inputs!$B$9-SUMIFS(Cash_Events!$G$6:$G$20,Cash_Events!$C$6:$C$20,"rAGMF",Cash_Events!$B$6:$B$20,"&lt;="&amp;A1777)</f>
        <v>735000</v>
      </c>
      <c r="E1777" s="38" t="n">
        <f aca="false">VLOOKUP(A1777,Inputs!$A$40:$B$48,2,TRUE())</f>
        <v>0.0363225</v>
      </c>
      <c r="F1777" s="38" t="n">
        <f aca="false">E1777+Inputs!$B$10</f>
        <v>0.1038225</v>
      </c>
      <c r="G1777" s="37" t="n">
        <f aca="false">D1777*F1777/C1777</f>
        <v>209.067226027397</v>
      </c>
      <c r="H1777" s="37" t="n">
        <f aca="false">IF(AND(A1777&gt;=Inputs!$B$13,OR(A1777&lt;Inputs!$B$19,Inputs!$B$20=1)),D1777*Inputs!$B$11/C1777,0)</f>
        <v>40.2739726027397</v>
      </c>
      <c r="I1777" s="37" t="n">
        <f aca="false">Inputs!$C$9-SUMIFS(Cash_Events!$G$6:$G$20,Cash_Events!$C$6:$C$20,"FHL",Cash_Events!$B$6:$B$20,"&lt;="&amp;A1777)</f>
        <v>735000</v>
      </c>
      <c r="J1777" s="38" t="n">
        <f aca="false">VLOOKUP(A1777,Inputs!$F$40:$G$48,2,TRUE())</f>
        <v>0.0364054</v>
      </c>
      <c r="K1777" s="38" t="n">
        <f aca="false">J1777+Inputs!$C$10</f>
        <v>0.1039054</v>
      </c>
      <c r="L1777" s="37" t="n">
        <f aca="false">I1777*K1777/C1777</f>
        <v>209.234161643836</v>
      </c>
      <c r="M1777" s="37" t="n">
        <f aca="false">IF(AND(A1777&gt;=Inputs!$C$13,OR(A1777&lt;Inputs!$B$19,Inputs!$B$20=1)),I1777*Inputs!$C$11/C1777,0)</f>
        <v>40.2739726027397</v>
      </c>
    </row>
    <row r="1778" customFormat="false" ht="15" hidden="false" customHeight="false" outlineLevel="0" collapsed="false">
      <c r="A1778" s="35" t="n">
        <f aca="false">A1777+1</f>
        <v>46585</v>
      </c>
      <c r="B1778" s="35" t="n">
        <f aca="false">EOMONTH(A1778+1,0)</f>
        <v>46599</v>
      </c>
      <c r="C1778" s="36" t="n">
        <f aca="false">IF(MOD(YEAR(A1778),4)=0,366,365)</f>
        <v>365</v>
      </c>
      <c r="D1778" s="37" t="n">
        <f aca="false">Inputs!$B$9-SUMIFS(Cash_Events!$G$6:$G$20,Cash_Events!$C$6:$C$20,"rAGMF",Cash_Events!$B$6:$B$20,"&lt;="&amp;A1778)</f>
        <v>735000</v>
      </c>
      <c r="E1778" s="38" t="n">
        <f aca="false">VLOOKUP(A1778,Inputs!$A$40:$B$48,2,TRUE())</f>
        <v>0.0363225</v>
      </c>
      <c r="F1778" s="38" t="n">
        <f aca="false">E1778+Inputs!$B$10</f>
        <v>0.1038225</v>
      </c>
      <c r="G1778" s="37" t="n">
        <f aca="false">D1778*F1778/C1778</f>
        <v>209.067226027397</v>
      </c>
      <c r="H1778" s="37" t="n">
        <f aca="false">IF(AND(A1778&gt;=Inputs!$B$13,OR(A1778&lt;Inputs!$B$19,Inputs!$B$20=1)),D1778*Inputs!$B$11/C1778,0)</f>
        <v>40.2739726027397</v>
      </c>
      <c r="I1778" s="37" t="n">
        <f aca="false">Inputs!$C$9-SUMIFS(Cash_Events!$G$6:$G$20,Cash_Events!$C$6:$C$20,"FHL",Cash_Events!$B$6:$B$20,"&lt;="&amp;A1778)</f>
        <v>735000</v>
      </c>
      <c r="J1778" s="38" t="n">
        <f aca="false">VLOOKUP(A1778,Inputs!$F$40:$G$48,2,TRUE())</f>
        <v>0.0364054</v>
      </c>
      <c r="K1778" s="38" t="n">
        <f aca="false">J1778+Inputs!$C$10</f>
        <v>0.1039054</v>
      </c>
      <c r="L1778" s="37" t="n">
        <f aca="false">I1778*K1778/C1778</f>
        <v>209.234161643836</v>
      </c>
      <c r="M1778" s="37" t="n">
        <f aca="false">IF(AND(A1778&gt;=Inputs!$C$13,OR(A1778&lt;Inputs!$B$19,Inputs!$B$20=1)),I1778*Inputs!$C$11/C1778,0)</f>
        <v>40.2739726027397</v>
      </c>
    </row>
    <row r="1779" customFormat="false" ht="15" hidden="false" customHeight="false" outlineLevel="0" collapsed="false">
      <c r="A1779" s="35" t="n">
        <f aca="false">A1778+1</f>
        <v>46586</v>
      </c>
      <c r="B1779" s="35" t="n">
        <f aca="false">EOMONTH(A1779+1,0)</f>
        <v>46599</v>
      </c>
      <c r="C1779" s="36" t="n">
        <f aca="false">IF(MOD(YEAR(A1779),4)=0,366,365)</f>
        <v>365</v>
      </c>
      <c r="D1779" s="37" t="n">
        <f aca="false">Inputs!$B$9-SUMIFS(Cash_Events!$G$6:$G$20,Cash_Events!$C$6:$C$20,"rAGMF",Cash_Events!$B$6:$B$20,"&lt;="&amp;A1779)</f>
        <v>735000</v>
      </c>
      <c r="E1779" s="38" t="n">
        <f aca="false">VLOOKUP(A1779,Inputs!$A$40:$B$48,2,TRUE())</f>
        <v>0.0363225</v>
      </c>
      <c r="F1779" s="38" t="n">
        <f aca="false">E1779+Inputs!$B$10</f>
        <v>0.1038225</v>
      </c>
      <c r="G1779" s="37" t="n">
        <f aca="false">D1779*F1779/C1779</f>
        <v>209.067226027397</v>
      </c>
      <c r="H1779" s="37" t="n">
        <f aca="false">IF(AND(A1779&gt;=Inputs!$B$13,OR(A1779&lt;Inputs!$B$19,Inputs!$B$20=1)),D1779*Inputs!$B$11/C1779,0)</f>
        <v>40.2739726027397</v>
      </c>
      <c r="I1779" s="37" t="n">
        <f aca="false">Inputs!$C$9-SUMIFS(Cash_Events!$G$6:$G$20,Cash_Events!$C$6:$C$20,"FHL",Cash_Events!$B$6:$B$20,"&lt;="&amp;A1779)</f>
        <v>735000</v>
      </c>
      <c r="J1779" s="38" t="n">
        <f aca="false">VLOOKUP(A1779,Inputs!$F$40:$G$48,2,TRUE())</f>
        <v>0.0364054</v>
      </c>
      <c r="K1779" s="38" t="n">
        <f aca="false">J1779+Inputs!$C$10</f>
        <v>0.1039054</v>
      </c>
      <c r="L1779" s="37" t="n">
        <f aca="false">I1779*K1779/C1779</f>
        <v>209.234161643836</v>
      </c>
      <c r="M1779" s="37" t="n">
        <f aca="false">IF(AND(A1779&gt;=Inputs!$C$13,OR(A1779&lt;Inputs!$B$19,Inputs!$B$20=1)),I1779*Inputs!$C$11/C1779,0)</f>
        <v>40.2739726027397</v>
      </c>
    </row>
    <row r="1780" customFormat="false" ht="15" hidden="false" customHeight="false" outlineLevel="0" collapsed="false">
      <c r="A1780" s="35" t="n">
        <f aca="false">A1779+1</f>
        <v>46587</v>
      </c>
      <c r="B1780" s="35" t="n">
        <f aca="false">EOMONTH(A1780+1,0)</f>
        <v>46599</v>
      </c>
      <c r="C1780" s="36" t="n">
        <f aca="false">IF(MOD(YEAR(A1780),4)=0,366,365)</f>
        <v>365</v>
      </c>
      <c r="D1780" s="37" t="n">
        <f aca="false">Inputs!$B$9-SUMIFS(Cash_Events!$G$6:$G$20,Cash_Events!$C$6:$C$20,"rAGMF",Cash_Events!$B$6:$B$20,"&lt;="&amp;A1780)</f>
        <v>735000</v>
      </c>
      <c r="E1780" s="38" t="n">
        <f aca="false">VLOOKUP(A1780,Inputs!$A$40:$B$48,2,TRUE())</f>
        <v>0.0363225</v>
      </c>
      <c r="F1780" s="38" t="n">
        <f aca="false">E1780+Inputs!$B$10</f>
        <v>0.1038225</v>
      </c>
      <c r="G1780" s="37" t="n">
        <f aca="false">D1780*F1780/C1780</f>
        <v>209.067226027397</v>
      </c>
      <c r="H1780" s="37" t="n">
        <f aca="false">IF(AND(A1780&gt;=Inputs!$B$13,OR(A1780&lt;Inputs!$B$19,Inputs!$B$20=1)),D1780*Inputs!$B$11/C1780,0)</f>
        <v>40.2739726027397</v>
      </c>
      <c r="I1780" s="37" t="n">
        <f aca="false">Inputs!$C$9-SUMIFS(Cash_Events!$G$6:$G$20,Cash_Events!$C$6:$C$20,"FHL",Cash_Events!$B$6:$B$20,"&lt;="&amp;A1780)</f>
        <v>735000</v>
      </c>
      <c r="J1780" s="38" t="n">
        <f aca="false">VLOOKUP(A1780,Inputs!$F$40:$G$48,2,TRUE())</f>
        <v>0.0364054</v>
      </c>
      <c r="K1780" s="38" t="n">
        <f aca="false">J1780+Inputs!$C$10</f>
        <v>0.1039054</v>
      </c>
      <c r="L1780" s="37" t="n">
        <f aca="false">I1780*K1780/C1780</f>
        <v>209.234161643836</v>
      </c>
      <c r="M1780" s="37" t="n">
        <f aca="false">IF(AND(A1780&gt;=Inputs!$C$13,OR(A1780&lt;Inputs!$B$19,Inputs!$B$20=1)),I1780*Inputs!$C$11/C1780,0)</f>
        <v>40.2739726027397</v>
      </c>
    </row>
    <row r="1781" customFormat="false" ht="15" hidden="false" customHeight="false" outlineLevel="0" collapsed="false">
      <c r="A1781" s="35" t="n">
        <f aca="false">A1780+1</f>
        <v>46588</v>
      </c>
      <c r="B1781" s="35" t="n">
        <f aca="false">EOMONTH(A1781+1,0)</f>
        <v>46599</v>
      </c>
      <c r="C1781" s="36" t="n">
        <f aca="false">IF(MOD(YEAR(A1781),4)=0,366,365)</f>
        <v>365</v>
      </c>
      <c r="D1781" s="37" t="n">
        <f aca="false">Inputs!$B$9-SUMIFS(Cash_Events!$G$6:$G$20,Cash_Events!$C$6:$C$20,"rAGMF",Cash_Events!$B$6:$B$20,"&lt;="&amp;A1781)</f>
        <v>735000</v>
      </c>
      <c r="E1781" s="38" t="n">
        <f aca="false">VLOOKUP(A1781,Inputs!$A$40:$B$48,2,TRUE())</f>
        <v>0.0363225</v>
      </c>
      <c r="F1781" s="38" t="n">
        <f aca="false">E1781+Inputs!$B$10</f>
        <v>0.1038225</v>
      </c>
      <c r="G1781" s="37" t="n">
        <f aca="false">D1781*F1781/C1781</f>
        <v>209.067226027397</v>
      </c>
      <c r="H1781" s="37" t="n">
        <f aca="false">IF(AND(A1781&gt;=Inputs!$B$13,OR(A1781&lt;Inputs!$B$19,Inputs!$B$20=1)),D1781*Inputs!$B$11/C1781,0)</f>
        <v>40.2739726027397</v>
      </c>
      <c r="I1781" s="37" t="n">
        <f aca="false">Inputs!$C$9-SUMIFS(Cash_Events!$G$6:$G$20,Cash_Events!$C$6:$C$20,"FHL",Cash_Events!$B$6:$B$20,"&lt;="&amp;A1781)</f>
        <v>735000</v>
      </c>
      <c r="J1781" s="38" t="n">
        <f aca="false">VLOOKUP(A1781,Inputs!$F$40:$G$48,2,TRUE())</f>
        <v>0.0364054</v>
      </c>
      <c r="K1781" s="38" t="n">
        <f aca="false">J1781+Inputs!$C$10</f>
        <v>0.1039054</v>
      </c>
      <c r="L1781" s="37" t="n">
        <f aca="false">I1781*K1781/C1781</f>
        <v>209.234161643836</v>
      </c>
      <c r="M1781" s="37" t="n">
        <f aca="false">IF(AND(A1781&gt;=Inputs!$C$13,OR(A1781&lt;Inputs!$B$19,Inputs!$B$20=1)),I1781*Inputs!$C$11/C1781,0)</f>
        <v>40.2739726027397</v>
      </c>
    </row>
    <row r="1782" customFormat="false" ht="15" hidden="false" customHeight="false" outlineLevel="0" collapsed="false">
      <c r="A1782" s="35" t="n">
        <f aca="false">A1781+1</f>
        <v>46589</v>
      </c>
      <c r="B1782" s="35" t="n">
        <f aca="false">EOMONTH(A1782+1,0)</f>
        <v>46599</v>
      </c>
      <c r="C1782" s="36" t="n">
        <f aca="false">IF(MOD(YEAR(A1782),4)=0,366,365)</f>
        <v>365</v>
      </c>
      <c r="D1782" s="37" t="n">
        <f aca="false">Inputs!$B$9-SUMIFS(Cash_Events!$G$6:$G$20,Cash_Events!$C$6:$C$20,"rAGMF",Cash_Events!$B$6:$B$20,"&lt;="&amp;A1782)</f>
        <v>735000</v>
      </c>
      <c r="E1782" s="38" t="n">
        <f aca="false">VLOOKUP(A1782,Inputs!$A$40:$B$48,2,TRUE())</f>
        <v>0.0363225</v>
      </c>
      <c r="F1782" s="38" t="n">
        <f aca="false">E1782+Inputs!$B$10</f>
        <v>0.1038225</v>
      </c>
      <c r="G1782" s="37" t="n">
        <f aca="false">D1782*F1782/C1782</f>
        <v>209.067226027397</v>
      </c>
      <c r="H1782" s="37" t="n">
        <f aca="false">IF(AND(A1782&gt;=Inputs!$B$13,OR(A1782&lt;Inputs!$B$19,Inputs!$B$20=1)),D1782*Inputs!$B$11/C1782,0)</f>
        <v>40.2739726027397</v>
      </c>
      <c r="I1782" s="37" t="n">
        <f aca="false">Inputs!$C$9-SUMIFS(Cash_Events!$G$6:$G$20,Cash_Events!$C$6:$C$20,"FHL",Cash_Events!$B$6:$B$20,"&lt;="&amp;A1782)</f>
        <v>735000</v>
      </c>
      <c r="J1782" s="38" t="n">
        <f aca="false">VLOOKUP(A1782,Inputs!$F$40:$G$48,2,TRUE())</f>
        <v>0.0364054</v>
      </c>
      <c r="K1782" s="38" t="n">
        <f aca="false">J1782+Inputs!$C$10</f>
        <v>0.1039054</v>
      </c>
      <c r="L1782" s="37" t="n">
        <f aca="false">I1782*K1782/C1782</f>
        <v>209.234161643836</v>
      </c>
      <c r="M1782" s="37" t="n">
        <f aca="false">IF(AND(A1782&gt;=Inputs!$C$13,OR(A1782&lt;Inputs!$B$19,Inputs!$B$20=1)),I1782*Inputs!$C$11/C1782,0)</f>
        <v>40.2739726027397</v>
      </c>
    </row>
    <row r="1783" customFormat="false" ht="15" hidden="false" customHeight="false" outlineLevel="0" collapsed="false">
      <c r="A1783" s="35" t="n">
        <f aca="false">A1782+1</f>
        <v>46590</v>
      </c>
      <c r="B1783" s="35" t="n">
        <f aca="false">EOMONTH(A1783+1,0)</f>
        <v>46599</v>
      </c>
      <c r="C1783" s="36" t="n">
        <f aca="false">IF(MOD(YEAR(A1783),4)=0,366,365)</f>
        <v>365</v>
      </c>
      <c r="D1783" s="37" t="n">
        <f aca="false">Inputs!$B$9-SUMIFS(Cash_Events!$G$6:$G$20,Cash_Events!$C$6:$C$20,"rAGMF",Cash_Events!$B$6:$B$20,"&lt;="&amp;A1783)</f>
        <v>735000</v>
      </c>
      <c r="E1783" s="38" t="n">
        <f aca="false">VLOOKUP(A1783,Inputs!$A$40:$B$48,2,TRUE())</f>
        <v>0.0363225</v>
      </c>
      <c r="F1783" s="38" t="n">
        <f aca="false">E1783+Inputs!$B$10</f>
        <v>0.1038225</v>
      </c>
      <c r="G1783" s="37" t="n">
        <f aca="false">D1783*F1783/C1783</f>
        <v>209.067226027397</v>
      </c>
      <c r="H1783" s="37" t="n">
        <f aca="false">IF(AND(A1783&gt;=Inputs!$B$13,OR(A1783&lt;Inputs!$B$19,Inputs!$B$20=1)),D1783*Inputs!$B$11/C1783,0)</f>
        <v>40.2739726027397</v>
      </c>
      <c r="I1783" s="37" t="n">
        <f aca="false">Inputs!$C$9-SUMIFS(Cash_Events!$G$6:$G$20,Cash_Events!$C$6:$C$20,"FHL",Cash_Events!$B$6:$B$20,"&lt;="&amp;A1783)</f>
        <v>735000</v>
      </c>
      <c r="J1783" s="38" t="n">
        <f aca="false">VLOOKUP(A1783,Inputs!$F$40:$G$48,2,TRUE())</f>
        <v>0.0364054</v>
      </c>
      <c r="K1783" s="38" t="n">
        <f aca="false">J1783+Inputs!$C$10</f>
        <v>0.1039054</v>
      </c>
      <c r="L1783" s="37" t="n">
        <f aca="false">I1783*K1783/C1783</f>
        <v>209.234161643836</v>
      </c>
      <c r="M1783" s="37" t="n">
        <f aca="false">IF(AND(A1783&gt;=Inputs!$C$13,OR(A1783&lt;Inputs!$B$19,Inputs!$B$20=1)),I1783*Inputs!$C$11/C1783,0)</f>
        <v>40.2739726027397</v>
      </c>
    </row>
    <row r="1784" customFormat="false" ht="15" hidden="false" customHeight="false" outlineLevel="0" collapsed="false">
      <c r="A1784" s="35" t="n">
        <f aca="false">A1783+1</f>
        <v>46591</v>
      </c>
      <c r="B1784" s="35" t="n">
        <f aca="false">EOMONTH(A1784+1,0)</f>
        <v>46599</v>
      </c>
      <c r="C1784" s="36" t="n">
        <f aca="false">IF(MOD(YEAR(A1784),4)=0,366,365)</f>
        <v>365</v>
      </c>
      <c r="D1784" s="37" t="n">
        <f aca="false">Inputs!$B$9-SUMIFS(Cash_Events!$G$6:$G$20,Cash_Events!$C$6:$C$20,"rAGMF",Cash_Events!$B$6:$B$20,"&lt;="&amp;A1784)</f>
        <v>735000</v>
      </c>
      <c r="E1784" s="38" t="n">
        <f aca="false">VLOOKUP(A1784,Inputs!$A$40:$B$48,2,TRUE())</f>
        <v>0.0363225</v>
      </c>
      <c r="F1784" s="38" t="n">
        <f aca="false">E1784+Inputs!$B$10</f>
        <v>0.1038225</v>
      </c>
      <c r="G1784" s="37" t="n">
        <f aca="false">D1784*F1784/C1784</f>
        <v>209.067226027397</v>
      </c>
      <c r="H1784" s="37" t="n">
        <f aca="false">IF(AND(A1784&gt;=Inputs!$B$13,OR(A1784&lt;Inputs!$B$19,Inputs!$B$20=1)),D1784*Inputs!$B$11/C1784,0)</f>
        <v>40.2739726027397</v>
      </c>
      <c r="I1784" s="37" t="n">
        <f aca="false">Inputs!$C$9-SUMIFS(Cash_Events!$G$6:$G$20,Cash_Events!$C$6:$C$20,"FHL",Cash_Events!$B$6:$B$20,"&lt;="&amp;A1784)</f>
        <v>735000</v>
      </c>
      <c r="J1784" s="38" t="n">
        <f aca="false">VLOOKUP(A1784,Inputs!$F$40:$G$48,2,TRUE())</f>
        <v>0.0364054</v>
      </c>
      <c r="K1784" s="38" t="n">
        <f aca="false">J1784+Inputs!$C$10</f>
        <v>0.1039054</v>
      </c>
      <c r="L1784" s="37" t="n">
        <f aca="false">I1784*K1784/C1784</f>
        <v>209.234161643836</v>
      </c>
      <c r="M1784" s="37" t="n">
        <f aca="false">IF(AND(A1784&gt;=Inputs!$C$13,OR(A1784&lt;Inputs!$B$19,Inputs!$B$20=1)),I1784*Inputs!$C$11/C1784,0)</f>
        <v>40.2739726027397</v>
      </c>
    </row>
    <row r="1785" customFormat="false" ht="15" hidden="false" customHeight="false" outlineLevel="0" collapsed="false">
      <c r="A1785" s="35" t="n">
        <f aca="false">A1784+1</f>
        <v>46592</v>
      </c>
      <c r="B1785" s="35" t="n">
        <f aca="false">EOMONTH(A1785+1,0)</f>
        <v>46599</v>
      </c>
      <c r="C1785" s="36" t="n">
        <f aca="false">IF(MOD(YEAR(A1785),4)=0,366,365)</f>
        <v>365</v>
      </c>
      <c r="D1785" s="37" t="n">
        <f aca="false">Inputs!$B$9-SUMIFS(Cash_Events!$G$6:$G$20,Cash_Events!$C$6:$C$20,"rAGMF",Cash_Events!$B$6:$B$20,"&lt;="&amp;A1785)</f>
        <v>735000</v>
      </c>
      <c r="E1785" s="38" t="n">
        <f aca="false">VLOOKUP(A1785,Inputs!$A$40:$B$48,2,TRUE())</f>
        <v>0.0363225</v>
      </c>
      <c r="F1785" s="38" t="n">
        <f aca="false">E1785+Inputs!$B$10</f>
        <v>0.1038225</v>
      </c>
      <c r="G1785" s="37" t="n">
        <f aca="false">D1785*F1785/C1785</f>
        <v>209.067226027397</v>
      </c>
      <c r="H1785" s="37" t="n">
        <f aca="false">IF(AND(A1785&gt;=Inputs!$B$13,OR(A1785&lt;Inputs!$B$19,Inputs!$B$20=1)),D1785*Inputs!$B$11/C1785,0)</f>
        <v>40.2739726027397</v>
      </c>
      <c r="I1785" s="37" t="n">
        <f aca="false">Inputs!$C$9-SUMIFS(Cash_Events!$G$6:$G$20,Cash_Events!$C$6:$C$20,"FHL",Cash_Events!$B$6:$B$20,"&lt;="&amp;A1785)</f>
        <v>735000</v>
      </c>
      <c r="J1785" s="38" t="n">
        <f aca="false">VLOOKUP(A1785,Inputs!$F$40:$G$48,2,TRUE())</f>
        <v>0.0364054</v>
      </c>
      <c r="K1785" s="38" t="n">
        <f aca="false">J1785+Inputs!$C$10</f>
        <v>0.1039054</v>
      </c>
      <c r="L1785" s="37" t="n">
        <f aca="false">I1785*K1785/C1785</f>
        <v>209.234161643836</v>
      </c>
      <c r="M1785" s="37" t="n">
        <f aca="false">IF(AND(A1785&gt;=Inputs!$C$13,OR(A1785&lt;Inputs!$B$19,Inputs!$B$20=1)),I1785*Inputs!$C$11/C1785,0)</f>
        <v>40.2739726027397</v>
      </c>
    </row>
    <row r="1786" customFormat="false" ht="15" hidden="false" customHeight="false" outlineLevel="0" collapsed="false">
      <c r="A1786" s="35" t="n">
        <f aca="false">A1785+1</f>
        <v>46593</v>
      </c>
      <c r="B1786" s="35" t="n">
        <f aca="false">EOMONTH(A1786+1,0)</f>
        <v>46599</v>
      </c>
      <c r="C1786" s="36" t="n">
        <f aca="false">IF(MOD(YEAR(A1786),4)=0,366,365)</f>
        <v>365</v>
      </c>
      <c r="D1786" s="37" t="n">
        <f aca="false">Inputs!$B$9-SUMIFS(Cash_Events!$G$6:$G$20,Cash_Events!$C$6:$C$20,"rAGMF",Cash_Events!$B$6:$B$20,"&lt;="&amp;A1786)</f>
        <v>735000</v>
      </c>
      <c r="E1786" s="38" t="n">
        <f aca="false">VLOOKUP(A1786,Inputs!$A$40:$B$48,2,TRUE())</f>
        <v>0.0363225</v>
      </c>
      <c r="F1786" s="38" t="n">
        <f aca="false">E1786+Inputs!$B$10</f>
        <v>0.1038225</v>
      </c>
      <c r="G1786" s="37" t="n">
        <f aca="false">D1786*F1786/C1786</f>
        <v>209.067226027397</v>
      </c>
      <c r="H1786" s="37" t="n">
        <f aca="false">IF(AND(A1786&gt;=Inputs!$B$13,OR(A1786&lt;Inputs!$B$19,Inputs!$B$20=1)),D1786*Inputs!$B$11/C1786,0)</f>
        <v>40.2739726027397</v>
      </c>
      <c r="I1786" s="37" t="n">
        <f aca="false">Inputs!$C$9-SUMIFS(Cash_Events!$G$6:$G$20,Cash_Events!$C$6:$C$20,"FHL",Cash_Events!$B$6:$B$20,"&lt;="&amp;A1786)</f>
        <v>735000</v>
      </c>
      <c r="J1786" s="38" t="n">
        <f aca="false">VLOOKUP(A1786,Inputs!$F$40:$G$48,2,TRUE())</f>
        <v>0.0364054</v>
      </c>
      <c r="K1786" s="38" t="n">
        <f aca="false">J1786+Inputs!$C$10</f>
        <v>0.1039054</v>
      </c>
      <c r="L1786" s="37" t="n">
        <f aca="false">I1786*K1786/C1786</f>
        <v>209.234161643836</v>
      </c>
      <c r="M1786" s="37" t="n">
        <f aca="false">IF(AND(A1786&gt;=Inputs!$C$13,OR(A1786&lt;Inputs!$B$19,Inputs!$B$20=1)),I1786*Inputs!$C$11/C1786,0)</f>
        <v>40.2739726027397</v>
      </c>
    </row>
    <row r="1787" customFormat="false" ht="15" hidden="false" customHeight="false" outlineLevel="0" collapsed="false">
      <c r="A1787" s="35" t="n">
        <f aca="false">A1786+1</f>
        <v>46594</v>
      </c>
      <c r="B1787" s="35" t="n">
        <f aca="false">EOMONTH(A1787+1,0)</f>
        <v>46599</v>
      </c>
      <c r="C1787" s="36" t="n">
        <f aca="false">IF(MOD(YEAR(A1787),4)=0,366,365)</f>
        <v>365</v>
      </c>
      <c r="D1787" s="37" t="n">
        <f aca="false">Inputs!$B$9-SUMIFS(Cash_Events!$G$6:$G$20,Cash_Events!$C$6:$C$20,"rAGMF",Cash_Events!$B$6:$B$20,"&lt;="&amp;A1787)</f>
        <v>735000</v>
      </c>
      <c r="E1787" s="38" t="n">
        <f aca="false">VLOOKUP(A1787,Inputs!$A$40:$B$48,2,TRUE())</f>
        <v>0.0363225</v>
      </c>
      <c r="F1787" s="38" t="n">
        <f aca="false">E1787+Inputs!$B$10</f>
        <v>0.1038225</v>
      </c>
      <c r="G1787" s="37" t="n">
        <f aca="false">D1787*F1787/C1787</f>
        <v>209.067226027397</v>
      </c>
      <c r="H1787" s="37" t="n">
        <f aca="false">IF(AND(A1787&gt;=Inputs!$B$13,OR(A1787&lt;Inputs!$B$19,Inputs!$B$20=1)),D1787*Inputs!$B$11/C1787,0)</f>
        <v>40.2739726027397</v>
      </c>
      <c r="I1787" s="37" t="n">
        <f aca="false">Inputs!$C$9-SUMIFS(Cash_Events!$G$6:$G$20,Cash_Events!$C$6:$C$20,"FHL",Cash_Events!$B$6:$B$20,"&lt;="&amp;A1787)</f>
        <v>735000</v>
      </c>
      <c r="J1787" s="38" t="n">
        <f aca="false">VLOOKUP(A1787,Inputs!$F$40:$G$48,2,TRUE())</f>
        <v>0.0364054</v>
      </c>
      <c r="K1787" s="38" t="n">
        <f aca="false">J1787+Inputs!$C$10</f>
        <v>0.1039054</v>
      </c>
      <c r="L1787" s="37" t="n">
        <f aca="false">I1787*K1787/C1787</f>
        <v>209.234161643836</v>
      </c>
      <c r="M1787" s="37" t="n">
        <f aca="false">IF(AND(A1787&gt;=Inputs!$C$13,OR(A1787&lt;Inputs!$B$19,Inputs!$B$20=1)),I1787*Inputs!$C$11/C1787,0)</f>
        <v>40.2739726027397</v>
      </c>
    </row>
    <row r="1788" customFormat="false" ht="15" hidden="false" customHeight="false" outlineLevel="0" collapsed="false">
      <c r="A1788" s="35" t="n">
        <f aca="false">A1787+1</f>
        <v>46595</v>
      </c>
      <c r="B1788" s="35" t="n">
        <f aca="false">EOMONTH(A1788+1,0)</f>
        <v>46599</v>
      </c>
      <c r="C1788" s="36" t="n">
        <f aca="false">IF(MOD(YEAR(A1788),4)=0,366,365)</f>
        <v>365</v>
      </c>
      <c r="D1788" s="37" t="n">
        <f aca="false">Inputs!$B$9-SUMIFS(Cash_Events!$G$6:$G$20,Cash_Events!$C$6:$C$20,"rAGMF",Cash_Events!$B$6:$B$20,"&lt;="&amp;A1788)</f>
        <v>735000</v>
      </c>
      <c r="E1788" s="38" t="n">
        <f aca="false">VLOOKUP(A1788,Inputs!$A$40:$B$48,2,TRUE())</f>
        <v>0.0363225</v>
      </c>
      <c r="F1788" s="38" t="n">
        <f aca="false">E1788+Inputs!$B$10</f>
        <v>0.1038225</v>
      </c>
      <c r="G1788" s="37" t="n">
        <f aca="false">D1788*F1788/C1788</f>
        <v>209.067226027397</v>
      </c>
      <c r="H1788" s="37" t="n">
        <f aca="false">IF(AND(A1788&gt;=Inputs!$B$13,OR(A1788&lt;Inputs!$B$19,Inputs!$B$20=1)),D1788*Inputs!$B$11/C1788,0)</f>
        <v>40.2739726027397</v>
      </c>
      <c r="I1788" s="37" t="n">
        <f aca="false">Inputs!$C$9-SUMIFS(Cash_Events!$G$6:$G$20,Cash_Events!$C$6:$C$20,"FHL",Cash_Events!$B$6:$B$20,"&lt;="&amp;A1788)</f>
        <v>735000</v>
      </c>
      <c r="J1788" s="38" t="n">
        <f aca="false">VLOOKUP(A1788,Inputs!$F$40:$G$48,2,TRUE())</f>
        <v>0.0364054</v>
      </c>
      <c r="K1788" s="38" t="n">
        <f aca="false">J1788+Inputs!$C$10</f>
        <v>0.1039054</v>
      </c>
      <c r="L1788" s="37" t="n">
        <f aca="false">I1788*K1788/C1788</f>
        <v>209.234161643836</v>
      </c>
      <c r="M1788" s="37" t="n">
        <f aca="false">IF(AND(A1788&gt;=Inputs!$C$13,OR(A1788&lt;Inputs!$B$19,Inputs!$B$20=1)),I1788*Inputs!$C$11/C1788,0)</f>
        <v>40.2739726027397</v>
      </c>
    </row>
    <row r="1789" customFormat="false" ht="15" hidden="false" customHeight="false" outlineLevel="0" collapsed="false">
      <c r="A1789" s="35" t="n">
        <f aca="false">A1788+1</f>
        <v>46596</v>
      </c>
      <c r="B1789" s="35" t="n">
        <f aca="false">EOMONTH(A1789+1,0)</f>
        <v>46599</v>
      </c>
      <c r="C1789" s="36" t="n">
        <f aca="false">IF(MOD(YEAR(A1789),4)=0,366,365)</f>
        <v>365</v>
      </c>
      <c r="D1789" s="37" t="n">
        <f aca="false">Inputs!$B$9-SUMIFS(Cash_Events!$G$6:$G$20,Cash_Events!$C$6:$C$20,"rAGMF",Cash_Events!$B$6:$B$20,"&lt;="&amp;A1789)</f>
        <v>735000</v>
      </c>
      <c r="E1789" s="38" t="n">
        <f aca="false">VLOOKUP(A1789,Inputs!$A$40:$B$48,2,TRUE())</f>
        <v>0.0363225</v>
      </c>
      <c r="F1789" s="38" t="n">
        <f aca="false">E1789+Inputs!$B$10</f>
        <v>0.1038225</v>
      </c>
      <c r="G1789" s="37" t="n">
        <f aca="false">D1789*F1789/C1789</f>
        <v>209.067226027397</v>
      </c>
      <c r="H1789" s="37" t="n">
        <f aca="false">IF(AND(A1789&gt;=Inputs!$B$13,OR(A1789&lt;Inputs!$B$19,Inputs!$B$20=1)),D1789*Inputs!$B$11/C1789,0)</f>
        <v>40.2739726027397</v>
      </c>
      <c r="I1789" s="37" t="n">
        <f aca="false">Inputs!$C$9-SUMIFS(Cash_Events!$G$6:$G$20,Cash_Events!$C$6:$C$20,"FHL",Cash_Events!$B$6:$B$20,"&lt;="&amp;A1789)</f>
        <v>735000</v>
      </c>
      <c r="J1789" s="38" t="n">
        <f aca="false">VLOOKUP(A1789,Inputs!$F$40:$G$48,2,TRUE())</f>
        <v>0.0364054</v>
      </c>
      <c r="K1789" s="38" t="n">
        <f aca="false">J1789+Inputs!$C$10</f>
        <v>0.1039054</v>
      </c>
      <c r="L1789" s="37" t="n">
        <f aca="false">I1789*K1789/C1789</f>
        <v>209.234161643836</v>
      </c>
      <c r="M1789" s="37" t="n">
        <f aca="false">IF(AND(A1789&gt;=Inputs!$C$13,OR(A1789&lt;Inputs!$B$19,Inputs!$B$20=1)),I1789*Inputs!$C$11/C1789,0)</f>
        <v>40.2739726027397</v>
      </c>
    </row>
    <row r="1790" customFormat="false" ht="15" hidden="false" customHeight="false" outlineLevel="0" collapsed="false">
      <c r="A1790" s="35" t="n">
        <f aca="false">A1789+1</f>
        <v>46597</v>
      </c>
      <c r="B1790" s="35" t="n">
        <f aca="false">EOMONTH(A1790+1,0)</f>
        <v>46599</v>
      </c>
      <c r="C1790" s="36" t="n">
        <f aca="false">IF(MOD(YEAR(A1790),4)=0,366,365)</f>
        <v>365</v>
      </c>
      <c r="D1790" s="37" t="n">
        <f aca="false">Inputs!$B$9-SUMIFS(Cash_Events!$G$6:$G$20,Cash_Events!$C$6:$C$20,"rAGMF",Cash_Events!$B$6:$B$20,"&lt;="&amp;A1790)</f>
        <v>735000</v>
      </c>
      <c r="E1790" s="38" t="n">
        <f aca="false">VLOOKUP(A1790,Inputs!$A$40:$B$48,2,TRUE())</f>
        <v>0.0363225</v>
      </c>
      <c r="F1790" s="38" t="n">
        <f aca="false">E1790+Inputs!$B$10</f>
        <v>0.1038225</v>
      </c>
      <c r="G1790" s="37" t="n">
        <f aca="false">D1790*F1790/C1790</f>
        <v>209.067226027397</v>
      </c>
      <c r="H1790" s="37" t="n">
        <f aca="false">IF(AND(A1790&gt;=Inputs!$B$13,OR(A1790&lt;Inputs!$B$19,Inputs!$B$20=1)),D1790*Inputs!$B$11/C1790,0)</f>
        <v>40.2739726027397</v>
      </c>
      <c r="I1790" s="37" t="n">
        <f aca="false">Inputs!$C$9-SUMIFS(Cash_Events!$G$6:$G$20,Cash_Events!$C$6:$C$20,"FHL",Cash_Events!$B$6:$B$20,"&lt;="&amp;A1790)</f>
        <v>735000</v>
      </c>
      <c r="J1790" s="38" t="n">
        <f aca="false">VLOOKUP(A1790,Inputs!$F$40:$G$48,2,TRUE())</f>
        <v>0.0364054</v>
      </c>
      <c r="K1790" s="38" t="n">
        <f aca="false">J1790+Inputs!$C$10</f>
        <v>0.1039054</v>
      </c>
      <c r="L1790" s="37" t="n">
        <f aca="false">I1790*K1790/C1790</f>
        <v>209.234161643836</v>
      </c>
      <c r="M1790" s="37" t="n">
        <f aca="false">IF(AND(A1790&gt;=Inputs!$C$13,OR(A1790&lt;Inputs!$B$19,Inputs!$B$20=1)),I1790*Inputs!$C$11/C1790,0)</f>
        <v>40.2739726027397</v>
      </c>
    </row>
    <row r="1791" customFormat="false" ht="15" hidden="false" customHeight="false" outlineLevel="0" collapsed="false">
      <c r="A1791" s="35" t="n">
        <f aca="false">A1790+1</f>
        <v>46598</v>
      </c>
      <c r="B1791" s="35" t="n">
        <f aca="false">EOMONTH(A1791+1,0)</f>
        <v>46599</v>
      </c>
      <c r="C1791" s="36" t="n">
        <f aca="false">IF(MOD(YEAR(A1791),4)=0,366,365)</f>
        <v>365</v>
      </c>
      <c r="D1791" s="37" t="n">
        <f aca="false">Inputs!$B$9-SUMIFS(Cash_Events!$G$6:$G$20,Cash_Events!$C$6:$C$20,"rAGMF",Cash_Events!$B$6:$B$20,"&lt;="&amp;A1791)</f>
        <v>735000</v>
      </c>
      <c r="E1791" s="38" t="n">
        <f aca="false">VLOOKUP(A1791,Inputs!$A$40:$B$48,2,TRUE())</f>
        <v>0.0363225</v>
      </c>
      <c r="F1791" s="38" t="n">
        <f aca="false">E1791+Inputs!$B$10</f>
        <v>0.1038225</v>
      </c>
      <c r="G1791" s="37" t="n">
        <f aca="false">D1791*F1791/C1791</f>
        <v>209.067226027397</v>
      </c>
      <c r="H1791" s="37" t="n">
        <f aca="false">IF(AND(A1791&gt;=Inputs!$B$13,OR(A1791&lt;Inputs!$B$19,Inputs!$B$20=1)),D1791*Inputs!$B$11/C1791,0)</f>
        <v>40.2739726027397</v>
      </c>
      <c r="I1791" s="37" t="n">
        <f aca="false">Inputs!$C$9-SUMIFS(Cash_Events!$G$6:$G$20,Cash_Events!$C$6:$C$20,"FHL",Cash_Events!$B$6:$B$20,"&lt;="&amp;A1791)</f>
        <v>735000</v>
      </c>
      <c r="J1791" s="38" t="n">
        <f aca="false">VLOOKUP(A1791,Inputs!$F$40:$G$48,2,TRUE())</f>
        <v>0.0364054</v>
      </c>
      <c r="K1791" s="38" t="n">
        <f aca="false">J1791+Inputs!$C$10</f>
        <v>0.1039054</v>
      </c>
      <c r="L1791" s="37" t="n">
        <f aca="false">I1791*K1791/C1791</f>
        <v>209.234161643836</v>
      </c>
      <c r="M1791" s="37" t="n">
        <f aca="false">IF(AND(A1791&gt;=Inputs!$C$13,OR(A1791&lt;Inputs!$B$19,Inputs!$B$20=1)),I1791*Inputs!$C$11/C1791,0)</f>
        <v>40.2739726027397</v>
      </c>
    </row>
    <row r="1792" customFormat="false" ht="15" hidden="false" customHeight="false" outlineLevel="0" collapsed="false">
      <c r="A1792" s="35" t="n">
        <f aca="false">A1791+1</f>
        <v>46599</v>
      </c>
      <c r="B1792" s="35" t="n">
        <f aca="false">EOMONTH(A1792+1,0)</f>
        <v>46630</v>
      </c>
      <c r="C1792" s="36" t="n">
        <f aca="false">IF(MOD(YEAR(A1792),4)=0,366,365)</f>
        <v>365</v>
      </c>
      <c r="D1792" s="37" t="n">
        <f aca="false">Inputs!$B$9-SUMIFS(Cash_Events!$G$6:$G$20,Cash_Events!$C$6:$C$20,"rAGMF",Cash_Events!$B$6:$B$20,"&lt;="&amp;A1792)</f>
        <v>735000</v>
      </c>
      <c r="E1792" s="38" t="n">
        <f aca="false">VLOOKUP(A1792,Inputs!$A$40:$B$48,2,TRUE())</f>
        <v>0.0363225</v>
      </c>
      <c r="F1792" s="38" t="n">
        <f aca="false">E1792+Inputs!$B$10</f>
        <v>0.1038225</v>
      </c>
      <c r="G1792" s="37" t="n">
        <f aca="false">D1792*F1792/C1792</f>
        <v>209.067226027397</v>
      </c>
      <c r="H1792" s="37" t="n">
        <f aca="false">IF(AND(A1792&gt;=Inputs!$B$13,OR(A1792&lt;Inputs!$B$19,Inputs!$B$20=1)),D1792*Inputs!$B$11/C1792,0)</f>
        <v>40.2739726027397</v>
      </c>
      <c r="I1792" s="37" t="n">
        <f aca="false">Inputs!$C$9-SUMIFS(Cash_Events!$G$6:$G$20,Cash_Events!$C$6:$C$20,"FHL",Cash_Events!$B$6:$B$20,"&lt;="&amp;A1792)</f>
        <v>735000</v>
      </c>
      <c r="J1792" s="38" t="n">
        <f aca="false">VLOOKUP(A1792,Inputs!$F$40:$G$48,2,TRUE())</f>
        <v>0.0364054</v>
      </c>
      <c r="K1792" s="38" t="n">
        <f aca="false">J1792+Inputs!$C$10</f>
        <v>0.1039054</v>
      </c>
      <c r="L1792" s="37" t="n">
        <f aca="false">I1792*K1792/C1792</f>
        <v>209.234161643836</v>
      </c>
      <c r="M1792" s="37" t="n">
        <f aca="false">IF(AND(A1792&gt;=Inputs!$C$13,OR(A1792&lt;Inputs!$B$19,Inputs!$B$20=1)),I1792*Inputs!$C$11/C1792,0)</f>
        <v>40.2739726027397</v>
      </c>
    </row>
    <row r="1793" customFormat="false" ht="15" hidden="false" customHeight="false" outlineLevel="0" collapsed="false">
      <c r="A1793" s="35" t="n">
        <f aca="false">A1792+1</f>
        <v>46600</v>
      </c>
      <c r="B1793" s="35" t="n">
        <f aca="false">EOMONTH(A1793+1,0)</f>
        <v>46630</v>
      </c>
      <c r="C1793" s="36" t="n">
        <f aca="false">IF(MOD(YEAR(A1793),4)=0,366,365)</f>
        <v>365</v>
      </c>
      <c r="D1793" s="37" t="n">
        <f aca="false">Inputs!$B$9-SUMIFS(Cash_Events!$G$6:$G$20,Cash_Events!$C$6:$C$20,"rAGMF",Cash_Events!$B$6:$B$20,"&lt;="&amp;A1793)</f>
        <v>735000</v>
      </c>
      <c r="E1793" s="38" t="n">
        <f aca="false">VLOOKUP(A1793,Inputs!$A$40:$B$48,2,TRUE())</f>
        <v>0.0363225</v>
      </c>
      <c r="F1793" s="38" t="n">
        <f aca="false">E1793+Inputs!$B$10</f>
        <v>0.1038225</v>
      </c>
      <c r="G1793" s="37" t="n">
        <f aca="false">D1793*F1793/C1793</f>
        <v>209.067226027397</v>
      </c>
      <c r="H1793" s="37" t="n">
        <f aca="false">IF(AND(A1793&gt;=Inputs!$B$13,OR(A1793&lt;Inputs!$B$19,Inputs!$B$20=1)),D1793*Inputs!$B$11/C1793,0)</f>
        <v>40.2739726027397</v>
      </c>
      <c r="I1793" s="37" t="n">
        <f aca="false">Inputs!$C$9-SUMIFS(Cash_Events!$G$6:$G$20,Cash_Events!$C$6:$C$20,"FHL",Cash_Events!$B$6:$B$20,"&lt;="&amp;A1793)</f>
        <v>735000</v>
      </c>
      <c r="J1793" s="38" t="n">
        <f aca="false">VLOOKUP(A1793,Inputs!$F$40:$G$48,2,TRUE())</f>
        <v>0.0364054</v>
      </c>
      <c r="K1793" s="38" t="n">
        <f aca="false">J1793+Inputs!$C$10</f>
        <v>0.1039054</v>
      </c>
      <c r="L1793" s="37" t="n">
        <f aca="false">I1793*K1793/C1793</f>
        <v>209.234161643836</v>
      </c>
      <c r="M1793" s="37" t="n">
        <f aca="false">IF(AND(A1793&gt;=Inputs!$C$13,OR(A1793&lt;Inputs!$B$19,Inputs!$B$20=1)),I1793*Inputs!$C$11/C1793,0)</f>
        <v>40.2739726027397</v>
      </c>
    </row>
    <row r="1794" customFormat="false" ht="15" hidden="false" customHeight="false" outlineLevel="0" collapsed="false">
      <c r="A1794" s="35" t="n">
        <f aca="false">A1793+1</f>
        <v>46601</v>
      </c>
      <c r="B1794" s="35" t="n">
        <f aca="false">EOMONTH(A1794+1,0)</f>
        <v>46630</v>
      </c>
      <c r="C1794" s="36" t="n">
        <f aca="false">IF(MOD(YEAR(A1794),4)=0,366,365)</f>
        <v>365</v>
      </c>
      <c r="D1794" s="37" t="n">
        <f aca="false">Inputs!$B$9-SUMIFS(Cash_Events!$G$6:$G$20,Cash_Events!$C$6:$C$20,"rAGMF",Cash_Events!$B$6:$B$20,"&lt;="&amp;A1794)</f>
        <v>735000</v>
      </c>
      <c r="E1794" s="38" t="n">
        <f aca="false">VLOOKUP(A1794,Inputs!$A$40:$B$48,2,TRUE())</f>
        <v>0.0363225</v>
      </c>
      <c r="F1794" s="38" t="n">
        <f aca="false">E1794+Inputs!$B$10</f>
        <v>0.1038225</v>
      </c>
      <c r="G1794" s="37" t="n">
        <f aca="false">D1794*F1794/C1794</f>
        <v>209.067226027397</v>
      </c>
      <c r="H1794" s="37" t="n">
        <f aca="false">IF(AND(A1794&gt;=Inputs!$B$13,OR(A1794&lt;Inputs!$B$19,Inputs!$B$20=1)),D1794*Inputs!$B$11/C1794,0)</f>
        <v>40.2739726027397</v>
      </c>
      <c r="I1794" s="37" t="n">
        <f aca="false">Inputs!$C$9-SUMIFS(Cash_Events!$G$6:$G$20,Cash_Events!$C$6:$C$20,"FHL",Cash_Events!$B$6:$B$20,"&lt;="&amp;A1794)</f>
        <v>735000</v>
      </c>
      <c r="J1794" s="38" t="n">
        <f aca="false">VLOOKUP(A1794,Inputs!$F$40:$G$48,2,TRUE())</f>
        <v>0.0364054</v>
      </c>
      <c r="K1794" s="38" t="n">
        <f aca="false">J1794+Inputs!$C$10</f>
        <v>0.1039054</v>
      </c>
      <c r="L1794" s="37" t="n">
        <f aca="false">I1794*K1794/C1794</f>
        <v>209.234161643836</v>
      </c>
      <c r="M1794" s="37" t="n">
        <f aca="false">IF(AND(A1794&gt;=Inputs!$C$13,OR(A1794&lt;Inputs!$B$19,Inputs!$B$20=1)),I1794*Inputs!$C$11/C1794,0)</f>
        <v>40.2739726027397</v>
      </c>
    </row>
    <row r="1795" customFormat="false" ht="15" hidden="false" customHeight="false" outlineLevel="0" collapsed="false">
      <c r="A1795" s="35" t="n">
        <f aca="false">A1794+1</f>
        <v>46602</v>
      </c>
      <c r="B1795" s="35" t="n">
        <f aca="false">EOMONTH(A1795+1,0)</f>
        <v>46630</v>
      </c>
      <c r="C1795" s="36" t="n">
        <f aca="false">IF(MOD(YEAR(A1795),4)=0,366,365)</f>
        <v>365</v>
      </c>
      <c r="D1795" s="37" t="n">
        <f aca="false">Inputs!$B$9-SUMIFS(Cash_Events!$G$6:$G$20,Cash_Events!$C$6:$C$20,"rAGMF",Cash_Events!$B$6:$B$20,"&lt;="&amp;A1795)</f>
        <v>735000</v>
      </c>
      <c r="E1795" s="38" t="n">
        <f aca="false">VLOOKUP(A1795,Inputs!$A$40:$B$48,2,TRUE())</f>
        <v>0.0363225</v>
      </c>
      <c r="F1795" s="38" t="n">
        <f aca="false">E1795+Inputs!$B$10</f>
        <v>0.1038225</v>
      </c>
      <c r="G1795" s="37" t="n">
        <f aca="false">D1795*F1795/C1795</f>
        <v>209.067226027397</v>
      </c>
      <c r="H1795" s="37" t="n">
        <f aca="false">IF(AND(A1795&gt;=Inputs!$B$13,OR(A1795&lt;Inputs!$B$19,Inputs!$B$20=1)),D1795*Inputs!$B$11/C1795,0)</f>
        <v>40.2739726027397</v>
      </c>
      <c r="I1795" s="37" t="n">
        <f aca="false">Inputs!$C$9-SUMIFS(Cash_Events!$G$6:$G$20,Cash_Events!$C$6:$C$20,"FHL",Cash_Events!$B$6:$B$20,"&lt;="&amp;A1795)</f>
        <v>735000</v>
      </c>
      <c r="J1795" s="38" t="n">
        <f aca="false">VLOOKUP(A1795,Inputs!$F$40:$G$48,2,TRUE())</f>
        <v>0.0364054</v>
      </c>
      <c r="K1795" s="38" t="n">
        <f aca="false">J1795+Inputs!$C$10</f>
        <v>0.1039054</v>
      </c>
      <c r="L1795" s="37" t="n">
        <f aca="false">I1795*K1795/C1795</f>
        <v>209.234161643836</v>
      </c>
      <c r="M1795" s="37" t="n">
        <f aca="false">IF(AND(A1795&gt;=Inputs!$C$13,OR(A1795&lt;Inputs!$B$19,Inputs!$B$20=1)),I1795*Inputs!$C$11/C1795,0)</f>
        <v>40.2739726027397</v>
      </c>
    </row>
    <row r="1796" customFormat="false" ht="15" hidden="false" customHeight="false" outlineLevel="0" collapsed="false">
      <c r="A1796" s="35" t="n">
        <f aca="false">A1795+1</f>
        <v>46603</v>
      </c>
      <c r="B1796" s="35" t="n">
        <f aca="false">EOMONTH(A1796+1,0)</f>
        <v>46630</v>
      </c>
      <c r="C1796" s="36" t="n">
        <f aca="false">IF(MOD(YEAR(A1796),4)=0,366,365)</f>
        <v>365</v>
      </c>
      <c r="D1796" s="37" t="n">
        <f aca="false">Inputs!$B$9-SUMIFS(Cash_Events!$G$6:$G$20,Cash_Events!$C$6:$C$20,"rAGMF",Cash_Events!$B$6:$B$20,"&lt;="&amp;A1796)</f>
        <v>735000</v>
      </c>
      <c r="E1796" s="38" t="n">
        <f aca="false">VLOOKUP(A1796,Inputs!$A$40:$B$48,2,TRUE())</f>
        <v>0.0363225</v>
      </c>
      <c r="F1796" s="38" t="n">
        <f aca="false">E1796+Inputs!$B$10</f>
        <v>0.1038225</v>
      </c>
      <c r="G1796" s="37" t="n">
        <f aca="false">D1796*F1796/C1796</f>
        <v>209.067226027397</v>
      </c>
      <c r="H1796" s="37" t="n">
        <f aca="false">IF(AND(A1796&gt;=Inputs!$B$13,OR(A1796&lt;Inputs!$B$19,Inputs!$B$20=1)),D1796*Inputs!$B$11/C1796,0)</f>
        <v>40.2739726027397</v>
      </c>
      <c r="I1796" s="37" t="n">
        <f aca="false">Inputs!$C$9-SUMIFS(Cash_Events!$G$6:$G$20,Cash_Events!$C$6:$C$20,"FHL",Cash_Events!$B$6:$B$20,"&lt;="&amp;A1796)</f>
        <v>735000</v>
      </c>
      <c r="J1796" s="38" t="n">
        <f aca="false">VLOOKUP(A1796,Inputs!$F$40:$G$48,2,TRUE())</f>
        <v>0.0364054</v>
      </c>
      <c r="K1796" s="38" t="n">
        <f aca="false">J1796+Inputs!$C$10</f>
        <v>0.1039054</v>
      </c>
      <c r="L1796" s="37" t="n">
        <f aca="false">I1796*K1796/C1796</f>
        <v>209.234161643836</v>
      </c>
      <c r="M1796" s="37" t="n">
        <f aca="false">IF(AND(A1796&gt;=Inputs!$C$13,OR(A1796&lt;Inputs!$B$19,Inputs!$B$20=1)),I1796*Inputs!$C$11/C1796,0)</f>
        <v>40.2739726027397</v>
      </c>
    </row>
    <row r="1797" customFormat="false" ht="15" hidden="false" customHeight="false" outlineLevel="0" collapsed="false">
      <c r="A1797" s="35" t="n">
        <f aca="false">A1796+1</f>
        <v>46604</v>
      </c>
      <c r="B1797" s="35" t="n">
        <f aca="false">EOMONTH(A1797+1,0)</f>
        <v>46630</v>
      </c>
      <c r="C1797" s="36" t="n">
        <f aca="false">IF(MOD(YEAR(A1797),4)=0,366,365)</f>
        <v>365</v>
      </c>
      <c r="D1797" s="37" t="n">
        <f aca="false">Inputs!$B$9-SUMIFS(Cash_Events!$G$6:$G$20,Cash_Events!$C$6:$C$20,"rAGMF",Cash_Events!$B$6:$B$20,"&lt;="&amp;A1797)</f>
        <v>735000</v>
      </c>
      <c r="E1797" s="38" t="n">
        <f aca="false">VLOOKUP(A1797,Inputs!$A$40:$B$48,2,TRUE())</f>
        <v>0.0363225</v>
      </c>
      <c r="F1797" s="38" t="n">
        <f aca="false">E1797+Inputs!$B$10</f>
        <v>0.1038225</v>
      </c>
      <c r="G1797" s="37" t="n">
        <f aca="false">D1797*F1797/C1797</f>
        <v>209.067226027397</v>
      </c>
      <c r="H1797" s="37" t="n">
        <f aca="false">IF(AND(A1797&gt;=Inputs!$B$13,OR(A1797&lt;Inputs!$B$19,Inputs!$B$20=1)),D1797*Inputs!$B$11/C1797,0)</f>
        <v>40.2739726027397</v>
      </c>
      <c r="I1797" s="37" t="n">
        <f aca="false">Inputs!$C$9-SUMIFS(Cash_Events!$G$6:$G$20,Cash_Events!$C$6:$C$20,"FHL",Cash_Events!$B$6:$B$20,"&lt;="&amp;A1797)</f>
        <v>735000</v>
      </c>
      <c r="J1797" s="38" t="n">
        <f aca="false">VLOOKUP(A1797,Inputs!$F$40:$G$48,2,TRUE())</f>
        <v>0.0364054</v>
      </c>
      <c r="K1797" s="38" t="n">
        <f aca="false">J1797+Inputs!$C$10</f>
        <v>0.1039054</v>
      </c>
      <c r="L1797" s="37" t="n">
        <f aca="false">I1797*K1797/C1797</f>
        <v>209.234161643836</v>
      </c>
      <c r="M1797" s="37" t="n">
        <f aca="false">IF(AND(A1797&gt;=Inputs!$C$13,OR(A1797&lt;Inputs!$B$19,Inputs!$B$20=1)),I1797*Inputs!$C$11/C1797,0)</f>
        <v>40.2739726027397</v>
      </c>
    </row>
    <row r="1798" customFormat="false" ht="15" hidden="false" customHeight="false" outlineLevel="0" collapsed="false">
      <c r="A1798" s="35" t="n">
        <f aca="false">A1797+1</f>
        <v>46605</v>
      </c>
      <c r="B1798" s="35" t="n">
        <f aca="false">EOMONTH(A1798+1,0)</f>
        <v>46630</v>
      </c>
      <c r="C1798" s="36" t="n">
        <f aca="false">IF(MOD(YEAR(A1798),4)=0,366,365)</f>
        <v>365</v>
      </c>
      <c r="D1798" s="37" t="n">
        <f aca="false">Inputs!$B$9-SUMIFS(Cash_Events!$G$6:$G$20,Cash_Events!$C$6:$C$20,"rAGMF",Cash_Events!$B$6:$B$20,"&lt;="&amp;A1798)</f>
        <v>735000</v>
      </c>
      <c r="E1798" s="38" t="n">
        <f aca="false">VLOOKUP(A1798,Inputs!$A$40:$B$48,2,TRUE())</f>
        <v>0.0363225</v>
      </c>
      <c r="F1798" s="38" t="n">
        <f aca="false">E1798+Inputs!$B$10</f>
        <v>0.1038225</v>
      </c>
      <c r="G1798" s="37" t="n">
        <f aca="false">D1798*F1798/C1798</f>
        <v>209.067226027397</v>
      </c>
      <c r="H1798" s="37" t="n">
        <f aca="false">IF(AND(A1798&gt;=Inputs!$B$13,OR(A1798&lt;Inputs!$B$19,Inputs!$B$20=1)),D1798*Inputs!$B$11/C1798,0)</f>
        <v>40.2739726027397</v>
      </c>
      <c r="I1798" s="37" t="n">
        <f aca="false">Inputs!$C$9-SUMIFS(Cash_Events!$G$6:$G$20,Cash_Events!$C$6:$C$20,"FHL",Cash_Events!$B$6:$B$20,"&lt;="&amp;A1798)</f>
        <v>735000</v>
      </c>
      <c r="J1798" s="38" t="n">
        <f aca="false">VLOOKUP(A1798,Inputs!$F$40:$G$48,2,TRUE())</f>
        <v>0.0364054</v>
      </c>
      <c r="K1798" s="38" t="n">
        <f aca="false">J1798+Inputs!$C$10</f>
        <v>0.1039054</v>
      </c>
      <c r="L1798" s="37" t="n">
        <f aca="false">I1798*K1798/C1798</f>
        <v>209.234161643836</v>
      </c>
      <c r="M1798" s="37" t="n">
        <f aca="false">IF(AND(A1798&gt;=Inputs!$C$13,OR(A1798&lt;Inputs!$B$19,Inputs!$B$20=1)),I1798*Inputs!$C$11/C1798,0)</f>
        <v>40.2739726027397</v>
      </c>
    </row>
    <row r="1799" customFormat="false" ht="15" hidden="false" customHeight="false" outlineLevel="0" collapsed="false">
      <c r="A1799" s="35" t="n">
        <f aca="false">A1798+1</f>
        <v>46606</v>
      </c>
      <c r="B1799" s="35" t="n">
        <f aca="false">EOMONTH(A1799+1,0)</f>
        <v>46630</v>
      </c>
      <c r="C1799" s="36" t="n">
        <f aca="false">IF(MOD(YEAR(A1799),4)=0,366,365)</f>
        <v>365</v>
      </c>
      <c r="D1799" s="37" t="n">
        <f aca="false">Inputs!$B$9-SUMIFS(Cash_Events!$G$6:$G$20,Cash_Events!$C$6:$C$20,"rAGMF",Cash_Events!$B$6:$B$20,"&lt;="&amp;A1799)</f>
        <v>735000</v>
      </c>
      <c r="E1799" s="38" t="n">
        <f aca="false">VLOOKUP(A1799,Inputs!$A$40:$B$48,2,TRUE())</f>
        <v>0.0363225</v>
      </c>
      <c r="F1799" s="38" t="n">
        <f aca="false">E1799+Inputs!$B$10</f>
        <v>0.1038225</v>
      </c>
      <c r="G1799" s="37" t="n">
        <f aca="false">D1799*F1799/C1799</f>
        <v>209.067226027397</v>
      </c>
      <c r="H1799" s="37" t="n">
        <f aca="false">IF(AND(A1799&gt;=Inputs!$B$13,OR(A1799&lt;Inputs!$B$19,Inputs!$B$20=1)),D1799*Inputs!$B$11/C1799,0)</f>
        <v>40.2739726027397</v>
      </c>
      <c r="I1799" s="37" t="n">
        <f aca="false">Inputs!$C$9-SUMIFS(Cash_Events!$G$6:$G$20,Cash_Events!$C$6:$C$20,"FHL",Cash_Events!$B$6:$B$20,"&lt;="&amp;A1799)</f>
        <v>735000</v>
      </c>
      <c r="J1799" s="38" t="n">
        <f aca="false">VLOOKUP(A1799,Inputs!$F$40:$G$48,2,TRUE())</f>
        <v>0.0364054</v>
      </c>
      <c r="K1799" s="38" t="n">
        <f aca="false">J1799+Inputs!$C$10</f>
        <v>0.1039054</v>
      </c>
      <c r="L1799" s="37" t="n">
        <f aca="false">I1799*K1799/C1799</f>
        <v>209.234161643836</v>
      </c>
      <c r="M1799" s="37" t="n">
        <f aca="false">IF(AND(A1799&gt;=Inputs!$C$13,OR(A1799&lt;Inputs!$B$19,Inputs!$B$20=1)),I1799*Inputs!$C$11/C1799,0)</f>
        <v>40.2739726027397</v>
      </c>
    </row>
    <row r="1800" customFormat="false" ht="15" hidden="false" customHeight="false" outlineLevel="0" collapsed="false">
      <c r="A1800" s="35" t="n">
        <f aca="false">A1799+1</f>
        <v>46607</v>
      </c>
      <c r="B1800" s="35" t="n">
        <f aca="false">EOMONTH(A1800+1,0)</f>
        <v>46630</v>
      </c>
      <c r="C1800" s="36" t="n">
        <f aca="false">IF(MOD(YEAR(A1800),4)=0,366,365)</f>
        <v>365</v>
      </c>
      <c r="D1800" s="37" t="n">
        <f aca="false">Inputs!$B$9-SUMIFS(Cash_Events!$G$6:$G$20,Cash_Events!$C$6:$C$20,"rAGMF",Cash_Events!$B$6:$B$20,"&lt;="&amp;A1800)</f>
        <v>735000</v>
      </c>
      <c r="E1800" s="38" t="n">
        <f aca="false">VLOOKUP(A1800,Inputs!$A$40:$B$48,2,TRUE())</f>
        <v>0.0363225</v>
      </c>
      <c r="F1800" s="38" t="n">
        <f aca="false">E1800+Inputs!$B$10</f>
        <v>0.1038225</v>
      </c>
      <c r="G1800" s="37" t="n">
        <f aca="false">D1800*F1800/C1800</f>
        <v>209.067226027397</v>
      </c>
      <c r="H1800" s="37" t="n">
        <f aca="false">IF(AND(A1800&gt;=Inputs!$B$13,OR(A1800&lt;Inputs!$B$19,Inputs!$B$20=1)),D1800*Inputs!$B$11/C1800,0)</f>
        <v>40.2739726027397</v>
      </c>
      <c r="I1800" s="37" t="n">
        <f aca="false">Inputs!$C$9-SUMIFS(Cash_Events!$G$6:$G$20,Cash_Events!$C$6:$C$20,"FHL",Cash_Events!$B$6:$B$20,"&lt;="&amp;A1800)</f>
        <v>735000</v>
      </c>
      <c r="J1800" s="38" t="n">
        <f aca="false">VLOOKUP(A1800,Inputs!$F$40:$G$48,2,TRUE())</f>
        <v>0.0364054</v>
      </c>
      <c r="K1800" s="38" t="n">
        <f aca="false">J1800+Inputs!$C$10</f>
        <v>0.1039054</v>
      </c>
      <c r="L1800" s="37" t="n">
        <f aca="false">I1800*K1800/C1800</f>
        <v>209.234161643836</v>
      </c>
      <c r="M1800" s="37" t="n">
        <f aca="false">IF(AND(A1800&gt;=Inputs!$C$13,OR(A1800&lt;Inputs!$B$19,Inputs!$B$20=1)),I1800*Inputs!$C$11/C1800,0)</f>
        <v>40.2739726027397</v>
      </c>
    </row>
    <row r="1801" customFormat="false" ht="15" hidden="false" customHeight="false" outlineLevel="0" collapsed="false">
      <c r="A1801" s="35" t="n">
        <f aca="false">A1800+1</f>
        <v>46608</v>
      </c>
      <c r="B1801" s="35" t="n">
        <f aca="false">EOMONTH(A1801+1,0)</f>
        <v>46630</v>
      </c>
      <c r="C1801" s="36" t="n">
        <f aca="false">IF(MOD(YEAR(A1801),4)=0,366,365)</f>
        <v>365</v>
      </c>
      <c r="D1801" s="37" t="n">
        <f aca="false">Inputs!$B$9-SUMIFS(Cash_Events!$G$6:$G$20,Cash_Events!$C$6:$C$20,"rAGMF",Cash_Events!$B$6:$B$20,"&lt;="&amp;A1801)</f>
        <v>735000</v>
      </c>
      <c r="E1801" s="38" t="n">
        <f aca="false">VLOOKUP(A1801,Inputs!$A$40:$B$48,2,TRUE())</f>
        <v>0.0363225</v>
      </c>
      <c r="F1801" s="38" t="n">
        <f aca="false">E1801+Inputs!$B$10</f>
        <v>0.1038225</v>
      </c>
      <c r="G1801" s="37" t="n">
        <f aca="false">D1801*F1801/C1801</f>
        <v>209.067226027397</v>
      </c>
      <c r="H1801" s="37" t="n">
        <f aca="false">IF(AND(A1801&gt;=Inputs!$B$13,OR(A1801&lt;Inputs!$B$19,Inputs!$B$20=1)),D1801*Inputs!$B$11/C1801,0)</f>
        <v>40.2739726027397</v>
      </c>
      <c r="I1801" s="37" t="n">
        <f aca="false">Inputs!$C$9-SUMIFS(Cash_Events!$G$6:$G$20,Cash_Events!$C$6:$C$20,"FHL",Cash_Events!$B$6:$B$20,"&lt;="&amp;A1801)</f>
        <v>735000</v>
      </c>
      <c r="J1801" s="38" t="n">
        <f aca="false">VLOOKUP(A1801,Inputs!$F$40:$G$48,2,TRUE())</f>
        <v>0.0364054</v>
      </c>
      <c r="K1801" s="38" t="n">
        <f aca="false">J1801+Inputs!$C$10</f>
        <v>0.1039054</v>
      </c>
      <c r="L1801" s="37" t="n">
        <f aca="false">I1801*K1801/C1801</f>
        <v>209.234161643836</v>
      </c>
      <c r="M1801" s="37" t="n">
        <f aca="false">IF(AND(A1801&gt;=Inputs!$C$13,OR(A1801&lt;Inputs!$B$19,Inputs!$B$20=1)),I1801*Inputs!$C$11/C1801,0)</f>
        <v>40.2739726027397</v>
      </c>
    </row>
    <row r="1802" customFormat="false" ht="15" hidden="false" customHeight="false" outlineLevel="0" collapsed="false">
      <c r="A1802" s="35" t="n">
        <f aca="false">A1801+1</f>
        <v>46609</v>
      </c>
      <c r="B1802" s="35" t="n">
        <f aca="false">EOMONTH(A1802+1,0)</f>
        <v>46630</v>
      </c>
      <c r="C1802" s="36" t="n">
        <f aca="false">IF(MOD(YEAR(A1802),4)=0,366,365)</f>
        <v>365</v>
      </c>
      <c r="D1802" s="37" t="n">
        <f aca="false">Inputs!$B$9-SUMIFS(Cash_Events!$G$6:$G$20,Cash_Events!$C$6:$C$20,"rAGMF",Cash_Events!$B$6:$B$20,"&lt;="&amp;A1802)</f>
        <v>735000</v>
      </c>
      <c r="E1802" s="38" t="n">
        <f aca="false">VLOOKUP(A1802,Inputs!$A$40:$B$48,2,TRUE())</f>
        <v>0.0363225</v>
      </c>
      <c r="F1802" s="38" t="n">
        <f aca="false">E1802+Inputs!$B$10</f>
        <v>0.1038225</v>
      </c>
      <c r="G1802" s="37" t="n">
        <f aca="false">D1802*F1802/C1802</f>
        <v>209.067226027397</v>
      </c>
      <c r="H1802" s="37" t="n">
        <f aca="false">IF(AND(A1802&gt;=Inputs!$B$13,OR(A1802&lt;Inputs!$B$19,Inputs!$B$20=1)),D1802*Inputs!$B$11/C1802,0)</f>
        <v>40.2739726027397</v>
      </c>
      <c r="I1802" s="37" t="n">
        <f aca="false">Inputs!$C$9-SUMIFS(Cash_Events!$G$6:$G$20,Cash_Events!$C$6:$C$20,"FHL",Cash_Events!$B$6:$B$20,"&lt;="&amp;A1802)</f>
        <v>735000</v>
      </c>
      <c r="J1802" s="38" t="n">
        <f aca="false">VLOOKUP(A1802,Inputs!$F$40:$G$48,2,TRUE())</f>
        <v>0.0364054</v>
      </c>
      <c r="K1802" s="38" t="n">
        <f aca="false">J1802+Inputs!$C$10</f>
        <v>0.1039054</v>
      </c>
      <c r="L1802" s="37" t="n">
        <f aca="false">I1802*K1802/C1802</f>
        <v>209.234161643836</v>
      </c>
      <c r="M1802" s="37" t="n">
        <f aca="false">IF(AND(A1802&gt;=Inputs!$C$13,OR(A1802&lt;Inputs!$B$19,Inputs!$B$20=1)),I1802*Inputs!$C$11/C1802,0)</f>
        <v>40.2739726027397</v>
      </c>
    </row>
    <row r="1803" customFormat="false" ht="15" hidden="false" customHeight="false" outlineLevel="0" collapsed="false">
      <c r="A1803" s="35" t="n">
        <f aca="false">A1802+1</f>
        <v>46610</v>
      </c>
      <c r="B1803" s="35" t="n">
        <f aca="false">EOMONTH(A1803+1,0)</f>
        <v>46630</v>
      </c>
      <c r="C1803" s="36" t="n">
        <f aca="false">IF(MOD(YEAR(A1803),4)=0,366,365)</f>
        <v>365</v>
      </c>
      <c r="D1803" s="37" t="n">
        <f aca="false">Inputs!$B$9-SUMIFS(Cash_Events!$G$6:$G$20,Cash_Events!$C$6:$C$20,"rAGMF",Cash_Events!$B$6:$B$20,"&lt;="&amp;A1803)</f>
        <v>735000</v>
      </c>
      <c r="E1803" s="38" t="n">
        <f aca="false">VLOOKUP(A1803,Inputs!$A$40:$B$48,2,TRUE())</f>
        <v>0.0363225</v>
      </c>
      <c r="F1803" s="38" t="n">
        <f aca="false">E1803+Inputs!$B$10</f>
        <v>0.1038225</v>
      </c>
      <c r="G1803" s="37" t="n">
        <f aca="false">D1803*F1803/C1803</f>
        <v>209.067226027397</v>
      </c>
      <c r="H1803" s="37" t="n">
        <f aca="false">IF(AND(A1803&gt;=Inputs!$B$13,OR(A1803&lt;Inputs!$B$19,Inputs!$B$20=1)),D1803*Inputs!$B$11/C1803,0)</f>
        <v>40.2739726027397</v>
      </c>
      <c r="I1803" s="37" t="n">
        <f aca="false">Inputs!$C$9-SUMIFS(Cash_Events!$G$6:$G$20,Cash_Events!$C$6:$C$20,"FHL",Cash_Events!$B$6:$B$20,"&lt;="&amp;A1803)</f>
        <v>735000</v>
      </c>
      <c r="J1803" s="38" t="n">
        <f aca="false">VLOOKUP(A1803,Inputs!$F$40:$G$48,2,TRUE())</f>
        <v>0.0364054</v>
      </c>
      <c r="K1803" s="38" t="n">
        <f aca="false">J1803+Inputs!$C$10</f>
        <v>0.1039054</v>
      </c>
      <c r="L1803" s="37" t="n">
        <f aca="false">I1803*K1803/C1803</f>
        <v>209.234161643836</v>
      </c>
      <c r="M1803" s="37" t="n">
        <f aca="false">IF(AND(A1803&gt;=Inputs!$C$13,OR(A1803&lt;Inputs!$B$19,Inputs!$B$20=1)),I1803*Inputs!$C$11/C1803,0)</f>
        <v>40.2739726027397</v>
      </c>
    </row>
    <row r="1804" customFormat="false" ht="15" hidden="false" customHeight="false" outlineLevel="0" collapsed="false">
      <c r="A1804" s="35" t="n">
        <f aca="false">A1803+1</f>
        <v>46611</v>
      </c>
      <c r="B1804" s="35" t="n">
        <f aca="false">EOMONTH(A1804+1,0)</f>
        <v>46630</v>
      </c>
      <c r="C1804" s="36" t="n">
        <f aca="false">IF(MOD(YEAR(A1804),4)=0,366,365)</f>
        <v>365</v>
      </c>
      <c r="D1804" s="37" t="n">
        <f aca="false">Inputs!$B$9-SUMIFS(Cash_Events!$G$6:$G$20,Cash_Events!$C$6:$C$20,"rAGMF",Cash_Events!$B$6:$B$20,"&lt;="&amp;A1804)</f>
        <v>735000</v>
      </c>
      <c r="E1804" s="38" t="n">
        <f aca="false">VLOOKUP(A1804,Inputs!$A$40:$B$48,2,TRUE())</f>
        <v>0.0363225</v>
      </c>
      <c r="F1804" s="38" t="n">
        <f aca="false">E1804+Inputs!$B$10</f>
        <v>0.1038225</v>
      </c>
      <c r="G1804" s="37" t="n">
        <f aca="false">D1804*F1804/C1804</f>
        <v>209.067226027397</v>
      </c>
      <c r="H1804" s="37" t="n">
        <f aca="false">IF(AND(A1804&gt;=Inputs!$B$13,OR(A1804&lt;Inputs!$B$19,Inputs!$B$20=1)),D1804*Inputs!$B$11/C1804,0)</f>
        <v>40.2739726027397</v>
      </c>
      <c r="I1804" s="37" t="n">
        <f aca="false">Inputs!$C$9-SUMIFS(Cash_Events!$G$6:$G$20,Cash_Events!$C$6:$C$20,"FHL",Cash_Events!$B$6:$B$20,"&lt;="&amp;A1804)</f>
        <v>735000</v>
      </c>
      <c r="J1804" s="38" t="n">
        <f aca="false">VLOOKUP(A1804,Inputs!$F$40:$G$48,2,TRUE())</f>
        <v>0.0364054</v>
      </c>
      <c r="K1804" s="38" t="n">
        <f aca="false">J1804+Inputs!$C$10</f>
        <v>0.1039054</v>
      </c>
      <c r="L1804" s="37" t="n">
        <f aca="false">I1804*K1804/C1804</f>
        <v>209.234161643836</v>
      </c>
      <c r="M1804" s="37" t="n">
        <f aca="false">IF(AND(A1804&gt;=Inputs!$C$13,OR(A1804&lt;Inputs!$B$19,Inputs!$B$20=1)),I1804*Inputs!$C$11/C1804,0)</f>
        <v>40.2739726027397</v>
      </c>
    </row>
    <row r="1805" customFormat="false" ht="15" hidden="false" customHeight="false" outlineLevel="0" collapsed="false">
      <c r="A1805" s="35" t="n">
        <f aca="false">A1804+1</f>
        <v>46612</v>
      </c>
      <c r="B1805" s="35" t="n">
        <f aca="false">EOMONTH(A1805+1,0)</f>
        <v>46630</v>
      </c>
      <c r="C1805" s="36" t="n">
        <f aca="false">IF(MOD(YEAR(A1805),4)=0,366,365)</f>
        <v>365</v>
      </c>
      <c r="D1805" s="37" t="n">
        <f aca="false">Inputs!$B$9-SUMIFS(Cash_Events!$G$6:$G$20,Cash_Events!$C$6:$C$20,"rAGMF",Cash_Events!$B$6:$B$20,"&lt;="&amp;A1805)</f>
        <v>735000</v>
      </c>
      <c r="E1805" s="38" t="n">
        <f aca="false">VLOOKUP(A1805,Inputs!$A$40:$B$48,2,TRUE())</f>
        <v>0.0363225</v>
      </c>
      <c r="F1805" s="38" t="n">
        <f aca="false">E1805+Inputs!$B$10</f>
        <v>0.1038225</v>
      </c>
      <c r="G1805" s="37" t="n">
        <f aca="false">D1805*F1805/C1805</f>
        <v>209.067226027397</v>
      </c>
      <c r="H1805" s="37" t="n">
        <f aca="false">IF(AND(A1805&gt;=Inputs!$B$13,OR(A1805&lt;Inputs!$B$19,Inputs!$B$20=1)),D1805*Inputs!$B$11/C1805,0)</f>
        <v>40.2739726027397</v>
      </c>
      <c r="I1805" s="37" t="n">
        <f aca="false">Inputs!$C$9-SUMIFS(Cash_Events!$G$6:$G$20,Cash_Events!$C$6:$C$20,"FHL",Cash_Events!$B$6:$B$20,"&lt;="&amp;A1805)</f>
        <v>735000</v>
      </c>
      <c r="J1805" s="38" t="n">
        <f aca="false">VLOOKUP(A1805,Inputs!$F$40:$G$48,2,TRUE())</f>
        <v>0.0364054</v>
      </c>
      <c r="K1805" s="38" t="n">
        <f aca="false">J1805+Inputs!$C$10</f>
        <v>0.1039054</v>
      </c>
      <c r="L1805" s="37" t="n">
        <f aca="false">I1805*K1805/C1805</f>
        <v>209.234161643836</v>
      </c>
      <c r="M1805" s="37" t="n">
        <f aca="false">IF(AND(A1805&gt;=Inputs!$C$13,OR(A1805&lt;Inputs!$B$19,Inputs!$B$20=1)),I1805*Inputs!$C$11/C1805,0)</f>
        <v>40.2739726027397</v>
      </c>
    </row>
    <row r="1806" customFormat="false" ht="15" hidden="false" customHeight="false" outlineLevel="0" collapsed="false">
      <c r="A1806" s="35" t="n">
        <f aca="false">A1805+1</f>
        <v>46613</v>
      </c>
      <c r="B1806" s="35" t="n">
        <f aca="false">EOMONTH(A1806+1,0)</f>
        <v>46630</v>
      </c>
      <c r="C1806" s="36" t="n">
        <f aca="false">IF(MOD(YEAR(A1806),4)=0,366,365)</f>
        <v>365</v>
      </c>
      <c r="D1806" s="37" t="n">
        <f aca="false">Inputs!$B$9-SUMIFS(Cash_Events!$G$6:$G$20,Cash_Events!$C$6:$C$20,"rAGMF",Cash_Events!$B$6:$B$20,"&lt;="&amp;A1806)</f>
        <v>735000</v>
      </c>
      <c r="E1806" s="38" t="n">
        <f aca="false">VLOOKUP(A1806,Inputs!$A$40:$B$48,2,TRUE())</f>
        <v>0.0363225</v>
      </c>
      <c r="F1806" s="38" t="n">
        <f aca="false">E1806+Inputs!$B$10</f>
        <v>0.1038225</v>
      </c>
      <c r="G1806" s="37" t="n">
        <f aca="false">D1806*F1806/C1806</f>
        <v>209.067226027397</v>
      </c>
      <c r="H1806" s="37" t="n">
        <f aca="false">IF(AND(A1806&gt;=Inputs!$B$13,OR(A1806&lt;Inputs!$B$19,Inputs!$B$20=1)),D1806*Inputs!$B$11/C1806,0)</f>
        <v>40.2739726027397</v>
      </c>
      <c r="I1806" s="37" t="n">
        <f aca="false">Inputs!$C$9-SUMIFS(Cash_Events!$G$6:$G$20,Cash_Events!$C$6:$C$20,"FHL",Cash_Events!$B$6:$B$20,"&lt;="&amp;A1806)</f>
        <v>735000</v>
      </c>
      <c r="J1806" s="38" t="n">
        <f aca="false">VLOOKUP(A1806,Inputs!$F$40:$G$48,2,TRUE())</f>
        <v>0.0364054</v>
      </c>
      <c r="K1806" s="38" t="n">
        <f aca="false">J1806+Inputs!$C$10</f>
        <v>0.1039054</v>
      </c>
      <c r="L1806" s="37" t="n">
        <f aca="false">I1806*K1806/C1806</f>
        <v>209.234161643836</v>
      </c>
      <c r="M1806" s="37" t="n">
        <f aca="false">IF(AND(A1806&gt;=Inputs!$C$13,OR(A1806&lt;Inputs!$B$19,Inputs!$B$20=1)),I1806*Inputs!$C$11/C1806,0)</f>
        <v>40.2739726027397</v>
      </c>
    </row>
    <row r="1807" customFormat="false" ht="15" hidden="false" customHeight="false" outlineLevel="0" collapsed="false">
      <c r="A1807" s="35" t="n">
        <f aca="false">A1806+1</f>
        <v>46614</v>
      </c>
      <c r="B1807" s="35" t="n">
        <f aca="false">EOMONTH(A1807+1,0)</f>
        <v>46630</v>
      </c>
      <c r="C1807" s="36" t="n">
        <f aca="false">IF(MOD(YEAR(A1807),4)=0,366,365)</f>
        <v>365</v>
      </c>
      <c r="D1807" s="37" t="n">
        <f aca="false">Inputs!$B$9-SUMIFS(Cash_Events!$G$6:$G$20,Cash_Events!$C$6:$C$20,"rAGMF",Cash_Events!$B$6:$B$20,"&lt;="&amp;A1807)</f>
        <v>735000</v>
      </c>
      <c r="E1807" s="38" t="n">
        <f aca="false">VLOOKUP(A1807,Inputs!$A$40:$B$48,2,TRUE())</f>
        <v>0.0363225</v>
      </c>
      <c r="F1807" s="38" t="n">
        <f aca="false">E1807+Inputs!$B$10</f>
        <v>0.1038225</v>
      </c>
      <c r="G1807" s="37" t="n">
        <f aca="false">D1807*F1807/C1807</f>
        <v>209.067226027397</v>
      </c>
      <c r="H1807" s="37" t="n">
        <f aca="false">IF(AND(A1807&gt;=Inputs!$B$13,OR(A1807&lt;Inputs!$B$19,Inputs!$B$20=1)),D1807*Inputs!$B$11/C1807,0)</f>
        <v>40.2739726027397</v>
      </c>
      <c r="I1807" s="37" t="n">
        <f aca="false">Inputs!$C$9-SUMIFS(Cash_Events!$G$6:$G$20,Cash_Events!$C$6:$C$20,"FHL",Cash_Events!$B$6:$B$20,"&lt;="&amp;A1807)</f>
        <v>735000</v>
      </c>
      <c r="J1807" s="38" t="n">
        <f aca="false">VLOOKUP(A1807,Inputs!$F$40:$G$48,2,TRUE())</f>
        <v>0.0364054</v>
      </c>
      <c r="K1807" s="38" t="n">
        <f aca="false">J1807+Inputs!$C$10</f>
        <v>0.1039054</v>
      </c>
      <c r="L1807" s="37" t="n">
        <f aca="false">I1807*K1807/C1807</f>
        <v>209.234161643836</v>
      </c>
      <c r="M1807" s="37" t="n">
        <f aca="false">IF(AND(A1807&gt;=Inputs!$C$13,OR(A1807&lt;Inputs!$B$19,Inputs!$B$20=1)),I1807*Inputs!$C$11/C1807,0)</f>
        <v>40.2739726027397</v>
      </c>
    </row>
    <row r="1808" customFormat="false" ht="15" hidden="false" customHeight="false" outlineLevel="0" collapsed="false">
      <c r="A1808" s="35" t="n">
        <f aca="false">A1807+1</f>
        <v>46615</v>
      </c>
      <c r="B1808" s="35" t="n">
        <f aca="false">EOMONTH(A1808+1,0)</f>
        <v>46630</v>
      </c>
      <c r="C1808" s="36" t="n">
        <f aca="false">IF(MOD(YEAR(A1808),4)=0,366,365)</f>
        <v>365</v>
      </c>
      <c r="D1808" s="37" t="n">
        <f aca="false">Inputs!$B$9-SUMIFS(Cash_Events!$G$6:$G$20,Cash_Events!$C$6:$C$20,"rAGMF",Cash_Events!$B$6:$B$20,"&lt;="&amp;A1808)</f>
        <v>735000</v>
      </c>
      <c r="E1808" s="38" t="n">
        <f aca="false">VLOOKUP(A1808,Inputs!$A$40:$B$48,2,TRUE())</f>
        <v>0.0363225</v>
      </c>
      <c r="F1808" s="38" t="n">
        <f aca="false">E1808+Inputs!$B$10</f>
        <v>0.1038225</v>
      </c>
      <c r="G1808" s="37" t="n">
        <f aca="false">D1808*F1808/C1808</f>
        <v>209.067226027397</v>
      </c>
      <c r="H1808" s="37" t="n">
        <f aca="false">IF(AND(A1808&gt;=Inputs!$B$13,OR(A1808&lt;Inputs!$B$19,Inputs!$B$20=1)),D1808*Inputs!$B$11/C1808,0)</f>
        <v>40.2739726027397</v>
      </c>
      <c r="I1808" s="37" t="n">
        <f aca="false">Inputs!$C$9-SUMIFS(Cash_Events!$G$6:$G$20,Cash_Events!$C$6:$C$20,"FHL",Cash_Events!$B$6:$B$20,"&lt;="&amp;A1808)</f>
        <v>735000</v>
      </c>
      <c r="J1808" s="38" t="n">
        <f aca="false">VLOOKUP(A1808,Inputs!$F$40:$G$48,2,TRUE())</f>
        <v>0.0364054</v>
      </c>
      <c r="K1808" s="38" t="n">
        <f aca="false">J1808+Inputs!$C$10</f>
        <v>0.1039054</v>
      </c>
      <c r="L1808" s="37" t="n">
        <f aca="false">I1808*K1808/C1808</f>
        <v>209.234161643836</v>
      </c>
      <c r="M1808" s="37" t="n">
        <f aca="false">IF(AND(A1808&gt;=Inputs!$C$13,OR(A1808&lt;Inputs!$B$19,Inputs!$B$20=1)),I1808*Inputs!$C$11/C1808,0)</f>
        <v>40.2739726027397</v>
      </c>
    </row>
    <row r="1809" customFormat="false" ht="15" hidden="false" customHeight="false" outlineLevel="0" collapsed="false">
      <c r="A1809" s="35" t="n">
        <f aca="false">A1808+1</f>
        <v>46616</v>
      </c>
      <c r="B1809" s="35" t="n">
        <f aca="false">EOMONTH(A1809+1,0)</f>
        <v>46630</v>
      </c>
      <c r="C1809" s="36" t="n">
        <f aca="false">IF(MOD(YEAR(A1809),4)=0,366,365)</f>
        <v>365</v>
      </c>
      <c r="D1809" s="37" t="n">
        <f aca="false">Inputs!$B$9-SUMIFS(Cash_Events!$G$6:$G$20,Cash_Events!$C$6:$C$20,"rAGMF",Cash_Events!$B$6:$B$20,"&lt;="&amp;A1809)</f>
        <v>735000</v>
      </c>
      <c r="E1809" s="38" t="n">
        <f aca="false">VLOOKUP(A1809,Inputs!$A$40:$B$48,2,TRUE())</f>
        <v>0.0363225</v>
      </c>
      <c r="F1809" s="38" t="n">
        <f aca="false">E1809+Inputs!$B$10</f>
        <v>0.1038225</v>
      </c>
      <c r="G1809" s="37" t="n">
        <f aca="false">D1809*F1809/C1809</f>
        <v>209.067226027397</v>
      </c>
      <c r="H1809" s="37" t="n">
        <f aca="false">IF(AND(A1809&gt;=Inputs!$B$13,OR(A1809&lt;Inputs!$B$19,Inputs!$B$20=1)),D1809*Inputs!$B$11/C1809,0)</f>
        <v>40.2739726027397</v>
      </c>
      <c r="I1809" s="37" t="n">
        <f aca="false">Inputs!$C$9-SUMIFS(Cash_Events!$G$6:$G$20,Cash_Events!$C$6:$C$20,"FHL",Cash_Events!$B$6:$B$20,"&lt;="&amp;A1809)</f>
        <v>735000</v>
      </c>
      <c r="J1809" s="38" t="n">
        <f aca="false">VLOOKUP(A1809,Inputs!$F$40:$G$48,2,TRUE())</f>
        <v>0.0364054</v>
      </c>
      <c r="K1809" s="38" t="n">
        <f aca="false">J1809+Inputs!$C$10</f>
        <v>0.1039054</v>
      </c>
      <c r="L1809" s="37" t="n">
        <f aca="false">I1809*K1809/C1809</f>
        <v>209.234161643836</v>
      </c>
      <c r="M1809" s="37" t="n">
        <f aca="false">IF(AND(A1809&gt;=Inputs!$C$13,OR(A1809&lt;Inputs!$B$19,Inputs!$B$20=1)),I1809*Inputs!$C$11/C1809,0)</f>
        <v>40.2739726027397</v>
      </c>
    </row>
    <row r="1810" customFormat="false" ht="15" hidden="false" customHeight="false" outlineLevel="0" collapsed="false">
      <c r="A1810" s="35" t="n">
        <f aca="false">A1809+1</f>
        <v>46617</v>
      </c>
      <c r="B1810" s="35" t="n">
        <f aca="false">EOMONTH(A1810+1,0)</f>
        <v>46630</v>
      </c>
      <c r="C1810" s="36" t="n">
        <f aca="false">IF(MOD(YEAR(A1810),4)=0,366,365)</f>
        <v>365</v>
      </c>
      <c r="D1810" s="37" t="n">
        <f aca="false">Inputs!$B$9-SUMIFS(Cash_Events!$G$6:$G$20,Cash_Events!$C$6:$C$20,"rAGMF",Cash_Events!$B$6:$B$20,"&lt;="&amp;A1810)</f>
        <v>735000</v>
      </c>
      <c r="E1810" s="38" t="n">
        <f aca="false">VLOOKUP(A1810,Inputs!$A$40:$B$48,2,TRUE())</f>
        <v>0.0363225</v>
      </c>
      <c r="F1810" s="38" t="n">
        <f aca="false">E1810+Inputs!$B$10</f>
        <v>0.1038225</v>
      </c>
      <c r="G1810" s="37" t="n">
        <f aca="false">D1810*F1810/C1810</f>
        <v>209.067226027397</v>
      </c>
      <c r="H1810" s="37" t="n">
        <f aca="false">IF(AND(A1810&gt;=Inputs!$B$13,OR(A1810&lt;Inputs!$B$19,Inputs!$B$20=1)),D1810*Inputs!$B$11/C1810,0)</f>
        <v>40.2739726027397</v>
      </c>
      <c r="I1810" s="37" t="n">
        <f aca="false">Inputs!$C$9-SUMIFS(Cash_Events!$G$6:$G$20,Cash_Events!$C$6:$C$20,"FHL",Cash_Events!$B$6:$B$20,"&lt;="&amp;A1810)</f>
        <v>735000</v>
      </c>
      <c r="J1810" s="38" t="n">
        <f aca="false">VLOOKUP(A1810,Inputs!$F$40:$G$48,2,TRUE())</f>
        <v>0.0364054</v>
      </c>
      <c r="K1810" s="38" t="n">
        <f aca="false">J1810+Inputs!$C$10</f>
        <v>0.1039054</v>
      </c>
      <c r="L1810" s="37" t="n">
        <f aca="false">I1810*K1810/C1810</f>
        <v>209.234161643836</v>
      </c>
      <c r="M1810" s="37" t="n">
        <f aca="false">IF(AND(A1810&gt;=Inputs!$C$13,OR(A1810&lt;Inputs!$B$19,Inputs!$B$20=1)),I1810*Inputs!$C$11/C1810,0)</f>
        <v>40.2739726027397</v>
      </c>
    </row>
    <row r="1811" customFormat="false" ht="15" hidden="false" customHeight="false" outlineLevel="0" collapsed="false">
      <c r="A1811" s="35" t="n">
        <f aca="false">A1810+1</f>
        <v>46618</v>
      </c>
      <c r="B1811" s="35" t="n">
        <f aca="false">EOMONTH(A1811+1,0)</f>
        <v>46630</v>
      </c>
      <c r="C1811" s="36" t="n">
        <f aca="false">IF(MOD(YEAR(A1811),4)=0,366,365)</f>
        <v>365</v>
      </c>
      <c r="D1811" s="37" t="n">
        <f aca="false">Inputs!$B$9-SUMIFS(Cash_Events!$G$6:$G$20,Cash_Events!$C$6:$C$20,"rAGMF",Cash_Events!$B$6:$B$20,"&lt;="&amp;A1811)</f>
        <v>735000</v>
      </c>
      <c r="E1811" s="38" t="n">
        <f aca="false">VLOOKUP(A1811,Inputs!$A$40:$B$48,2,TRUE())</f>
        <v>0.0363225</v>
      </c>
      <c r="F1811" s="38" t="n">
        <f aca="false">E1811+Inputs!$B$10</f>
        <v>0.1038225</v>
      </c>
      <c r="G1811" s="37" t="n">
        <f aca="false">D1811*F1811/C1811</f>
        <v>209.067226027397</v>
      </c>
      <c r="H1811" s="37" t="n">
        <f aca="false">IF(AND(A1811&gt;=Inputs!$B$13,OR(A1811&lt;Inputs!$B$19,Inputs!$B$20=1)),D1811*Inputs!$B$11/C1811,0)</f>
        <v>40.2739726027397</v>
      </c>
      <c r="I1811" s="37" t="n">
        <f aca="false">Inputs!$C$9-SUMIFS(Cash_Events!$G$6:$G$20,Cash_Events!$C$6:$C$20,"FHL",Cash_Events!$B$6:$B$20,"&lt;="&amp;A1811)</f>
        <v>735000</v>
      </c>
      <c r="J1811" s="38" t="n">
        <f aca="false">VLOOKUP(A1811,Inputs!$F$40:$G$48,2,TRUE())</f>
        <v>0.0364054</v>
      </c>
      <c r="K1811" s="38" t="n">
        <f aca="false">J1811+Inputs!$C$10</f>
        <v>0.1039054</v>
      </c>
      <c r="L1811" s="37" t="n">
        <f aca="false">I1811*K1811/C1811</f>
        <v>209.234161643836</v>
      </c>
      <c r="M1811" s="37" t="n">
        <f aca="false">IF(AND(A1811&gt;=Inputs!$C$13,OR(A1811&lt;Inputs!$B$19,Inputs!$B$20=1)),I1811*Inputs!$C$11/C1811,0)</f>
        <v>40.2739726027397</v>
      </c>
    </row>
    <row r="1812" customFormat="false" ht="15" hidden="false" customHeight="false" outlineLevel="0" collapsed="false">
      <c r="A1812" s="35" t="n">
        <f aca="false">A1811+1</f>
        <v>46619</v>
      </c>
      <c r="B1812" s="35" t="n">
        <f aca="false">EOMONTH(A1812+1,0)</f>
        <v>46630</v>
      </c>
      <c r="C1812" s="36" t="n">
        <f aca="false">IF(MOD(YEAR(A1812),4)=0,366,365)</f>
        <v>365</v>
      </c>
      <c r="D1812" s="37" t="n">
        <f aca="false">Inputs!$B$9-SUMIFS(Cash_Events!$G$6:$G$20,Cash_Events!$C$6:$C$20,"rAGMF",Cash_Events!$B$6:$B$20,"&lt;="&amp;A1812)</f>
        <v>735000</v>
      </c>
      <c r="E1812" s="38" t="n">
        <f aca="false">VLOOKUP(A1812,Inputs!$A$40:$B$48,2,TRUE())</f>
        <v>0.0363225</v>
      </c>
      <c r="F1812" s="38" t="n">
        <f aca="false">E1812+Inputs!$B$10</f>
        <v>0.1038225</v>
      </c>
      <c r="G1812" s="37" t="n">
        <f aca="false">D1812*F1812/C1812</f>
        <v>209.067226027397</v>
      </c>
      <c r="H1812" s="37" t="n">
        <f aca="false">IF(AND(A1812&gt;=Inputs!$B$13,OR(A1812&lt;Inputs!$B$19,Inputs!$B$20=1)),D1812*Inputs!$B$11/C1812,0)</f>
        <v>40.2739726027397</v>
      </c>
      <c r="I1812" s="37" t="n">
        <f aca="false">Inputs!$C$9-SUMIFS(Cash_Events!$G$6:$G$20,Cash_Events!$C$6:$C$20,"FHL",Cash_Events!$B$6:$B$20,"&lt;="&amp;A1812)</f>
        <v>735000</v>
      </c>
      <c r="J1812" s="38" t="n">
        <f aca="false">VLOOKUP(A1812,Inputs!$F$40:$G$48,2,TRUE())</f>
        <v>0.0364054</v>
      </c>
      <c r="K1812" s="38" t="n">
        <f aca="false">J1812+Inputs!$C$10</f>
        <v>0.1039054</v>
      </c>
      <c r="L1812" s="37" t="n">
        <f aca="false">I1812*K1812/C1812</f>
        <v>209.234161643836</v>
      </c>
      <c r="M1812" s="37" t="n">
        <f aca="false">IF(AND(A1812&gt;=Inputs!$C$13,OR(A1812&lt;Inputs!$B$19,Inputs!$B$20=1)),I1812*Inputs!$C$11/C1812,0)</f>
        <v>40.2739726027397</v>
      </c>
    </row>
    <row r="1813" customFormat="false" ht="15" hidden="false" customHeight="false" outlineLevel="0" collapsed="false">
      <c r="A1813" s="35" t="n">
        <f aca="false">A1812+1</f>
        <v>46620</v>
      </c>
      <c r="B1813" s="35" t="n">
        <f aca="false">EOMONTH(A1813+1,0)</f>
        <v>46630</v>
      </c>
      <c r="C1813" s="36" t="n">
        <f aca="false">IF(MOD(YEAR(A1813),4)=0,366,365)</f>
        <v>365</v>
      </c>
      <c r="D1813" s="37" t="n">
        <f aca="false">Inputs!$B$9-SUMIFS(Cash_Events!$G$6:$G$20,Cash_Events!$C$6:$C$20,"rAGMF",Cash_Events!$B$6:$B$20,"&lt;="&amp;A1813)</f>
        <v>735000</v>
      </c>
      <c r="E1813" s="38" t="n">
        <f aca="false">VLOOKUP(A1813,Inputs!$A$40:$B$48,2,TRUE())</f>
        <v>0.0363225</v>
      </c>
      <c r="F1813" s="38" t="n">
        <f aca="false">E1813+Inputs!$B$10</f>
        <v>0.1038225</v>
      </c>
      <c r="G1813" s="37" t="n">
        <f aca="false">D1813*F1813/C1813</f>
        <v>209.067226027397</v>
      </c>
      <c r="H1813" s="37" t="n">
        <f aca="false">IF(AND(A1813&gt;=Inputs!$B$13,OR(A1813&lt;Inputs!$B$19,Inputs!$B$20=1)),D1813*Inputs!$B$11/C1813,0)</f>
        <v>40.2739726027397</v>
      </c>
      <c r="I1813" s="37" t="n">
        <f aca="false">Inputs!$C$9-SUMIFS(Cash_Events!$G$6:$G$20,Cash_Events!$C$6:$C$20,"FHL",Cash_Events!$B$6:$B$20,"&lt;="&amp;A1813)</f>
        <v>735000</v>
      </c>
      <c r="J1813" s="38" t="n">
        <f aca="false">VLOOKUP(A1813,Inputs!$F$40:$G$48,2,TRUE())</f>
        <v>0.0364054</v>
      </c>
      <c r="K1813" s="38" t="n">
        <f aca="false">J1813+Inputs!$C$10</f>
        <v>0.1039054</v>
      </c>
      <c r="L1813" s="37" t="n">
        <f aca="false">I1813*K1813/C1813</f>
        <v>209.234161643836</v>
      </c>
      <c r="M1813" s="37" t="n">
        <f aca="false">IF(AND(A1813&gt;=Inputs!$C$13,OR(A1813&lt;Inputs!$B$19,Inputs!$B$20=1)),I1813*Inputs!$C$11/C1813,0)</f>
        <v>40.2739726027397</v>
      </c>
    </row>
    <row r="1814" customFormat="false" ht="15" hidden="false" customHeight="false" outlineLevel="0" collapsed="false">
      <c r="A1814" s="35" t="n">
        <f aca="false">A1813+1</f>
        <v>46621</v>
      </c>
      <c r="B1814" s="35" t="n">
        <f aca="false">EOMONTH(A1814+1,0)</f>
        <v>46630</v>
      </c>
      <c r="C1814" s="36" t="n">
        <f aca="false">IF(MOD(YEAR(A1814),4)=0,366,365)</f>
        <v>365</v>
      </c>
      <c r="D1814" s="37" t="n">
        <f aca="false">Inputs!$B$9-SUMIFS(Cash_Events!$G$6:$G$20,Cash_Events!$C$6:$C$20,"rAGMF",Cash_Events!$B$6:$B$20,"&lt;="&amp;A1814)</f>
        <v>735000</v>
      </c>
      <c r="E1814" s="38" t="n">
        <f aca="false">VLOOKUP(A1814,Inputs!$A$40:$B$48,2,TRUE())</f>
        <v>0.0363225</v>
      </c>
      <c r="F1814" s="38" t="n">
        <f aca="false">E1814+Inputs!$B$10</f>
        <v>0.1038225</v>
      </c>
      <c r="G1814" s="37" t="n">
        <f aca="false">D1814*F1814/C1814</f>
        <v>209.067226027397</v>
      </c>
      <c r="H1814" s="37" t="n">
        <f aca="false">IF(AND(A1814&gt;=Inputs!$B$13,OR(A1814&lt;Inputs!$B$19,Inputs!$B$20=1)),D1814*Inputs!$B$11/C1814,0)</f>
        <v>40.2739726027397</v>
      </c>
      <c r="I1814" s="37" t="n">
        <f aca="false">Inputs!$C$9-SUMIFS(Cash_Events!$G$6:$G$20,Cash_Events!$C$6:$C$20,"FHL",Cash_Events!$B$6:$B$20,"&lt;="&amp;A1814)</f>
        <v>735000</v>
      </c>
      <c r="J1814" s="38" t="n">
        <f aca="false">VLOOKUP(A1814,Inputs!$F$40:$G$48,2,TRUE())</f>
        <v>0.0364054</v>
      </c>
      <c r="K1814" s="38" t="n">
        <f aca="false">J1814+Inputs!$C$10</f>
        <v>0.1039054</v>
      </c>
      <c r="L1814" s="37" t="n">
        <f aca="false">I1814*K1814/C1814</f>
        <v>209.234161643836</v>
      </c>
      <c r="M1814" s="37" t="n">
        <f aca="false">IF(AND(A1814&gt;=Inputs!$C$13,OR(A1814&lt;Inputs!$B$19,Inputs!$B$20=1)),I1814*Inputs!$C$11/C1814,0)</f>
        <v>40.2739726027397</v>
      </c>
    </row>
    <row r="1815" customFormat="false" ht="15" hidden="false" customHeight="false" outlineLevel="0" collapsed="false">
      <c r="A1815" s="35" t="n">
        <f aca="false">A1814+1</f>
        <v>46622</v>
      </c>
      <c r="B1815" s="35" t="n">
        <f aca="false">EOMONTH(A1815+1,0)</f>
        <v>46630</v>
      </c>
      <c r="C1815" s="36" t="n">
        <f aca="false">IF(MOD(YEAR(A1815),4)=0,366,365)</f>
        <v>365</v>
      </c>
      <c r="D1815" s="37" t="n">
        <f aca="false">Inputs!$B$9-SUMIFS(Cash_Events!$G$6:$G$20,Cash_Events!$C$6:$C$20,"rAGMF",Cash_Events!$B$6:$B$20,"&lt;="&amp;A1815)</f>
        <v>735000</v>
      </c>
      <c r="E1815" s="38" t="n">
        <f aca="false">VLOOKUP(A1815,Inputs!$A$40:$B$48,2,TRUE())</f>
        <v>0.0363225</v>
      </c>
      <c r="F1815" s="38" t="n">
        <f aca="false">E1815+Inputs!$B$10</f>
        <v>0.1038225</v>
      </c>
      <c r="G1815" s="37" t="n">
        <f aca="false">D1815*F1815/C1815</f>
        <v>209.067226027397</v>
      </c>
      <c r="H1815" s="37" t="n">
        <f aca="false">IF(AND(A1815&gt;=Inputs!$B$13,OR(A1815&lt;Inputs!$B$19,Inputs!$B$20=1)),D1815*Inputs!$B$11/C1815,0)</f>
        <v>40.2739726027397</v>
      </c>
      <c r="I1815" s="37" t="n">
        <f aca="false">Inputs!$C$9-SUMIFS(Cash_Events!$G$6:$G$20,Cash_Events!$C$6:$C$20,"FHL",Cash_Events!$B$6:$B$20,"&lt;="&amp;A1815)</f>
        <v>735000</v>
      </c>
      <c r="J1815" s="38" t="n">
        <f aca="false">VLOOKUP(A1815,Inputs!$F$40:$G$48,2,TRUE())</f>
        <v>0.0364054</v>
      </c>
      <c r="K1815" s="38" t="n">
        <f aca="false">J1815+Inputs!$C$10</f>
        <v>0.1039054</v>
      </c>
      <c r="L1815" s="37" t="n">
        <f aca="false">I1815*K1815/C1815</f>
        <v>209.234161643836</v>
      </c>
      <c r="M1815" s="37" t="n">
        <f aca="false">IF(AND(A1815&gt;=Inputs!$C$13,OR(A1815&lt;Inputs!$B$19,Inputs!$B$20=1)),I1815*Inputs!$C$11/C1815,0)</f>
        <v>40.2739726027397</v>
      </c>
    </row>
    <row r="1816" customFormat="false" ht="15" hidden="false" customHeight="false" outlineLevel="0" collapsed="false">
      <c r="A1816" s="35" t="n">
        <f aca="false">A1815+1</f>
        <v>46623</v>
      </c>
      <c r="B1816" s="35" t="n">
        <f aca="false">EOMONTH(A1816+1,0)</f>
        <v>46630</v>
      </c>
      <c r="C1816" s="36" t="n">
        <f aca="false">IF(MOD(YEAR(A1816),4)=0,366,365)</f>
        <v>365</v>
      </c>
      <c r="D1816" s="37" t="n">
        <f aca="false">Inputs!$B$9-SUMIFS(Cash_Events!$G$6:$G$20,Cash_Events!$C$6:$C$20,"rAGMF",Cash_Events!$B$6:$B$20,"&lt;="&amp;A1816)</f>
        <v>735000</v>
      </c>
      <c r="E1816" s="38" t="n">
        <f aca="false">VLOOKUP(A1816,Inputs!$A$40:$B$48,2,TRUE())</f>
        <v>0.0363225</v>
      </c>
      <c r="F1816" s="38" t="n">
        <f aca="false">E1816+Inputs!$B$10</f>
        <v>0.1038225</v>
      </c>
      <c r="G1816" s="37" t="n">
        <f aca="false">D1816*F1816/C1816</f>
        <v>209.067226027397</v>
      </c>
      <c r="H1816" s="37" t="n">
        <f aca="false">IF(AND(A1816&gt;=Inputs!$B$13,OR(A1816&lt;Inputs!$B$19,Inputs!$B$20=1)),D1816*Inputs!$B$11/C1816,0)</f>
        <v>40.2739726027397</v>
      </c>
      <c r="I1816" s="37" t="n">
        <f aca="false">Inputs!$C$9-SUMIFS(Cash_Events!$G$6:$G$20,Cash_Events!$C$6:$C$20,"FHL",Cash_Events!$B$6:$B$20,"&lt;="&amp;A1816)</f>
        <v>735000</v>
      </c>
      <c r="J1816" s="38" t="n">
        <f aca="false">VLOOKUP(A1816,Inputs!$F$40:$G$48,2,TRUE())</f>
        <v>0.0364054</v>
      </c>
      <c r="K1816" s="38" t="n">
        <f aca="false">J1816+Inputs!$C$10</f>
        <v>0.1039054</v>
      </c>
      <c r="L1816" s="37" t="n">
        <f aca="false">I1816*K1816/C1816</f>
        <v>209.234161643836</v>
      </c>
      <c r="M1816" s="37" t="n">
        <f aca="false">IF(AND(A1816&gt;=Inputs!$C$13,OR(A1816&lt;Inputs!$B$19,Inputs!$B$20=1)),I1816*Inputs!$C$11/C1816,0)</f>
        <v>40.2739726027397</v>
      </c>
    </row>
    <row r="1817" customFormat="false" ht="15" hidden="false" customHeight="false" outlineLevel="0" collapsed="false">
      <c r="A1817" s="35" t="n">
        <f aca="false">A1816+1</f>
        <v>46624</v>
      </c>
      <c r="B1817" s="35" t="n">
        <f aca="false">EOMONTH(A1817+1,0)</f>
        <v>46630</v>
      </c>
      <c r="C1817" s="36" t="n">
        <f aca="false">IF(MOD(YEAR(A1817),4)=0,366,365)</f>
        <v>365</v>
      </c>
      <c r="D1817" s="37" t="n">
        <f aca="false">Inputs!$B$9-SUMIFS(Cash_Events!$G$6:$G$20,Cash_Events!$C$6:$C$20,"rAGMF",Cash_Events!$B$6:$B$20,"&lt;="&amp;A1817)</f>
        <v>735000</v>
      </c>
      <c r="E1817" s="38" t="n">
        <f aca="false">VLOOKUP(A1817,Inputs!$A$40:$B$48,2,TRUE())</f>
        <v>0.0363225</v>
      </c>
      <c r="F1817" s="38" t="n">
        <f aca="false">E1817+Inputs!$B$10</f>
        <v>0.1038225</v>
      </c>
      <c r="G1817" s="37" t="n">
        <f aca="false">D1817*F1817/C1817</f>
        <v>209.067226027397</v>
      </c>
      <c r="H1817" s="37" t="n">
        <f aca="false">IF(AND(A1817&gt;=Inputs!$B$13,OR(A1817&lt;Inputs!$B$19,Inputs!$B$20=1)),D1817*Inputs!$B$11/C1817,0)</f>
        <v>40.2739726027397</v>
      </c>
      <c r="I1817" s="37" t="n">
        <f aca="false">Inputs!$C$9-SUMIFS(Cash_Events!$G$6:$G$20,Cash_Events!$C$6:$C$20,"FHL",Cash_Events!$B$6:$B$20,"&lt;="&amp;A1817)</f>
        <v>735000</v>
      </c>
      <c r="J1817" s="38" t="n">
        <f aca="false">VLOOKUP(A1817,Inputs!$F$40:$G$48,2,TRUE())</f>
        <v>0.0364054</v>
      </c>
      <c r="K1817" s="38" t="n">
        <f aca="false">J1817+Inputs!$C$10</f>
        <v>0.1039054</v>
      </c>
      <c r="L1817" s="37" t="n">
        <f aca="false">I1817*K1817/C1817</f>
        <v>209.234161643836</v>
      </c>
      <c r="M1817" s="37" t="n">
        <f aca="false">IF(AND(A1817&gt;=Inputs!$C$13,OR(A1817&lt;Inputs!$B$19,Inputs!$B$20=1)),I1817*Inputs!$C$11/C1817,0)</f>
        <v>40.2739726027397</v>
      </c>
    </row>
    <row r="1818" customFormat="false" ht="15" hidden="false" customHeight="false" outlineLevel="0" collapsed="false">
      <c r="A1818" s="35" t="n">
        <f aca="false">A1817+1</f>
        <v>46625</v>
      </c>
      <c r="B1818" s="35" t="n">
        <f aca="false">EOMONTH(A1818+1,0)</f>
        <v>46630</v>
      </c>
      <c r="C1818" s="36" t="n">
        <f aca="false">IF(MOD(YEAR(A1818),4)=0,366,365)</f>
        <v>365</v>
      </c>
      <c r="D1818" s="37" t="n">
        <f aca="false">Inputs!$B$9-SUMIFS(Cash_Events!$G$6:$G$20,Cash_Events!$C$6:$C$20,"rAGMF",Cash_Events!$B$6:$B$20,"&lt;="&amp;A1818)</f>
        <v>735000</v>
      </c>
      <c r="E1818" s="38" t="n">
        <f aca="false">VLOOKUP(A1818,Inputs!$A$40:$B$48,2,TRUE())</f>
        <v>0.0363225</v>
      </c>
      <c r="F1818" s="38" t="n">
        <f aca="false">E1818+Inputs!$B$10</f>
        <v>0.1038225</v>
      </c>
      <c r="G1818" s="37" t="n">
        <f aca="false">D1818*F1818/C1818</f>
        <v>209.067226027397</v>
      </c>
      <c r="H1818" s="37" t="n">
        <f aca="false">IF(AND(A1818&gt;=Inputs!$B$13,OR(A1818&lt;Inputs!$B$19,Inputs!$B$20=1)),D1818*Inputs!$B$11/C1818,0)</f>
        <v>40.2739726027397</v>
      </c>
      <c r="I1818" s="37" t="n">
        <f aca="false">Inputs!$C$9-SUMIFS(Cash_Events!$G$6:$G$20,Cash_Events!$C$6:$C$20,"FHL",Cash_Events!$B$6:$B$20,"&lt;="&amp;A1818)</f>
        <v>735000</v>
      </c>
      <c r="J1818" s="38" t="n">
        <f aca="false">VLOOKUP(A1818,Inputs!$F$40:$G$48,2,TRUE())</f>
        <v>0.0364054</v>
      </c>
      <c r="K1818" s="38" t="n">
        <f aca="false">J1818+Inputs!$C$10</f>
        <v>0.1039054</v>
      </c>
      <c r="L1818" s="37" t="n">
        <f aca="false">I1818*K1818/C1818</f>
        <v>209.234161643836</v>
      </c>
      <c r="M1818" s="37" t="n">
        <f aca="false">IF(AND(A1818&gt;=Inputs!$C$13,OR(A1818&lt;Inputs!$B$19,Inputs!$B$20=1)),I1818*Inputs!$C$11/C1818,0)</f>
        <v>40.2739726027397</v>
      </c>
    </row>
    <row r="1819" customFormat="false" ht="15" hidden="false" customHeight="false" outlineLevel="0" collapsed="false">
      <c r="A1819" s="35" t="n">
        <f aca="false">A1818+1</f>
        <v>46626</v>
      </c>
      <c r="B1819" s="35" t="n">
        <f aca="false">EOMONTH(A1819+1,0)</f>
        <v>46630</v>
      </c>
      <c r="C1819" s="36" t="n">
        <f aca="false">IF(MOD(YEAR(A1819),4)=0,366,365)</f>
        <v>365</v>
      </c>
      <c r="D1819" s="37" t="n">
        <f aca="false">Inputs!$B$9-SUMIFS(Cash_Events!$G$6:$G$20,Cash_Events!$C$6:$C$20,"rAGMF",Cash_Events!$B$6:$B$20,"&lt;="&amp;A1819)</f>
        <v>735000</v>
      </c>
      <c r="E1819" s="38" t="n">
        <f aca="false">VLOOKUP(A1819,Inputs!$A$40:$B$48,2,TRUE())</f>
        <v>0.0363225</v>
      </c>
      <c r="F1819" s="38" t="n">
        <f aca="false">E1819+Inputs!$B$10</f>
        <v>0.1038225</v>
      </c>
      <c r="G1819" s="37" t="n">
        <f aca="false">D1819*F1819/C1819</f>
        <v>209.067226027397</v>
      </c>
      <c r="H1819" s="37" t="n">
        <f aca="false">IF(AND(A1819&gt;=Inputs!$B$13,OR(A1819&lt;Inputs!$B$19,Inputs!$B$20=1)),D1819*Inputs!$B$11/C1819,0)</f>
        <v>40.2739726027397</v>
      </c>
      <c r="I1819" s="37" t="n">
        <f aca="false">Inputs!$C$9-SUMIFS(Cash_Events!$G$6:$G$20,Cash_Events!$C$6:$C$20,"FHL",Cash_Events!$B$6:$B$20,"&lt;="&amp;A1819)</f>
        <v>735000</v>
      </c>
      <c r="J1819" s="38" t="n">
        <f aca="false">VLOOKUP(A1819,Inputs!$F$40:$G$48,2,TRUE())</f>
        <v>0.0364054</v>
      </c>
      <c r="K1819" s="38" t="n">
        <f aca="false">J1819+Inputs!$C$10</f>
        <v>0.1039054</v>
      </c>
      <c r="L1819" s="37" t="n">
        <f aca="false">I1819*K1819/C1819</f>
        <v>209.234161643836</v>
      </c>
      <c r="M1819" s="37" t="n">
        <f aca="false">IF(AND(A1819&gt;=Inputs!$C$13,OR(A1819&lt;Inputs!$B$19,Inputs!$B$20=1)),I1819*Inputs!$C$11/C1819,0)</f>
        <v>40.2739726027397</v>
      </c>
    </row>
    <row r="1820" customFormat="false" ht="15" hidden="false" customHeight="false" outlineLevel="0" collapsed="false">
      <c r="A1820" s="35" t="n">
        <f aca="false">A1819+1</f>
        <v>46627</v>
      </c>
      <c r="B1820" s="35" t="n">
        <f aca="false">EOMONTH(A1820+1,0)</f>
        <v>46630</v>
      </c>
      <c r="C1820" s="36" t="n">
        <f aca="false">IF(MOD(YEAR(A1820),4)=0,366,365)</f>
        <v>365</v>
      </c>
      <c r="D1820" s="37" t="n">
        <f aca="false">Inputs!$B$9-SUMIFS(Cash_Events!$G$6:$G$20,Cash_Events!$C$6:$C$20,"rAGMF",Cash_Events!$B$6:$B$20,"&lt;="&amp;A1820)</f>
        <v>735000</v>
      </c>
      <c r="E1820" s="38" t="n">
        <f aca="false">VLOOKUP(A1820,Inputs!$A$40:$B$48,2,TRUE())</f>
        <v>0.0363225</v>
      </c>
      <c r="F1820" s="38" t="n">
        <f aca="false">E1820+Inputs!$B$10</f>
        <v>0.1038225</v>
      </c>
      <c r="G1820" s="37" t="n">
        <f aca="false">D1820*F1820/C1820</f>
        <v>209.067226027397</v>
      </c>
      <c r="H1820" s="37" t="n">
        <f aca="false">IF(AND(A1820&gt;=Inputs!$B$13,OR(A1820&lt;Inputs!$B$19,Inputs!$B$20=1)),D1820*Inputs!$B$11/C1820,0)</f>
        <v>40.2739726027397</v>
      </c>
      <c r="I1820" s="37" t="n">
        <f aca="false">Inputs!$C$9-SUMIFS(Cash_Events!$G$6:$G$20,Cash_Events!$C$6:$C$20,"FHL",Cash_Events!$B$6:$B$20,"&lt;="&amp;A1820)</f>
        <v>735000</v>
      </c>
      <c r="J1820" s="38" t="n">
        <f aca="false">VLOOKUP(A1820,Inputs!$F$40:$G$48,2,TRUE())</f>
        <v>0.0364054</v>
      </c>
      <c r="K1820" s="38" t="n">
        <f aca="false">J1820+Inputs!$C$10</f>
        <v>0.1039054</v>
      </c>
      <c r="L1820" s="37" t="n">
        <f aca="false">I1820*K1820/C1820</f>
        <v>209.234161643836</v>
      </c>
      <c r="M1820" s="37" t="n">
        <f aca="false">IF(AND(A1820&gt;=Inputs!$C$13,OR(A1820&lt;Inputs!$B$19,Inputs!$B$20=1)),I1820*Inputs!$C$11/C1820,0)</f>
        <v>40.2739726027397</v>
      </c>
    </row>
    <row r="1821" customFormat="false" ht="15" hidden="false" customHeight="false" outlineLevel="0" collapsed="false">
      <c r="A1821" s="35" t="n">
        <f aca="false">A1820+1</f>
        <v>46628</v>
      </c>
      <c r="B1821" s="35" t="n">
        <f aca="false">EOMONTH(A1821+1,0)</f>
        <v>46630</v>
      </c>
      <c r="C1821" s="36" t="n">
        <f aca="false">IF(MOD(YEAR(A1821),4)=0,366,365)</f>
        <v>365</v>
      </c>
      <c r="D1821" s="37" t="n">
        <f aca="false">Inputs!$B$9-SUMIFS(Cash_Events!$G$6:$G$20,Cash_Events!$C$6:$C$20,"rAGMF",Cash_Events!$B$6:$B$20,"&lt;="&amp;A1821)</f>
        <v>735000</v>
      </c>
      <c r="E1821" s="38" t="n">
        <f aca="false">VLOOKUP(A1821,Inputs!$A$40:$B$48,2,TRUE())</f>
        <v>0.0363225</v>
      </c>
      <c r="F1821" s="38" t="n">
        <f aca="false">E1821+Inputs!$B$10</f>
        <v>0.1038225</v>
      </c>
      <c r="G1821" s="37" t="n">
        <f aca="false">D1821*F1821/C1821</f>
        <v>209.067226027397</v>
      </c>
      <c r="H1821" s="37" t="n">
        <f aca="false">IF(AND(A1821&gt;=Inputs!$B$13,OR(A1821&lt;Inputs!$B$19,Inputs!$B$20=1)),D1821*Inputs!$B$11/C1821,0)</f>
        <v>40.2739726027397</v>
      </c>
      <c r="I1821" s="37" t="n">
        <f aca="false">Inputs!$C$9-SUMIFS(Cash_Events!$G$6:$G$20,Cash_Events!$C$6:$C$20,"FHL",Cash_Events!$B$6:$B$20,"&lt;="&amp;A1821)</f>
        <v>735000</v>
      </c>
      <c r="J1821" s="38" t="n">
        <f aca="false">VLOOKUP(A1821,Inputs!$F$40:$G$48,2,TRUE())</f>
        <v>0.0364054</v>
      </c>
      <c r="K1821" s="38" t="n">
        <f aca="false">J1821+Inputs!$C$10</f>
        <v>0.1039054</v>
      </c>
      <c r="L1821" s="37" t="n">
        <f aca="false">I1821*K1821/C1821</f>
        <v>209.234161643836</v>
      </c>
      <c r="M1821" s="37" t="n">
        <f aca="false">IF(AND(A1821&gt;=Inputs!$C$13,OR(A1821&lt;Inputs!$B$19,Inputs!$B$20=1)),I1821*Inputs!$C$11/C1821,0)</f>
        <v>40.2739726027397</v>
      </c>
    </row>
    <row r="1822" customFormat="false" ht="15" hidden="false" customHeight="false" outlineLevel="0" collapsed="false">
      <c r="A1822" s="35" t="n">
        <f aca="false">A1821+1</f>
        <v>46629</v>
      </c>
      <c r="B1822" s="35" t="n">
        <f aca="false">EOMONTH(A1822+1,0)</f>
        <v>46630</v>
      </c>
      <c r="C1822" s="36" t="n">
        <f aca="false">IF(MOD(YEAR(A1822),4)=0,366,365)</f>
        <v>365</v>
      </c>
      <c r="D1822" s="37" t="n">
        <f aca="false">Inputs!$B$9-SUMIFS(Cash_Events!$G$6:$G$20,Cash_Events!$C$6:$C$20,"rAGMF",Cash_Events!$B$6:$B$20,"&lt;="&amp;A1822)</f>
        <v>735000</v>
      </c>
      <c r="E1822" s="38" t="n">
        <f aca="false">VLOOKUP(A1822,Inputs!$A$40:$B$48,2,TRUE())</f>
        <v>0.0363225</v>
      </c>
      <c r="F1822" s="38" t="n">
        <f aca="false">E1822+Inputs!$B$10</f>
        <v>0.1038225</v>
      </c>
      <c r="G1822" s="37" t="n">
        <f aca="false">D1822*F1822/C1822</f>
        <v>209.067226027397</v>
      </c>
      <c r="H1822" s="37" t="n">
        <f aca="false">IF(AND(A1822&gt;=Inputs!$B$13,OR(A1822&lt;Inputs!$B$19,Inputs!$B$20=1)),D1822*Inputs!$B$11/C1822,0)</f>
        <v>40.2739726027397</v>
      </c>
      <c r="I1822" s="37" t="n">
        <f aca="false">Inputs!$C$9-SUMIFS(Cash_Events!$G$6:$G$20,Cash_Events!$C$6:$C$20,"FHL",Cash_Events!$B$6:$B$20,"&lt;="&amp;A1822)</f>
        <v>735000</v>
      </c>
      <c r="J1822" s="38" t="n">
        <f aca="false">VLOOKUP(A1822,Inputs!$F$40:$G$48,2,TRUE())</f>
        <v>0.0364054</v>
      </c>
      <c r="K1822" s="38" t="n">
        <f aca="false">J1822+Inputs!$C$10</f>
        <v>0.1039054</v>
      </c>
      <c r="L1822" s="37" t="n">
        <f aca="false">I1822*K1822/C1822</f>
        <v>209.234161643836</v>
      </c>
      <c r="M1822" s="37" t="n">
        <f aca="false">IF(AND(A1822&gt;=Inputs!$C$13,OR(A1822&lt;Inputs!$B$19,Inputs!$B$20=1)),I1822*Inputs!$C$11/C1822,0)</f>
        <v>40.2739726027397</v>
      </c>
    </row>
    <row r="1823" customFormat="false" ht="15" hidden="false" customHeight="false" outlineLevel="0" collapsed="false">
      <c r="A1823" s="35" t="n">
        <f aca="false">A1822+1</f>
        <v>46630</v>
      </c>
      <c r="B1823" s="35" t="n">
        <f aca="false">EOMONTH(A1823+1,0)</f>
        <v>46660</v>
      </c>
      <c r="C1823" s="36" t="n">
        <f aca="false">IF(MOD(YEAR(A1823),4)=0,366,365)</f>
        <v>365</v>
      </c>
      <c r="D1823" s="37" t="n">
        <f aca="false">Inputs!$B$9-SUMIFS(Cash_Events!$G$6:$G$20,Cash_Events!$C$6:$C$20,"rAGMF",Cash_Events!$B$6:$B$20,"&lt;="&amp;A1823)</f>
        <v>735000</v>
      </c>
      <c r="E1823" s="38" t="n">
        <f aca="false">VLOOKUP(A1823,Inputs!$A$40:$B$48,2,TRUE())</f>
        <v>0.0363225</v>
      </c>
      <c r="F1823" s="38" t="n">
        <f aca="false">E1823+Inputs!$B$10</f>
        <v>0.1038225</v>
      </c>
      <c r="G1823" s="37" t="n">
        <f aca="false">D1823*F1823/C1823</f>
        <v>209.067226027397</v>
      </c>
      <c r="H1823" s="37" t="n">
        <f aca="false">IF(AND(A1823&gt;=Inputs!$B$13,OR(A1823&lt;Inputs!$B$19,Inputs!$B$20=1)),D1823*Inputs!$B$11/C1823,0)</f>
        <v>40.2739726027397</v>
      </c>
      <c r="I1823" s="37" t="n">
        <f aca="false">Inputs!$C$9-SUMIFS(Cash_Events!$G$6:$G$20,Cash_Events!$C$6:$C$20,"FHL",Cash_Events!$B$6:$B$20,"&lt;="&amp;A1823)</f>
        <v>735000</v>
      </c>
      <c r="J1823" s="38" t="n">
        <f aca="false">VLOOKUP(A1823,Inputs!$F$40:$G$48,2,TRUE())</f>
        <v>0.0364054</v>
      </c>
      <c r="K1823" s="38" t="n">
        <f aca="false">J1823+Inputs!$C$10</f>
        <v>0.1039054</v>
      </c>
      <c r="L1823" s="37" t="n">
        <f aca="false">I1823*K1823/C1823</f>
        <v>209.234161643836</v>
      </c>
      <c r="M1823" s="37" t="n">
        <f aca="false">IF(AND(A1823&gt;=Inputs!$C$13,OR(A1823&lt;Inputs!$B$19,Inputs!$B$20=1)),I1823*Inputs!$C$11/C1823,0)</f>
        <v>40.2739726027397</v>
      </c>
    </row>
    <row r="1824" customFormat="false" ht="15" hidden="false" customHeight="false" outlineLevel="0" collapsed="false">
      <c r="A1824" s="35" t="n">
        <f aca="false">A1823+1</f>
        <v>46631</v>
      </c>
      <c r="B1824" s="35" t="n">
        <f aca="false">EOMONTH(A1824+1,0)</f>
        <v>46660</v>
      </c>
      <c r="C1824" s="36" t="n">
        <f aca="false">IF(MOD(YEAR(A1824),4)=0,366,365)</f>
        <v>365</v>
      </c>
      <c r="D1824" s="37" t="n">
        <f aca="false">Inputs!$B$9-SUMIFS(Cash_Events!$G$6:$G$20,Cash_Events!$C$6:$C$20,"rAGMF",Cash_Events!$B$6:$B$20,"&lt;="&amp;A1824)</f>
        <v>735000</v>
      </c>
      <c r="E1824" s="38" t="n">
        <f aca="false">VLOOKUP(A1824,Inputs!$A$40:$B$48,2,TRUE())</f>
        <v>0.0363225</v>
      </c>
      <c r="F1824" s="38" t="n">
        <f aca="false">E1824+Inputs!$B$10</f>
        <v>0.1038225</v>
      </c>
      <c r="G1824" s="37" t="n">
        <f aca="false">D1824*F1824/C1824</f>
        <v>209.067226027397</v>
      </c>
      <c r="H1824" s="37" t="n">
        <f aca="false">IF(AND(A1824&gt;=Inputs!$B$13,OR(A1824&lt;Inputs!$B$19,Inputs!$B$20=1)),D1824*Inputs!$B$11/C1824,0)</f>
        <v>40.2739726027397</v>
      </c>
      <c r="I1824" s="37" t="n">
        <f aca="false">Inputs!$C$9-SUMIFS(Cash_Events!$G$6:$G$20,Cash_Events!$C$6:$C$20,"FHL",Cash_Events!$B$6:$B$20,"&lt;="&amp;A1824)</f>
        <v>735000</v>
      </c>
      <c r="J1824" s="38" t="n">
        <f aca="false">VLOOKUP(A1824,Inputs!$F$40:$G$48,2,TRUE())</f>
        <v>0.0364054</v>
      </c>
      <c r="K1824" s="38" t="n">
        <f aca="false">J1824+Inputs!$C$10</f>
        <v>0.1039054</v>
      </c>
      <c r="L1824" s="37" t="n">
        <f aca="false">I1824*K1824/C1824</f>
        <v>209.234161643836</v>
      </c>
      <c r="M1824" s="37" t="n">
        <f aca="false">IF(AND(A1824&gt;=Inputs!$C$13,OR(A1824&lt;Inputs!$B$19,Inputs!$B$20=1)),I1824*Inputs!$C$11/C1824,0)</f>
        <v>40.2739726027397</v>
      </c>
    </row>
    <row r="1825" customFormat="false" ht="15" hidden="false" customHeight="false" outlineLevel="0" collapsed="false">
      <c r="A1825" s="35" t="n">
        <f aca="false">A1824+1</f>
        <v>46632</v>
      </c>
      <c r="B1825" s="35" t="n">
        <f aca="false">EOMONTH(A1825+1,0)</f>
        <v>46660</v>
      </c>
      <c r="C1825" s="36" t="n">
        <f aca="false">IF(MOD(YEAR(A1825),4)=0,366,365)</f>
        <v>365</v>
      </c>
      <c r="D1825" s="37" t="n">
        <f aca="false">Inputs!$B$9-SUMIFS(Cash_Events!$G$6:$G$20,Cash_Events!$C$6:$C$20,"rAGMF",Cash_Events!$B$6:$B$20,"&lt;="&amp;A1825)</f>
        <v>735000</v>
      </c>
      <c r="E1825" s="38" t="n">
        <f aca="false">VLOOKUP(A1825,Inputs!$A$40:$B$48,2,TRUE())</f>
        <v>0.0363225</v>
      </c>
      <c r="F1825" s="38" t="n">
        <f aca="false">E1825+Inputs!$B$10</f>
        <v>0.1038225</v>
      </c>
      <c r="G1825" s="37" t="n">
        <f aca="false">D1825*F1825/C1825</f>
        <v>209.067226027397</v>
      </c>
      <c r="H1825" s="37" t="n">
        <f aca="false">IF(AND(A1825&gt;=Inputs!$B$13,OR(A1825&lt;Inputs!$B$19,Inputs!$B$20=1)),D1825*Inputs!$B$11/C1825,0)</f>
        <v>40.2739726027397</v>
      </c>
      <c r="I1825" s="37" t="n">
        <f aca="false">Inputs!$C$9-SUMIFS(Cash_Events!$G$6:$G$20,Cash_Events!$C$6:$C$20,"FHL",Cash_Events!$B$6:$B$20,"&lt;="&amp;A1825)</f>
        <v>735000</v>
      </c>
      <c r="J1825" s="38" t="n">
        <f aca="false">VLOOKUP(A1825,Inputs!$F$40:$G$48,2,TRUE())</f>
        <v>0.0364054</v>
      </c>
      <c r="K1825" s="38" t="n">
        <f aca="false">J1825+Inputs!$C$10</f>
        <v>0.1039054</v>
      </c>
      <c r="L1825" s="37" t="n">
        <f aca="false">I1825*K1825/C1825</f>
        <v>209.234161643836</v>
      </c>
      <c r="M1825" s="37" t="n">
        <f aca="false">IF(AND(A1825&gt;=Inputs!$C$13,OR(A1825&lt;Inputs!$B$19,Inputs!$B$20=1)),I1825*Inputs!$C$11/C1825,0)</f>
        <v>40.2739726027397</v>
      </c>
    </row>
    <row r="1826" customFormat="false" ht="15" hidden="false" customHeight="false" outlineLevel="0" collapsed="false">
      <c r="A1826" s="35" t="n">
        <f aca="false">A1825+1</f>
        <v>46633</v>
      </c>
      <c r="B1826" s="35" t="n">
        <f aca="false">EOMONTH(A1826+1,0)</f>
        <v>46660</v>
      </c>
      <c r="C1826" s="36" t="n">
        <f aca="false">IF(MOD(YEAR(A1826),4)=0,366,365)</f>
        <v>365</v>
      </c>
      <c r="D1826" s="37" t="n">
        <f aca="false">Inputs!$B$9-SUMIFS(Cash_Events!$G$6:$G$20,Cash_Events!$C$6:$C$20,"rAGMF",Cash_Events!$B$6:$B$20,"&lt;="&amp;A1826)</f>
        <v>735000</v>
      </c>
      <c r="E1826" s="38" t="n">
        <f aca="false">VLOOKUP(A1826,Inputs!$A$40:$B$48,2,TRUE())</f>
        <v>0.0363225</v>
      </c>
      <c r="F1826" s="38" t="n">
        <f aca="false">E1826+Inputs!$B$10</f>
        <v>0.1038225</v>
      </c>
      <c r="G1826" s="37" t="n">
        <f aca="false">D1826*F1826/C1826</f>
        <v>209.067226027397</v>
      </c>
      <c r="H1826" s="37" t="n">
        <f aca="false">IF(AND(A1826&gt;=Inputs!$B$13,OR(A1826&lt;Inputs!$B$19,Inputs!$B$20=1)),D1826*Inputs!$B$11/C1826,0)</f>
        <v>40.2739726027397</v>
      </c>
      <c r="I1826" s="37" t="n">
        <f aca="false">Inputs!$C$9-SUMIFS(Cash_Events!$G$6:$G$20,Cash_Events!$C$6:$C$20,"FHL",Cash_Events!$B$6:$B$20,"&lt;="&amp;A1826)</f>
        <v>735000</v>
      </c>
      <c r="J1826" s="38" t="n">
        <f aca="false">VLOOKUP(A1826,Inputs!$F$40:$G$48,2,TRUE())</f>
        <v>0.0364054</v>
      </c>
      <c r="K1826" s="38" t="n">
        <f aca="false">J1826+Inputs!$C$10</f>
        <v>0.1039054</v>
      </c>
      <c r="L1826" s="37" t="n">
        <f aca="false">I1826*K1826/C1826</f>
        <v>209.234161643836</v>
      </c>
      <c r="M1826" s="37" t="n">
        <f aca="false">IF(AND(A1826&gt;=Inputs!$C$13,OR(A1826&lt;Inputs!$B$19,Inputs!$B$20=1)),I1826*Inputs!$C$11/C1826,0)</f>
        <v>40.2739726027397</v>
      </c>
    </row>
    <row r="1827" customFormat="false" ht="15" hidden="false" customHeight="false" outlineLevel="0" collapsed="false">
      <c r="A1827" s="35" t="n">
        <f aca="false">A1826+1</f>
        <v>46634</v>
      </c>
      <c r="B1827" s="35" t="n">
        <f aca="false">EOMONTH(A1827+1,0)</f>
        <v>46660</v>
      </c>
      <c r="C1827" s="36" t="n">
        <f aca="false">IF(MOD(YEAR(A1827),4)=0,366,365)</f>
        <v>365</v>
      </c>
      <c r="D1827" s="37" t="n">
        <f aca="false">Inputs!$B$9-SUMIFS(Cash_Events!$G$6:$G$20,Cash_Events!$C$6:$C$20,"rAGMF",Cash_Events!$B$6:$B$20,"&lt;="&amp;A1827)</f>
        <v>735000</v>
      </c>
      <c r="E1827" s="38" t="n">
        <f aca="false">VLOOKUP(A1827,Inputs!$A$40:$B$48,2,TRUE())</f>
        <v>0.0363225</v>
      </c>
      <c r="F1827" s="38" t="n">
        <f aca="false">E1827+Inputs!$B$10</f>
        <v>0.1038225</v>
      </c>
      <c r="G1827" s="37" t="n">
        <f aca="false">D1827*F1827/C1827</f>
        <v>209.067226027397</v>
      </c>
      <c r="H1827" s="37" t="n">
        <f aca="false">IF(AND(A1827&gt;=Inputs!$B$13,OR(A1827&lt;Inputs!$B$19,Inputs!$B$20=1)),D1827*Inputs!$B$11/C1827,0)</f>
        <v>40.2739726027397</v>
      </c>
      <c r="I1827" s="37" t="n">
        <f aca="false">Inputs!$C$9-SUMIFS(Cash_Events!$G$6:$G$20,Cash_Events!$C$6:$C$20,"FHL",Cash_Events!$B$6:$B$20,"&lt;="&amp;A1827)</f>
        <v>735000</v>
      </c>
      <c r="J1827" s="38" t="n">
        <f aca="false">VLOOKUP(A1827,Inputs!$F$40:$G$48,2,TRUE())</f>
        <v>0.0364054</v>
      </c>
      <c r="K1827" s="38" t="n">
        <f aca="false">J1827+Inputs!$C$10</f>
        <v>0.1039054</v>
      </c>
      <c r="L1827" s="37" t="n">
        <f aca="false">I1827*K1827/C1827</f>
        <v>209.234161643836</v>
      </c>
      <c r="M1827" s="37" t="n">
        <f aca="false">IF(AND(A1827&gt;=Inputs!$C$13,OR(A1827&lt;Inputs!$B$19,Inputs!$B$20=1)),I1827*Inputs!$C$11/C1827,0)</f>
        <v>40.2739726027397</v>
      </c>
    </row>
    <row r="1828" customFormat="false" ht="15" hidden="false" customHeight="false" outlineLevel="0" collapsed="false">
      <c r="A1828" s="35" t="n">
        <f aca="false">A1827+1</f>
        <v>46635</v>
      </c>
      <c r="B1828" s="35" t="n">
        <f aca="false">EOMONTH(A1828+1,0)</f>
        <v>46660</v>
      </c>
      <c r="C1828" s="36" t="n">
        <f aca="false">IF(MOD(YEAR(A1828),4)=0,366,365)</f>
        <v>365</v>
      </c>
      <c r="D1828" s="37" t="n">
        <f aca="false">Inputs!$B$9-SUMIFS(Cash_Events!$G$6:$G$20,Cash_Events!$C$6:$C$20,"rAGMF",Cash_Events!$B$6:$B$20,"&lt;="&amp;A1828)</f>
        <v>735000</v>
      </c>
      <c r="E1828" s="38" t="n">
        <f aca="false">VLOOKUP(A1828,Inputs!$A$40:$B$48,2,TRUE())</f>
        <v>0.0363225</v>
      </c>
      <c r="F1828" s="38" t="n">
        <f aca="false">E1828+Inputs!$B$10</f>
        <v>0.1038225</v>
      </c>
      <c r="G1828" s="37" t="n">
        <f aca="false">D1828*F1828/C1828</f>
        <v>209.067226027397</v>
      </c>
      <c r="H1828" s="37" t="n">
        <f aca="false">IF(AND(A1828&gt;=Inputs!$B$13,OR(A1828&lt;Inputs!$B$19,Inputs!$B$20=1)),D1828*Inputs!$B$11/C1828,0)</f>
        <v>40.2739726027397</v>
      </c>
      <c r="I1828" s="37" t="n">
        <f aca="false">Inputs!$C$9-SUMIFS(Cash_Events!$G$6:$G$20,Cash_Events!$C$6:$C$20,"FHL",Cash_Events!$B$6:$B$20,"&lt;="&amp;A1828)</f>
        <v>735000</v>
      </c>
      <c r="J1828" s="38" t="n">
        <f aca="false">VLOOKUP(A1828,Inputs!$F$40:$G$48,2,TRUE())</f>
        <v>0.0364054</v>
      </c>
      <c r="K1828" s="38" t="n">
        <f aca="false">J1828+Inputs!$C$10</f>
        <v>0.1039054</v>
      </c>
      <c r="L1828" s="37" t="n">
        <f aca="false">I1828*K1828/C1828</f>
        <v>209.234161643836</v>
      </c>
      <c r="M1828" s="37" t="n">
        <f aca="false">IF(AND(A1828&gt;=Inputs!$C$13,OR(A1828&lt;Inputs!$B$19,Inputs!$B$20=1)),I1828*Inputs!$C$11/C1828,0)</f>
        <v>40.2739726027397</v>
      </c>
    </row>
    <row r="1829" customFormat="false" ht="15" hidden="false" customHeight="false" outlineLevel="0" collapsed="false">
      <c r="A1829" s="35" t="n">
        <f aca="false">A1828+1</f>
        <v>46636</v>
      </c>
      <c r="B1829" s="35" t="n">
        <f aca="false">EOMONTH(A1829+1,0)</f>
        <v>46660</v>
      </c>
      <c r="C1829" s="36" t="n">
        <f aca="false">IF(MOD(YEAR(A1829),4)=0,366,365)</f>
        <v>365</v>
      </c>
      <c r="D1829" s="37" t="n">
        <f aca="false">Inputs!$B$9-SUMIFS(Cash_Events!$G$6:$G$20,Cash_Events!$C$6:$C$20,"rAGMF",Cash_Events!$B$6:$B$20,"&lt;="&amp;A1829)</f>
        <v>735000</v>
      </c>
      <c r="E1829" s="38" t="n">
        <f aca="false">VLOOKUP(A1829,Inputs!$A$40:$B$48,2,TRUE())</f>
        <v>0.0363225</v>
      </c>
      <c r="F1829" s="38" t="n">
        <f aca="false">E1829+Inputs!$B$10</f>
        <v>0.1038225</v>
      </c>
      <c r="G1829" s="37" t="n">
        <f aca="false">D1829*F1829/C1829</f>
        <v>209.067226027397</v>
      </c>
      <c r="H1829" s="37" t="n">
        <f aca="false">IF(AND(A1829&gt;=Inputs!$B$13,OR(A1829&lt;Inputs!$B$19,Inputs!$B$20=1)),D1829*Inputs!$B$11/C1829,0)</f>
        <v>40.2739726027397</v>
      </c>
      <c r="I1829" s="37" t="n">
        <f aca="false">Inputs!$C$9-SUMIFS(Cash_Events!$G$6:$G$20,Cash_Events!$C$6:$C$20,"FHL",Cash_Events!$B$6:$B$20,"&lt;="&amp;A1829)</f>
        <v>735000</v>
      </c>
      <c r="J1829" s="38" t="n">
        <f aca="false">VLOOKUP(A1829,Inputs!$F$40:$G$48,2,TRUE())</f>
        <v>0.0364054</v>
      </c>
      <c r="K1829" s="38" t="n">
        <f aca="false">J1829+Inputs!$C$10</f>
        <v>0.1039054</v>
      </c>
      <c r="L1829" s="37" t="n">
        <f aca="false">I1829*K1829/C1829</f>
        <v>209.234161643836</v>
      </c>
      <c r="M1829" s="37" t="n">
        <f aca="false">IF(AND(A1829&gt;=Inputs!$C$13,OR(A1829&lt;Inputs!$B$19,Inputs!$B$20=1)),I1829*Inputs!$C$11/C1829,0)</f>
        <v>40.2739726027397</v>
      </c>
    </row>
    <row r="1830" customFormat="false" ht="15" hidden="false" customHeight="false" outlineLevel="0" collapsed="false">
      <c r="A1830" s="35" t="n">
        <f aca="false">A1829+1</f>
        <v>46637</v>
      </c>
      <c r="B1830" s="35" t="n">
        <f aca="false">EOMONTH(A1830+1,0)</f>
        <v>46660</v>
      </c>
      <c r="C1830" s="36" t="n">
        <f aca="false">IF(MOD(YEAR(A1830),4)=0,366,365)</f>
        <v>365</v>
      </c>
      <c r="D1830" s="37" t="n">
        <f aca="false">Inputs!$B$9-SUMIFS(Cash_Events!$G$6:$G$20,Cash_Events!$C$6:$C$20,"rAGMF",Cash_Events!$B$6:$B$20,"&lt;="&amp;A1830)</f>
        <v>735000</v>
      </c>
      <c r="E1830" s="38" t="n">
        <f aca="false">VLOOKUP(A1830,Inputs!$A$40:$B$48,2,TRUE())</f>
        <v>0.0363225</v>
      </c>
      <c r="F1830" s="38" t="n">
        <f aca="false">E1830+Inputs!$B$10</f>
        <v>0.1038225</v>
      </c>
      <c r="G1830" s="37" t="n">
        <f aca="false">D1830*F1830/C1830</f>
        <v>209.067226027397</v>
      </c>
      <c r="H1830" s="37" t="n">
        <f aca="false">IF(AND(A1830&gt;=Inputs!$B$13,OR(A1830&lt;Inputs!$B$19,Inputs!$B$20=1)),D1830*Inputs!$B$11/C1830,0)</f>
        <v>40.2739726027397</v>
      </c>
      <c r="I1830" s="37" t="n">
        <f aca="false">Inputs!$C$9-SUMIFS(Cash_Events!$G$6:$G$20,Cash_Events!$C$6:$C$20,"FHL",Cash_Events!$B$6:$B$20,"&lt;="&amp;A1830)</f>
        <v>735000</v>
      </c>
      <c r="J1830" s="38" t="n">
        <f aca="false">VLOOKUP(A1830,Inputs!$F$40:$G$48,2,TRUE())</f>
        <v>0.0364054</v>
      </c>
      <c r="K1830" s="38" t="n">
        <f aca="false">J1830+Inputs!$C$10</f>
        <v>0.1039054</v>
      </c>
      <c r="L1830" s="37" t="n">
        <f aca="false">I1830*K1830/C1830</f>
        <v>209.234161643836</v>
      </c>
      <c r="M1830" s="37" t="n">
        <f aca="false">IF(AND(A1830&gt;=Inputs!$C$13,OR(A1830&lt;Inputs!$B$19,Inputs!$B$20=1)),I1830*Inputs!$C$11/C1830,0)</f>
        <v>40.2739726027397</v>
      </c>
    </row>
    <row r="1831" customFormat="false" ht="15" hidden="false" customHeight="false" outlineLevel="0" collapsed="false">
      <c r="A1831" s="35" t="n">
        <f aca="false">A1830+1</f>
        <v>46638</v>
      </c>
      <c r="B1831" s="35" t="n">
        <f aca="false">EOMONTH(A1831+1,0)</f>
        <v>46660</v>
      </c>
      <c r="C1831" s="36" t="n">
        <f aca="false">IF(MOD(YEAR(A1831),4)=0,366,365)</f>
        <v>365</v>
      </c>
      <c r="D1831" s="37" t="n">
        <f aca="false">Inputs!$B$9-SUMIFS(Cash_Events!$G$6:$G$20,Cash_Events!$C$6:$C$20,"rAGMF",Cash_Events!$B$6:$B$20,"&lt;="&amp;A1831)</f>
        <v>735000</v>
      </c>
      <c r="E1831" s="38" t="n">
        <f aca="false">VLOOKUP(A1831,Inputs!$A$40:$B$48,2,TRUE())</f>
        <v>0.0363225</v>
      </c>
      <c r="F1831" s="38" t="n">
        <f aca="false">E1831+Inputs!$B$10</f>
        <v>0.1038225</v>
      </c>
      <c r="G1831" s="37" t="n">
        <f aca="false">D1831*F1831/C1831</f>
        <v>209.067226027397</v>
      </c>
      <c r="H1831" s="37" t="n">
        <f aca="false">IF(AND(A1831&gt;=Inputs!$B$13,OR(A1831&lt;Inputs!$B$19,Inputs!$B$20=1)),D1831*Inputs!$B$11/C1831,0)</f>
        <v>40.2739726027397</v>
      </c>
      <c r="I1831" s="37" t="n">
        <f aca="false">Inputs!$C$9-SUMIFS(Cash_Events!$G$6:$G$20,Cash_Events!$C$6:$C$20,"FHL",Cash_Events!$B$6:$B$20,"&lt;="&amp;A1831)</f>
        <v>735000</v>
      </c>
      <c r="J1831" s="38" t="n">
        <f aca="false">VLOOKUP(A1831,Inputs!$F$40:$G$48,2,TRUE())</f>
        <v>0.0364054</v>
      </c>
      <c r="K1831" s="38" t="n">
        <f aca="false">J1831+Inputs!$C$10</f>
        <v>0.1039054</v>
      </c>
      <c r="L1831" s="37" t="n">
        <f aca="false">I1831*K1831/C1831</f>
        <v>209.234161643836</v>
      </c>
      <c r="M1831" s="37" t="n">
        <f aca="false">IF(AND(A1831&gt;=Inputs!$C$13,OR(A1831&lt;Inputs!$B$19,Inputs!$B$20=1)),I1831*Inputs!$C$11/C1831,0)</f>
        <v>40.2739726027397</v>
      </c>
    </row>
    <row r="1832" customFormat="false" ht="15" hidden="false" customHeight="false" outlineLevel="0" collapsed="false">
      <c r="A1832" s="35" t="n">
        <f aca="false">A1831+1</f>
        <v>46639</v>
      </c>
      <c r="B1832" s="35" t="n">
        <f aca="false">EOMONTH(A1832+1,0)</f>
        <v>46660</v>
      </c>
      <c r="C1832" s="36" t="n">
        <f aca="false">IF(MOD(YEAR(A1832),4)=0,366,365)</f>
        <v>365</v>
      </c>
      <c r="D1832" s="37" t="n">
        <f aca="false">Inputs!$B$9-SUMIFS(Cash_Events!$G$6:$G$20,Cash_Events!$C$6:$C$20,"rAGMF",Cash_Events!$B$6:$B$20,"&lt;="&amp;A1832)</f>
        <v>735000</v>
      </c>
      <c r="E1832" s="38" t="n">
        <f aca="false">VLOOKUP(A1832,Inputs!$A$40:$B$48,2,TRUE())</f>
        <v>0.0363225</v>
      </c>
      <c r="F1832" s="38" t="n">
        <f aca="false">E1832+Inputs!$B$10</f>
        <v>0.1038225</v>
      </c>
      <c r="G1832" s="37" t="n">
        <f aca="false">D1832*F1832/C1832</f>
        <v>209.067226027397</v>
      </c>
      <c r="H1832" s="37" t="n">
        <f aca="false">IF(AND(A1832&gt;=Inputs!$B$13,OR(A1832&lt;Inputs!$B$19,Inputs!$B$20=1)),D1832*Inputs!$B$11/C1832,0)</f>
        <v>40.2739726027397</v>
      </c>
      <c r="I1832" s="37" t="n">
        <f aca="false">Inputs!$C$9-SUMIFS(Cash_Events!$G$6:$G$20,Cash_Events!$C$6:$C$20,"FHL",Cash_Events!$B$6:$B$20,"&lt;="&amp;A1832)</f>
        <v>735000</v>
      </c>
      <c r="J1832" s="38" t="n">
        <f aca="false">VLOOKUP(A1832,Inputs!$F$40:$G$48,2,TRUE())</f>
        <v>0.0364054</v>
      </c>
      <c r="K1832" s="38" t="n">
        <f aca="false">J1832+Inputs!$C$10</f>
        <v>0.1039054</v>
      </c>
      <c r="L1832" s="37" t="n">
        <f aca="false">I1832*K1832/C1832</f>
        <v>209.234161643836</v>
      </c>
      <c r="M1832" s="37" t="n">
        <f aca="false">IF(AND(A1832&gt;=Inputs!$C$13,OR(A1832&lt;Inputs!$B$19,Inputs!$B$20=1)),I1832*Inputs!$C$11/C1832,0)</f>
        <v>40.2739726027397</v>
      </c>
    </row>
    <row r="1833" customFormat="false" ht="15" hidden="false" customHeight="false" outlineLevel="0" collapsed="false">
      <c r="A1833" s="35" t="n">
        <f aca="false">A1832+1</f>
        <v>46640</v>
      </c>
      <c r="B1833" s="35" t="n">
        <f aca="false">EOMONTH(A1833+1,0)</f>
        <v>46660</v>
      </c>
      <c r="C1833" s="36" t="n">
        <f aca="false">IF(MOD(YEAR(A1833),4)=0,366,365)</f>
        <v>365</v>
      </c>
      <c r="D1833" s="37" t="n">
        <f aca="false">Inputs!$B$9-SUMIFS(Cash_Events!$G$6:$G$20,Cash_Events!$C$6:$C$20,"rAGMF",Cash_Events!$B$6:$B$20,"&lt;="&amp;A1833)</f>
        <v>735000</v>
      </c>
      <c r="E1833" s="38" t="n">
        <f aca="false">VLOOKUP(A1833,Inputs!$A$40:$B$48,2,TRUE())</f>
        <v>0.0363225</v>
      </c>
      <c r="F1833" s="38" t="n">
        <f aca="false">E1833+Inputs!$B$10</f>
        <v>0.1038225</v>
      </c>
      <c r="G1833" s="37" t="n">
        <f aca="false">D1833*F1833/C1833</f>
        <v>209.067226027397</v>
      </c>
      <c r="H1833" s="37" t="n">
        <f aca="false">IF(AND(A1833&gt;=Inputs!$B$13,OR(A1833&lt;Inputs!$B$19,Inputs!$B$20=1)),D1833*Inputs!$B$11/C1833,0)</f>
        <v>40.2739726027397</v>
      </c>
      <c r="I1833" s="37" t="n">
        <f aca="false">Inputs!$C$9-SUMIFS(Cash_Events!$G$6:$G$20,Cash_Events!$C$6:$C$20,"FHL",Cash_Events!$B$6:$B$20,"&lt;="&amp;A1833)</f>
        <v>735000</v>
      </c>
      <c r="J1833" s="38" t="n">
        <f aca="false">VLOOKUP(A1833,Inputs!$F$40:$G$48,2,TRUE())</f>
        <v>0.0364054</v>
      </c>
      <c r="K1833" s="38" t="n">
        <f aca="false">J1833+Inputs!$C$10</f>
        <v>0.1039054</v>
      </c>
      <c r="L1833" s="37" t="n">
        <f aca="false">I1833*K1833/C1833</f>
        <v>209.234161643836</v>
      </c>
      <c r="M1833" s="37" t="n">
        <f aca="false">IF(AND(A1833&gt;=Inputs!$C$13,OR(A1833&lt;Inputs!$B$19,Inputs!$B$20=1)),I1833*Inputs!$C$11/C1833,0)</f>
        <v>40.2739726027397</v>
      </c>
    </row>
    <row r="1834" customFormat="false" ht="15" hidden="false" customHeight="false" outlineLevel="0" collapsed="false">
      <c r="A1834" s="35" t="n">
        <f aca="false">A1833+1</f>
        <v>46641</v>
      </c>
      <c r="B1834" s="35" t="n">
        <f aca="false">EOMONTH(A1834+1,0)</f>
        <v>46660</v>
      </c>
      <c r="C1834" s="36" t="n">
        <f aca="false">IF(MOD(YEAR(A1834),4)=0,366,365)</f>
        <v>365</v>
      </c>
      <c r="D1834" s="37" t="n">
        <f aca="false">Inputs!$B$9-SUMIFS(Cash_Events!$G$6:$G$20,Cash_Events!$C$6:$C$20,"rAGMF",Cash_Events!$B$6:$B$20,"&lt;="&amp;A1834)</f>
        <v>735000</v>
      </c>
      <c r="E1834" s="38" t="n">
        <f aca="false">VLOOKUP(A1834,Inputs!$A$40:$B$48,2,TRUE())</f>
        <v>0.0363225</v>
      </c>
      <c r="F1834" s="38" t="n">
        <f aca="false">E1834+Inputs!$B$10</f>
        <v>0.1038225</v>
      </c>
      <c r="G1834" s="37" t="n">
        <f aca="false">D1834*F1834/C1834</f>
        <v>209.067226027397</v>
      </c>
      <c r="H1834" s="37" t="n">
        <f aca="false">IF(AND(A1834&gt;=Inputs!$B$13,OR(A1834&lt;Inputs!$B$19,Inputs!$B$20=1)),D1834*Inputs!$B$11/C1834,0)</f>
        <v>40.2739726027397</v>
      </c>
      <c r="I1834" s="37" t="n">
        <f aca="false">Inputs!$C$9-SUMIFS(Cash_Events!$G$6:$G$20,Cash_Events!$C$6:$C$20,"FHL",Cash_Events!$B$6:$B$20,"&lt;="&amp;A1834)</f>
        <v>735000</v>
      </c>
      <c r="J1834" s="38" t="n">
        <f aca="false">VLOOKUP(A1834,Inputs!$F$40:$G$48,2,TRUE())</f>
        <v>0.0364054</v>
      </c>
      <c r="K1834" s="38" t="n">
        <f aca="false">J1834+Inputs!$C$10</f>
        <v>0.1039054</v>
      </c>
      <c r="L1834" s="37" t="n">
        <f aca="false">I1834*K1834/C1834</f>
        <v>209.234161643836</v>
      </c>
      <c r="M1834" s="37" t="n">
        <f aca="false">IF(AND(A1834&gt;=Inputs!$C$13,OR(A1834&lt;Inputs!$B$19,Inputs!$B$20=1)),I1834*Inputs!$C$11/C1834,0)</f>
        <v>40.2739726027397</v>
      </c>
    </row>
    <row r="1835" customFormat="false" ht="15" hidden="false" customHeight="false" outlineLevel="0" collapsed="false">
      <c r="A1835" s="35" t="n">
        <f aca="false">A1834+1</f>
        <v>46642</v>
      </c>
      <c r="B1835" s="35" t="n">
        <f aca="false">EOMONTH(A1835+1,0)</f>
        <v>46660</v>
      </c>
      <c r="C1835" s="36" t="n">
        <f aca="false">IF(MOD(YEAR(A1835),4)=0,366,365)</f>
        <v>365</v>
      </c>
      <c r="D1835" s="37" t="n">
        <f aca="false">Inputs!$B$9-SUMIFS(Cash_Events!$G$6:$G$20,Cash_Events!$C$6:$C$20,"rAGMF",Cash_Events!$B$6:$B$20,"&lt;="&amp;A1835)</f>
        <v>735000</v>
      </c>
      <c r="E1835" s="38" t="n">
        <f aca="false">VLOOKUP(A1835,Inputs!$A$40:$B$48,2,TRUE())</f>
        <v>0.0363225</v>
      </c>
      <c r="F1835" s="38" t="n">
        <f aca="false">E1835+Inputs!$B$10</f>
        <v>0.1038225</v>
      </c>
      <c r="G1835" s="37" t="n">
        <f aca="false">D1835*F1835/C1835</f>
        <v>209.067226027397</v>
      </c>
      <c r="H1835" s="37" t="n">
        <f aca="false">IF(AND(A1835&gt;=Inputs!$B$13,OR(A1835&lt;Inputs!$B$19,Inputs!$B$20=1)),D1835*Inputs!$B$11/C1835,0)</f>
        <v>40.2739726027397</v>
      </c>
      <c r="I1835" s="37" t="n">
        <f aca="false">Inputs!$C$9-SUMIFS(Cash_Events!$G$6:$G$20,Cash_Events!$C$6:$C$20,"FHL",Cash_Events!$B$6:$B$20,"&lt;="&amp;A1835)</f>
        <v>735000</v>
      </c>
      <c r="J1835" s="38" t="n">
        <f aca="false">VLOOKUP(A1835,Inputs!$F$40:$G$48,2,TRUE())</f>
        <v>0.0364054</v>
      </c>
      <c r="K1835" s="38" t="n">
        <f aca="false">J1835+Inputs!$C$10</f>
        <v>0.1039054</v>
      </c>
      <c r="L1835" s="37" t="n">
        <f aca="false">I1835*K1835/C1835</f>
        <v>209.234161643836</v>
      </c>
      <c r="M1835" s="37" t="n">
        <f aca="false">IF(AND(A1835&gt;=Inputs!$C$13,OR(A1835&lt;Inputs!$B$19,Inputs!$B$20=1)),I1835*Inputs!$C$11/C1835,0)</f>
        <v>40.2739726027397</v>
      </c>
    </row>
    <row r="1836" customFormat="false" ht="15" hidden="false" customHeight="false" outlineLevel="0" collapsed="false">
      <c r="A1836" s="35" t="n">
        <f aca="false">A1835+1</f>
        <v>46643</v>
      </c>
      <c r="B1836" s="35" t="n">
        <f aca="false">EOMONTH(A1836+1,0)</f>
        <v>46660</v>
      </c>
      <c r="C1836" s="36" t="n">
        <f aca="false">IF(MOD(YEAR(A1836),4)=0,366,365)</f>
        <v>365</v>
      </c>
      <c r="D1836" s="37" t="n">
        <f aca="false">Inputs!$B$9-SUMIFS(Cash_Events!$G$6:$G$20,Cash_Events!$C$6:$C$20,"rAGMF",Cash_Events!$B$6:$B$20,"&lt;="&amp;A1836)</f>
        <v>735000</v>
      </c>
      <c r="E1836" s="38" t="n">
        <f aca="false">VLOOKUP(A1836,Inputs!$A$40:$B$48,2,TRUE())</f>
        <v>0.0363225</v>
      </c>
      <c r="F1836" s="38" t="n">
        <f aca="false">E1836+Inputs!$B$10</f>
        <v>0.1038225</v>
      </c>
      <c r="G1836" s="37" t="n">
        <f aca="false">D1836*F1836/C1836</f>
        <v>209.067226027397</v>
      </c>
      <c r="H1836" s="37" t="n">
        <f aca="false">IF(AND(A1836&gt;=Inputs!$B$13,OR(A1836&lt;Inputs!$B$19,Inputs!$B$20=1)),D1836*Inputs!$B$11/C1836,0)</f>
        <v>40.2739726027397</v>
      </c>
      <c r="I1836" s="37" t="n">
        <f aca="false">Inputs!$C$9-SUMIFS(Cash_Events!$G$6:$G$20,Cash_Events!$C$6:$C$20,"FHL",Cash_Events!$B$6:$B$20,"&lt;="&amp;A1836)</f>
        <v>735000</v>
      </c>
      <c r="J1836" s="38" t="n">
        <f aca="false">VLOOKUP(A1836,Inputs!$F$40:$G$48,2,TRUE())</f>
        <v>0.0364054</v>
      </c>
      <c r="K1836" s="38" t="n">
        <f aca="false">J1836+Inputs!$C$10</f>
        <v>0.1039054</v>
      </c>
      <c r="L1836" s="37" t="n">
        <f aca="false">I1836*K1836/C1836</f>
        <v>209.234161643836</v>
      </c>
      <c r="M1836" s="37" t="n">
        <f aca="false">IF(AND(A1836&gt;=Inputs!$C$13,OR(A1836&lt;Inputs!$B$19,Inputs!$B$20=1)),I1836*Inputs!$C$11/C1836,0)</f>
        <v>40.2739726027397</v>
      </c>
    </row>
    <row r="1837" customFormat="false" ht="15" hidden="false" customHeight="false" outlineLevel="0" collapsed="false">
      <c r="A1837" s="35" t="n">
        <f aca="false">A1836+1</f>
        <v>46644</v>
      </c>
      <c r="B1837" s="35" t="n">
        <f aca="false">EOMONTH(A1837+1,0)</f>
        <v>46660</v>
      </c>
      <c r="C1837" s="36" t="n">
        <f aca="false">IF(MOD(YEAR(A1837),4)=0,366,365)</f>
        <v>365</v>
      </c>
      <c r="D1837" s="37" t="n">
        <f aca="false">Inputs!$B$9-SUMIFS(Cash_Events!$G$6:$G$20,Cash_Events!$C$6:$C$20,"rAGMF",Cash_Events!$B$6:$B$20,"&lt;="&amp;A1837)</f>
        <v>735000</v>
      </c>
      <c r="E1837" s="38" t="n">
        <f aca="false">VLOOKUP(A1837,Inputs!$A$40:$B$48,2,TRUE())</f>
        <v>0.0363225</v>
      </c>
      <c r="F1837" s="38" t="n">
        <f aca="false">E1837+Inputs!$B$10</f>
        <v>0.1038225</v>
      </c>
      <c r="G1837" s="37" t="n">
        <f aca="false">D1837*F1837/C1837</f>
        <v>209.067226027397</v>
      </c>
      <c r="H1837" s="37" t="n">
        <f aca="false">IF(AND(A1837&gt;=Inputs!$B$13,OR(A1837&lt;Inputs!$B$19,Inputs!$B$20=1)),D1837*Inputs!$B$11/C1837,0)</f>
        <v>40.2739726027397</v>
      </c>
      <c r="I1837" s="37" t="n">
        <f aca="false">Inputs!$C$9-SUMIFS(Cash_Events!$G$6:$G$20,Cash_Events!$C$6:$C$20,"FHL",Cash_Events!$B$6:$B$20,"&lt;="&amp;A1837)</f>
        <v>735000</v>
      </c>
      <c r="J1837" s="38" t="n">
        <f aca="false">VLOOKUP(A1837,Inputs!$F$40:$G$48,2,TRUE())</f>
        <v>0.0364054</v>
      </c>
      <c r="K1837" s="38" t="n">
        <f aca="false">J1837+Inputs!$C$10</f>
        <v>0.1039054</v>
      </c>
      <c r="L1837" s="37" t="n">
        <f aca="false">I1837*K1837/C1837</f>
        <v>209.234161643836</v>
      </c>
      <c r="M1837" s="37" t="n">
        <f aca="false">IF(AND(A1837&gt;=Inputs!$C$13,OR(A1837&lt;Inputs!$B$19,Inputs!$B$20=1)),I1837*Inputs!$C$11/C1837,0)</f>
        <v>40.2739726027397</v>
      </c>
    </row>
    <row r="1838" customFormat="false" ht="15" hidden="false" customHeight="false" outlineLevel="0" collapsed="false">
      <c r="A1838" s="35" t="n">
        <f aca="false">A1837+1</f>
        <v>46645</v>
      </c>
      <c r="B1838" s="35" t="n">
        <f aca="false">EOMONTH(A1838+1,0)</f>
        <v>46660</v>
      </c>
      <c r="C1838" s="36" t="n">
        <f aca="false">IF(MOD(YEAR(A1838),4)=0,366,365)</f>
        <v>365</v>
      </c>
      <c r="D1838" s="37" t="n">
        <f aca="false">Inputs!$B$9-SUMIFS(Cash_Events!$G$6:$G$20,Cash_Events!$C$6:$C$20,"rAGMF",Cash_Events!$B$6:$B$20,"&lt;="&amp;A1838)</f>
        <v>735000</v>
      </c>
      <c r="E1838" s="38" t="n">
        <f aca="false">VLOOKUP(A1838,Inputs!$A$40:$B$48,2,TRUE())</f>
        <v>0.0363225</v>
      </c>
      <c r="F1838" s="38" t="n">
        <f aca="false">E1838+Inputs!$B$10</f>
        <v>0.1038225</v>
      </c>
      <c r="G1838" s="37" t="n">
        <f aca="false">D1838*F1838/C1838</f>
        <v>209.067226027397</v>
      </c>
      <c r="H1838" s="37" t="n">
        <f aca="false">IF(AND(A1838&gt;=Inputs!$B$13,OR(A1838&lt;Inputs!$B$19,Inputs!$B$20=1)),D1838*Inputs!$B$11/C1838,0)</f>
        <v>40.2739726027397</v>
      </c>
      <c r="I1838" s="37" t="n">
        <f aca="false">Inputs!$C$9-SUMIFS(Cash_Events!$G$6:$G$20,Cash_Events!$C$6:$C$20,"FHL",Cash_Events!$B$6:$B$20,"&lt;="&amp;A1838)</f>
        <v>735000</v>
      </c>
      <c r="J1838" s="38" t="n">
        <f aca="false">VLOOKUP(A1838,Inputs!$F$40:$G$48,2,TRUE())</f>
        <v>0.0364054</v>
      </c>
      <c r="K1838" s="38" t="n">
        <f aca="false">J1838+Inputs!$C$10</f>
        <v>0.1039054</v>
      </c>
      <c r="L1838" s="37" t="n">
        <f aca="false">I1838*K1838/C1838</f>
        <v>209.234161643836</v>
      </c>
      <c r="M1838" s="37" t="n">
        <f aca="false">IF(AND(A1838&gt;=Inputs!$C$13,OR(A1838&lt;Inputs!$B$19,Inputs!$B$20=1)),I1838*Inputs!$C$11/C1838,0)</f>
        <v>40.2739726027397</v>
      </c>
    </row>
    <row r="1839" customFormat="false" ht="15" hidden="false" customHeight="false" outlineLevel="0" collapsed="false">
      <c r="A1839" s="35" t="n">
        <f aca="false">A1838+1</f>
        <v>46646</v>
      </c>
      <c r="B1839" s="35" t="n">
        <f aca="false">EOMONTH(A1839+1,0)</f>
        <v>46660</v>
      </c>
      <c r="C1839" s="36" t="n">
        <f aca="false">IF(MOD(YEAR(A1839),4)=0,366,365)</f>
        <v>365</v>
      </c>
      <c r="D1839" s="37" t="n">
        <f aca="false">Inputs!$B$9-SUMIFS(Cash_Events!$G$6:$G$20,Cash_Events!$C$6:$C$20,"rAGMF",Cash_Events!$B$6:$B$20,"&lt;="&amp;A1839)</f>
        <v>735000</v>
      </c>
      <c r="E1839" s="38" t="n">
        <f aca="false">VLOOKUP(A1839,Inputs!$A$40:$B$48,2,TRUE())</f>
        <v>0.0363225</v>
      </c>
      <c r="F1839" s="38" t="n">
        <f aca="false">E1839+Inputs!$B$10</f>
        <v>0.1038225</v>
      </c>
      <c r="G1839" s="37" t="n">
        <f aca="false">D1839*F1839/C1839</f>
        <v>209.067226027397</v>
      </c>
      <c r="H1839" s="37" t="n">
        <f aca="false">IF(AND(A1839&gt;=Inputs!$B$13,OR(A1839&lt;Inputs!$B$19,Inputs!$B$20=1)),D1839*Inputs!$B$11/C1839,0)</f>
        <v>40.2739726027397</v>
      </c>
      <c r="I1839" s="37" t="n">
        <f aca="false">Inputs!$C$9-SUMIFS(Cash_Events!$G$6:$G$20,Cash_Events!$C$6:$C$20,"FHL",Cash_Events!$B$6:$B$20,"&lt;="&amp;A1839)</f>
        <v>735000</v>
      </c>
      <c r="J1839" s="38" t="n">
        <f aca="false">VLOOKUP(A1839,Inputs!$F$40:$G$48,2,TRUE())</f>
        <v>0.0364054</v>
      </c>
      <c r="K1839" s="38" t="n">
        <f aca="false">J1839+Inputs!$C$10</f>
        <v>0.1039054</v>
      </c>
      <c r="L1839" s="37" t="n">
        <f aca="false">I1839*K1839/C1839</f>
        <v>209.234161643836</v>
      </c>
      <c r="M1839" s="37" t="n">
        <f aca="false">IF(AND(A1839&gt;=Inputs!$C$13,OR(A1839&lt;Inputs!$B$19,Inputs!$B$20=1)),I1839*Inputs!$C$11/C1839,0)</f>
        <v>40.2739726027397</v>
      </c>
    </row>
    <row r="1840" customFormat="false" ht="15" hidden="false" customHeight="false" outlineLevel="0" collapsed="false">
      <c r="A1840" s="35" t="n">
        <f aca="false">A1839+1</f>
        <v>46647</v>
      </c>
      <c r="B1840" s="35" t="n">
        <f aca="false">EOMONTH(A1840+1,0)</f>
        <v>46660</v>
      </c>
      <c r="C1840" s="36" t="n">
        <f aca="false">IF(MOD(YEAR(A1840),4)=0,366,365)</f>
        <v>365</v>
      </c>
      <c r="D1840" s="37" t="n">
        <f aca="false">Inputs!$B$9-SUMIFS(Cash_Events!$G$6:$G$20,Cash_Events!$C$6:$C$20,"rAGMF",Cash_Events!$B$6:$B$20,"&lt;="&amp;A1840)</f>
        <v>735000</v>
      </c>
      <c r="E1840" s="38" t="n">
        <f aca="false">VLOOKUP(A1840,Inputs!$A$40:$B$48,2,TRUE())</f>
        <v>0.0363225</v>
      </c>
      <c r="F1840" s="38" t="n">
        <f aca="false">E1840+Inputs!$B$10</f>
        <v>0.1038225</v>
      </c>
      <c r="G1840" s="37" t="n">
        <f aca="false">D1840*F1840/C1840</f>
        <v>209.067226027397</v>
      </c>
      <c r="H1840" s="37" t="n">
        <f aca="false">IF(AND(A1840&gt;=Inputs!$B$13,OR(A1840&lt;Inputs!$B$19,Inputs!$B$20=1)),D1840*Inputs!$B$11/C1840,0)</f>
        <v>40.2739726027397</v>
      </c>
      <c r="I1840" s="37" t="n">
        <f aca="false">Inputs!$C$9-SUMIFS(Cash_Events!$G$6:$G$20,Cash_Events!$C$6:$C$20,"FHL",Cash_Events!$B$6:$B$20,"&lt;="&amp;A1840)</f>
        <v>735000</v>
      </c>
      <c r="J1840" s="38" t="n">
        <f aca="false">VLOOKUP(A1840,Inputs!$F$40:$G$48,2,TRUE())</f>
        <v>0.0364054</v>
      </c>
      <c r="K1840" s="38" t="n">
        <f aca="false">J1840+Inputs!$C$10</f>
        <v>0.1039054</v>
      </c>
      <c r="L1840" s="37" t="n">
        <f aca="false">I1840*K1840/C1840</f>
        <v>209.234161643836</v>
      </c>
      <c r="M1840" s="37" t="n">
        <f aca="false">IF(AND(A1840&gt;=Inputs!$C$13,OR(A1840&lt;Inputs!$B$19,Inputs!$B$20=1)),I1840*Inputs!$C$11/C1840,0)</f>
        <v>40.2739726027397</v>
      </c>
    </row>
    <row r="1841" customFormat="false" ht="15" hidden="false" customHeight="false" outlineLevel="0" collapsed="false">
      <c r="A1841" s="35" t="n">
        <f aca="false">A1840+1</f>
        <v>46648</v>
      </c>
      <c r="B1841" s="35" t="n">
        <f aca="false">EOMONTH(A1841+1,0)</f>
        <v>46660</v>
      </c>
      <c r="C1841" s="36" t="n">
        <f aca="false">IF(MOD(YEAR(A1841),4)=0,366,365)</f>
        <v>365</v>
      </c>
      <c r="D1841" s="37" t="n">
        <f aca="false">Inputs!$B$9-SUMIFS(Cash_Events!$G$6:$G$20,Cash_Events!$C$6:$C$20,"rAGMF",Cash_Events!$B$6:$B$20,"&lt;="&amp;A1841)</f>
        <v>735000</v>
      </c>
      <c r="E1841" s="38" t="n">
        <f aca="false">VLOOKUP(A1841,Inputs!$A$40:$B$48,2,TRUE())</f>
        <v>0.0363225</v>
      </c>
      <c r="F1841" s="38" t="n">
        <f aca="false">E1841+Inputs!$B$10</f>
        <v>0.1038225</v>
      </c>
      <c r="G1841" s="37" t="n">
        <f aca="false">D1841*F1841/C1841</f>
        <v>209.067226027397</v>
      </c>
      <c r="H1841" s="37" t="n">
        <f aca="false">IF(AND(A1841&gt;=Inputs!$B$13,OR(A1841&lt;Inputs!$B$19,Inputs!$B$20=1)),D1841*Inputs!$B$11/C1841,0)</f>
        <v>40.2739726027397</v>
      </c>
      <c r="I1841" s="37" t="n">
        <f aca="false">Inputs!$C$9-SUMIFS(Cash_Events!$G$6:$G$20,Cash_Events!$C$6:$C$20,"FHL",Cash_Events!$B$6:$B$20,"&lt;="&amp;A1841)</f>
        <v>735000</v>
      </c>
      <c r="J1841" s="38" t="n">
        <f aca="false">VLOOKUP(A1841,Inputs!$F$40:$G$48,2,TRUE())</f>
        <v>0.0364054</v>
      </c>
      <c r="K1841" s="38" t="n">
        <f aca="false">J1841+Inputs!$C$10</f>
        <v>0.1039054</v>
      </c>
      <c r="L1841" s="37" t="n">
        <f aca="false">I1841*K1841/C1841</f>
        <v>209.234161643836</v>
      </c>
      <c r="M1841" s="37" t="n">
        <f aca="false">IF(AND(A1841&gt;=Inputs!$C$13,OR(A1841&lt;Inputs!$B$19,Inputs!$B$20=1)),I1841*Inputs!$C$11/C1841,0)</f>
        <v>40.2739726027397</v>
      </c>
    </row>
    <row r="1842" customFormat="false" ht="15" hidden="false" customHeight="false" outlineLevel="0" collapsed="false">
      <c r="A1842" s="35" t="n">
        <f aca="false">A1841+1</f>
        <v>46649</v>
      </c>
      <c r="B1842" s="35" t="n">
        <f aca="false">EOMONTH(A1842+1,0)</f>
        <v>46660</v>
      </c>
      <c r="C1842" s="36" t="n">
        <f aca="false">IF(MOD(YEAR(A1842),4)=0,366,365)</f>
        <v>365</v>
      </c>
      <c r="D1842" s="37" t="n">
        <f aca="false">Inputs!$B$9-SUMIFS(Cash_Events!$G$6:$G$20,Cash_Events!$C$6:$C$20,"rAGMF",Cash_Events!$B$6:$B$20,"&lt;="&amp;A1842)</f>
        <v>735000</v>
      </c>
      <c r="E1842" s="38" t="n">
        <f aca="false">VLOOKUP(A1842,Inputs!$A$40:$B$48,2,TRUE())</f>
        <v>0.0363225</v>
      </c>
      <c r="F1842" s="38" t="n">
        <f aca="false">E1842+Inputs!$B$10</f>
        <v>0.1038225</v>
      </c>
      <c r="G1842" s="37" t="n">
        <f aca="false">D1842*F1842/C1842</f>
        <v>209.067226027397</v>
      </c>
      <c r="H1842" s="37" t="n">
        <f aca="false">IF(AND(A1842&gt;=Inputs!$B$13,OR(A1842&lt;Inputs!$B$19,Inputs!$B$20=1)),D1842*Inputs!$B$11/C1842,0)</f>
        <v>40.2739726027397</v>
      </c>
      <c r="I1842" s="37" t="n">
        <f aca="false">Inputs!$C$9-SUMIFS(Cash_Events!$G$6:$G$20,Cash_Events!$C$6:$C$20,"FHL",Cash_Events!$B$6:$B$20,"&lt;="&amp;A1842)</f>
        <v>735000</v>
      </c>
      <c r="J1842" s="38" t="n">
        <f aca="false">VLOOKUP(A1842,Inputs!$F$40:$G$48,2,TRUE())</f>
        <v>0.0364054</v>
      </c>
      <c r="K1842" s="38" t="n">
        <f aca="false">J1842+Inputs!$C$10</f>
        <v>0.1039054</v>
      </c>
      <c r="L1842" s="37" t="n">
        <f aca="false">I1842*K1842/C1842</f>
        <v>209.234161643836</v>
      </c>
      <c r="M1842" s="37" t="n">
        <f aca="false">IF(AND(A1842&gt;=Inputs!$C$13,OR(A1842&lt;Inputs!$B$19,Inputs!$B$20=1)),I1842*Inputs!$C$11/C1842,0)</f>
        <v>40.2739726027397</v>
      </c>
    </row>
    <row r="1843" customFormat="false" ht="15" hidden="false" customHeight="false" outlineLevel="0" collapsed="false">
      <c r="A1843" s="35" t="n">
        <f aca="false">A1842+1</f>
        <v>46650</v>
      </c>
      <c r="B1843" s="35" t="n">
        <f aca="false">EOMONTH(A1843+1,0)</f>
        <v>46660</v>
      </c>
      <c r="C1843" s="36" t="n">
        <f aca="false">IF(MOD(YEAR(A1843),4)=0,366,365)</f>
        <v>365</v>
      </c>
      <c r="D1843" s="37" t="n">
        <f aca="false">Inputs!$B$9-SUMIFS(Cash_Events!$G$6:$G$20,Cash_Events!$C$6:$C$20,"rAGMF",Cash_Events!$B$6:$B$20,"&lt;="&amp;A1843)</f>
        <v>735000</v>
      </c>
      <c r="E1843" s="38" t="n">
        <f aca="false">VLOOKUP(A1843,Inputs!$A$40:$B$48,2,TRUE())</f>
        <v>0.0363225</v>
      </c>
      <c r="F1843" s="38" t="n">
        <f aca="false">E1843+Inputs!$B$10</f>
        <v>0.1038225</v>
      </c>
      <c r="G1843" s="37" t="n">
        <f aca="false">D1843*F1843/C1843</f>
        <v>209.067226027397</v>
      </c>
      <c r="H1843" s="37" t="n">
        <f aca="false">IF(AND(A1843&gt;=Inputs!$B$13,OR(A1843&lt;Inputs!$B$19,Inputs!$B$20=1)),D1843*Inputs!$B$11/C1843,0)</f>
        <v>40.2739726027397</v>
      </c>
      <c r="I1843" s="37" t="n">
        <f aca="false">Inputs!$C$9-SUMIFS(Cash_Events!$G$6:$G$20,Cash_Events!$C$6:$C$20,"FHL",Cash_Events!$B$6:$B$20,"&lt;="&amp;A1843)</f>
        <v>735000</v>
      </c>
      <c r="J1843" s="38" t="n">
        <f aca="false">VLOOKUP(A1843,Inputs!$F$40:$G$48,2,TRUE())</f>
        <v>0.0364054</v>
      </c>
      <c r="K1843" s="38" t="n">
        <f aca="false">J1843+Inputs!$C$10</f>
        <v>0.1039054</v>
      </c>
      <c r="L1843" s="37" t="n">
        <f aca="false">I1843*K1843/C1843</f>
        <v>209.234161643836</v>
      </c>
      <c r="M1843" s="37" t="n">
        <f aca="false">IF(AND(A1843&gt;=Inputs!$C$13,OR(A1843&lt;Inputs!$B$19,Inputs!$B$20=1)),I1843*Inputs!$C$11/C1843,0)</f>
        <v>40.2739726027397</v>
      </c>
    </row>
    <row r="1844" customFormat="false" ht="15" hidden="false" customHeight="false" outlineLevel="0" collapsed="false">
      <c r="A1844" s="35" t="n">
        <f aca="false">A1843+1</f>
        <v>46651</v>
      </c>
      <c r="B1844" s="35" t="n">
        <f aca="false">EOMONTH(A1844+1,0)</f>
        <v>46660</v>
      </c>
      <c r="C1844" s="36" t="n">
        <f aca="false">IF(MOD(YEAR(A1844),4)=0,366,365)</f>
        <v>365</v>
      </c>
      <c r="D1844" s="37" t="n">
        <f aca="false">Inputs!$B$9-SUMIFS(Cash_Events!$G$6:$G$20,Cash_Events!$C$6:$C$20,"rAGMF",Cash_Events!$B$6:$B$20,"&lt;="&amp;A1844)</f>
        <v>735000</v>
      </c>
      <c r="E1844" s="38" t="n">
        <f aca="false">VLOOKUP(A1844,Inputs!$A$40:$B$48,2,TRUE())</f>
        <v>0.0363225</v>
      </c>
      <c r="F1844" s="38" t="n">
        <f aca="false">E1844+Inputs!$B$10</f>
        <v>0.1038225</v>
      </c>
      <c r="G1844" s="37" t="n">
        <f aca="false">D1844*F1844/C1844</f>
        <v>209.067226027397</v>
      </c>
      <c r="H1844" s="37" t="n">
        <f aca="false">IF(AND(A1844&gt;=Inputs!$B$13,OR(A1844&lt;Inputs!$B$19,Inputs!$B$20=1)),D1844*Inputs!$B$11/C1844,0)</f>
        <v>40.2739726027397</v>
      </c>
      <c r="I1844" s="37" t="n">
        <f aca="false">Inputs!$C$9-SUMIFS(Cash_Events!$G$6:$G$20,Cash_Events!$C$6:$C$20,"FHL",Cash_Events!$B$6:$B$20,"&lt;="&amp;A1844)</f>
        <v>735000</v>
      </c>
      <c r="J1844" s="38" t="n">
        <f aca="false">VLOOKUP(A1844,Inputs!$F$40:$G$48,2,TRUE())</f>
        <v>0.0364054</v>
      </c>
      <c r="K1844" s="38" t="n">
        <f aca="false">J1844+Inputs!$C$10</f>
        <v>0.1039054</v>
      </c>
      <c r="L1844" s="37" t="n">
        <f aca="false">I1844*K1844/C1844</f>
        <v>209.234161643836</v>
      </c>
      <c r="M1844" s="37" t="n">
        <f aca="false">IF(AND(A1844&gt;=Inputs!$C$13,OR(A1844&lt;Inputs!$B$19,Inputs!$B$20=1)),I1844*Inputs!$C$11/C1844,0)</f>
        <v>40.2739726027397</v>
      </c>
    </row>
    <row r="1845" customFormat="false" ht="15" hidden="false" customHeight="false" outlineLevel="0" collapsed="false">
      <c r="A1845" s="35" t="n">
        <f aca="false">A1844+1</f>
        <v>46652</v>
      </c>
      <c r="B1845" s="35" t="n">
        <f aca="false">EOMONTH(A1845+1,0)</f>
        <v>46660</v>
      </c>
      <c r="C1845" s="36" t="n">
        <f aca="false">IF(MOD(YEAR(A1845),4)=0,366,365)</f>
        <v>365</v>
      </c>
      <c r="D1845" s="37" t="n">
        <f aca="false">Inputs!$B$9-SUMIFS(Cash_Events!$G$6:$G$20,Cash_Events!$C$6:$C$20,"rAGMF",Cash_Events!$B$6:$B$20,"&lt;="&amp;A1845)</f>
        <v>735000</v>
      </c>
      <c r="E1845" s="38" t="n">
        <f aca="false">VLOOKUP(A1845,Inputs!$A$40:$B$48,2,TRUE())</f>
        <v>0.0363225</v>
      </c>
      <c r="F1845" s="38" t="n">
        <f aca="false">E1845+Inputs!$B$10</f>
        <v>0.1038225</v>
      </c>
      <c r="G1845" s="37" t="n">
        <f aca="false">D1845*F1845/C1845</f>
        <v>209.067226027397</v>
      </c>
      <c r="H1845" s="37" t="n">
        <f aca="false">IF(AND(A1845&gt;=Inputs!$B$13,OR(A1845&lt;Inputs!$B$19,Inputs!$B$20=1)),D1845*Inputs!$B$11/C1845,0)</f>
        <v>40.2739726027397</v>
      </c>
      <c r="I1845" s="37" t="n">
        <f aca="false">Inputs!$C$9-SUMIFS(Cash_Events!$G$6:$G$20,Cash_Events!$C$6:$C$20,"FHL",Cash_Events!$B$6:$B$20,"&lt;="&amp;A1845)</f>
        <v>735000</v>
      </c>
      <c r="J1845" s="38" t="n">
        <f aca="false">VLOOKUP(A1845,Inputs!$F$40:$G$48,2,TRUE())</f>
        <v>0.0364054</v>
      </c>
      <c r="K1845" s="38" t="n">
        <f aca="false">J1845+Inputs!$C$10</f>
        <v>0.1039054</v>
      </c>
      <c r="L1845" s="37" t="n">
        <f aca="false">I1845*K1845/C1845</f>
        <v>209.234161643836</v>
      </c>
      <c r="M1845" s="37" t="n">
        <f aca="false">IF(AND(A1845&gt;=Inputs!$C$13,OR(A1845&lt;Inputs!$B$19,Inputs!$B$20=1)),I1845*Inputs!$C$11/C1845,0)</f>
        <v>40.2739726027397</v>
      </c>
    </row>
    <row r="1846" customFormat="false" ht="15" hidden="false" customHeight="false" outlineLevel="0" collapsed="false">
      <c r="A1846" s="35" t="n">
        <f aca="false">A1845+1</f>
        <v>46653</v>
      </c>
      <c r="B1846" s="35" t="n">
        <f aca="false">EOMONTH(A1846+1,0)</f>
        <v>46660</v>
      </c>
      <c r="C1846" s="36" t="n">
        <f aca="false">IF(MOD(YEAR(A1846),4)=0,366,365)</f>
        <v>365</v>
      </c>
      <c r="D1846" s="37" t="n">
        <f aca="false">Inputs!$B$9-SUMIFS(Cash_Events!$G$6:$G$20,Cash_Events!$C$6:$C$20,"rAGMF",Cash_Events!$B$6:$B$20,"&lt;="&amp;A1846)</f>
        <v>735000</v>
      </c>
      <c r="E1846" s="38" t="n">
        <f aca="false">VLOOKUP(A1846,Inputs!$A$40:$B$48,2,TRUE())</f>
        <v>0.0363225</v>
      </c>
      <c r="F1846" s="38" t="n">
        <f aca="false">E1846+Inputs!$B$10</f>
        <v>0.1038225</v>
      </c>
      <c r="G1846" s="37" t="n">
        <f aca="false">D1846*F1846/C1846</f>
        <v>209.067226027397</v>
      </c>
      <c r="H1846" s="37" t="n">
        <f aca="false">IF(AND(A1846&gt;=Inputs!$B$13,OR(A1846&lt;Inputs!$B$19,Inputs!$B$20=1)),D1846*Inputs!$B$11/C1846,0)</f>
        <v>40.2739726027397</v>
      </c>
      <c r="I1846" s="37" t="n">
        <f aca="false">Inputs!$C$9-SUMIFS(Cash_Events!$G$6:$G$20,Cash_Events!$C$6:$C$20,"FHL",Cash_Events!$B$6:$B$20,"&lt;="&amp;A1846)</f>
        <v>735000</v>
      </c>
      <c r="J1846" s="38" t="n">
        <f aca="false">VLOOKUP(A1846,Inputs!$F$40:$G$48,2,TRUE())</f>
        <v>0.0364054</v>
      </c>
      <c r="K1846" s="38" t="n">
        <f aca="false">J1846+Inputs!$C$10</f>
        <v>0.1039054</v>
      </c>
      <c r="L1846" s="37" t="n">
        <f aca="false">I1846*K1846/C1846</f>
        <v>209.234161643836</v>
      </c>
      <c r="M1846" s="37" t="n">
        <f aca="false">IF(AND(A1846&gt;=Inputs!$C$13,OR(A1846&lt;Inputs!$B$19,Inputs!$B$20=1)),I1846*Inputs!$C$11/C1846,0)</f>
        <v>40.2739726027397</v>
      </c>
    </row>
    <row r="1847" customFormat="false" ht="15" hidden="false" customHeight="false" outlineLevel="0" collapsed="false">
      <c r="A1847" s="35" t="n">
        <f aca="false">A1846+1</f>
        <v>46654</v>
      </c>
      <c r="B1847" s="35" t="n">
        <f aca="false">EOMONTH(A1847+1,0)</f>
        <v>46660</v>
      </c>
      <c r="C1847" s="36" t="n">
        <f aca="false">IF(MOD(YEAR(A1847),4)=0,366,365)</f>
        <v>365</v>
      </c>
      <c r="D1847" s="37" t="n">
        <f aca="false">Inputs!$B$9-SUMIFS(Cash_Events!$G$6:$G$20,Cash_Events!$C$6:$C$20,"rAGMF",Cash_Events!$B$6:$B$20,"&lt;="&amp;A1847)</f>
        <v>735000</v>
      </c>
      <c r="E1847" s="38" t="n">
        <f aca="false">VLOOKUP(A1847,Inputs!$A$40:$B$48,2,TRUE())</f>
        <v>0.0363225</v>
      </c>
      <c r="F1847" s="38" t="n">
        <f aca="false">E1847+Inputs!$B$10</f>
        <v>0.1038225</v>
      </c>
      <c r="G1847" s="37" t="n">
        <f aca="false">D1847*F1847/C1847</f>
        <v>209.067226027397</v>
      </c>
      <c r="H1847" s="37" t="n">
        <f aca="false">IF(AND(A1847&gt;=Inputs!$B$13,OR(A1847&lt;Inputs!$B$19,Inputs!$B$20=1)),D1847*Inputs!$B$11/C1847,0)</f>
        <v>40.2739726027397</v>
      </c>
      <c r="I1847" s="37" t="n">
        <f aca="false">Inputs!$C$9-SUMIFS(Cash_Events!$G$6:$G$20,Cash_Events!$C$6:$C$20,"FHL",Cash_Events!$B$6:$B$20,"&lt;="&amp;A1847)</f>
        <v>735000</v>
      </c>
      <c r="J1847" s="38" t="n">
        <f aca="false">VLOOKUP(A1847,Inputs!$F$40:$G$48,2,TRUE())</f>
        <v>0.0364054</v>
      </c>
      <c r="K1847" s="38" t="n">
        <f aca="false">J1847+Inputs!$C$10</f>
        <v>0.1039054</v>
      </c>
      <c r="L1847" s="37" t="n">
        <f aca="false">I1847*K1847/C1847</f>
        <v>209.234161643836</v>
      </c>
      <c r="M1847" s="37" t="n">
        <f aca="false">IF(AND(A1847&gt;=Inputs!$C$13,OR(A1847&lt;Inputs!$B$19,Inputs!$B$20=1)),I1847*Inputs!$C$11/C1847,0)</f>
        <v>40.2739726027397</v>
      </c>
    </row>
    <row r="1848" customFormat="false" ht="15" hidden="false" customHeight="false" outlineLevel="0" collapsed="false">
      <c r="A1848" s="35" t="n">
        <f aca="false">A1847+1</f>
        <v>46655</v>
      </c>
      <c r="B1848" s="35" t="n">
        <f aca="false">EOMONTH(A1848+1,0)</f>
        <v>46660</v>
      </c>
      <c r="C1848" s="36" t="n">
        <f aca="false">IF(MOD(YEAR(A1848),4)=0,366,365)</f>
        <v>365</v>
      </c>
      <c r="D1848" s="37" t="n">
        <f aca="false">Inputs!$B$9-SUMIFS(Cash_Events!$G$6:$G$20,Cash_Events!$C$6:$C$20,"rAGMF",Cash_Events!$B$6:$B$20,"&lt;="&amp;A1848)</f>
        <v>735000</v>
      </c>
      <c r="E1848" s="38" t="n">
        <f aca="false">VLOOKUP(A1848,Inputs!$A$40:$B$48,2,TRUE())</f>
        <v>0.0363225</v>
      </c>
      <c r="F1848" s="38" t="n">
        <f aca="false">E1848+Inputs!$B$10</f>
        <v>0.1038225</v>
      </c>
      <c r="G1848" s="37" t="n">
        <f aca="false">D1848*F1848/C1848</f>
        <v>209.067226027397</v>
      </c>
      <c r="H1848" s="37" t="n">
        <f aca="false">IF(AND(A1848&gt;=Inputs!$B$13,OR(A1848&lt;Inputs!$B$19,Inputs!$B$20=1)),D1848*Inputs!$B$11/C1848,0)</f>
        <v>40.2739726027397</v>
      </c>
      <c r="I1848" s="37" t="n">
        <f aca="false">Inputs!$C$9-SUMIFS(Cash_Events!$G$6:$G$20,Cash_Events!$C$6:$C$20,"FHL",Cash_Events!$B$6:$B$20,"&lt;="&amp;A1848)</f>
        <v>735000</v>
      </c>
      <c r="J1848" s="38" t="n">
        <f aca="false">VLOOKUP(A1848,Inputs!$F$40:$G$48,2,TRUE())</f>
        <v>0.0364054</v>
      </c>
      <c r="K1848" s="38" t="n">
        <f aca="false">J1848+Inputs!$C$10</f>
        <v>0.1039054</v>
      </c>
      <c r="L1848" s="37" t="n">
        <f aca="false">I1848*K1848/C1848</f>
        <v>209.234161643836</v>
      </c>
      <c r="M1848" s="37" t="n">
        <f aca="false">IF(AND(A1848&gt;=Inputs!$C$13,OR(A1848&lt;Inputs!$B$19,Inputs!$B$20=1)),I1848*Inputs!$C$11/C1848,0)</f>
        <v>40.2739726027397</v>
      </c>
    </row>
    <row r="1849" customFormat="false" ht="15" hidden="false" customHeight="false" outlineLevel="0" collapsed="false">
      <c r="A1849" s="35" t="n">
        <f aca="false">A1848+1</f>
        <v>46656</v>
      </c>
      <c r="B1849" s="35" t="n">
        <f aca="false">EOMONTH(A1849+1,0)</f>
        <v>46660</v>
      </c>
      <c r="C1849" s="36" t="n">
        <f aca="false">IF(MOD(YEAR(A1849),4)=0,366,365)</f>
        <v>365</v>
      </c>
      <c r="D1849" s="37" t="n">
        <f aca="false">Inputs!$B$9-SUMIFS(Cash_Events!$G$6:$G$20,Cash_Events!$C$6:$C$20,"rAGMF",Cash_Events!$B$6:$B$20,"&lt;="&amp;A1849)</f>
        <v>735000</v>
      </c>
      <c r="E1849" s="38" t="n">
        <f aca="false">VLOOKUP(A1849,Inputs!$A$40:$B$48,2,TRUE())</f>
        <v>0.0363225</v>
      </c>
      <c r="F1849" s="38" t="n">
        <f aca="false">E1849+Inputs!$B$10</f>
        <v>0.1038225</v>
      </c>
      <c r="G1849" s="37" t="n">
        <f aca="false">D1849*F1849/C1849</f>
        <v>209.067226027397</v>
      </c>
      <c r="H1849" s="37" t="n">
        <f aca="false">IF(AND(A1849&gt;=Inputs!$B$13,OR(A1849&lt;Inputs!$B$19,Inputs!$B$20=1)),D1849*Inputs!$B$11/C1849,0)</f>
        <v>40.2739726027397</v>
      </c>
      <c r="I1849" s="37" t="n">
        <f aca="false">Inputs!$C$9-SUMIFS(Cash_Events!$G$6:$G$20,Cash_Events!$C$6:$C$20,"FHL",Cash_Events!$B$6:$B$20,"&lt;="&amp;A1849)</f>
        <v>735000</v>
      </c>
      <c r="J1849" s="38" t="n">
        <f aca="false">VLOOKUP(A1849,Inputs!$F$40:$G$48,2,TRUE())</f>
        <v>0.0364054</v>
      </c>
      <c r="K1849" s="38" t="n">
        <f aca="false">J1849+Inputs!$C$10</f>
        <v>0.1039054</v>
      </c>
      <c r="L1849" s="37" t="n">
        <f aca="false">I1849*K1849/C1849</f>
        <v>209.234161643836</v>
      </c>
      <c r="M1849" s="37" t="n">
        <f aca="false">IF(AND(A1849&gt;=Inputs!$C$13,OR(A1849&lt;Inputs!$B$19,Inputs!$B$20=1)),I1849*Inputs!$C$11/C1849,0)</f>
        <v>40.2739726027397</v>
      </c>
    </row>
    <row r="1850" customFormat="false" ht="15" hidden="false" customHeight="false" outlineLevel="0" collapsed="false">
      <c r="A1850" s="35" t="n">
        <f aca="false">A1849+1</f>
        <v>46657</v>
      </c>
      <c r="B1850" s="35" t="n">
        <f aca="false">EOMONTH(A1850+1,0)</f>
        <v>46660</v>
      </c>
      <c r="C1850" s="36" t="n">
        <f aca="false">IF(MOD(YEAR(A1850),4)=0,366,365)</f>
        <v>365</v>
      </c>
      <c r="D1850" s="37" t="n">
        <f aca="false">Inputs!$B$9-SUMIFS(Cash_Events!$G$6:$G$20,Cash_Events!$C$6:$C$20,"rAGMF",Cash_Events!$B$6:$B$20,"&lt;="&amp;A1850)</f>
        <v>735000</v>
      </c>
      <c r="E1850" s="38" t="n">
        <f aca="false">VLOOKUP(A1850,Inputs!$A$40:$B$48,2,TRUE())</f>
        <v>0.0363225</v>
      </c>
      <c r="F1850" s="38" t="n">
        <f aca="false">E1850+Inputs!$B$10</f>
        <v>0.1038225</v>
      </c>
      <c r="G1850" s="37" t="n">
        <f aca="false">D1850*F1850/C1850</f>
        <v>209.067226027397</v>
      </c>
      <c r="H1850" s="37" t="n">
        <f aca="false">IF(AND(A1850&gt;=Inputs!$B$13,OR(A1850&lt;Inputs!$B$19,Inputs!$B$20=1)),D1850*Inputs!$B$11/C1850,0)</f>
        <v>40.2739726027397</v>
      </c>
      <c r="I1850" s="37" t="n">
        <f aca="false">Inputs!$C$9-SUMIFS(Cash_Events!$G$6:$G$20,Cash_Events!$C$6:$C$20,"FHL",Cash_Events!$B$6:$B$20,"&lt;="&amp;A1850)</f>
        <v>735000</v>
      </c>
      <c r="J1850" s="38" t="n">
        <f aca="false">VLOOKUP(A1850,Inputs!$F$40:$G$48,2,TRUE())</f>
        <v>0.0364054</v>
      </c>
      <c r="K1850" s="38" t="n">
        <f aca="false">J1850+Inputs!$C$10</f>
        <v>0.1039054</v>
      </c>
      <c r="L1850" s="37" t="n">
        <f aca="false">I1850*K1850/C1850</f>
        <v>209.234161643836</v>
      </c>
      <c r="M1850" s="37" t="n">
        <f aca="false">IF(AND(A1850&gt;=Inputs!$C$13,OR(A1850&lt;Inputs!$B$19,Inputs!$B$20=1)),I1850*Inputs!$C$11/C1850,0)</f>
        <v>40.2739726027397</v>
      </c>
    </row>
    <row r="1851" customFormat="false" ht="15" hidden="false" customHeight="false" outlineLevel="0" collapsed="false">
      <c r="A1851" s="35" t="n">
        <f aca="false">A1850+1</f>
        <v>46658</v>
      </c>
      <c r="B1851" s="35" t="n">
        <f aca="false">EOMONTH(A1851+1,0)</f>
        <v>46660</v>
      </c>
      <c r="C1851" s="36" t="n">
        <f aca="false">IF(MOD(YEAR(A1851),4)=0,366,365)</f>
        <v>365</v>
      </c>
      <c r="D1851" s="37" t="n">
        <f aca="false">Inputs!$B$9-SUMIFS(Cash_Events!$G$6:$G$20,Cash_Events!$C$6:$C$20,"rAGMF",Cash_Events!$B$6:$B$20,"&lt;="&amp;A1851)</f>
        <v>735000</v>
      </c>
      <c r="E1851" s="38" t="n">
        <f aca="false">VLOOKUP(A1851,Inputs!$A$40:$B$48,2,TRUE())</f>
        <v>0.0363225</v>
      </c>
      <c r="F1851" s="38" t="n">
        <f aca="false">E1851+Inputs!$B$10</f>
        <v>0.1038225</v>
      </c>
      <c r="G1851" s="37" t="n">
        <f aca="false">D1851*F1851/C1851</f>
        <v>209.067226027397</v>
      </c>
      <c r="H1851" s="37" t="n">
        <f aca="false">IF(AND(A1851&gt;=Inputs!$B$13,OR(A1851&lt;Inputs!$B$19,Inputs!$B$20=1)),D1851*Inputs!$B$11/C1851,0)</f>
        <v>40.2739726027397</v>
      </c>
      <c r="I1851" s="37" t="n">
        <f aca="false">Inputs!$C$9-SUMIFS(Cash_Events!$G$6:$G$20,Cash_Events!$C$6:$C$20,"FHL",Cash_Events!$B$6:$B$20,"&lt;="&amp;A1851)</f>
        <v>735000</v>
      </c>
      <c r="J1851" s="38" t="n">
        <f aca="false">VLOOKUP(A1851,Inputs!$F$40:$G$48,2,TRUE())</f>
        <v>0.0364054</v>
      </c>
      <c r="K1851" s="38" t="n">
        <f aca="false">J1851+Inputs!$C$10</f>
        <v>0.1039054</v>
      </c>
      <c r="L1851" s="37" t="n">
        <f aca="false">I1851*K1851/C1851</f>
        <v>209.234161643836</v>
      </c>
      <c r="M1851" s="37" t="n">
        <f aca="false">IF(AND(A1851&gt;=Inputs!$C$13,OR(A1851&lt;Inputs!$B$19,Inputs!$B$20=1)),I1851*Inputs!$C$11/C1851,0)</f>
        <v>40.2739726027397</v>
      </c>
    </row>
    <row r="1852" customFormat="false" ht="15" hidden="false" customHeight="false" outlineLevel="0" collapsed="false">
      <c r="A1852" s="35" t="n">
        <f aca="false">A1851+1</f>
        <v>46659</v>
      </c>
      <c r="B1852" s="35" t="n">
        <f aca="false">EOMONTH(A1852+1,0)</f>
        <v>46660</v>
      </c>
      <c r="C1852" s="36" t="n">
        <f aca="false">IF(MOD(YEAR(A1852),4)=0,366,365)</f>
        <v>365</v>
      </c>
      <c r="D1852" s="37" t="n">
        <f aca="false">Inputs!$B$9-SUMIFS(Cash_Events!$G$6:$G$20,Cash_Events!$C$6:$C$20,"rAGMF",Cash_Events!$B$6:$B$20,"&lt;="&amp;A1852)</f>
        <v>735000</v>
      </c>
      <c r="E1852" s="38" t="n">
        <f aca="false">VLOOKUP(A1852,Inputs!$A$40:$B$48,2,TRUE())</f>
        <v>0.0363225</v>
      </c>
      <c r="F1852" s="38" t="n">
        <f aca="false">E1852+Inputs!$B$10</f>
        <v>0.1038225</v>
      </c>
      <c r="G1852" s="37" t="n">
        <f aca="false">D1852*F1852/C1852</f>
        <v>209.067226027397</v>
      </c>
      <c r="H1852" s="37" t="n">
        <f aca="false">IF(AND(A1852&gt;=Inputs!$B$13,OR(A1852&lt;Inputs!$B$19,Inputs!$B$20=1)),D1852*Inputs!$B$11/C1852,0)</f>
        <v>40.2739726027397</v>
      </c>
      <c r="I1852" s="37" t="n">
        <f aca="false">Inputs!$C$9-SUMIFS(Cash_Events!$G$6:$G$20,Cash_Events!$C$6:$C$20,"FHL",Cash_Events!$B$6:$B$20,"&lt;="&amp;A1852)</f>
        <v>735000</v>
      </c>
      <c r="J1852" s="38" t="n">
        <f aca="false">VLOOKUP(A1852,Inputs!$F$40:$G$48,2,TRUE())</f>
        <v>0.0364054</v>
      </c>
      <c r="K1852" s="38" t="n">
        <f aca="false">J1852+Inputs!$C$10</f>
        <v>0.1039054</v>
      </c>
      <c r="L1852" s="37" t="n">
        <f aca="false">I1852*K1852/C1852</f>
        <v>209.234161643836</v>
      </c>
      <c r="M1852" s="37" t="n">
        <f aca="false">IF(AND(A1852&gt;=Inputs!$C$13,OR(A1852&lt;Inputs!$B$19,Inputs!$B$20=1)),I1852*Inputs!$C$11/C1852,0)</f>
        <v>40.2739726027397</v>
      </c>
    </row>
    <row r="1853" customFormat="false" ht="15" hidden="false" customHeight="false" outlineLevel="0" collapsed="false">
      <c r="A1853" s="35" t="n">
        <f aca="false">A1852+1</f>
        <v>46660</v>
      </c>
      <c r="B1853" s="35" t="n">
        <f aca="false">EOMONTH(A1853+1,0)</f>
        <v>46691</v>
      </c>
      <c r="C1853" s="36" t="n">
        <f aca="false">IF(MOD(YEAR(A1853),4)=0,366,365)</f>
        <v>365</v>
      </c>
      <c r="D1853" s="37" t="n">
        <f aca="false">Inputs!$B$9-SUMIFS(Cash_Events!$G$6:$G$20,Cash_Events!$C$6:$C$20,"rAGMF",Cash_Events!$B$6:$B$20,"&lt;="&amp;A1853)</f>
        <v>735000</v>
      </c>
      <c r="E1853" s="38" t="n">
        <f aca="false">VLOOKUP(A1853,Inputs!$A$40:$B$48,2,TRUE())</f>
        <v>0.0363225</v>
      </c>
      <c r="F1853" s="38" t="n">
        <f aca="false">E1853+Inputs!$B$10</f>
        <v>0.1038225</v>
      </c>
      <c r="G1853" s="37" t="n">
        <f aca="false">D1853*F1853/C1853</f>
        <v>209.067226027397</v>
      </c>
      <c r="H1853" s="37" t="n">
        <f aca="false">IF(AND(A1853&gt;=Inputs!$B$13,OR(A1853&lt;Inputs!$B$19,Inputs!$B$20=1)),D1853*Inputs!$B$11/C1853,0)</f>
        <v>40.2739726027397</v>
      </c>
      <c r="I1853" s="37" t="n">
        <f aca="false">Inputs!$C$9-SUMIFS(Cash_Events!$G$6:$G$20,Cash_Events!$C$6:$C$20,"FHL",Cash_Events!$B$6:$B$20,"&lt;="&amp;A1853)</f>
        <v>735000</v>
      </c>
      <c r="J1853" s="38" t="n">
        <f aca="false">VLOOKUP(A1853,Inputs!$F$40:$G$48,2,TRUE())</f>
        <v>0.0364054</v>
      </c>
      <c r="K1853" s="38" t="n">
        <f aca="false">J1853+Inputs!$C$10</f>
        <v>0.1039054</v>
      </c>
      <c r="L1853" s="37" t="n">
        <f aca="false">I1853*K1853/C1853</f>
        <v>209.234161643836</v>
      </c>
      <c r="M1853" s="37" t="n">
        <f aca="false">IF(AND(A1853&gt;=Inputs!$C$13,OR(A1853&lt;Inputs!$B$19,Inputs!$B$20=1)),I1853*Inputs!$C$11/C1853,0)</f>
        <v>40.2739726027397</v>
      </c>
    </row>
    <row r="1854" customFormat="false" ht="15" hidden="false" customHeight="false" outlineLevel="0" collapsed="false">
      <c r="A1854" s="35" t="n">
        <f aca="false">A1853+1</f>
        <v>46661</v>
      </c>
      <c r="B1854" s="35" t="n">
        <f aca="false">EOMONTH(A1854+1,0)</f>
        <v>46691</v>
      </c>
      <c r="C1854" s="36" t="n">
        <f aca="false">IF(MOD(YEAR(A1854),4)=0,366,365)</f>
        <v>365</v>
      </c>
      <c r="D1854" s="37" t="n">
        <f aca="false">Inputs!$B$9-SUMIFS(Cash_Events!$G$6:$G$20,Cash_Events!$C$6:$C$20,"rAGMF",Cash_Events!$B$6:$B$20,"&lt;="&amp;A1854)</f>
        <v>735000</v>
      </c>
      <c r="E1854" s="38" t="n">
        <f aca="false">VLOOKUP(A1854,Inputs!$A$40:$B$48,2,TRUE())</f>
        <v>0.0363225</v>
      </c>
      <c r="F1854" s="38" t="n">
        <f aca="false">E1854+Inputs!$B$10</f>
        <v>0.1038225</v>
      </c>
      <c r="G1854" s="37" t="n">
        <f aca="false">D1854*F1854/C1854</f>
        <v>209.067226027397</v>
      </c>
      <c r="H1854" s="37" t="n">
        <f aca="false">IF(AND(A1854&gt;=Inputs!$B$13,OR(A1854&lt;Inputs!$B$19,Inputs!$B$20=1)),D1854*Inputs!$B$11/C1854,0)</f>
        <v>40.2739726027397</v>
      </c>
      <c r="I1854" s="37" t="n">
        <f aca="false">Inputs!$C$9-SUMIFS(Cash_Events!$G$6:$G$20,Cash_Events!$C$6:$C$20,"FHL",Cash_Events!$B$6:$B$20,"&lt;="&amp;A1854)</f>
        <v>735000</v>
      </c>
      <c r="J1854" s="38" t="n">
        <f aca="false">VLOOKUP(A1854,Inputs!$F$40:$G$48,2,TRUE())</f>
        <v>0.0364054</v>
      </c>
      <c r="K1854" s="38" t="n">
        <f aca="false">J1854+Inputs!$C$10</f>
        <v>0.1039054</v>
      </c>
      <c r="L1854" s="37" t="n">
        <f aca="false">I1854*K1854/C1854</f>
        <v>209.234161643836</v>
      </c>
      <c r="M1854" s="37" t="n">
        <f aca="false">IF(AND(A1854&gt;=Inputs!$C$13,OR(A1854&lt;Inputs!$B$19,Inputs!$B$20=1)),I1854*Inputs!$C$11/C1854,0)</f>
        <v>40.2739726027397</v>
      </c>
    </row>
    <row r="1855" customFormat="false" ht="15" hidden="false" customHeight="false" outlineLevel="0" collapsed="false">
      <c r="A1855" s="35" t="n">
        <f aca="false">A1854+1</f>
        <v>46662</v>
      </c>
      <c r="B1855" s="35" t="n">
        <f aca="false">EOMONTH(A1855+1,0)</f>
        <v>46691</v>
      </c>
      <c r="C1855" s="36" t="n">
        <f aca="false">IF(MOD(YEAR(A1855),4)=0,366,365)</f>
        <v>365</v>
      </c>
      <c r="D1855" s="37" t="n">
        <f aca="false">Inputs!$B$9-SUMIFS(Cash_Events!$G$6:$G$20,Cash_Events!$C$6:$C$20,"rAGMF",Cash_Events!$B$6:$B$20,"&lt;="&amp;A1855)</f>
        <v>735000</v>
      </c>
      <c r="E1855" s="38" t="n">
        <f aca="false">VLOOKUP(A1855,Inputs!$A$40:$B$48,2,TRUE())</f>
        <v>0.0363225</v>
      </c>
      <c r="F1855" s="38" t="n">
        <f aca="false">E1855+Inputs!$B$10</f>
        <v>0.1038225</v>
      </c>
      <c r="G1855" s="37" t="n">
        <f aca="false">D1855*F1855/C1855</f>
        <v>209.067226027397</v>
      </c>
      <c r="H1855" s="37" t="n">
        <f aca="false">IF(AND(A1855&gt;=Inputs!$B$13,OR(A1855&lt;Inputs!$B$19,Inputs!$B$20=1)),D1855*Inputs!$B$11/C1855,0)</f>
        <v>40.2739726027397</v>
      </c>
      <c r="I1855" s="37" t="n">
        <f aca="false">Inputs!$C$9-SUMIFS(Cash_Events!$G$6:$G$20,Cash_Events!$C$6:$C$20,"FHL",Cash_Events!$B$6:$B$20,"&lt;="&amp;A1855)</f>
        <v>735000</v>
      </c>
      <c r="J1855" s="38" t="n">
        <f aca="false">VLOOKUP(A1855,Inputs!$F$40:$G$48,2,TRUE())</f>
        <v>0.0364054</v>
      </c>
      <c r="K1855" s="38" t="n">
        <f aca="false">J1855+Inputs!$C$10</f>
        <v>0.1039054</v>
      </c>
      <c r="L1855" s="37" t="n">
        <f aca="false">I1855*K1855/C1855</f>
        <v>209.234161643836</v>
      </c>
      <c r="M1855" s="37" t="n">
        <f aca="false">IF(AND(A1855&gt;=Inputs!$C$13,OR(A1855&lt;Inputs!$B$19,Inputs!$B$20=1)),I1855*Inputs!$C$11/C1855,0)</f>
        <v>40.2739726027397</v>
      </c>
    </row>
    <row r="1856" customFormat="false" ht="15" hidden="false" customHeight="false" outlineLevel="0" collapsed="false">
      <c r="A1856" s="35" t="n">
        <f aca="false">A1855+1</f>
        <v>46663</v>
      </c>
      <c r="B1856" s="35" t="n">
        <f aca="false">EOMONTH(A1856+1,0)</f>
        <v>46691</v>
      </c>
      <c r="C1856" s="36" t="n">
        <f aca="false">IF(MOD(YEAR(A1856),4)=0,366,365)</f>
        <v>365</v>
      </c>
      <c r="D1856" s="37" t="n">
        <f aca="false">Inputs!$B$9-SUMIFS(Cash_Events!$G$6:$G$20,Cash_Events!$C$6:$C$20,"rAGMF",Cash_Events!$B$6:$B$20,"&lt;="&amp;A1856)</f>
        <v>735000</v>
      </c>
      <c r="E1856" s="38" t="n">
        <f aca="false">VLOOKUP(A1856,Inputs!$A$40:$B$48,2,TRUE())</f>
        <v>0.0363225</v>
      </c>
      <c r="F1856" s="38" t="n">
        <f aca="false">E1856+Inputs!$B$10</f>
        <v>0.1038225</v>
      </c>
      <c r="G1856" s="37" t="n">
        <f aca="false">D1856*F1856/C1856</f>
        <v>209.067226027397</v>
      </c>
      <c r="H1856" s="37" t="n">
        <f aca="false">IF(AND(A1856&gt;=Inputs!$B$13,OR(A1856&lt;Inputs!$B$19,Inputs!$B$20=1)),D1856*Inputs!$B$11/C1856,0)</f>
        <v>40.2739726027397</v>
      </c>
      <c r="I1856" s="37" t="n">
        <f aca="false">Inputs!$C$9-SUMIFS(Cash_Events!$G$6:$G$20,Cash_Events!$C$6:$C$20,"FHL",Cash_Events!$B$6:$B$20,"&lt;="&amp;A1856)</f>
        <v>735000</v>
      </c>
      <c r="J1856" s="38" t="n">
        <f aca="false">VLOOKUP(A1856,Inputs!$F$40:$G$48,2,TRUE())</f>
        <v>0.0364054</v>
      </c>
      <c r="K1856" s="38" t="n">
        <f aca="false">J1856+Inputs!$C$10</f>
        <v>0.1039054</v>
      </c>
      <c r="L1856" s="37" t="n">
        <f aca="false">I1856*K1856/C1856</f>
        <v>209.234161643836</v>
      </c>
      <c r="M1856" s="37" t="n">
        <f aca="false">IF(AND(A1856&gt;=Inputs!$C$13,OR(A1856&lt;Inputs!$B$19,Inputs!$B$20=1)),I1856*Inputs!$C$11/C1856,0)</f>
        <v>40.2739726027397</v>
      </c>
    </row>
    <row r="1857" customFormat="false" ht="15" hidden="false" customHeight="false" outlineLevel="0" collapsed="false">
      <c r="A1857" s="35" t="n">
        <f aca="false">A1856+1</f>
        <v>46664</v>
      </c>
      <c r="B1857" s="35" t="n">
        <f aca="false">EOMONTH(A1857+1,0)</f>
        <v>46691</v>
      </c>
      <c r="C1857" s="36" t="n">
        <f aca="false">IF(MOD(YEAR(A1857),4)=0,366,365)</f>
        <v>365</v>
      </c>
      <c r="D1857" s="37" t="n">
        <f aca="false">Inputs!$B$9-SUMIFS(Cash_Events!$G$6:$G$20,Cash_Events!$C$6:$C$20,"rAGMF",Cash_Events!$B$6:$B$20,"&lt;="&amp;A1857)</f>
        <v>735000</v>
      </c>
      <c r="E1857" s="38" t="n">
        <f aca="false">VLOOKUP(A1857,Inputs!$A$40:$B$48,2,TRUE())</f>
        <v>0.0363225</v>
      </c>
      <c r="F1857" s="38" t="n">
        <f aca="false">E1857+Inputs!$B$10</f>
        <v>0.1038225</v>
      </c>
      <c r="G1857" s="37" t="n">
        <f aca="false">D1857*F1857/C1857</f>
        <v>209.067226027397</v>
      </c>
      <c r="H1857" s="37" t="n">
        <f aca="false">IF(AND(A1857&gt;=Inputs!$B$13,OR(A1857&lt;Inputs!$B$19,Inputs!$B$20=1)),D1857*Inputs!$B$11/C1857,0)</f>
        <v>40.2739726027397</v>
      </c>
      <c r="I1857" s="37" t="n">
        <f aca="false">Inputs!$C$9-SUMIFS(Cash_Events!$G$6:$G$20,Cash_Events!$C$6:$C$20,"FHL",Cash_Events!$B$6:$B$20,"&lt;="&amp;A1857)</f>
        <v>735000</v>
      </c>
      <c r="J1857" s="38" t="n">
        <f aca="false">VLOOKUP(A1857,Inputs!$F$40:$G$48,2,TRUE())</f>
        <v>0.0364054</v>
      </c>
      <c r="K1857" s="38" t="n">
        <f aca="false">J1857+Inputs!$C$10</f>
        <v>0.1039054</v>
      </c>
      <c r="L1857" s="37" t="n">
        <f aca="false">I1857*K1857/C1857</f>
        <v>209.234161643836</v>
      </c>
      <c r="M1857" s="37" t="n">
        <f aca="false">IF(AND(A1857&gt;=Inputs!$C$13,OR(A1857&lt;Inputs!$B$19,Inputs!$B$20=1)),I1857*Inputs!$C$11/C1857,0)</f>
        <v>40.2739726027397</v>
      </c>
    </row>
    <row r="1858" customFormat="false" ht="15" hidden="false" customHeight="false" outlineLevel="0" collapsed="false">
      <c r="A1858" s="35" t="n">
        <f aca="false">A1857+1</f>
        <v>46665</v>
      </c>
      <c r="B1858" s="35" t="n">
        <f aca="false">EOMONTH(A1858+1,0)</f>
        <v>46691</v>
      </c>
      <c r="C1858" s="36" t="n">
        <f aca="false">IF(MOD(YEAR(A1858),4)=0,366,365)</f>
        <v>365</v>
      </c>
      <c r="D1858" s="37" t="n">
        <f aca="false">Inputs!$B$9-SUMIFS(Cash_Events!$G$6:$G$20,Cash_Events!$C$6:$C$20,"rAGMF",Cash_Events!$B$6:$B$20,"&lt;="&amp;A1858)</f>
        <v>735000</v>
      </c>
      <c r="E1858" s="38" t="n">
        <f aca="false">VLOOKUP(A1858,Inputs!$A$40:$B$48,2,TRUE())</f>
        <v>0.0363225</v>
      </c>
      <c r="F1858" s="38" t="n">
        <f aca="false">E1858+Inputs!$B$10</f>
        <v>0.1038225</v>
      </c>
      <c r="G1858" s="37" t="n">
        <f aca="false">D1858*F1858/C1858</f>
        <v>209.067226027397</v>
      </c>
      <c r="H1858" s="37" t="n">
        <f aca="false">IF(AND(A1858&gt;=Inputs!$B$13,OR(A1858&lt;Inputs!$B$19,Inputs!$B$20=1)),D1858*Inputs!$B$11/C1858,0)</f>
        <v>40.2739726027397</v>
      </c>
      <c r="I1858" s="37" t="n">
        <f aca="false">Inputs!$C$9-SUMIFS(Cash_Events!$G$6:$G$20,Cash_Events!$C$6:$C$20,"FHL",Cash_Events!$B$6:$B$20,"&lt;="&amp;A1858)</f>
        <v>735000</v>
      </c>
      <c r="J1858" s="38" t="n">
        <f aca="false">VLOOKUP(A1858,Inputs!$F$40:$G$48,2,TRUE())</f>
        <v>0.0364054</v>
      </c>
      <c r="K1858" s="38" t="n">
        <f aca="false">J1858+Inputs!$C$10</f>
        <v>0.1039054</v>
      </c>
      <c r="L1858" s="37" t="n">
        <f aca="false">I1858*K1858/C1858</f>
        <v>209.234161643836</v>
      </c>
      <c r="M1858" s="37" t="n">
        <f aca="false">IF(AND(A1858&gt;=Inputs!$C$13,OR(A1858&lt;Inputs!$B$19,Inputs!$B$20=1)),I1858*Inputs!$C$11/C1858,0)</f>
        <v>40.2739726027397</v>
      </c>
    </row>
    <row r="1859" customFormat="false" ht="15" hidden="false" customHeight="false" outlineLevel="0" collapsed="false">
      <c r="A1859" s="35" t="n">
        <f aca="false">A1858+1</f>
        <v>46666</v>
      </c>
      <c r="B1859" s="35" t="n">
        <f aca="false">EOMONTH(A1859+1,0)</f>
        <v>46691</v>
      </c>
      <c r="C1859" s="36" t="n">
        <f aca="false">IF(MOD(YEAR(A1859),4)=0,366,365)</f>
        <v>365</v>
      </c>
      <c r="D1859" s="37" t="n">
        <f aca="false">Inputs!$B$9-SUMIFS(Cash_Events!$G$6:$G$20,Cash_Events!$C$6:$C$20,"rAGMF",Cash_Events!$B$6:$B$20,"&lt;="&amp;A1859)</f>
        <v>735000</v>
      </c>
      <c r="E1859" s="38" t="n">
        <f aca="false">VLOOKUP(A1859,Inputs!$A$40:$B$48,2,TRUE())</f>
        <v>0.0363225</v>
      </c>
      <c r="F1859" s="38" t="n">
        <f aca="false">E1859+Inputs!$B$10</f>
        <v>0.1038225</v>
      </c>
      <c r="G1859" s="37" t="n">
        <f aca="false">D1859*F1859/C1859</f>
        <v>209.067226027397</v>
      </c>
      <c r="H1859" s="37" t="n">
        <f aca="false">IF(AND(A1859&gt;=Inputs!$B$13,OR(A1859&lt;Inputs!$B$19,Inputs!$B$20=1)),D1859*Inputs!$B$11/C1859,0)</f>
        <v>40.2739726027397</v>
      </c>
      <c r="I1859" s="37" t="n">
        <f aca="false">Inputs!$C$9-SUMIFS(Cash_Events!$G$6:$G$20,Cash_Events!$C$6:$C$20,"FHL",Cash_Events!$B$6:$B$20,"&lt;="&amp;A1859)</f>
        <v>735000</v>
      </c>
      <c r="J1859" s="38" t="n">
        <f aca="false">VLOOKUP(A1859,Inputs!$F$40:$G$48,2,TRUE())</f>
        <v>0.0364054</v>
      </c>
      <c r="K1859" s="38" t="n">
        <f aca="false">J1859+Inputs!$C$10</f>
        <v>0.1039054</v>
      </c>
      <c r="L1859" s="37" t="n">
        <f aca="false">I1859*K1859/C1859</f>
        <v>209.234161643836</v>
      </c>
      <c r="M1859" s="37" t="n">
        <f aca="false">IF(AND(A1859&gt;=Inputs!$C$13,OR(A1859&lt;Inputs!$B$19,Inputs!$B$20=1)),I1859*Inputs!$C$11/C1859,0)</f>
        <v>40.2739726027397</v>
      </c>
    </row>
    <row r="1860" customFormat="false" ht="15" hidden="false" customHeight="false" outlineLevel="0" collapsed="false">
      <c r="A1860" s="35" t="n">
        <f aca="false">A1859+1</f>
        <v>46667</v>
      </c>
      <c r="B1860" s="35" t="n">
        <f aca="false">EOMONTH(A1860+1,0)</f>
        <v>46691</v>
      </c>
      <c r="C1860" s="36" t="n">
        <f aca="false">IF(MOD(YEAR(A1860),4)=0,366,365)</f>
        <v>365</v>
      </c>
      <c r="D1860" s="37" t="n">
        <f aca="false">Inputs!$B$9-SUMIFS(Cash_Events!$G$6:$G$20,Cash_Events!$C$6:$C$20,"rAGMF",Cash_Events!$B$6:$B$20,"&lt;="&amp;A1860)</f>
        <v>735000</v>
      </c>
      <c r="E1860" s="38" t="n">
        <f aca="false">VLOOKUP(A1860,Inputs!$A$40:$B$48,2,TRUE())</f>
        <v>0.0363225</v>
      </c>
      <c r="F1860" s="38" t="n">
        <f aca="false">E1860+Inputs!$B$10</f>
        <v>0.1038225</v>
      </c>
      <c r="G1860" s="37" t="n">
        <f aca="false">D1860*F1860/C1860</f>
        <v>209.067226027397</v>
      </c>
      <c r="H1860" s="37" t="n">
        <f aca="false">IF(AND(A1860&gt;=Inputs!$B$13,OR(A1860&lt;Inputs!$B$19,Inputs!$B$20=1)),D1860*Inputs!$B$11/C1860,0)</f>
        <v>40.2739726027397</v>
      </c>
      <c r="I1860" s="37" t="n">
        <f aca="false">Inputs!$C$9-SUMIFS(Cash_Events!$G$6:$G$20,Cash_Events!$C$6:$C$20,"FHL",Cash_Events!$B$6:$B$20,"&lt;="&amp;A1860)</f>
        <v>735000</v>
      </c>
      <c r="J1860" s="38" t="n">
        <f aca="false">VLOOKUP(A1860,Inputs!$F$40:$G$48,2,TRUE())</f>
        <v>0.0364054</v>
      </c>
      <c r="K1860" s="38" t="n">
        <f aca="false">J1860+Inputs!$C$10</f>
        <v>0.1039054</v>
      </c>
      <c r="L1860" s="37" t="n">
        <f aca="false">I1860*K1860/C1860</f>
        <v>209.234161643836</v>
      </c>
      <c r="M1860" s="37" t="n">
        <f aca="false">IF(AND(A1860&gt;=Inputs!$C$13,OR(A1860&lt;Inputs!$B$19,Inputs!$B$20=1)),I1860*Inputs!$C$11/C1860,0)</f>
        <v>40.2739726027397</v>
      </c>
    </row>
    <row r="1861" customFormat="false" ht="15" hidden="false" customHeight="false" outlineLevel="0" collapsed="false">
      <c r="A1861" s="35" t="n">
        <f aca="false">A1860+1</f>
        <v>46668</v>
      </c>
      <c r="B1861" s="35" t="n">
        <f aca="false">EOMONTH(A1861+1,0)</f>
        <v>46691</v>
      </c>
      <c r="C1861" s="36" t="n">
        <f aca="false">IF(MOD(YEAR(A1861),4)=0,366,365)</f>
        <v>365</v>
      </c>
      <c r="D1861" s="37" t="n">
        <f aca="false">Inputs!$B$9-SUMIFS(Cash_Events!$G$6:$G$20,Cash_Events!$C$6:$C$20,"rAGMF",Cash_Events!$B$6:$B$20,"&lt;="&amp;A1861)</f>
        <v>735000</v>
      </c>
      <c r="E1861" s="38" t="n">
        <f aca="false">VLOOKUP(A1861,Inputs!$A$40:$B$48,2,TRUE())</f>
        <v>0.0363225</v>
      </c>
      <c r="F1861" s="38" t="n">
        <f aca="false">E1861+Inputs!$B$10</f>
        <v>0.1038225</v>
      </c>
      <c r="G1861" s="37" t="n">
        <f aca="false">D1861*F1861/C1861</f>
        <v>209.067226027397</v>
      </c>
      <c r="H1861" s="37" t="n">
        <f aca="false">IF(AND(A1861&gt;=Inputs!$B$13,OR(A1861&lt;Inputs!$B$19,Inputs!$B$20=1)),D1861*Inputs!$B$11/C1861,0)</f>
        <v>40.2739726027397</v>
      </c>
      <c r="I1861" s="37" t="n">
        <f aca="false">Inputs!$C$9-SUMIFS(Cash_Events!$G$6:$G$20,Cash_Events!$C$6:$C$20,"FHL",Cash_Events!$B$6:$B$20,"&lt;="&amp;A1861)</f>
        <v>735000</v>
      </c>
      <c r="J1861" s="38" t="n">
        <f aca="false">VLOOKUP(A1861,Inputs!$F$40:$G$48,2,TRUE())</f>
        <v>0.0364054</v>
      </c>
      <c r="K1861" s="38" t="n">
        <f aca="false">J1861+Inputs!$C$10</f>
        <v>0.1039054</v>
      </c>
      <c r="L1861" s="37" t="n">
        <f aca="false">I1861*K1861/C1861</f>
        <v>209.234161643836</v>
      </c>
      <c r="M1861" s="37" t="n">
        <f aca="false">IF(AND(A1861&gt;=Inputs!$C$13,OR(A1861&lt;Inputs!$B$19,Inputs!$B$20=1)),I1861*Inputs!$C$11/C1861,0)</f>
        <v>40.2739726027397</v>
      </c>
    </row>
    <row r="1862" customFormat="false" ht="15" hidden="false" customHeight="false" outlineLevel="0" collapsed="false">
      <c r="A1862" s="35" t="n">
        <f aca="false">A1861+1</f>
        <v>46669</v>
      </c>
      <c r="B1862" s="35" t="n">
        <f aca="false">EOMONTH(A1862+1,0)</f>
        <v>46691</v>
      </c>
      <c r="C1862" s="36" t="n">
        <f aca="false">IF(MOD(YEAR(A1862),4)=0,366,365)</f>
        <v>365</v>
      </c>
      <c r="D1862" s="37" t="n">
        <f aca="false">Inputs!$B$9-SUMIFS(Cash_Events!$G$6:$G$20,Cash_Events!$C$6:$C$20,"rAGMF",Cash_Events!$B$6:$B$20,"&lt;="&amp;A1862)</f>
        <v>735000</v>
      </c>
      <c r="E1862" s="38" t="n">
        <f aca="false">VLOOKUP(A1862,Inputs!$A$40:$B$48,2,TRUE())</f>
        <v>0.0363225</v>
      </c>
      <c r="F1862" s="38" t="n">
        <f aca="false">E1862+Inputs!$B$10</f>
        <v>0.1038225</v>
      </c>
      <c r="G1862" s="37" t="n">
        <f aca="false">D1862*F1862/C1862</f>
        <v>209.067226027397</v>
      </c>
      <c r="H1862" s="37" t="n">
        <f aca="false">IF(AND(A1862&gt;=Inputs!$B$13,OR(A1862&lt;Inputs!$B$19,Inputs!$B$20=1)),D1862*Inputs!$B$11/C1862,0)</f>
        <v>40.2739726027397</v>
      </c>
      <c r="I1862" s="37" t="n">
        <f aca="false">Inputs!$C$9-SUMIFS(Cash_Events!$G$6:$G$20,Cash_Events!$C$6:$C$20,"FHL",Cash_Events!$B$6:$B$20,"&lt;="&amp;A1862)</f>
        <v>735000</v>
      </c>
      <c r="J1862" s="38" t="n">
        <f aca="false">VLOOKUP(A1862,Inputs!$F$40:$G$48,2,TRUE())</f>
        <v>0.0364054</v>
      </c>
      <c r="K1862" s="38" t="n">
        <f aca="false">J1862+Inputs!$C$10</f>
        <v>0.1039054</v>
      </c>
      <c r="L1862" s="37" t="n">
        <f aca="false">I1862*K1862/C1862</f>
        <v>209.234161643836</v>
      </c>
      <c r="M1862" s="37" t="n">
        <f aca="false">IF(AND(A1862&gt;=Inputs!$C$13,OR(A1862&lt;Inputs!$B$19,Inputs!$B$20=1)),I1862*Inputs!$C$11/C1862,0)</f>
        <v>40.2739726027397</v>
      </c>
    </row>
    <row r="1863" customFormat="false" ht="15" hidden="false" customHeight="false" outlineLevel="0" collapsed="false">
      <c r="A1863" s="35" t="n">
        <f aca="false">A1862+1</f>
        <v>46670</v>
      </c>
      <c r="B1863" s="35" t="n">
        <f aca="false">EOMONTH(A1863+1,0)</f>
        <v>46691</v>
      </c>
      <c r="C1863" s="36" t="n">
        <f aca="false">IF(MOD(YEAR(A1863),4)=0,366,365)</f>
        <v>365</v>
      </c>
      <c r="D1863" s="37" t="n">
        <f aca="false">Inputs!$B$9-SUMIFS(Cash_Events!$G$6:$G$20,Cash_Events!$C$6:$C$20,"rAGMF",Cash_Events!$B$6:$B$20,"&lt;="&amp;A1863)</f>
        <v>735000</v>
      </c>
      <c r="E1863" s="38" t="n">
        <f aca="false">VLOOKUP(A1863,Inputs!$A$40:$B$48,2,TRUE())</f>
        <v>0.0363225</v>
      </c>
      <c r="F1863" s="38" t="n">
        <f aca="false">E1863+Inputs!$B$10</f>
        <v>0.1038225</v>
      </c>
      <c r="G1863" s="37" t="n">
        <f aca="false">D1863*F1863/C1863</f>
        <v>209.067226027397</v>
      </c>
      <c r="H1863" s="37" t="n">
        <f aca="false">IF(AND(A1863&gt;=Inputs!$B$13,OR(A1863&lt;Inputs!$B$19,Inputs!$B$20=1)),D1863*Inputs!$B$11/C1863,0)</f>
        <v>40.2739726027397</v>
      </c>
      <c r="I1863" s="37" t="n">
        <f aca="false">Inputs!$C$9-SUMIFS(Cash_Events!$G$6:$G$20,Cash_Events!$C$6:$C$20,"FHL",Cash_Events!$B$6:$B$20,"&lt;="&amp;A1863)</f>
        <v>735000</v>
      </c>
      <c r="J1863" s="38" t="n">
        <f aca="false">VLOOKUP(A1863,Inputs!$F$40:$G$48,2,TRUE())</f>
        <v>0.0364054</v>
      </c>
      <c r="K1863" s="38" t="n">
        <f aca="false">J1863+Inputs!$C$10</f>
        <v>0.1039054</v>
      </c>
      <c r="L1863" s="37" t="n">
        <f aca="false">I1863*K1863/C1863</f>
        <v>209.234161643836</v>
      </c>
      <c r="M1863" s="37" t="n">
        <f aca="false">IF(AND(A1863&gt;=Inputs!$C$13,OR(A1863&lt;Inputs!$B$19,Inputs!$B$20=1)),I1863*Inputs!$C$11/C1863,0)</f>
        <v>40.2739726027397</v>
      </c>
    </row>
    <row r="1864" customFormat="false" ht="15" hidden="false" customHeight="false" outlineLevel="0" collapsed="false">
      <c r="A1864" s="35" t="n">
        <f aca="false">A1863+1</f>
        <v>46671</v>
      </c>
      <c r="B1864" s="35" t="n">
        <f aca="false">EOMONTH(A1864+1,0)</f>
        <v>46691</v>
      </c>
      <c r="C1864" s="36" t="n">
        <f aca="false">IF(MOD(YEAR(A1864),4)=0,366,365)</f>
        <v>365</v>
      </c>
      <c r="D1864" s="37" t="n">
        <f aca="false">Inputs!$B$9-SUMIFS(Cash_Events!$G$6:$G$20,Cash_Events!$C$6:$C$20,"rAGMF",Cash_Events!$B$6:$B$20,"&lt;="&amp;A1864)</f>
        <v>735000</v>
      </c>
      <c r="E1864" s="38" t="n">
        <f aca="false">VLOOKUP(A1864,Inputs!$A$40:$B$48,2,TRUE())</f>
        <v>0.0363225</v>
      </c>
      <c r="F1864" s="38" t="n">
        <f aca="false">E1864+Inputs!$B$10</f>
        <v>0.1038225</v>
      </c>
      <c r="G1864" s="37" t="n">
        <f aca="false">D1864*F1864/C1864</f>
        <v>209.067226027397</v>
      </c>
      <c r="H1864" s="37" t="n">
        <f aca="false">IF(AND(A1864&gt;=Inputs!$B$13,OR(A1864&lt;Inputs!$B$19,Inputs!$B$20=1)),D1864*Inputs!$B$11/C1864,0)</f>
        <v>40.2739726027397</v>
      </c>
      <c r="I1864" s="37" t="n">
        <f aca="false">Inputs!$C$9-SUMIFS(Cash_Events!$G$6:$G$20,Cash_Events!$C$6:$C$20,"FHL",Cash_Events!$B$6:$B$20,"&lt;="&amp;A1864)</f>
        <v>735000</v>
      </c>
      <c r="J1864" s="38" t="n">
        <f aca="false">VLOOKUP(A1864,Inputs!$F$40:$G$48,2,TRUE())</f>
        <v>0.0364054</v>
      </c>
      <c r="K1864" s="38" t="n">
        <f aca="false">J1864+Inputs!$C$10</f>
        <v>0.1039054</v>
      </c>
      <c r="L1864" s="37" t="n">
        <f aca="false">I1864*K1864/C1864</f>
        <v>209.234161643836</v>
      </c>
      <c r="M1864" s="37" t="n">
        <f aca="false">IF(AND(A1864&gt;=Inputs!$C$13,OR(A1864&lt;Inputs!$B$19,Inputs!$B$20=1)),I1864*Inputs!$C$11/C1864,0)</f>
        <v>40.2739726027397</v>
      </c>
    </row>
    <row r="1865" customFormat="false" ht="15" hidden="false" customHeight="false" outlineLevel="0" collapsed="false">
      <c r="A1865" s="35" t="n">
        <f aca="false">A1864+1</f>
        <v>46672</v>
      </c>
      <c r="B1865" s="35" t="n">
        <f aca="false">EOMONTH(A1865+1,0)</f>
        <v>46691</v>
      </c>
      <c r="C1865" s="36" t="n">
        <f aca="false">IF(MOD(YEAR(A1865),4)=0,366,365)</f>
        <v>365</v>
      </c>
      <c r="D1865" s="37" t="n">
        <f aca="false">Inputs!$B$9-SUMIFS(Cash_Events!$G$6:$G$20,Cash_Events!$C$6:$C$20,"rAGMF",Cash_Events!$B$6:$B$20,"&lt;="&amp;A1865)</f>
        <v>735000</v>
      </c>
      <c r="E1865" s="38" t="n">
        <f aca="false">VLOOKUP(A1865,Inputs!$A$40:$B$48,2,TRUE())</f>
        <v>0.0363225</v>
      </c>
      <c r="F1865" s="38" t="n">
        <f aca="false">E1865+Inputs!$B$10</f>
        <v>0.1038225</v>
      </c>
      <c r="G1865" s="37" t="n">
        <f aca="false">D1865*F1865/C1865</f>
        <v>209.067226027397</v>
      </c>
      <c r="H1865" s="37" t="n">
        <f aca="false">IF(AND(A1865&gt;=Inputs!$B$13,OR(A1865&lt;Inputs!$B$19,Inputs!$B$20=1)),D1865*Inputs!$B$11/C1865,0)</f>
        <v>40.2739726027397</v>
      </c>
      <c r="I1865" s="37" t="n">
        <f aca="false">Inputs!$C$9-SUMIFS(Cash_Events!$G$6:$G$20,Cash_Events!$C$6:$C$20,"FHL",Cash_Events!$B$6:$B$20,"&lt;="&amp;A1865)</f>
        <v>735000</v>
      </c>
      <c r="J1865" s="38" t="n">
        <f aca="false">VLOOKUP(A1865,Inputs!$F$40:$G$48,2,TRUE())</f>
        <v>0.0364054</v>
      </c>
      <c r="K1865" s="38" t="n">
        <f aca="false">J1865+Inputs!$C$10</f>
        <v>0.1039054</v>
      </c>
      <c r="L1865" s="37" t="n">
        <f aca="false">I1865*K1865/C1865</f>
        <v>209.234161643836</v>
      </c>
      <c r="M1865" s="37" t="n">
        <f aca="false">IF(AND(A1865&gt;=Inputs!$C$13,OR(A1865&lt;Inputs!$B$19,Inputs!$B$20=1)),I1865*Inputs!$C$11/C1865,0)</f>
        <v>40.2739726027397</v>
      </c>
    </row>
    <row r="1866" customFormat="false" ht="15" hidden="false" customHeight="false" outlineLevel="0" collapsed="false">
      <c r="A1866" s="35" t="n">
        <f aca="false">A1865+1</f>
        <v>46673</v>
      </c>
      <c r="B1866" s="35" t="n">
        <f aca="false">EOMONTH(A1866+1,0)</f>
        <v>46691</v>
      </c>
      <c r="C1866" s="36" t="n">
        <f aca="false">IF(MOD(YEAR(A1866),4)=0,366,365)</f>
        <v>365</v>
      </c>
      <c r="D1866" s="37" t="n">
        <f aca="false">Inputs!$B$9-SUMIFS(Cash_Events!$G$6:$G$20,Cash_Events!$C$6:$C$20,"rAGMF",Cash_Events!$B$6:$B$20,"&lt;="&amp;A1866)</f>
        <v>735000</v>
      </c>
      <c r="E1866" s="38" t="n">
        <f aca="false">VLOOKUP(A1866,Inputs!$A$40:$B$48,2,TRUE())</f>
        <v>0.0363225</v>
      </c>
      <c r="F1866" s="38" t="n">
        <f aca="false">E1866+Inputs!$B$10</f>
        <v>0.1038225</v>
      </c>
      <c r="G1866" s="37" t="n">
        <f aca="false">D1866*F1866/C1866</f>
        <v>209.067226027397</v>
      </c>
      <c r="H1866" s="37" t="n">
        <f aca="false">IF(AND(A1866&gt;=Inputs!$B$13,OR(A1866&lt;Inputs!$B$19,Inputs!$B$20=1)),D1866*Inputs!$B$11/C1866,0)</f>
        <v>40.2739726027397</v>
      </c>
      <c r="I1866" s="37" t="n">
        <f aca="false">Inputs!$C$9-SUMIFS(Cash_Events!$G$6:$G$20,Cash_Events!$C$6:$C$20,"FHL",Cash_Events!$B$6:$B$20,"&lt;="&amp;A1866)</f>
        <v>735000</v>
      </c>
      <c r="J1866" s="38" t="n">
        <f aca="false">VLOOKUP(A1866,Inputs!$F$40:$G$48,2,TRUE())</f>
        <v>0.0364054</v>
      </c>
      <c r="K1866" s="38" t="n">
        <f aca="false">J1866+Inputs!$C$10</f>
        <v>0.1039054</v>
      </c>
      <c r="L1866" s="37" t="n">
        <f aca="false">I1866*K1866/C1866</f>
        <v>209.234161643836</v>
      </c>
      <c r="M1866" s="37" t="n">
        <f aca="false">IF(AND(A1866&gt;=Inputs!$C$13,OR(A1866&lt;Inputs!$B$19,Inputs!$B$20=1)),I1866*Inputs!$C$11/C1866,0)</f>
        <v>40.2739726027397</v>
      </c>
    </row>
    <row r="1867" customFormat="false" ht="15" hidden="false" customHeight="false" outlineLevel="0" collapsed="false">
      <c r="A1867" s="35" t="n">
        <f aca="false">A1866+1</f>
        <v>46674</v>
      </c>
      <c r="B1867" s="35" t="n">
        <f aca="false">EOMONTH(A1867+1,0)</f>
        <v>46691</v>
      </c>
      <c r="C1867" s="36" t="n">
        <f aca="false">IF(MOD(YEAR(A1867),4)=0,366,365)</f>
        <v>365</v>
      </c>
      <c r="D1867" s="37" t="n">
        <f aca="false">Inputs!$B$9-SUMIFS(Cash_Events!$G$6:$G$20,Cash_Events!$C$6:$C$20,"rAGMF",Cash_Events!$B$6:$B$20,"&lt;="&amp;A1867)</f>
        <v>735000</v>
      </c>
      <c r="E1867" s="38" t="n">
        <f aca="false">VLOOKUP(A1867,Inputs!$A$40:$B$48,2,TRUE())</f>
        <v>0.0363225</v>
      </c>
      <c r="F1867" s="38" t="n">
        <f aca="false">E1867+Inputs!$B$10</f>
        <v>0.1038225</v>
      </c>
      <c r="G1867" s="37" t="n">
        <f aca="false">D1867*F1867/C1867</f>
        <v>209.067226027397</v>
      </c>
      <c r="H1867" s="37" t="n">
        <f aca="false">IF(AND(A1867&gt;=Inputs!$B$13,OR(A1867&lt;Inputs!$B$19,Inputs!$B$20=1)),D1867*Inputs!$B$11/C1867,0)</f>
        <v>40.2739726027397</v>
      </c>
      <c r="I1867" s="37" t="n">
        <f aca="false">Inputs!$C$9-SUMIFS(Cash_Events!$G$6:$G$20,Cash_Events!$C$6:$C$20,"FHL",Cash_Events!$B$6:$B$20,"&lt;="&amp;A1867)</f>
        <v>735000</v>
      </c>
      <c r="J1867" s="38" t="n">
        <f aca="false">VLOOKUP(A1867,Inputs!$F$40:$G$48,2,TRUE())</f>
        <v>0.0364054</v>
      </c>
      <c r="K1867" s="38" t="n">
        <f aca="false">J1867+Inputs!$C$10</f>
        <v>0.1039054</v>
      </c>
      <c r="L1867" s="37" t="n">
        <f aca="false">I1867*K1867/C1867</f>
        <v>209.234161643836</v>
      </c>
      <c r="M1867" s="37" t="n">
        <f aca="false">IF(AND(A1867&gt;=Inputs!$C$13,OR(A1867&lt;Inputs!$B$19,Inputs!$B$20=1)),I1867*Inputs!$C$11/C1867,0)</f>
        <v>40.2739726027397</v>
      </c>
    </row>
    <row r="1868" customFormat="false" ht="15" hidden="false" customHeight="false" outlineLevel="0" collapsed="false">
      <c r="A1868" s="35" t="n">
        <f aca="false">A1867+1</f>
        <v>46675</v>
      </c>
      <c r="B1868" s="35" t="n">
        <f aca="false">EOMONTH(A1868+1,0)</f>
        <v>46691</v>
      </c>
      <c r="C1868" s="36" t="n">
        <f aca="false">IF(MOD(YEAR(A1868),4)=0,366,365)</f>
        <v>365</v>
      </c>
      <c r="D1868" s="37" t="n">
        <f aca="false">Inputs!$B$9-SUMIFS(Cash_Events!$G$6:$G$20,Cash_Events!$C$6:$C$20,"rAGMF",Cash_Events!$B$6:$B$20,"&lt;="&amp;A1868)</f>
        <v>735000</v>
      </c>
      <c r="E1868" s="38" t="n">
        <f aca="false">VLOOKUP(A1868,Inputs!$A$40:$B$48,2,TRUE())</f>
        <v>0.0363225</v>
      </c>
      <c r="F1868" s="38" t="n">
        <f aca="false">E1868+Inputs!$B$10</f>
        <v>0.1038225</v>
      </c>
      <c r="G1868" s="37" t="n">
        <f aca="false">D1868*F1868/C1868</f>
        <v>209.067226027397</v>
      </c>
      <c r="H1868" s="37" t="n">
        <f aca="false">IF(AND(A1868&gt;=Inputs!$B$13,OR(A1868&lt;Inputs!$B$19,Inputs!$B$20=1)),D1868*Inputs!$B$11/C1868,0)</f>
        <v>40.2739726027397</v>
      </c>
      <c r="I1868" s="37" t="n">
        <f aca="false">Inputs!$C$9-SUMIFS(Cash_Events!$G$6:$G$20,Cash_Events!$C$6:$C$20,"FHL",Cash_Events!$B$6:$B$20,"&lt;="&amp;A1868)</f>
        <v>735000</v>
      </c>
      <c r="J1868" s="38" t="n">
        <f aca="false">VLOOKUP(A1868,Inputs!$F$40:$G$48,2,TRUE())</f>
        <v>0.0364054</v>
      </c>
      <c r="K1868" s="38" t="n">
        <f aca="false">J1868+Inputs!$C$10</f>
        <v>0.1039054</v>
      </c>
      <c r="L1868" s="37" t="n">
        <f aca="false">I1868*K1868/C1868</f>
        <v>209.234161643836</v>
      </c>
      <c r="M1868" s="37" t="n">
        <f aca="false">IF(AND(A1868&gt;=Inputs!$C$13,OR(A1868&lt;Inputs!$B$19,Inputs!$B$20=1)),I1868*Inputs!$C$11/C1868,0)</f>
        <v>40.2739726027397</v>
      </c>
    </row>
    <row r="1869" customFormat="false" ht="15" hidden="false" customHeight="false" outlineLevel="0" collapsed="false">
      <c r="A1869" s="35" t="n">
        <f aca="false">A1868+1</f>
        <v>46676</v>
      </c>
      <c r="B1869" s="35" t="n">
        <f aca="false">EOMONTH(A1869+1,0)</f>
        <v>46691</v>
      </c>
      <c r="C1869" s="36" t="n">
        <f aca="false">IF(MOD(YEAR(A1869),4)=0,366,365)</f>
        <v>365</v>
      </c>
      <c r="D1869" s="37" t="n">
        <f aca="false">Inputs!$B$9-SUMIFS(Cash_Events!$G$6:$G$20,Cash_Events!$C$6:$C$20,"rAGMF",Cash_Events!$B$6:$B$20,"&lt;="&amp;A1869)</f>
        <v>735000</v>
      </c>
      <c r="E1869" s="38" t="n">
        <f aca="false">VLOOKUP(A1869,Inputs!$A$40:$B$48,2,TRUE())</f>
        <v>0.0363225</v>
      </c>
      <c r="F1869" s="38" t="n">
        <f aca="false">E1869+Inputs!$B$10</f>
        <v>0.1038225</v>
      </c>
      <c r="G1869" s="37" t="n">
        <f aca="false">D1869*F1869/C1869</f>
        <v>209.067226027397</v>
      </c>
      <c r="H1869" s="37" t="n">
        <f aca="false">IF(AND(A1869&gt;=Inputs!$B$13,OR(A1869&lt;Inputs!$B$19,Inputs!$B$20=1)),D1869*Inputs!$B$11/C1869,0)</f>
        <v>40.2739726027397</v>
      </c>
      <c r="I1869" s="37" t="n">
        <f aca="false">Inputs!$C$9-SUMIFS(Cash_Events!$G$6:$G$20,Cash_Events!$C$6:$C$20,"FHL",Cash_Events!$B$6:$B$20,"&lt;="&amp;A1869)</f>
        <v>735000</v>
      </c>
      <c r="J1869" s="38" t="n">
        <f aca="false">VLOOKUP(A1869,Inputs!$F$40:$G$48,2,TRUE())</f>
        <v>0.0364054</v>
      </c>
      <c r="K1869" s="38" t="n">
        <f aca="false">J1869+Inputs!$C$10</f>
        <v>0.1039054</v>
      </c>
      <c r="L1869" s="37" t="n">
        <f aca="false">I1869*K1869/C1869</f>
        <v>209.234161643836</v>
      </c>
      <c r="M1869" s="37" t="n">
        <f aca="false">IF(AND(A1869&gt;=Inputs!$C$13,OR(A1869&lt;Inputs!$B$19,Inputs!$B$20=1)),I1869*Inputs!$C$11/C1869,0)</f>
        <v>40.2739726027397</v>
      </c>
    </row>
    <row r="1870" customFormat="false" ht="15" hidden="false" customHeight="false" outlineLevel="0" collapsed="false">
      <c r="A1870" s="35" t="n">
        <f aca="false">A1869+1</f>
        <v>46677</v>
      </c>
      <c r="B1870" s="35" t="n">
        <f aca="false">EOMONTH(A1870+1,0)</f>
        <v>46691</v>
      </c>
      <c r="C1870" s="36" t="n">
        <f aca="false">IF(MOD(YEAR(A1870),4)=0,366,365)</f>
        <v>365</v>
      </c>
      <c r="D1870" s="37" t="n">
        <f aca="false">Inputs!$B$9-SUMIFS(Cash_Events!$G$6:$G$20,Cash_Events!$C$6:$C$20,"rAGMF",Cash_Events!$B$6:$B$20,"&lt;="&amp;A1870)</f>
        <v>735000</v>
      </c>
      <c r="E1870" s="38" t="n">
        <f aca="false">VLOOKUP(A1870,Inputs!$A$40:$B$48,2,TRUE())</f>
        <v>0.0363225</v>
      </c>
      <c r="F1870" s="38" t="n">
        <f aca="false">E1870+Inputs!$B$10</f>
        <v>0.1038225</v>
      </c>
      <c r="G1870" s="37" t="n">
        <f aca="false">D1870*F1870/C1870</f>
        <v>209.067226027397</v>
      </c>
      <c r="H1870" s="37" t="n">
        <f aca="false">IF(AND(A1870&gt;=Inputs!$B$13,OR(A1870&lt;Inputs!$B$19,Inputs!$B$20=1)),D1870*Inputs!$B$11/C1870,0)</f>
        <v>40.2739726027397</v>
      </c>
      <c r="I1870" s="37" t="n">
        <f aca="false">Inputs!$C$9-SUMIFS(Cash_Events!$G$6:$G$20,Cash_Events!$C$6:$C$20,"FHL",Cash_Events!$B$6:$B$20,"&lt;="&amp;A1870)</f>
        <v>735000</v>
      </c>
      <c r="J1870" s="38" t="n">
        <f aca="false">VLOOKUP(A1870,Inputs!$F$40:$G$48,2,TRUE())</f>
        <v>0.0364054</v>
      </c>
      <c r="K1870" s="38" t="n">
        <f aca="false">J1870+Inputs!$C$10</f>
        <v>0.1039054</v>
      </c>
      <c r="L1870" s="37" t="n">
        <f aca="false">I1870*K1870/C1870</f>
        <v>209.234161643836</v>
      </c>
      <c r="M1870" s="37" t="n">
        <f aca="false">IF(AND(A1870&gt;=Inputs!$C$13,OR(A1870&lt;Inputs!$B$19,Inputs!$B$20=1)),I1870*Inputs!$C$11/C1870,0)</f>
        <v>40.2739726027397</v>
      </c>
    </row>
    <row r="1871" customFormat="false" ht="15" hidden="false" customHeight="false" outlineLevel="0" collapsed="false">
      <c r="A1871" s="35" t="n">
        <f aca="false">A1870+1</f>
        <v>46678</v>
      </c>
      <c r="B1871" s="35" t="n">
        <f aca="false">EOMONTH(A1871+1,0)</f>
        <v>46691</v>
      </c>
      <c r="C1871" s="36" t="n">
        <f aca="false">IF(MOD(YEAR(A1871),4)=0,366,365)</f>
        <v>365</v>
      </c>
      <c r="D1871" s="37" t="n">
        <f aca="false">Inputs!$B$9-SUMIFS(Cash_Events!$G$6:$G$20,Cash_Events!$C$6:$C$20,"rAGMF",Cash_Events!$B$6:$B$20,"&lt;="&amp;A1871)</f>
        <v>735000</v>
      </c>
      <c r="E1871" s="38" t="n">
        <f aca="false">VLOOKUP(A1871,Inputs!$A$40:$B$48,2,TRUE())</f>
        <v>0.0363225</v>
      </c>
      <c r="F1871" s="38" t="n">
        <f aca="false">E1871+Inputs!$B$10</f>
        <v>0.1038225</v>
      </c>
      <c r="G1871" s="37" t="n">
        <f aca="false">D1871*F1871/C1871</f>
        <v>209.067226027397</v>
      </c>
      <c r="H1871" s="37" t="n">
        <f aca="false">IF(AND(A1871&gt;=Inputs!$B$13,OR(A1871&lt;Inputs!$B$19,Inputs!$B$20=1)),D1871*Inputs!$B$11/C1871,0)</f>
        <v>40.2739726027397</v>
      </c>
      <c r="I1871" s="37" t="n">
        <f aca="false">Inputs!$C$9-SUMIFS(Cash_Events!$G$6:$G$20,Cash_Events!$C$6:$C$20,"FHL",Cash_Events!$B$6:$B$20,"&lt;="&amp;A1871)</f>
        <v>735000</v>
      </c>
      <c r="J1871" s="38" t="n">
        <f aca="false">VLOOKUP(A1871,Inputs!$F$40:$G$48,2,TRUE())</f>
        <v>0.0364054</v>
      </c>
      <c r="K1871" s="38" t="n">
        <f aca="false">J1871+Inputs!$C$10</f>
        <v>0.1039054</v>
      </c>
      <c r="L1871" s="37" t="n">
        <f aca="false">I1871*K1871/C1871</f>
        <v>209.234161643836</v>
      </c>
      <c r="M1871" s="37" t="n">
        <f aca="false">IF(AND(A1871&gt;=Inputs!$C$13,OR(A1871&lt;Inputs!$B$19,Inputs!$B$20=1)),I1871*Inputs!$C$11/C1871,0)</f>
        <v>40.2739726027397</v>
      </c>
    </row>
    <row r="1872" customFormat="false" ht="15" hidden="false" customHeight="false" outlineLevel="0" collapsed="false">
      <c r="A1872" s="35" t="n">
        <f aca="false">A1871+1</f>
        <v>46679</v>
      </c>
      <c r="B1872" s="35" t="n">
        <f aca="false">EOMONTH(A1872+1,0)</f>
        <v>46691</v>
      </c>
      <c r="C1872" s="36" t="n">
        <f aca="false">IF(MOD(YEAR(A1872),4)=0,366,365)</f>
        <v>365</v>
      </c>
      <c r="D1872" s="37" t="n">
        <f aca="false">Inputs!$B$9-SUMIFS(Cash_Events!$G$6:$G$20,Cash_Events!$C$6:$C$20,"rAGMF",Cash_Events!$B$6:$B$20,"&lt;="&amp;A1872)</f>
        <v>735000</v>
      </c>
      <c r="E1872" s="38" t="n">
        <f aca="false">VLOOKUP(A1872,Inputs!$A$40:$B$48,2,TRUE())</f>
        <v>0.0363225</v>
      </c>
      <c r="F1872" s="38" t="n">
        <f aca="false">E1872+Inputs!$B$10</f>
        <v>0.1038225</v>
      </c>
      <c r="G1872" s="37" t="n">
        <f aca="false">D1872*F1872/C1872</f>
        <v>209.067226027397</v>
      </c>
      <c r="H1872" s="37" t="n">
        <f aca="false">IF(AND(A1872&gt;=Inputs!$B$13,OR(A1872&lt;Inputs!$B$19,Inputs!$B$20=1)),D1872*Inputs!$B$11/C1872,0)</f>
        <v>40.2739726027397</v>
      </c>
      <c r="I1872" s="37" t="n">
        <f aca="false">Inputs!$C$9-SUMIFS(Cash_Events!$G$6:$G$20,Cash_Events!$C$6:$C$20,"FHL",Cash_Events!$B$6:$B$20,"&lt;="&amp;A1872)</f>
        <v>735000</v>
      </c>
      <c r="J1872" s="38" t="n">
        <f aca="false">VLOOKUP(A1872,Inputs!$F$40:$G$48,2,TRUE())</f>
        <v>0.0364054</v>
      </c>
      <c r="K1872" s="38" t="n">
        <f aca="false">J1872+Inputs!$C$10</f>
        <v>0.1039054</v>
      </c>
      <c r="L1872" s="37" t="n">
        <f aca="false">I1872*K1872/C1872</f>
        <v>209.234161643836</v>
      </c>
      <c r="M1872" s="37" t="n">
        <f aca="false">IF(AND(A1872&gt;=Inputs!$C$13,OR(A1872&lt;Inputs!$B$19,Inputs!$B$20=1)),I1872*Inputs!$C$11/C1872,0)</f>
        <v>40.2739726027397</v>
      </c>
    </row>
    <row r="1873" customFormat="false" ht="15" hidden="false" customHeight="false" outlineLevel="0" collapsed="false">
      <c r="A1873" s="35" t="n">
        <f aca="false">A1872+1</f>
        <v>46680</v>
      </c>
      <c r="B1873" s="35" t="n">
        <f aca="false">EOMONTH(A1873+1,0)</f>
        <v>46691</v>
      </c>
      <c r="C1873" s="36" t="n">
        <f aca="false">IF(MOD(YEAR(A1873),4)=0,366,365)</f>
        <v>365</v>
      </c>
      <c r="D1873" s="37" t="n">
        <f aca="false">Inputs!$B$9-SUMIFS(Cash_Events!$G$6:$G$20,Cash_Events!$C$6:$C$20,"rAGMF",Cash_Events!$B$6:$B$20,"&lt;="&amp;A1873)</f>
        <v>735000</v>
      </c>
      <c r="E1873" s="38" t="n">
        <f aca="false">VLOOKUP(A1873,Inputs!$A$40:$B$48,2,TRUE())</f>
        <v>0.0363225</v>
      </c>
      <c r="F1873" s="38" t="n">
        <f aca="false">E1873+Inputs!$B$10</f>
        <v>0.1038225</v>
      </c>
      <c r="G1873" s="37" t="n">
        <f aca="false">D1873*F1873/C1873</f>
        <v>209.067226027397</v>
      </c>
      <c r="H1873" s="37" t="n">
        <f aca="false">IF(AND(A1873&gt;=Inputs!$B$13,OR(A1873&lt;Inputs!$B$19,Inputs!$B$20=1)),D1873*Inputs!$B$11/C1873,0)</f>
        <v>40.2739726027397</v>
      </c>
      <c r="I1873" s="37" t="n">
        <f aca="false">Inputs!$C$9-SUMIFS(Cash_Events!$G$6:$G$20,Cash_Events!$C$6:$C$20,"FHL",Cash_Events!$B$6:$B$20,"&lt;="&amp;A1873)</f>
        <v>735000</v>
      </c>
      <c r="J1873" s="38" t="n">
        <f aca="false">VLOOKUP(A1873,Inputs!$F$40:$G$48,2,TRUE())</f>
        <v>0.0364054</v>
      </c>
      <c r="K1873" s="38" t="n">
        <f aca="false">J1873+Inputs!$C$10</f>
        <v>0.1039054</v>
      </c>
      <c r="L1873" s="37" t="n">
        <f aca="false">I1873*K1873/C1873</f>
        <v>209.234161643836</v>
      </c>
      <c r="M1873" s="37" t="n">
        <f aca="false">IF(AND(A1873&gt;=Inputs!$C$13,OR(A1873&lt;Inputs!$B$19,Inputs!$B$20=1)),I1873*Inputs!$C$11/C1873,0)</f>
        <v>40.2739726027397</v>
      </c>
    </row>
    <row r="1874" customFormat="false" ht="15" hidden="false" customHeight="false" outlineLevel="0" collapsed="false">
      <c r="A1874" s="35" t="n">
        <f aca="false">A1873+1</f>
        <v>46681</v>
      </c>
      <c r="B1874" s="35" t="n">
        <f aca="false">EOMONTH(A1874+1,0)</f>
        <v>46691</v>
      </c>
      <c r="C1874" s="36" t="n">
        <f aca="false">IF(MOD(YEAR(A1874),4)=0,366,365)</f>
        <v>365</v>
      </c>
      <c r="D1874" s="37" t="n">
        <f aca="false">Inputs!$B$9-SUMIFS(Cash_Events!$G$6:$G$20,Cash_Events!$C$6:$C$20,"rAGMF",Cash_Events!$B$6:$B$20,"&lt;="&amp;A1874)</f>
        <v>735000</v>
      </c>
      <c r="E1874" s="38" t="n">
        <f aca="false">VLOOKUP(A1874,Inputs!$A$40:$B$48,2,TRUE())</f>
        <v>0.0363225</v>
      </c>
      <c r="F1874" s="38" t="n">
        <f aca="false">E1874+Inputs!$B$10</f>
        <v>0.1038225</v>
      </c>
      <c r="G1874" s="37" t="n">
        <f aca="false">D1874*F1874/C1874</f>
        <v>209.067226027397</v>
      </c>
      <c r="H1874" s="37" t="n">
        <f aca="false">IF(AND(A1874&gt;=Inputs!$B$13,OR(A1874&lt;Inputs!$B$19,Inputs!$B$20=1)),D1874*Inputs!$B$11/C1874,0)</f>
        <v>40.2739726027397</v>
      </c>
      <c r="I1874" s="37" t="n">
        <f aca="false">Inputs!$C$9-SUMIFS(Cash_Events!$G$6:$G$20,Cash_Events!$C$6:$C$20,"FHL",Cash_Events!$B$6:$B$20,"&lt;="&amp;A1874)</f>
        <v>735000</v>
      </c>
      <c r="J1874" s="38" t="n">
        <f aca="false">VLOOKUP(A1874,Inputs!$F$40:$G$48,2,TRUE())</f>
        <v>0.0364054</v>
      </c>
      <c r="K1874" s="38" t="n">
        <f aca="false">J1874+Inputs!$C$10</f>
        <v>0.1039054</v>
      </c>
      <c r="L1874" s="37" t="n">
        <f aca="false">I1874*K1874/C1874</f>
        <v>209.234161643836</v>
      </c>
      <c r="M1874" s="37" t="n">
        <f aca="false">IF(AND(A1874&gt;=Inputs!$C$13,OR(A1874&lt;Inputs!$B$19,Inputs!$B$20=1)),I1874*Inputs!$C$11/C1874,0)</f>
        <v>40.2739726027397</v>
      </c>
    </row>
    <row r="1875" customFormat="false" ht="15" hidden="false" customHeight="false" outlineLevel="0" collapsed="false">
      <c r="A1875" s="35" t="n">
        <f aca="false">A1874+1</f>
        <v>46682</v>
      </c>
      <c r="B1875" s="35" t="n">
        <f aca="false">EOMONTH(A1875+1,0)</f>
        <v>46691</v>
      </c>
      <c r="C1875" s="36" t="n">
        <f aca="false">IF(MOD(YEAR(A1875),4)=0,366,365)</f>
        <v>365</v>
      </c>
      <c r="D1875" s="37" t="n">
        <f aca="false">Inputs!$B$9-SUMIFS(Cash_Events!$G$6:$G$20,Cash_Events!$C$6:$C$20,"rAGMF",Cash_Events!$B$6:$B$20,"&lt;="&amp;A1875)</f>
        <v>735000</v>
      </c>
      <c r="E1875" s="38" t="n">
        <f aca="false">VLOOKUP(A1875,Inputs!$A$40:$B$48,2,TRUE())</f>
        <v>0.0363225</v>
      </c>
      <c r="F1875" s="38" t="n">
        <f aca="false">E1875+Inputs!$B$10</f>
        <v>0.1038225</v>
      </c>
      <c r="G1875" s="37" t="n">
        <f aca="false">D1875*F1875/C1875</f>
        <v>209.067226027397</v>
      </c>
      <c r="H1875" s="37" t="n">
        <f aca="false">IF(AND(A1875&gt;=Inputs!$B$13,OR(A1875&lt;Inputs!$B$19,Inputs!$B$20=1)),D1875*Inputs!$B$11/C1875,0)</f>
        <v>40.2739726027397</v>
      </c>
      <c r="I1875" s="37" t="n">
        <f aca="false">Inputs!$C$9-SUMIFS(Cash_Events!$G$6:$G$20,Cash_Events!$C$6:$C$20,"FHL",Cash_Events!$B$6:$B$20,"&lt;="&amp;A1875)</f>
        <v>735000</v>
      </c>
      <c r="J1875" s="38" t="n">
        <f aca="false">VLOOKUP(A1875,Inputs!$F$40:$G$48,2,TRUE())</f>
        <v>0.0364054</v>
      </c>
      <c r="K1875" s="38" t="n">
        <f aca="false">J1875+Inputs!$C$10</f>
        <v>0.1039054</v>
      </c>
      <c r="L1875" s="37" t="n">
        <f aca="false">I1875*K1875/C1875</f>
        <v>209.234161643836</v>
      </c>
      <c r="M1875" s="37" t="n">
        <f aca="false">IF(AND(A1875&gt;=Inputs!$C$13,OR(A1875&lt;Inputs!$B$19,Inputs!$B$20=1)),I1875*Inputs!$C$11/C1875,0)</f>
        <v>40.2739726027397</v>
      </c>
    </row>
    <row r="1876" customFormat="false" ht="15" hidden="false" customHeight="false" outlineLevel="0" collapsed="false">
      <c r="A1876" s="35" t="n">
        <f aca="false">A1875+1</f>
        <v>46683</v>
      </c>
      <c r="B1876" s="35" t="n">
        <f aca="false">EOMONTH(A1876+1,0)</f>
        <v>46691</v>
      </c>
      <c r="C1876" s="36" t="n">
        <f aca="false">IF(MOD(YEAR(A1876),4)=0,366,365)</f>
        <v>365</v>
      </c>
      <c r="D1876" s="37" t="n">
        <f aca="false">Inputs!$B$9-SUMIFS(Cash_Events!$G$6:$G$20,Cash_Events!$C$6:$C$20,"rAGMF",Cash_Events!$B$6:$B$20,"&lt;="&amp;A1876)</f>
        <v>735000</v>
      </c>
      <c r="E1876" s="38" t="n">
        <f aca="false">VLOOKUP(A1876,Inputs!$A$40:$B$48,2,TRUE())</f>
        <v>0.0363225</v>
      </c>
      <c r="F1876" s="38" t="n">
        <f aca="false">E1876+Inputs!$B$10</f>
        <v>0.1038225</v>
      </c>
      <c r="G1876" s="37" t="n">
        <f aca="false">D1876*F1876/C1876</f>
        <v>209.067226027397</v>
      </c>
      <c r="H1876" s="37" t="n">
        <f aca="false">IF(AND(A1876&gt;=Inputs!$B$13,OR(A1876&lt;Inputs!$B$19,Inputs!$B$20=1)),D1876*Inputs!$B$11/C1876,0)</f>
        <v>40.2739726027397</v>
      </c>
      <c r="I1876" s="37" t="n">
        <f aca="false">Inputs!$C$9-SUMIFS(Cash_Events!$G$6:$G$20,Cash_Events!$C$6:$C$20,"FHL",Cash_Events!$B$6:$B$20,"&lt;="&amp;A1876)</f>
        <v>735000</v>
      </c>
      <c r="J1876" s="38" t="n">
        <f aca="false">VLOOKUP(A1876,Inputs!$F$40:$G$48,2,TRUE())</f>
        <v>0.0364054</v>
      </c>
      <c r="K1876" s="38" t="n">
        <f aca="false">J1876+Inputs!$C$10</f>
        <v>0.1039054</v>
      </c>
      <c r="L1876" s="37" t="n">
        <f aca="false">I1876*K1876/C1876</f>
        <v>209.234161643836</v>
      </c>
      <c r="M1876" s="37" t="n">
        <f aca="false">IF(AND(A1876&gt;=Inputs!$C$13,OR(A1876&lt;Inputs!$B$19,Inputs!$B$20=1)),I1876*Inputs!$C$11/C1876,0)</f>
        <v>40.2739726027397</v>
      </c>
    </row>
    <row r="1877" customFormat="false" ht="15" hidden="false" customHeight="false" outlineLevel="0" collapsed="false">
      <c r="A1877" s="35" t="n">
        <f aca="false">A1876+1</f>
        <v>46684</v>
      </c>
      <c r="B1877" s="35" t="n">
        <f aca="false">EOMONTH(A1877+1,0)</f>
        <v>46691</v>
      </c>
      <c r="C1877" s="36" t="n">
        <f aca="false">IF(MOD(YEAR(A1877),4)=0,366,365)</f>
        <v>365</v>
      </c>
      <c r="D1877" s="37" t="n">
        <f aca="false">Inputs!$B$9-SUMIFS(Cash_Events!$G$6:$G$20,Cash_Events!$C$6:$C$20,"rAGMF",Cash_Events!$B$6:$B$20,"&lt;="&amp;A1877)</f>
        <v>735000</v>
      </c>
      <c r="E1877" s="38" t="n">
        <f aca="false">VLOOKUP(A1877,Inputs!$A$40:$B$48,2,TRUE())</f>
        <v>0.0363225</v>
      </c>
      <c r="F1877" s="38" t="n">
        <f aca="false">E1877+Inputs!$B$10</f>
        <v>0.1038225</v>
      </c>
      <c r="G1877" s="37" t="n">
        <f aca="false">D1877*F1877/C1877</f>
        <v>209.067226027397</v>
      </c>
      <c r="H1877" s="37" t="n">
        <f aca="false">IF(AND(A1877&gt;=Inputs!$B$13,OR(A1877&lt;Inputs!$B$19,Inputs!$B$20=1)),D1877*Inputs!$B$11/C1877,0)</f>
        <v>40.2739726027397</v>
      </c>
      <c r="I1877" s="37" t="n">
        <f aca="false">Inputs!$C$9-SUMIFS(Cash_Events!$G$6:$G$20,Cash_Events!$C$6:$C$20,"FHL",Cash_Events!$B$6:$B$20,"&lt;="&amp;A1877)</f>
        <v>735000</v>
      </c>
      <c r="J1877" s="38" t="n">
        <f aca="false">VLOOKUP(A1877,Inputs!$F$40:$G$48,2,TRUE())</f>
        <v>0.0364054</v>
      </c>
      <c r="K1877" s="38" t="n">
        <f aca="false">J1877+Inputs!$C$10</f>
        <v>0.1039054</v>
      </c>
      <c r="L1877" s="37" t="n">
        <f aca="false">I1877*K1877/C1877</f>
        <v>209.234161643836</v>
      </c>
      <c r="M1877" s="37" t="n">
        <f aca="false">IF(AND(A1877&gt;=Inputs!$C$13,OR(A1877&lt;Inputs!$B$19,Inputs!$B$20=1)),I1877*Inputs!$C$11/C1877,0)</f>
        <v>40.2739726027397</v>
      </c>
    </row>
    <row r="1878" customFormat="false" ht="15" hidden="false" customHeight="false" outlineLevel="0" collapsed="false">
      <c r="A1878" s="35" t="n">
        <f aca="false">A1877+1</f>
        <v>46685</v>
      </c>
      <c r="B1878" s="35" t="n">
        <f aca="false">EOMONTH(A1878+1,0)</f>
        <v>46691</v>
      </c>
      <c r="C1878" s="36" t="n">
        <f aca="false">IF(MOD(YEAR(A1878),4)=0,366,365)</f>
        <v>365</v>
      </c>
      <c r="D1878" s="37" t="n">
        <f aca="false">Inputs!$B$9-SUMIFS(Cash_Events!$G$6:$G$20,Cash_Events!$C$6:$C$20,"rAGMF",Cash_Events!$B$6:$B$20,"&lt;="&amp;A1878)</f>
        <v>735000</v>
      </c>
      <c r="E1878" s="38" t="n">
        <f aca="false">VLOOKUP(A1878,Inputs!$A$40:$B$48,2,TRUE())</f>
        <v>0.0363225</v>
      </c>
      <c r="F1878" s="38" t="n">
        <f aca="false">E1878+Inputs!$B$10</f>
        <v>0.1038225</v>
      </c>
      <c r="G1878" s="37" t="n">
        <f aca="false">D1878*F1878/C1878</f>
        <v>209.067226027397</v>
      </c>
      <c r="H1878" s="37" t="n">
        <f aca="false">IF(AND(A1878&gt;=Inputs!$B$13,OR(A1878&lt;Inputs!$B$19,Inputs!$B$20=1)),D1878*Inputs!$B$11/C1878,0)</f>
        <v>40.2739726027397</v>
      </c>
      <c r="I1878" s="37" t="n">
        <f aca="false">Inputs!$C$9-SUMIFS(Cash_Events!$G$6:$G$20,Cash_Events!$C$6:$C$20,"FHL",Cash_Events!$B$6:$B$20,"&lt;="&amp;A1878)</f>
        <v>735000</v>
      </c>
      <c r="J1878" s="38" t="n">
        <f aca="false">VLOOKUP(A1878,Inputs!$F$40:$G$48,2,TRUE())</f>
        <v>0.0364054</v>
      </c>
      <c r="K1878" s="38" t="n">
        <f aca="false">J1878+Inputs!$C$10</f>
        <v>0.1039054</v>
      </c>
      <c r="L1878" s="37" t="n">
        <f aca="false">I1878*K1878/C1878</f>
        <v>209.234161643836</v>
      </c>
      <c r="M1878" s="37" t="n">
        <f aca="false">IF(AND(A1878&gt;=Inputs!$C$13,OR(A1878&lt;Inputs!$B$19,Inputs!$B$20=1)),I1878*Inputs!$C$11/C1878,0)</f>
        <v>40.2739726027397</v>
      </c>
    </row>
    <row r="1879" customFormat="false" ht="15" hidden="false" customHeight="false" outlineLevel="0" collapsed="false">
      <c r="A1879" s="35" t="n">
        <f aca="false">A1878+1</f>
        <v>46686</v>
      </c>
      <c r="B1879" s="35" t="n">
        <f aca="false">EOMONTH(A1879+1,0)</f>
        <v>46691</v>
      </c>
      <c r="C1879" s="36" t="n">
        <f aca="false">IF(MOD(YEAR(A1879),4)=0,366,365)</f>
        <v>365</v>
      </c>
      <c r="D1879" s="37" t="n">
        <f aca="false">Inputs!$B$9-SUMIFS(Cash_Events!$G$6:$G$20,Cash_Events!$C$6:$C$20,"rAGMF",Cash_Events!$B$6:$B$20,"&lt;="&amp;A1879)</f>
        <v>735000</v>
      </c>
      <c r="E1879" s="38" t="n">
        <f aca="false">VLOOKUP(A1879,Inputs!$A$40:$B$48,2,TRUE())</f>
        <v>0.0363225</v>
      </c>
      <c r="F1879" s="38" t="n">
        <f aca="false">E1879+Inputs!$B$10</f>
        <v>0.1038225</v>
      </c>
      <c r="G1879" s="37" t="n">
        <f aca="false">D1879*F1879/C1879</f>
        <v>209.067226027397</v>
      </c>
      <c r="H1879" s="37" t="n">
        <f aca="false">IF(AND(A1879&gt;=Inputs!$B$13,OR(A1879&lt;Inputs!$B$19,Inputs!$B$20=1)),D1879*Inputs!$B$11/C1879,0)</f>
        <v>40.2739726027397</v>
      </c>
      <c r="I1879" s="37" t="n">
        <f aca="false">Inputs!$C$9-SUMIFS(Cash_Events!$G$6:$G$20,Cash_Events!$C$6:$C$20,"FHL",Cash_Events!$B$6:$B$20,"&lt;="&amp;A1879)</f>
        <v>735000</v>
      </c>
      <c r="J1879" s="38" t="n">
        <f aca="false">VLOOKUP(A1879,Inputs!$F$40:$G$48,2,TRUE())</f>
        <v>0.0364054</v>
      </c>
      <c r="K1879" s="38" t="n">
        <f aca="false">J1879+Inputs!$C$10</f>
        <v>0.1039054</v>
      </c>
      <c r="L1879" s="37" t="n">
        <f aca="false">I1879*K1879/C1879</f>
        <v>209.234161643836</v>
      </c>
      <c r="M1879" s="37" t="n">
        <f aca="false">IF(AND(A1879&gt;=Inputs!$C$13,OR(A1879&lt;Inputs!$B$19,Inputs!$B$20=1)),I1879*Inputs!$C$11/C1879,0)</f>
        <v>40.2739726027397</v>
      </c>
    </row>
    <row r="1880" customFormat="false" ht="15" hidden="false" customHeight="false" outlineLevel="0" collapsed="false">
      <c r="A1880" s="35" t="n">
        <f aca="false">A1879+1</f>
        <v>46687</v>
      </c>
      <c r="B1880" s="35" t="n">
        <f aca="false">EOMONTH(A1880+1,0)</f>
        <v>46691</v>
      </c>
      <c r="C1880" s="36" t="n">
        <f aca="false">IF(MOD(YEAR(A1880),4)=0,366,365)</f>
        <v>365</v>
      </c>
      <c r="D1880" s="37" t="n">
        <f aca="false">Inputs!$B$9-SUMIFS(Cash_Events!$G$6:$G$20,Cash_Events!$C$6:$C$20,"rAGMF",Cash_Events!$B$6:$B$20,"&lt;="&amp;A1880)</f>
        <v>735000</v>
      </c>
      <c r="E1880" s="38" t="n">
        <f aca="false">VLOOKUP(A1880,Inputs!$A$40:$B$48,2,TRUE())</f>
        <v>0.0363225</v>
      </c>
      <c r="F1880" s="38" t="n">
        <f aca="false">E1880+Inputs!$B$10</f>
        <v>0.1038225</v>
      </c>
      <c r="G1880" s="37" t="n">
        <f aca="false">D1880*F1880/C1880</f>
        <v>209.067226027397</v>
      </c>
      <c r="H1880" s="37" t="n">
        <f aca="false">IF(AND(A1880&gt;=Inputs!$B$13,OR(A1880&lt;Inputs!$B$19,Inputs!$B$20=1)),D1880*Inputs!$B$11/C1880,0)</f>
        <v>40.2739726027397</v>
      </c>
      <c r="I1880" s="37" t="n">
        <f aca="false">Inputs!$C$9-SUMIFS(Cash_Events!$G$6:$G$20,Cash_Events!$C$6:$C$20,"FHL",Cash_Events!$B$6:$B$20,"&lt;="&amp;A1880)</f>
        <v>735000</v>
      </c>
      <c r="J1880" s="38" t="n">
        <f aca="false">VLOOKUP(A1880,Inputs!$F$40:$G$48,2,TRUE())</f>
        <v>0.0364054</v>
      </c>
      <c r="K1880" s="38" t="n">
        <f aca="false">J1880+Inputs!$C$10</f>
        <v>0.1039054</v>
      </c>
      <c r="L1880" s="37" t="n">
        <f aca="false">I1880*K1880/C1880</f>
        <v>209.234161643836</v>
      </c>
      <c r="M1880" s="37" t="n">
        <f aca="false">IF(AND(A1880&gt;=Inputs!$C$13,OR(A1880&lt;Inputs!$B$19,Inputs!$B$20=1)),I1880*Inputs!$C$11/C1880,0)</f>
        <v>40.2739726027397</v>
      </c>
    </row>
    <row r="1881" customFormat="false" ht="15" hidden="false" customHeight="false" outlineLevel="0" collapsed="false">
      <c r="A1881" s="35" t="n">
        <f aca="false">A1880+1</f>
        <v>46688</v>
      </c>
      <c r="B1881" s="35" t="n">
        <f aca="false">EOMONTH(A1881+1,0)</f>
        <v>46691</v>
      </c>
      <c r="C1881" s="36" t="n">
        <f aca="false">IF(MOD(YEAR(A1881),4)=0,366,365)</f>
        <v>365</v>
      </c>
      <c r="D1881" s="37" t="n">
        <f aca="false">Inputs!$B$9-SUMIFS(Cash_Events!$G$6:$G$20,Cash_Events!$C$6:$C$20,"rAGMF",Cash_Events!$B$6:$B$20,"&lt;="&amp;A1881)</f>
        <v>735000</v>
      </c>
      <c r="E1881" s="38" t="n">
        <f aca="false">VLOOKUP(A1881,Inputs!$A$40:$B$48,2,TRUE())</f>
        <v>0.0363225</v>
      </c>
      <c r="F1881" s="38" t="n">
        <f aca="false">E1881+Inputs!$B$10</f>
        <v>0.1038225</v>
      </c>
      <c r="G1881" s="37" t="n">
        <f aca="false">D1881*F1881/C1881</f>
        <v>209.067226027397</v>
      </c>
      <c r="H1881" s="37" t="n">
        <f aca="false">IF(AND(A1881&gt;=Inputs!$B$13,OR(A1881&lt;Inputs!$B$19,Inputs!$B$20=1)),D1881*Inputs!$B$11/C1881,0)</f>
        <v>40.2739726027397</v>
      </c>
      <c r="I1881" s="37" t="n">
        <f aca="false">Inputs!$C$9-SUMIFS(Cash_Events!$G$6:$G$20,Cash_Events!$C$6:$C$20,"FHL",Cash_Events!$B$6:$B$20,"&lt;="&amp;A1881)</f>
        <v>735000</v>
      </c>
      <c r="J1881" s="38" t="n">
        <f aca="false">VLOOKUP(A1881,Inputs!$F$40:$G$48,2,TRUE())</f>
        <v>0.0364054</v>
      </c>
      <c r="K1881" s="38" t="n">
        <f aca="false">J1881+Inputs!$C$10</f>
        <v>0.1039054</v>
      </c>
      <c r="L1881" s="37" t="n">
        <f aca="false">I1881*K1881/C1881</f>
        <v>209.234161643836</v>
      </c>
      <c r="M1881" s="37" t="n">
        <f aca="false">IF(AND(A1881&gt;=Inputs!$C$13,OR(A1881&lt;Inputs!$B$19,Inputs!$B$20=1)),I1881*Inputs!$C$11/C1881,0)</f>
        <v>40.2739726027397</v>
      </c>
    </row>
    <row r="1882" customFormat="false" ht="15" hidden="false" customHeight="false" outlineLevel="0" collapsed="false">
      <c r="A1882" s="35" t="n">
        <f aca="false">A1881+1</f>
        <v>46689</v>
      </c>
      <c r="B1882" s="35" t="n">
        <f aca="false">EOMONTH(A1882+1,0)</f>
        <v>46691</v>
      </c>
      <c r="C1882" s="36" t="n">
        <f aca="false">IF(MOD(YEAR(A1882),4)=0,366,365)</f>
        <v>365</v>
      </c>
      <c r="D1882" s="37" t="n">
        <f aca="false">Inputs!$B$9-SUMIFS(Cash_Events!$G$6:$G$20,Cash_Events!$C$6:$C$20,"rAGMF",Cash_Events!$B$6:$B$20,"&lt;="&amp;A1882)</f>
        <v>735000</v>
      </c>
      <c r="E1882" s="38" t="n">
        <f aca="false">VLOOKUP(A1882,Inputs!$A$40:$B$48,2,TRUE())</f>
        <v>0.0363225</v>
      </c>
      <c r="F1882" s="38" t="n">
        <f aca="false">E1882+Inputs!$B$10</f>
        <v>0.1038225</v>
      </c>
      <c r="G1882" s="37" t="n">
        <f aca="false">D1882*F1882/C1882</f>
        <v>209.067226027397</v>
      </c>
      <c r="H1882" s="37" t="n">
        <f aca="false">IF(AND(A1882&gt;=Inputs!$B$13,OR(A1882&lt;Inputs!$B$19,Inputs!$B$20=1)),D1882*Inputs!$B$11/C1882,0)</f>
        <v>40.2739726027397</v>
      </c>
      <c r="I1882" s="37" t="n">
        <f aca="false">Inputs!$C$9-SUMIFS(Cash_Events!$G$6:$G$20,Cash_Events!$C$6:$C$20,"FHL",Cash_Events!$B$6:$B$20,"&lt;="&amp;A1882)</f>
        <v>735000</v>
      </c>
      <c r="J1882" s="38" t="n">
        <f aca="false">VLOOKUP(A1882,Inputs!$F$40:$G$48,2,TRUE())</f>
        <v>0.0364054</v>
      </c>
      <c r="K1882" s="38" t="n">
        <f aca="false">J1882+Inputs!$C$10</f>
        <v>0.1039054</v>
      </c>
      <c r="L1882" s="37" t="n">
        <f aca="false">I1882*K1882/C1882</f>
        <v>209.234161643836</v>
      </c>
      <c r="M1882" s="37" t="n">
        <f aca="false">IF(AND(A1882&gt;=Inputs!$C$13,OR(A1882&lt;Inputs!$B$19,Inputs!$B$20=1)),I1882*Inputs!$C$11/C1882,0)</f>
        <v>40.2739726027397</v>
      </c>
    </row>
    <row r="1883" customFormat="false" ht="15" hidden="false" customHeight="false" outlineLevel="0" collapsed="false">
      <c r="A1883" s="35" t="n">
        <f aca="false">A1882+1</f>
        <v>46690</v>
      </c>
      <c r="B1883" s="35" t="n">
        <f aca="false">EOMONTH(A1883+1,0)</f>
        <v>46691</v>
      </c>
      <c r="C1883" s="36" t="n">
        <f aca="false">IF(MOD(YEAR(A1883),4)=0,366,365)</f>
        <v>365</v>
      </c>
      <c r="D1883" s="37" t="n">
        <f aca="false">Inputs!$B$9-SUMIFS(Cash_Events!$G$6:$G$20,Cash_Events!$C$6:$C$20,"rAGMF",Cash_Events!$B$6:$B$20,"&lt;="&amp;A1883)</f>
        <v>735000</v>
      </c>
      <c r="E1883" s="38" t="n">
        <f aca="false">VLOOKUP(A1883,Inputs!$A$40:$B$48,2,TRUE())</f>
        <v>0.0363225</v>
      </c>
      <c r="F1883" s="38" t="n">
        <f aca="false">E1883+Inputs!$B$10</f>
        <v>0.1038225</v>
      </c>
      <c r="G1883" s="37" t="n">
        <f aca="false">D1883*F1883/C1883</f>
        <v>209.067226027397</v>
      </c>
      <c r="H1883" s="37" t="n">
        <f aca="false">IF(AND(A1883&gt;=Inputs!$B$13,OR(A1883&lt;Inputs!$B$19,Inputs!$B$20=1)),D1883*Inputs!$B$11/C1883,0)</f>
        <v>40.2739726027397</v>
      </c>
      <c r="I1883" s="37" t="n">
        <f aca="false">Inputs!$C$9-SUMIFS(Cash_Events!$G$6:$G$20,Cash_Events!$C$6:$C$20,"FHL",Cash_Events!$B$6:$B$20,"&lt;="&amp;A1883)</f>
        <v>735000</v>
      </c>
      <c r="J1883" s="38" t="n">
        <f aca="false">VLOOKUP(A1883,Inputs!$F$40:$G$48,2,TRUE())</f>
        <v>0.0364054</v>
      </c>
      <c r="K1883" s="38" t="n">
        <f aca="false">J1883+Inputs!$C$10</f>
        <v>0.1039054</v>
      </c>
      <c r="L1883" s="37" t="n">
        <f aca="false">I1883*K1883/C1883</f>
        <v>209.234161643836</v>
      </c>
      <c r="M1883" s="37" t="n">
        <f aca="false">IF(AND(A1883&gt;=Inputs!$C$13,OR(A1883&lt;Inputs!$B$19,Inputs!$B$20=1)),I1883*Inputs!$C$11/C1883,0)</f>
        <v>40.2739726027397</v>
      </c>
    </row>
    <row r="1884" customFormat="false" ht="15" hidden="false" customHeight="false" outlineLevel="0" collapsed="false">
      <c r="A1884" s="35" t="n">
        <f aca="false">A1883+1</f>
        <v>46691</v>
      </c>
      <c r="B1884" s="35" t="n">
        <f aca="false">EOMONTH(A1884+1,0)</f>
        <v>46721</v>
      </c>
      <c r="C1884" s="36" t="n">
        <f aca="false">IF(MOD(YEAR(A1884),4)=0,366,365)</f>
        <v>365</v>
      </c>
      <c r="D1884" s="37" t="n">
        <f aca="false">Inputs!$B$9-SUMIFS(Cash_Events!$G$6:$G$20,Cash_Events!$C$6:$C$20,"rAGMF",Cash_Events!$B$6:$B$20,"&lt;="&amp;A1884)</f>
        <v>735000</v>
      </c>
      <c r="E1884" s="38" t="n">
        <f aca="false">VLOOKUP(A1884,Inputs!$A$40:$B$48,2,TRUE())</f>
        <v>0.0363225</v>
      </c>
      <c r="F1884" s="38" t="n">
        <f aca="false">E1884+Inputs!$B$10</f>
        <v>0.1038225</v>
      </c>
      <c r="G1884" s="37" t="n">
        <f aca="false">D1884*F1884/C1884</f>
        <v>209.067226027397</v>
      </c>
      <c r="H1884" s="37" t="n">
        <f aca="false">IF(AND(A1884&gt;=Inputs!$B$13,OR(A1884&lt;Inputs!$B$19,Inputs!$B$20=1)),D1884*Inputs!$B$11/C1884,0)</f>
        <v>40.2739726027397</v>
      </c>
      <c r="I1884" s="37" t="n">
        <f aca="false">Inputs!$C$9-SUMIFS(Cash_Events!$G$6:$G$20,Cash_Events!$C$6:$C$20,"FHL",Cash_Events!$B$6:$B$20,"&lt;="&amp;A1884)</f>
        <v>735000</v>
      </c>
      <c r="J1884" s="38" t="n">
        <f aca="false">VLOOKUP(A1884,Inputs!$F$40:$G$48,2,TRUE())</f>
        <v>0.0364054</v>
      </c>
      <c r="K1884" s="38" t="n">
        <f aca="false">J1884+Inputs!$C$10</f>
        <v>0.1039054</v>
      </c>
      <c r="L1884" s="37" t="n">
        <f aca="false">I1884*K1884/C1884</f>
        <v>209.234161643836</v>
      </c>
      <c r="M1884" s="37" t="n">
        <f aca="false">IF(AND(A1884&gt;=Inputs!$C$13,OR(A1884&lt;Inputs!$B$19,Inputs!$B$20=1)),I1884*Inputs!$C$11/C1884,0)</f>
        <v>40.2739726027397</v>
      </c>
    </row>
    <row r="1885" customFormat="false" ht="15" hidden="false" customHeight="false" outlineLevel="0" collapsed="false">
      <c r="A1885" s="35" t="n">
        <f aca="false">A1884+1</f>
        <v>46692</v>
      </c>
      <c r="B1885" s="35" t="n">
        <f aca="false">EOMONTH(A1885+1,0)</f>
        <v>46721</v>
      </c>
      <c r="C1885" s="36" t="n">
        <f aca="false">IF(MOD(YEAR(A1885),4)=0,366,365)</f>
        <v>365</v>
      </c>
      <c r="D1885" s="37" t="n">
        <f aca="false">Inputs!$B$9-SUMIFS(Cash_Events!$G$6:$G$20,Cash_Events!$C$6:$C$20,"rAGMF",Cash_Events!$B$6:$B$20,"&lt;="&amp;A1885)</f>
        <v>735000</v>
      </c>
      <c r="E1885" s="38" t="n">
        <f aca="false">VLOOKUP(A1885,Inputs!$A$40:$B$48,2,TRUE())</f>
        <v>0.0363225</v>
      </c>
      <c r="F1885" s="38" t="n">
        <f aca="false">E1885+Inputs!$B$10</f>
        <v>0.1038225</v>
      </c>
      <c r="G1885" s="37" t="n">
        <f aca="false">D1885*F1885/C1885</f>
        <v>209.067226027397</v>
      </c>
      <c r="H1885" s="37" t="n">
        <f aca="false">IF(AND(A1885&gt;=Inputs!$B$13,OR(A1885&lt;Inputs!$B$19,Inputs!$B$20=1)),D1885*Inputs!$B$11/C1885,0)</f>
        <v>40.2739726027397</v>
      </c>
      <c r="I1885" s="37" t="n">
        <f aca="false">Inputs!$C$9-SUMIFS(Cash_Events!$G$6:$G$20,Cash_Events!$C$6:$C$20,"FHL",Cash_Events!$B$6:$B$20,"&lt;="&amp;A1885)</f>
        <v>735000</v>
      </c>
      <c r="J1885" s="38" t="n">
        <f aca="false">VLOOKUP(A1885,Inputs!$F$40:$G$48,2,TRUE())</f>
        <v>0.0364054</v>
      </c>
      <c r="K1885" s="38" t="n">
        <f aca="false">J1885+Inputs!$C$10</f>
        <v>0.1039054</v>
      </c>
      <c r="L1885" s="37" t="n">
        <f aca="false">I1885*K1885/C1885</f>
        <v>209.234161643836</v>
      </c>
      <c r="M1885" s="37" t="n">
        <f aca="false">IF(AND(A1885&gt;=Inputs!$C$13,OR(A1885&lt;Inputs!$B$19,Inputs!$B$20=1)),I1885*Inputs!$C$11/C1885,0)</f>
        <v>40.2739726027397</v>
      </c>
    </row>
    <row r="1886" customFormat="false" ht="15" hidden="false" customHeight="false" outlineLevel="0" collapsed="false">
      <c r="A1886" s="35" t="n">
        <f aca="false">A1885+1</f>
        <v>46693</v>
      </c>
      <c r="B1886" s="35" t="n">
        <f aca="false">EOMONTH(A1886+1,0)</f>
        <v>46721</v>
      </c>
      <c r="C1886" s="36" t="n">
        <f aca="false">IF(MOD(YEAR(A1886),4)=0,366,365)</f>
        <v>365</v>
      </c>
      <c r="D1886" s="37" t="n">
        <f aca="false">Inputs!$B$9-SUMIFS(Cash_Events!$G$6:$G$20,Cash_Events!$C$6:$C$20,"rAGMF",Cash_Events!$B$6:$B$20,"&lt;="&amp;A1886)</f>
        <v>735000</v>
      </c>
      <c r="E1886" s="38" t="n">
        <f aca="false">VLOOKUP(A1886,Inputs!$A$40:$B$48,2,TRUE())</f>
        <v>0.0363225</v>
      </c>
      <c r="F1886" s="38" t="n">
        <f aca="false">E1886+Inputs!$B$10</f>
        <v>0.1038225</v>
      </c>
      <c r="G1886" s="37" t="n">
        <f aca="false">D1886*F1886/C1886</f>
        <v>209.067226027397</v>
      </c>
      <c r="H1886" s="37" t="n">
        <f aca="false">IF(AND(A1886&gt;=Inputs!$B$13,OR(A1886&lt;Inputs!$B$19,Inputs!$B$20=1)),D1886*Inputs!$B$11/C1886,0)</f>
        <v>40.2739726027397</v>
      </c>
      <c r="I1886" s="37" t="n">
        <f aca="false">Inputs!$C$9-SUMIFS(Cash_Events!$G$6:$G$20,Cash_Events!$C$6:$C$20,"FHL",Cash_Events!$B$6:$B$20,"&lt;="&amp;A1886)</f>
        <v>735000</v>
      </c>
      <c r="J1886" s="38" t="n">
        <f aca="false">VLOOKUP(A1886,Inputs!$F$40:$G$48,2,TRUE())</f>
        <v>0.0364054</v>
      </c>
      <c r="K1886" s="38" t="n">
        <f aca="false">J1886+Inputs!$C$10</f>
        <v>0.1039054</v>
      </c>
      <c r="L1886" s="37" t="n">
        <f aca="false">I1886*K1886/C1886</f>
        <v>209.234161643836</v>
      </c>
      <c r="M1886" s="37" t="n">
        <f aca="false">IF(AND(A1886&gt;=Inputs!$C$13,OR(A1886&lt;Inputs!$B$19,Inputs!$B$20=1)),I1886*Inputs!$C$11/C1886,0)</f>
        <v>40.2739726027397</v>
      </c>
    </row>
    <row r="1887" customFormat="false" ht="15" hidden="false" customHeight="false" outlineLevel="0" collapsed="false">
      <c r="A1887" s="35" t="n">
        <f aca="false">A1886+1</f>
        <v>46694</v>
      </c>
      <c r="B1887" s="35" t="n">
        <f aca="false">EOMONTH(A1887+1,0)</f>
        <v>46721</v>
      </c>
      <c r="C1887" s="36" t="n">
        <f aca="false">IF(MOD(YEAR(A1887),4)=0,366,365)</f>
        <v>365</v>
      </c>
      <c r="D1887" s="37" t="n">
        <f aca="false">Inputs!$B$9-SUMIFS(Cash_Events!$G$6:$G$20,Cash_Events!$C$6:$C$20,"rAGMF",Cash_Events!$B$6:$B$20,"&lt;="&amp;A1887)</f>
        <v>735000</v>
      </c>
      <c r="E1887" s="38" t="n">
        <f aca="false">VLOOKUP(A1887,Inputs!$A$40:$B$48,2,TRUE())</f>
        <v>0.0363225</v>
      </c>
      <c r="F1887" s="38" t="n">
        <f aca="false">E1887+Inputs!$B$10</f>
        <v>0.1038225</v>
      </c>
      <c r="G1887" s="37" t="n">
        <f aca="false">D1887*F1887/C1887</f>
        <v>209.067226027397</v>
      </c>
      <c r="H1887" s="37" t="n">
        <f aca="false">IF(AND(A1887&gt;=Inputs!$B$13,OR(A1887&lt;Inputs!$B$19,Inputs!$B$20=1)),D1887*Inputs!$B$11/C1887,0)</f>
        <v>40.2739726027397</v>
      </c>
      <c r="I1887" s="37" t="n">
        <f aca="false">Inputs!$C$9-SUMIFS(Cash_Events!$G$6:$G$20,Cash_Events!$C$6:$C$20,"FHL",Cash_Events!$B$6:$B$20,"&lt;="&amp;A1887)</f>
        <v>735000</v>
      </c>
      <c r="J1887" s="38" t="n">
        <f aca="false">VLOOKUP(A1887,Inputs!$F$40:$G$48,2,TRUE())</f>
        <v>0.0364054</v>
      </c>
      <c r="K1887" s="38" t="n">
        <f aca="false">J1887+Inputs!$C$10</f>
        <v>0.1039054</v>
      </c>
      <c r="L1887" s="37" t="n">
        <f aca="false">I1887*K1887/C1887</f>
        <v>209.234161643836</v>
      </c>
      <c r="M1887" s="37" t="n">
        <f aca="false">IF(AND(A1887&gt;=Inputs!$C$13,OR(A1887&lt;Inputs!$B$19,Inputs!$B$20=1)),I1887*Inputs!$C$11/C1887,0)</f>
        <v>40.2739726027397</v>
      </c>
    </row>
    <row r="1888" customFormat="false" ht="15" hidden="false" customHeight="false" outlineLevel="0" collapsed="false">
      <c r="A1888" s="35" t="n">
        <f aca="false">A1887+1</f>
        <v>46695</v>
      </c>
      <c r="B1888" s="35" t="n">
        <f aca="false">EOMONTH(A1888+1,0)</f>
        <v>46721</v>
      </c>
      <c r="C1888" s="36" t="n">
        <f aca="false">IF(MOD(YEAR(A1888),4)=0,366,365)</f>
        <v>365</v>
      </c>
      <c r="D1888" s="37" t="n">
        <f aca="false">Inputs!$B$9-SUMIFS(Cash_Events!$G$6:$G$20,Cash_Events!$C$6:$C$20,"rAGMF",Cash_Events!$B$6:$B$20,"&lt;="&amp;A1888)</f>
        <v>735000</v>
      </c>
      <c r="E1888" s="38" t="n">
        <f aca="false">VLOOKUP(A1888,Inputs!$A$40:$B$48,2,TRUE())</f>
        <v>0.0363225</v>
      </c>
      <c r="F1888" s="38" t="n">
        <f aca="false">E1888+Inputs!$B$10</f>
        <v>0.1038225</v>
      </c>
      <c r="G1888" s="37" t="n">
        <f aca="false">D1888*F1888/C1888</f>
        <v>209.067226027397</v>
      </c>
      <c r="H1888" s="37" t="n">
        <f aca="false">IF(AND(A1888&gt;=Inputs!$B$13,OR(A1888&lt;Inputs!$B$19,Inputs!$B$20=1)),D1888*Inputs!$B$11/C1888,0)</f>
        <v>40.2739726027397</v>
      </c>
      <c r="I1888" s="37" t="n">
        <f aca="false">Inputs!$C$9-SUMIFS(Cash_Events!$G$6:$G$20,Cash_Events!$C$6:$C$20,"FHL",Cash_Events!$B$6:$B$20,"&lt;="&amp;A1888)</f>
        <v>735000</v>
      </c>
      <c r="J1888" s="38" t="n">
        <f aca="false">VLOOKUP(A1888,Inputs!$F$40:$G$48,2,TRUE())</f>
        <v>0.0364054</v>
      </c>
      <c r="K1888" s="38" t="n">
        <f aca="false">J1888+Inputs!$C$10</f>
        <v>0.1039054</v>
      </c>
      <c r="L1888" s="37" t="n">
        <f aca="false">I1888*K1888/C1888</f>
        <v>209.234161643836</v>
      </c>
      <c r="M1888" s="37" t="n">
        <f aca="false">IF(AND(A1888&gt;=Inputs!$C$13,OR(A1888&lt;Inputs!$B$19,Inputs!$B$20=1)),I1888*Inputs!$C$11/C1888,0)</f>
        <v>40.2739726027397</v>
      </c>
    </row>
    <row r="1889" customFormat="false" ht="15" hidden="false" customHeight="false" outlineLevel="0" collapsed="false">
      <c r="A1889" s="35" t="n">
        <f aca="false">A1888+1</f>
        <v>46696</v>
      </c>
      <c r="B1889" s="35" t="n">
        <f aca="false">EOMONTH(A1889+1,0)</f>
        <v>46721</v>
      </c>
      <c r="C1889" s="36" t="n">
        <f aca="false">IF(MOD(YEAR(A1889),4)=0,366,365)</f>
        <v>365</v>
      </c>
      <c r="D1889" s="37" t="n">
        <f aca="false">Inputs!$B$9-SUMIFS(Cash_Events!$G$6:$G$20,Cash_Events!$C$6:$C$20,"rAGMF",Cash_Events!$B$6:$B$20,"&lt;="&amp;A1889)</f>
        <v>735000</v>
      </c>
      <c r="E1889" s="38" t="n">
        <f aca="false">VLOOKUP(A1889,Inputs!$A$40:$B$48,2,TRUE())</f>
        <v>0.0363225</v>
      </c>
      <c r="F1889" s="38" t="n">
        <f aca="false">E1889+Inputs!$B$10</f>
        <v>0.1038225</v>
      </c>
      <c r="G1889" s="37" t="n">
        <f aca="false">D1889*F1889/C1889</f>
        <v>209.067226027397</v>
      </c>
      <c r="H1889" s="37" t="n">
        <f aca="false">IF(AND(A1889&gt;=Inputs!$B$13,OR(A1889&lt;Inputs!$B$19,Inputs!$B$20=1)),D1889*Inputs!$B$11/C1889,0)</f>
        <v>40.2739726027397</v>
      </c>
      <c r="I1889" s="37" t="n">
        <f aca="false">Inputs!$C$9-SUMIFS(Cash_Events!$G$6:$G$20,Cash_Events!$C$6:$C$20,"FHL",Cash_Events!$B$6:$B$20,"&lt;="&amp;A1889)</f>
        <v>735000</v>
      </c>
      <c r="J1889" s="38" t="n">
        <f aca="false">VLOOKUP(A1889,Inputs!$F$40:$G$48,2,TRUE())</f>
        <v>0.0364054</v>
      </c>
      <c r="K1889" s="38" t="n">
        <f aca="false">J1889+Inputs!$C$10</f>
        <v>0.1039054</v>
      </c>
      <c r="L1889" s="37" t="n">
        <f aca="false">I1889*K1889/C1889</f>
        <v>209.234161643836</v>
      </c>
      <c r="M1889" s="37" t="n">
        <f aca="false">IF(AND(A1889&gt;=Inputs!$C$13,OR(A1889&lt;Inputs!$B$19,Inputs!$B$20=1)),I1889*Inputs!$C$11/C1889,0)</f>
        <v>40.2739726027397</v>
      </c>
    </row>
    <row r="1890" customFormat="false" ht="15" hidden="false" customHeight="false" outlineLevel="0" collapsed="false">
      <c r="A1890" s="35" t="n">
        <f aca="false">A1889+1</f>
        <v>46697</v>
      </c>
      <c r="B1890" s="35" t="n">
        <f aca="false">EOMONTH(A1890+1,0)</f>
        <v>46721</v>
      </c>
      <c r="C1890" s="36" t="n">
        <f aca="false">IF(MOD(YEAR(A1890),4)=0,366,365)</f>
        <v>365</v>
      </c>
      <c r="D1890" s="37" t="n">
        <f aca="false">Inputs!$B$9-SUMIFS(Cash_Events!$G$6:$G$20,Cash_Events!$C$6:$C$20,"rAGMF",Cash_Events!$B$6:$B$20,"&lt;="&amp;A1890)</f>
        <v>735000</v>
      </c>
      <c r="E1890" s="38" t="n">
        <f aca="false">VLOOKUP(A1890,Inputs!$A$40:$B$48,2,TRUE())</f>
        <v>0.0363225</v>
      </c>
      <c r="F1890" s="38" t="n">
        <f aca="false">E1890+Inputs!$B$10</f>
        <v>0.1038225</v>
      </c>
      <c r="G1890" s="37" t="n">
        <f aca="false">D1890*F1890/C1890</f>
        <v>209.067226027397</v>
      </c>
      <c r="H1890" s="37" t="n">
        <f aca="false">IF(AND(A1890&gt;=Inputs!$B$13,OR(A1890&lt;Inputs!$B$19,Inputs!$B$20=1)),D1890*Inputs!$B$11/C1890,0)</f>
        <v>40.2739726027397</v>
      </c>
      <c r="I1890" s="37" t="n">
        <f aca="false">Inputs!$C$9-SUMIFS(Cash_Events!$G$6:$G$20,Cash_Events!$C$6:$C$20,"FHL",Cash_Events!$B$6:$B$20,"&lt;="&amp;A1890)</f>
        <v>735000</v>
      </c>
      <c r="J1890" s="38" t="n">
        <f aca="false">VLOOKUP(A1890,Inputs!$F$40:$G$48,2,TRUE())</f>
        <v>0.0364054</v>
      </c>
      <c r="K1890" s="38" t="n">
        <f aca="false">J1890+Inputs!$C$10</f>
        <v>0.1039054</v>
      </c>
      <c r="L1890" s="37" t="n">
        <f aca="false">I1890*K1890/C1890</f>
        <v>209.234161643836</v>
      </c>
      <c r="M1890" s="37" t="n">
        <f aca="false">IF(AND(A1890&gt;=Inputs!$C$13,OR(A1890&lt;Inputs!$B$19,Inputs!$B$20=1)),I1890*Inputs!$C$11/C1890,0)</f>
        <v>40.2739726027397</v>
      </c>
    </row>
    <row r="1891" customFormat="false" ht="15" hidden="false" customHeight="false" outlineLevel="0" collapsed="false">
      <c r="A1891" s="35" t="n">
        <f aca="false">A1890+1</f>
        <v>46698</v>
      </c>
      <c r="B1891" s="35" t="n">
        <f aca="false">EOMONTH(A1891+1,0)</f>
        <v>46721</v>
      </c>
      <c r="C1891" s="36" t="n">
        <f aca="false">IF(MOD(YEAR(A1891),4)=0,366,365)</f>
        <v>365</v>
      </c>
      <c r="D1891" s="37" t="n">
        <f aca="false">Inputs!$B$9-SUMIFS(Cash_Events!$G$6:$G$20,Cash_Events!$C$6:$C$20,"rAGMF",Cash_Events!$B$6:$B$20,"&lt;="&amp;A1891)</f>
        <v>735000</v>
      </c>
      <c r="E1891" s="38" t="n">
        <f aca="false">VLOOKUP(A1891,Inputs!$A$40:$B$48,2,TRUE())</f>
        <v>0.0363225</v>
      </c>
      <c r="F1891" s="38" t="n">
        <f aca="false">E1891+Inputs!$B$10</f>
        <v>0.1038225</v>
      </c>
      <c r="G1891" s="37" t="n">
        <f aca="false">D1891*F1891/C1891</f>
        <v>209.067226027397</v>
      </c>
      <c r="H1891" s="37" t="n">
        <f aca="false">IF(AND(A1891&gt;=Inputs!$B$13,OR(A1891&lt;Inputs!$B$19,Inputs!$B$20=1)),D1891*Inputs!$B$11/C1891,0)</f>
        <v>40.2739726027397</v>
      </c>
      <c r="I1891" s="37" t="n">
        <f aca="false">Inputs!$C$9-SUMIFS(Cash_Events!$G$6:$G$20,Cash_Events!$C$6:$C$20,"FHL",Cash_Events!$B$6:$B$20,"&lt;="&amp;A1891)</f>
        <v>735000</v>
      </c>
      <c r="J1891" s="38" t="n">
        <f aca="false">VLOOKUP(A1891,Inputs!$F$40:$G$48,2,TRUE())</f>
        <v>0.0364054</v>
      </c>
      <c r="K1891" s="38" t="n">
        <f aca="false">J1891+Inputs!$C$10</f>
        <v>0.1039054</v>
      </c>
      <c r="L1891" s="37" t="n">
        <f aca="false">I1891*K1891/C1891</f>
        <v>209.234161643836</v>
      </c>
      <c r="M1891" s="37" t="n">
        <f aca="false">IF(AND(A1891&gt;=Inputs!$C$13,OR(A1891&lt;Inputs!$B$19,Inputs!$B$20=1)),I1891*Inputs!$C$11/C1891,0)</f>
        <v>40.2739726027397</v>
      </c>
    </row>
    <row r="1892" customFormat="false" ht="15" hidden="false" customHeight="false" outlineLevel="0" collapsed="false">
      <c r="A1892" s="35" t="n">
        <f aca="false">A1891+1</f>
        <v>46699</v>
      </c>
      <c r="B1892" s="35" t="n">
        <f aca="false">EOMONTH(A1892+1,0)</f>
        <v>46721</v>
      </c>
      <c r="C1892" s="36" t="n">
        <f aca="false">IF(MOD(YEAR(A1892),4)=0,366,365)</f>
        <v>365</v>
      </c>
      <c r="D1892" s="37" t="n">
        <f aca="false">Inputs!$B$9-SUMIFS(Cash_Events!$G$6:$G$20,Cash_Events!$C$6:$C$20,"rAGMF",Cash_Events!$B$6:$B$20,"&lt;="&amp;A1892)</f>
        <v>735000</v>
      </c>
      <c r="E1892" s="38" t="n">
        <f aca="false">VLOOKUP(A1892,Inputs!$A$40:$B$48,2,TRUE())</f>
        <v>0.0363225</v>
      </c>
      <c r="F1892" s="38" t="n">
        <f aca="false">E1892+Inputs!$B$10</f>
        <v>0.1038225</v>
      </c>
      <c r="G1892" s="37" t="n">
        <f aca="false">D1892*F1892/C1892</f>
        <v>209.067226027397</v>
      </c>
      <c r="H1892" s="37" t="n">
        <f aca="false">IF(AND(A1892&gt;=Inputs!$B$13,OR(A1892&lt;Inputs!$B$19,Inputs!$B$20=1)),D1892*Inputs!$B$11/C1892,0)</f>
        <v>40.2739726027397</v>
      </c>
      <c r="I1892" s="37" t="n">
        <f aca="false">Inputs!$C$9-SUMIFS(Cash_Events!$G$6:$G$20,Cash_Events!$C$6:$C$20,"FHL",Cash_Events!$B$6:$B$20,"&lt;="&amp;A1892)</f>
        <v>735000</v>
      </c>
      <c r="J1892" s="38" t="n">
        <f aca="false">VLOOKUP(A1892,Inputs!$F$40:$G$48,2,TRUE())</f>
        <v>0.0364054</v>
      </c>
      <c r="K1892" s="38" t="n">
        <f aca="false">J1892+Inputs!$C$10</f>
        <v>0.1039054</v>
      </c>
      <c r="L1892" s="37" t="n">
        <f aca="false">I1892*K1892/C1892</f>
        <v>209.234161643836</v>
      </c>
      <c r="M1892" s="37" t="n">
        <f aca="false">IF(AND(A1892&gt;=Inputs!$C$13,OR(A1892&lt;Inputs!$B$19,Inputs!$B$20=1)),I1892*Inputs!$C$11/C1892,0)</f>
        <v>40.2739726027397</v>
      </c>
    </row>
    <row r="1893" customFormat="false" ht="15" hidden="false" customHeight="false" outlineLevel="0" collapsed="false">
      <c r="A1893" s="35" t="n">
        <f aca="false">A1892+1</f>
        <v>46700</v>
      </c>
      <c r="B1893" s="35" t="n">
        <f aca="false">EOMONTH(A1893+1,0)</f>
        <v>46721</v>
      </c>
      <c r="C1893" s="36" t="n">
        <f aca="false">IF(MOD(YEAR(A1893),4)=0,366,365)</f>
        <v>365</v>
      </c>
      <c r="D1893" s="37" t="n">
        <f aca="false">Inputs!$B$9-SUMIFS(Cash_Events!$G$6:$G$20,Cash_Events!$C$6:$C$20,"rAGMF",Cash_Events!$B$6:$B$20,"&lt;="&amp;A1893)</f>
        <v>735000</v>
      </c>
      <c r="E1893" s="38" t="n">
        <f aca="false">VLOOKUP(A1893,Inputs!$A$40:$B$48,2,TRUE())</f>
        <v>0.0363225</v>
      </c>
      <c r="F1893" s="38" t="n">
        <f aca="false">E1893+Inputs!$B$10</f>
        <v>0.1038225</v>
      </c>
      <c r="G1893" s="37" t="n">
        <f aca="false">D1893*F1893/C1893</f>
        <v>209.067226027397</v>
      </c>
      <c r="H1893" s="37" t="n">
        <f aca="false">IF(AND(A1893&gt;=Inputs!$B$13,OR(A1893&lt;Inputs!$B$19,Inputs!$B$20=1)),D1893*Inputs!$B$11/C1893,0)</f>
        <v>40.2739726027397</v>
      </c>
      <c r="I1893" s="37" t="n">
        <f aca="false">Inputs!$C$9-SUMIFS(Cash_Events!$G$6:$G$20,Cash_Events!$C$6:$C$20,"FHL",Cash_Events!$B$6:$B$20,"&lt;="&amp;A1893)</f>
        <v>735000</v>
      </c>
      <c r="J1893" s="38" t="n">
        <f aca="false">VLOOKUP(A1893,Inputs!$F$40:$G$48,2,TRUE())</f>
        <v>0.0364054</v>
      </c>
      <c r="K1893" s="38" t="n">
        <f aca="false">J1893+Inputs!$C$10</f>
        <v>0.1039054</v>
      </c>
      <c r="L1893" s="37" t="n">
        <f aca="false">I1893*K1893/C1893</f>
        <v>209.234161643836</v>
      </c>
      <c r="M1893" s="37" t="n">
        <f aca="false">IF(AND(A1893&gt;=Inputs!$C$13,OR(A1893&lt;Inputs!$B$19,Inputs!$B$20=1)),I1893*Inputs!$C$11/C1893,0)</f>
        <v>40.2739726027397</v>
      </c>
    </row>
    <row r="1894" customFormat="false" ht="15" hidden="false" customHeight="false" outlineLevel="0" collapsed="false">
      <c r="A1894" s="35" t="n">
        <f aca="false">A1893+1</f>
        <v>46701</v>
      </c>
      <c r="B1894" s="35" t="n">
        <f aca="false">EOMONTH(A1894+1,0)</f>
        <v>46721</v>
      </c>
      <c r="C1894" s="36" t="n">
        <f aca="false">IF(MOD(YEAR(A1894),4)=0,366,365)</f>
        <v>365</v>
      </c>
      <c r="D1894" s="37" t="n">
        <f aca="false">Inputs!$B$9-SUMIFS(Cash_Events!$G$6:$G$20,Cash_Events!$C$6:$C$20,"rAGMF",Cash_Events!$B$6:$B$20,"&lt;="&amp;A1894)</f>
        <v>735000</v>
      </c>
      <c r="E1894" s="38" t="n">
        <f aca="false">VLOOKUP(A1894,Inputs!$A$40:$B$48,2,TRUE())</f>
        <v>0.0363225</v>
      </c>
      <c r="F1894" s="38" t="n">
        <f aca="false">E1894+Inputs!$B$10</f>
        <v>0.1038225</v>
      </c>
      <c r="G1894" s="37" t="n">
        <f aca="false">D1894*F1894/C1894</f>
        <v>209.067226027397</v>
      </c>
      <c r="H1894" s="37" t="n">
        <f aca="false">IF(AND(A1894&gt;=Inputs!$B$13,OR(A1894&lt;Inputs!$B$19,Inputs!$B$20=1)),D1894*Inputs!$B$11/C1894,0)</f>
        <v>40.2739726027397</v>
      </c>
      <c r="I1894" s="37" t="n">
        <f aca="false">Inputs!$C$9-SUMIFS(Cash_Events!$G$6:$G$20,Cash_Events!$C$6:$C$20,"FHL",Cash_Events!$B$6:$B$20,"&lt;="&amp;A1894)</f>
        <v>735000</v>
      </c>
      <c r="J1894" s="38" t="n">
        <f aca="false">VLOOKUP(A1894,Inputs!$F$40:$G$48,2,TRUE())</f>
        <v>0.0364054</v>
      </c>
      <c r="K1894" s="38" t="n">
        <f aca="false">J1894+Inputs!$C$10</f>
        <v>0.1039054</v>
      </c>
      <c r="L1894" s="37" t="n">
        <f aca="false">I1894*K1894/C1894</f>
        <v>209.234161643836</v>
      </c>
      <c r="M1894" s="37" t="n">
        <f aca="false">IF(AND(A1894&gt;=Inputs!$C$13,OR(A1894&lt;Inputs!$B$19,Inputs!$B$20=1)),I1894*Inputs!$C$11/C1894,0)</f>
        <v>40.2739726027397</v>
      </c>
    </row>
    <row r="1895" customFormat="false" ht="15" hidden="false" customHeight="false" outlineLevel="0" collapsed="false">
      <c r="A1895" s="35" t="n">
        <f aca="false">A1894+1</f>
        <v>46702</v>
      </c>
      <c r="B1895" s="35" t="n">
        <f aca="false">EOMONTH(A1895+1,0)</f>
        <v>46721</v>
      </c>
      <c r="C1895" s="36" t="n">
        <f aca="false">IF(MOD(YEAR(A1895),4)=0,366,365)</f>
        <v>365</v>
      </c>
      <c r="D1895" s="37" t="n">
        <f aca="false">Inputs!$B$9-SUMIFS(Cash_Events!$G$6:$G$20,Cash_Events!$C$6:$C$20,"rAGMF",Cash_Events!$B$6:$B$20,"&lt;="&amp;A1895)</f>
        <v>735000</v>
      </c>
      <c r="E1895" s="38" t="n">
        <f aca="false">VLOOKUP(A1895,Inputs!$A$40:$B$48,2,TRUE())</f>
        <v>0.0363225</v>
      </c>
      <c r="F1895" s="38" t="n">
        <f aca="false">E1895+Inputs!$B$10</f>
        <v>0.1038225</v>
      </c>
      <c r="G1895" s="37" t="n">
        <f aca="false">D1895*F1895/C1895</f>
        <v>209.067226027397</v>
      </c>
      <c r="H1895" s="37" t="n">
        <f aca="false">IF(AND(A1895&gt;=Inputs!$B$13,OR(A1895&lt;Inputs!$B$19,Inputs!$B$20=1)),D1895*Inputs!$B$11/C1895,0)</f>
        <v>40.2739726027397</v>
      </c>
      <c r="I1895" s="37" t="n">
        <f aca="false">Inputs!$C$9-SUMIFS(Cash_Events!$G$6:$G$20,Cash_Events!$C$6:$C$20,"FHL",Cash_Events!$B$6:$B$20,"&lt;="&amp;A1895)</f>
        <v>735000</v>
      </c>
      <c r="J1895" s="38" t="n">
        <f aca="false">VLOOKUP(A1895,Inputs!$F$40:$G$48,2,TRUE())</f>
        <v>0.0364054</v>
      </c>
      <c r="K1895" s="38" t="n">
        <f aca="false">J1895+Inputs!$C$10</f>
        <v>0.1039054</v>
      </c>
      <c r="L1895" s="37" t="n">
        <f aca="false">I1895*K1895/C1895</f>
        <v>209.234161643836</v>
      </c>
      <c r="M1895" s="37" t="n">
        <f aca="false">IF(AND(A1895&gt;=Inputs!$C$13,OR(A1895&lt;Inputs!$B$19,Inputs!$B$20=1)),I1895*Inputs!$C$11/C1895,0)</f>
        <v>40.2739726027397</v>
      </c>
    </row>
    <row r="1896" customFormat="false" ht="15" hidden="false" customHeight="false" outlineLevel="0" collapsed="false">
      <c r="A1896" s="35" t="n">
        <f aca="false">A1895+1</f>
        <v>46703</v>
      </c>
      <c r="B1896" s="35" t="n">
        <f aca="false">EOMONTH(A1896+1,0)</f>
        <v>46721</v>
      </c>
      <c r="C1896" s="36" t="n">
        <f aca="false">IF(MOD(YEAR(A1896),4)=0,366,365)</f>
        <v>365</v>
      </c>
      <c r="D1896" s="37" t="n">
        <f aca="false">Inputs!$B$9-SUMIFS(Cash_Events!$G$6:$G$20,Cash_Events!$C$6:$C$20,"rAGMF",Cash_Events!$B$6:$B$20,"&lt;="&amp;A1896)</f>
        <v>735000</v>
      </c>
      <c r="E1896" s="38" t="n">
        <f aca="false">VLOOKUP(A1896,Inputs!$A$40:$B$48,2,TRUE())</f>
        <v>0.0363225</v>
      </c>
      <c r="F1896" s="38" t="n">
        <f aca="false">E1896+Inputs!$B$10</f>
        <v>0.1038225</v>
      </c>
      <c r="G1896" s="37" t="n">
        <f aca="false">D1896*F1896/C1896</f>
        <v>209.067226027397</v>
      </c>
      <c r="H1896" s="37" t="n">
        <f aca="false">IF(AND(A1896&gt;=Inputs!$B$13,OR(A1896&lt;Inputs!$B$19,Inputs!$B$20=1)),D1896*Inputs!$B$11/C1896,0)</f>
        <v>40.2739726027397</v>
      </c>
      <c r="I1896" s="37" t="n">
        <f aca="false">Inputs!$C$9-SUMIFS(Cash_Events!$G$6:$G$20,Cash_Events!$C$6:$C$20,"FHL",Cash_Events!$B$6:$B$20,"&lt;="&amp;A1896)</f>
        <v>735000</v>
      </c>
      <c r="J1896" s="38" t="n">
        <f aca="false">VLOOKUP(A1896,Inputs!$F$40:$G$48,2,TRUE())</f>
        <v>0.0364054</v>
      </c>
      <c r="K1896" s="38" t="n">
        <f aca="false">J1896+Inputs!$C$10</f>
        <v>0.1039054</v>
      </c>
      <c r="L1896" s="37" t="n">
        <f aca="false">I1896*K1896/C1896</f>
        <v>209.234161643836</v>
      </c>
      <c r="M1896" s="37" t="n">
        <f aca="false">IF(AND(A1896&gt;=Inputs!$C$13,OR(A1896&lt;Inputs!$B$19,Inputs!$B$20=1)),I1896*Inputs!$C$11/C1896,0)</f>
        <v>40.2739726027397</v>
      </c>
    </row>
    <row r="1897" customFormat="false" ht="15" hidden="false" customHeight="false" outlineLevel="0" collapsed="false">
      <c r="A1897" s="35" t="n">
        <f aca="false">A1896+1</f>
        <v>46704</v>
      </c>
      <c r="B1897" s="35" t="n">
        <f aca="false">EOMONTH(A1897+1,0)</f>
        <v>46721</v>
      </c>
      <c r="C1897" s="36" t="n">
        <f aca="false">IF(MOD(YEAR(A1897),4)=0,366,365)</f>
        <v>365</v>
      </c>
      <c r="D1897" s="37" t="n">
        <f aca="false">Inputs!$B$9-SUMIFS(Cash_Events!$G$6:$G$20,Cash_Events!$C$6:$C$20,"rAGMF",Cash_Events!$B$6:$B$20,"&lt;="&amp;A1897)</f>
        <v>735000</v>
      </c>
      <c r="E1897" s="38" t="n">
        <f aca="false">VLOOKUP(A1897,Inputs!$A$40:$B$48,2,TRUE())</f>
        <v>0.0363225</v>
      </c>
      <c r="F1897" s="38" t="n">
        <f aca="false">E1897+Inputs!$B$10</f>
        <v>0.1038225</v>
      </c>
      <c r="G1897" s="37" t="n">
        <f aca="false">D1897*F1897/C1897</f>
        <v>209.067226027397</v>
      </c>
      <c r="H1897" s="37" t="n">
        <f aca="false">IF(AND(A1897&gt;=Inputs!$B$13,OR(A1897&lt;Inputs!$B$19,Inputs!$B$20=1)),D1897*Inputs!$B$11/C1897,0)</f>
        <v>40.2739726027397</v>
      </c>
      <c r="I1897" s="37" t="n">
        <f aca="false">Inputs!$C$9-SUMIFS(Cash_Events!$G$6:$G$20,Cash_Events!$C$6:$C$20,"FHL",Cash_Events!$B$6:$B$20,"&lt;="&amp;A1897)</f>
        <v>735000</v>
      </c>
      <c r="J1897" s="38" t="n">
        <f aca="false">VLOOKUP(A1897,Inputs!$F$40:$G$48,2,TRUE())</f>
        <v>0.0364054</v>
      </c>
      <c r="K1897" s="38" t="n">
        <f aca="false">J1897+Inputs!$C$10</f>
        <v>0.1039054</v>
      </c>
      <c r="L1897" s="37" t="n">
        <f aca="false">I1897*K1897/C1897</f>
        <v>209.234161643836</v>
      </c>
      <c r="M1897" s="37" t="n">
        <f aca="false">IF(AND(A1897&gt;=Inputs!$C$13,OR(A1897&lt;Inputs!$B$19,Inputs!$B$20=1)),I1897*Inputs!$C$11/C1897,0)</f>
        <v>40.2739726027397</v>
      </c>
    </row>
    <row r="1898" customFormat="false" ht="15" hidden="false" customHeight="false" outlineLevel="0" collapsed="false">
      <c r="A1898" s="35" t="n">
        <f aca="false">A1897+1</f>
        <v>46705</v>
      </c>
      <c r="B1898" s="35" t="n">
        <f aca="false">EOMONTH(A1898+1,0)</f>
        <v>46721</v>
      </c>
      <c r="C1898" s="36" t="n">
        <f aca="false">IF(MOD(YEAR(A1898),4)=0,366,365)</f>
        <v>365</v>
      </c>
      <c r="D1898" s="37" t="n">
        <f aca="false">Inputs!$B$9-SUMIFS(Cash_Events!$G$6:$G$20,Cash_Events!$C$6:$C$20,"rAGMF",Cash_Events!$B$6:$B$20,"&lt;="&amp;A1898)</f>
        <v>735000</v>
      </c>
      <c r="E1898" s="38" t="n">
        <f aca="false">VLOOKUP(A1898,Inputs!$A$40:$B$48,2,TRUE())</f>
        <v>0.0363225</v>
      </c>
      <c r="F1898" s="38" t="n">
        <f aca="false">E1898+Inputs!$B$10</f>
        <v>0.1038225</v>
      </c>
      <c r="G1898" s="37" t="n">
        <f aca="false">D1898*F1898/C1898</f>
        <v>209.067226027397</v>
      </c>
      <c r="H1898" s="37" t="n">
        <f aca="false">IF(AND(A1898&gt;=Inputs!$B$13,OR(A1898&lt;Inputs!$B$19,Inputs!$B$20=1)),D1898*Inputs!$B$11/C1898,0)</f>
        <v>40.2739726027397</v>
      </c>
      <c r="I1898" s="37" t="n">
        <f aca="false">Inputs!$C$9-SUMIFS(Cash_Events!$G$6:$G$20,Cash_Events!$C$6:$C$20,"FHL",Cash_Events!$B$6:$B$20,"&lt;="&amp;A1898)</f>
        <v>735000</v>
      </c>
      <c r="J1898" s="38" t="n">
        <f aca="false">VLOOKUP(A1898,Inputs!$F$40:$G$48,2,TRUE())</f>
        <v>0.0364054</v>
      </c>
      <c r="K1898" s="38" t="n">
        <f aca="false">J1898+Inputs!$C$10</f>
        <v>0.1039054</v>
      </c>
      <c r="L1898" s="37" t="n">
        <f aca="false">I1898*K1898/C1898</f>
        <v>209.234161643836</v>
      </c>
      <c r="M1898" s="37" t="n">
        <f aca="false">IF(AND(A1898&gt;=Inputs!$C$13,OR(A1898&lt;Inputs!$B$19,Inputs!$B$20=1)),I1898*Inputs!$C$11/C1898,0)</f>
        <v>40.2739726027397</v>
      </c>
    </row>
    <row r="1899" customFormat="false" ht="15" hidden="false" customHeight="false" outlineLevel="0" collapsed="false">
      <c r="A1899" s="35" t="n">
        <f aca="false">A1898+1</f>
        <v>46706</v>
      </c>
      <c r="B1899" s="35" t="n">
        <f aca="false">EOMONTH(A1899+1,0)</f>
        <v>46721</v>
      </c>
      <c r="C1899" s="36" t="n">
        <f aca="false">IF(MOD(YEAR(A1899),4)=0,366,365)</f>
        <v>365</v>
      </c>
      <c r="D1899" s="37" t="n">
        <f aca="false">Inputs!$B$9-SUMIFS(Cash_Events!$G$6:$G$20,Cash_Events!$C$6:$C$20,"rAGMF",Cash_Events!$B$6:$B$20,"&lt;="&amp;A1899)</f>
        <v>735000</v>
      </c>
      <c r="E1899" s="38" t="n">
        <f aca="false">VLOOKUP(A1899,Inputs!$A$40:$B$48,2,TRUE())</f>
        <v>0.0363225</v>
      </c>
      <c r="F1899" s="38" t="n">
        <f aca="false">E1899+Inputs!$B$10</f>
        <v>0.1038225</v>
      </c>
      <c r="G1899" s="37" t="n">
        <f aca="false">D1899*F1899/C1899</f>
        <v>209.067226027397</v>
      </c>
      <c r="H1899" s="37" t="n">
        <f aca="false">IF(AND(A1899&gt;=Inputs!$B$13,OR(A1899&lt;Inputs!$B$19,Inputs!$B$20=1)),D1899*Inputs!$B$11/C1899,0)</f>
        <v>40.2739726027397</v>
      </c>
      <c r="I1899" s="37" t="n">
        <f aca="false">Inputs!$C$9-SUMIFS(Cash_Events!$G$6:$G$20,Cash_Events!$C$6:$C$20,"FHL",Cash_Events!$B$6:$B$20,"&lt;="&amp;A1899)</f>
        <v>735000</v>
      </c>
      <c r="J1899" s="38" t="n">
        <f aca="false">VLOOKUP(A1899,Inputs!$F$40:$G$48,2,TRUE())</f>
        <v>0.0364054</v>
      </c>
      <c r="K1899" s="38" t="n">
        <f aca="false">J1899+Inputs!$C$10</f>
        <v>0.1039054</v>
      </c>
      <c r="L1899" s="37" t="n">
        <f aca="false">I1899*K1899/C1899</f>
        <v>209.234161643836</v>
      </c>
      <c r="M1899" s="37" t="n">
        <f aca="false">IF(AND(A1899&gt;=Inputs!$C$13,OR(A1899&lt;Inputs!$B$19,Inputs!$B$20=1)),I1899*Inputs!$C$11/C1899,0)</f>
        <v>40.2739726027397</v>
      </c>
    </row>
    <row r="1900" customFormat="false" ht="15" hidden="false" customHeight="false" outlineLevel="0" collapsed="false">
      <c r="A1900" s="35" t="n">
        <f aca="false">A1899+1</f>
        <v>46707</v>
      </c>
      <c r="B1900" s="35" t="n">
        <f aca="false">EOMONTH(A1900+1,0)</f>
        <v>46721</v>
      </c>
      <c r="C1900" s="36" t="n">
        <f aca="false">IF(MOD(YEAR(A1900),4)=0,366,365)</f>
        <v>365</v>
      </c>
      <c r="D1900" s="37" t="n">
        <f aca="false">Inputs!$B$9-SUMIFS(Cash_Events!$G$6:$G$20,Cash_Events!$C$6:$C$20,"rAGMF",Cash_Events!$B$6:$B$20,"&lt;="&amp;A1900)</f>
        <v>735000</v>
      </c>
      <c r="E1900" s="38" t="n">
        <f aca="false">VLOOKUP(A1900,Inputs!$A$40:$B$48,2,TRUE())</f>
        <v>0.0363225</v>
      </c>
      <c r="F1900" s="38" t="n">
        <f aca="false">E1900+Inputs!$B$10</f>
        <v>0.1038225</v>
      </c>
      <c r="G1900" s="37" t="n">
        <f aca="false">D1900*F1900/C1900</f>
        <v>209.067226027397</v>
      </c>
      <c r="H1900" s="37" t="n">
        <f aca="false">IF(AND(A1900&gt;=Inputs!$B$13,OR(A1900&lt;Inputs!$B$19,Inputs!$B$20=1)),D1900*Inputs!$B$11/C1900,0)</f>
        <v>40.2739726027397</v>
      </c>
      <c r="I1900" s="37" t="n">
        <f aca="false">Inputs!$C$9-SUMIFS(Cash_Events!$G$6:$G$20,Cash_Events!$C$6:$C$20,"FHL",Cash_Events!$B$6:$B$20,"&lt;="&amp;A1900)</f>
        <v>735000</v>
      </c>
      <c r="J1900" s="38" t="n">
        <f aca="false">VLOOKUP(A1900,Inputs!$F$40:$G$48,2,TRUE())</f>
        <v>0.0364054</v>
      </c>
      <c r="K1900" s="38" t="n">
        <f aca="false">J1900+Inputs!$C$10</f>
        <v>0.1039054</v>
      </c>
      <c r="L1900" s="37" t="n">
        <f aca="false">I1900*K1900/C1900</f>
        <v>209.234161643836</v>
      </c>
      <c r="M1900" s="37" t="n">
        <f aca="false">IF(AND(A1900&gt;=Inputs!$C$13,OR(A1900&lt;Inputs!$B$19,Inputs!$B$20=1)),I1900*Inputs!$C$11/C1900,0)</f>
        <v>40.2739726027397</v>
      </c>
    </row>
    <row r="1901" customFormat="false" ht="15" hidden="false" customHeight="false" outlineLevel="0" collapsed="false">
      <c r="A1901" s="35" t="n">
        <f aca="false">A1900+1</f>
        <v>46708</v>
      </c>
      <c r="B1901" s="35" t="n">
        <f aca="false">EOMONTH(A1901+1,0)</f>
        <v>46721</v>
      </c>
      <c r="C1901" s="36" t="n">
        <f aca="false">IF(MOD(YEAR(A1901),4)=0,366,365)</f>
        <v>365</v>
      </c>
      <c r="D1901" s="37" t="n">
        <f aca="false">Inputs!$B$9-SUMIFS(Cash_Events!$G$6:$G$20,Cash_Events!$C$6:$C$20,"rAGMF",Cash_Events!$B$6:$B$20,"&lt;="&amp;A1901)</f>
        <v>735000</v>
      </c>
      <c r="E1901" s="38" t="n">
        <f aca="false">VLOOKUP(A1901,Inputs!$A$40:$B$48,2,TRUE())</f>
        <v>0.0363225</v>
      </c>
      <c r="F1901" s="38" t="n">
        <f aca="false">E1901+Inputs!$B$10</f>
        <v>0.1038225</v>
      </c>
      <c r="G1901" s="37" t="n">
        <f aca="false">D1901*F1901/C1901</f>
        <v>209.067226027397</v>
      </c>
      <c r="H1901" s="37" t="n">
        <f aca="false">IF(AND(A1901&gt;=Inputs!$B$13,OR(A1901&lt;Inputs!$B$19,Inputs!$B$20=1)),D1901*Inputs!$B$11/C1901,0)</f>
        <v>40.2739726027397</v>
      </c>
      <c r="I1901" s="37" t="n">
        <f aca="false">Inputs!$C$9-SUMIFS(Cash_Events!$G$6:$G$20,Cash_Events!$C$6:$C$20,"FHL",Cash_Events!$B$6:$B$20,"&lt;="&amp;A1901)</f>
        <v>735000</v>
      </c>
      <c r="J1901" s="38" t="n">
        <f aca="false">VLOOKUP(A1901,Inputs!$F$40:$G$48,2,TRUE())</f>
        <v>0.0364054</v>
      </c>
      <c r="K1901" s="38" t="n">
        <f aca="false">J1901+Inputs!$C$10</f>
        <v>0.1039054</v>
      </c>
      <c r="L1901" s="37" t="n">
        <f aca="false">I1901*K1901/C1901</f>
        <v>209.234161643836</v>
      </c>
      <c r="M1901" s="37" t="n">
        <f aca="false">IF(AND(A1901&gt;=Inputs!$C$13,OR(A1901&lt;Inputs!$B$19,Inputs!$B$20=1)),I1901*Inputs!$C$11/C1901,0)</f>
        <v>40.2739726027397</v>
      </c>
    </row>
    <row r="1902" customFormat="false" ht="15" hidden="false" customHeight="false" outlineLevel="0" collapsed="false">
      <c r="A1902" s="35" t="n">
        <f aca="false">A1901+1</f>
        <v>46709</v>
      </c>
      <c r="B1902" s="35" t="n">
        <f aca="false">EOMONTH(A1902+1,0)</f>
        <v>46721</v>
      </c>
      <c r="C1902" s="36" t="n">
        <f aca="false">IF(MOD(YEAR(A1902),4)=0,366,365)</f>
        <v>365</v>
      </c>
      <c r="D1902" s="37" t="n">
        <f aca="false">Inputs!$B$9-SUMIFS(Cash_Events!$G$6:$G$20,Cash_Events!$C$6:$C$20,"rAGMF",Cash_Events!$B$6:$B$20,"&lt;="&amp;A1902)</f>
        <v>735000</v>
      </c>
      <c r="E1902" s="38" t="n">
        <f aca="false">VLOOKUP(A1902,Inputs!$A$40:$B$48,2,TRUE())</f>
        <v>0.0363225</v>
      </c>
      <c r="F1902" s="38" t="n">
        <f aca="false">E1902+Inputs!$B$10</f>
        <v>0.1038225</v>
      </c>
      <c r="G1902" s="37" t="n">
        <f aca="false">D1902*F1902/C1902</f>
        <v>209.067226027397</v>
      </c>
      <c r="H1902" s="37" t="n">
        <f aca="false">IF(AND(A1902&gt;=Inputs!$B$13,OR(A1902&lt;Inputs!$B$19,Inputs!$B$20=1)),D1902*Inputs!$B$11/C1902,0)</f>
        <v>40.2739726027397</v>
      </c>
      <c r="I1902" s="37" t="n">
        <f aca="false">Inputs!$C$9-SUMIFS(Cash_Events!$G$6:$G$20,Cash_Events!$C$6:$C$20,"FHL",Cash_Events!$B$6:$B$20,"&lt;="&amp;A1902)</f>
        <v>735000</v>
      </c>
      <c r="J1902" s="38" t="n">
        <f aca="false">VLOOKUP(A1902,Inputs!$F$40:$G$48,2,TRUE())</f>
        <v>0.0364054</v>
      </c>
      <c r="K1902" s="38" t="n">
        <f aca="false">J1902+Inputs!$C$10</f>
        <v>0.1039054</v>
      </c>
      <c r="L1902" s="37" t="n">
        <f aca="false">I1902*K1902/C1902</f>
        <v>209.234161643836</v>
      </c>
      <c r="M1902" s="37" t="n">
        <f aca="false">IF(AND(A1902&gt;=Inputs!$C$13,OR(A1902&lt;Inputs!$B$19,Inputs!$B$20=1)),I1902*Inputs!$C$11/C1902,0)</f>
        <v>40.2739726027397</v>
      </c>
    </row>
    <row r="1903" customFormat="false" ht="15" hidden="false" customHeight="false" outlineLevel="0" collapsed="false">
      <c r="A1903" s="35" t="n">
        <f aca="false">A1902+1</f>
        <v>46710</v>
      </c>
      <c r="B1903" s="35" t="n">
        <f aca="false">EOMONTH(A1903+1,0)</f>
        <v>46721</v>
      </c>
      <c r="C1903" s="36" t="n">
        <f aca="false">IF(MOD(YEAR(A1903),4)=0,366,365)</f>
        <v>365</v>
      </c>
      <c r="D1903" s="37" t="n">
        <f aca="false">Inputs!$B$9-SUMIFS(Cash_Events!$G$6:$G$20,Cash_Events!$C$6:$C$20,"rAGMF",Cash_Events!$B$6:$B$20,"&lt;="&amp;A1903)</f>
        <v>735000</v>
      </c>
      <c r="E1903" s="38" t="n">
        <f aca="false">VLOOKUP(A1903,Inputs!$A$40:$B$48,2,TRUE())</f>
        <v>0.0363225</v>
      </c>
      <c r="F1903" s="38" t="n">
        <f aca="false">E1903+Inputs!$B$10</f>
        <v>0.1038225</v>
      </c>
      <c r="G1903" s="37" t="n">
        <f aca="false">D1903*F1903/C1903</f>
        <v>209.067226027397</v>
      </c>
      <c r="H1903" s="37" t="n">
        <f aca="false">IF(AND(A1903&gt;=Inputs!$B$13,OR(A1903&lt;Inputs!$B$19,Inputs!$B$20=1)),D1903*Inputs!$B$11/C1903,0)</f>
        <v>40.2739726027397</v>
      </c>
      <c r="I1903" s="37" t="n">
        <f aca="false">Inputs!$C$9-SUMIFS(Cash_Events!$G$6:$G$20,Cash_Events!$C$6:$C$20,"FHL",Cash_Events!$B$6:$B$20,"&lt;="&amp;A1903)</f>
        <v>735000</v>
      </c>
      <c r="J1903" s="38" t="n">
        <f aca="false">VLOOKUP(A1903,Inputs!$F$40:$G$48,2,TRUE())</f>
        <v>0.0364054</v>
      </c>
      <c r="K1903" s="38" t="n">
        <f aca="false">J1903+Inputs!$C$10</f>
        <v>0.1039054</v>
      </c>
      <c r="L1903" s="37" t="n">
        <f aca="false">I1903*K1903/C1903</f>
        <v>209.234161643836</v>
      </c>
      <c r="M1903" s="37" t="n">
        <f aca="false">IF(AND(A1903&gt;=Inputs!$C$13,OR(A1903&lt;Inputs!$B$19,Inputs!$B$20=1)),I1903*Inputs!$C$11/C1903,0)</f>
        <v>40.2739726027397</v>
      </c>
    </row>
    <row r="1904" customFormat="false" ht="15" hidden="false" customHeight="false" outlineLevel="0" collapsed="false">
      <c r="A1904" s="35" t="n">
        <f aca="false">A1903+1</f>
        <v>46711</v>
      </c>
      <c r="B1904" s="35" t="n">
        <f aca="false">EOMONTH(A1904+1,0)</f>
        <v>46721</v>
      </c>
      <c r="C1904" s="36" t="n">
        <f aca="false">IF(MOD(YEAR(A1904),4)=0,366,365)</f>
        <v>365</v>
      </c>
      <c r="D1904" s="37" t="n">
        <f aca="false">Inputs!$B$9-SUMIFS(Cash_Events!$G$6:$G$20,Cash_Events!$C$6:$C$20,"rAGMF",Cash_Events!$B$6:$B$20,"&lt;="&amp;A1904)</f>
        <v>735000</v>
      </c>
      <c r="E1904" s="38" t="n">
        <f aca="false">VLOOKUP(A1904,Inputs!$A$40:$B$48,2,TRUE())</f>
        <v>0.0363225</v>
      </c>
      <c r="F1904" s="38" t="n">
        <f aca="false">E1904+Inputs!$B$10</f>
        <v>0.1038225</v>
      </c>
      <c r="G1904" s="37" t="n">
        <f aca="false">D1904*F1904/C1904</f>
        <v>209.067226027397</v>
      </c>
      <c r="H1904" s="37" t="n">
        <f aca="false">IF(AND(A1904&gt;=Inputs!$B$13,OR(A1904&lt;Inputs!$B$19,Inputs!$B$20=1)),D1904*Inputs!$B$11/C1904,0)</f>
        <v>40.2739726027397</v>
      </c>
      <c r="I1904" s="37" t="n">
        <f aca="false">Inputs!$C$9-SUMIFS(Cash_Events!$G$6:$G$20,Cash_Events!$C$6:$C$20,"FHL",Cash_Events!$B$6:$B$20,"&lt;="&amp;A1904)</f>
        <v>735000</v>
      </c>
      <c r="J1904" s="38" t="n">
        <f aca="false">VLOOKUP(A1904,Inputs!$F$40:$G$48,2,TRUE())</f>
        <v>0.0364054</v>
      </c>
      <c r="K1904" s="38" t="n">
        <f aca="false">J1904+Inputs!$C$10</f>
        <v>0.1039054</v>
      </c>
      <c r="L1904" s="37" t="n">
        <f aca="false">I1904*K1904/C1904</f>
        <v>209.234161643836</v>
      </c>
      <c r="M1904" s="37" t="n">
        <f aca="false">IF(AND(A1904&gt;=Inputs!$C$13,OR(A1904&lt;Inputs!$B$19,Inputs!$B$20=1)),I1904*Inputs!$C$11/C1904,0)</f>
        <v>40.2739726027397</v>
      </c>
    </row>
    <row r="1905" customFormat="false" ht="15" hidden="false" customHeight="false" outlineLevel="0" collapsed="false">
      <c r="A1905" s="35" t="n">
        <f aca="false">A1904+1</f>
        <v>46712</v>
      </c>
      <c r="B1905" s="35" t="n">
        <f aca="false">EOMONTH(A1905+1,0)</f>
        <v>46721</v>
      </c>
      <c r="C1905" s="36" t="n">
        <f aca="false">IF(MOD(YEAR(A1905),4)=0,366,365)</f>
        <v>365</v>
      </c>
      <c r="D1905" s="37" t="n">
        <f aca="false">Inputs!$B$9-SUMIFS(Cash_Events!$G$6:$G$20,Cash_Events!$C$6:$C$20,"rAGMF",Cash_Events!$B$6:$B$20,"&lt;="&amp;A1905)</f>
        <v>735000</v>
      </c>
      <c r="E1905" s="38" t="n">
        <f aca="false">VLOOKUP(A1905,Inputs!$A$40:$B$48,2,TRUE())</f>
        <v>0.0363225</v>
      </c>
      <c r="F1905" s="38" t="n">
        <f aca="false">E1905+Inputs!$B$10</f>
        <v>0.1038225</v>
      </c>
      <c r="G1905" s="37" t="n">
        <f aca="false">D1905*F1905/C1905</f>
        <v>209.067226027397</v>
      </c>
      <c r="H1905" s="37" t="n">
        <f aca="false">IF(AND(A1905&gt;=Inputs!$B$13,OR(A1905&lt;Inputs!$B$19,Inputs!$B$20=1)),D1905*Inputs!$B$11/C1905,0)</f>
        <v>40.2739726027397</v>
      </c>
      <c r="I1905" s="37" t="n">
        <f aca="false">Inputs!$C$9-SUMIFS(Cash_Events!$G$6:$G$20,Cash_Events!$C$6:$C$20,"FHL",Cash_Events!$B$6:$B$20,"&lt;="&amp;A1905)</f>
        <v>735000</v>
      </c>
      <c r="J1905" s="38" t="n">
        <f aca="false">VLOOKUP(A1905,Inputs!$F$40:$G$48,2,TRUE())</f>
        <v>0.0364054</v>
      </c>
      <c r="K1905" s="38" t="n">
        <f aca="false">J1905+Inputs!$C$10</f>
        <v>0.1039054</v>
      </c>
      <c r="L1905" s="37" t="n">
        <f aca="false">I1905*K1905/C1905</f>
        <v>209.234161643836</v>
      </c>
      <c r="M1905" s="37" t="n">
        <f aca="false">IF(AND(A1905&gt;=Inputs!$C$13,OR(A1905&lt;Inputs!$B$19,Inputs!$B$20=1)),I1905*Inputs!$C$11/C1905,0)</f>
        <v>40.2739726027397</v>
      </c>
    </row>
    <row r="1906" customFormat="false" ht="15" hidden="false" customHeight="false" outlineLevel="0" collapsed="false">
      <c r="A1906" s="35" t="n">
        <f aca="false">A1905+1</f>
        <v>46713</v>
      </c>
      <c r="B1906" s="35" t="n">
        <f aca="false">EOMONTH(A1906+1,0)</f>
        <v>46721</v>
      </c>
      <c r="C1906" s="36" t="n">
        <f aca="false">IF(MOD(YEAR(A1906),4)=0,366,365)</f>
        <v>365</v>
      </c>
      <c r="D1906" s="37" t="n">
        <f aca="false">Inputs!$B$9-SUMIFS(Cash_Events!$G$6:$G$20,Cash_Events!$C$6:$C$20,"rAGMF",Cash_Events!$B$6:$B$20,"&lt;="&amp;A1906)</f>
        <v>735000</v>
      </c>
      <c r="E1906" s="38" t="n">
        <f aca="false">VLOOKUP(A1906,Inputs!$A$40:$B$48,2,TRUE())</f>
        <v>0.0363225</v>
      </c>
      <c r="F1906" s="38" t="n">
        <f aca="false">E1906+Inputs!$B$10</f>
        <v>0.1038225</v>
      </c>
      <c r="G1906" s="37" t="n">
        <f aca="false">D1906*F1906/C1906</f>
        <v>209.067226027397</v>
      </c>
      <c r="H1906" s="37" t="n">
        <f aca="false">IF(AND(A1906&gt;=Inputs!$B$13,OR(A1906&lt;Inputs!$B$19,Inputs!$B$20=1)),D1906*Inputs!$B$11/C1906,0)</f>
        <v>40.2739726027397</v>
      </c>
      <c r="I1906" s="37" t="n">
        <f aca="false">Inputs!$C$9-SUMIFS(Cash_Events!$G$6:$G$20,Cash_Events!$C$6:$C$20,"FHL",Cash_Events!$B$6:$B$20,"&lt;="&amp;A1906)</f>
        <v>735000</v>
      </c>
      <c r="J1906" s="38" t="n">
        <f aca="false">VLOOKUP(A1906,Inputs!$F$40:$G$48,2,TRUE())</f>
        <v>0.0364054</v>
      </c>
      <c r="K1906" s="38" t="n">
        <f aca="false">J1906+Inputs!$C$10</f>
        <v>0.1039054</v>
      </c>
      <c r="L1906" s="37" t="n">
        <f aca="false">I1906*K1906/C1906</f>
        <v>209.234161643836</v>
      </c>
      <c r="M1906" s="37" t="n">
        <f aca="false">IF(AND(A1906&gt;=Inputs!$C$13,OR(A1906&lt;Inputs!$B$19,Inputs!$B$20=1)),I1906*Inputs!$C$11/C1906,0)</f>
        <v>40.2739726027397</v>
      </c>
    </row>
    <row r="1907" customFormat="false" ht="15" hidden="false" customHeight="false" outlineLevel="0" collapsed="false">
      <c r="A1907" s="35" t="n">
        <f aca="false">A1906+1</f>
        <v>46714</v>
      </c>
      <c r="B1907" s="35" t="n">
        <f aca="false">EOMONTH(A1907+1,0)</f>
        <v>46721</v>
      </c>
      <c r="C1907" s="36" t="n">
        <f aca="false">IF(MOD(YEAR(A1907),4)=0,366,365)</f>
        <v>365</v>
      </c>
      <c r="D1907" s="37" t="n">
        <f aca="false">Inputs!$B$9-SUMIFS(Cash_Events!$G$6:$G$20,Cash_Events!$C$6:$C$20,"rAGMF",Cash_Events!$B$6:$B$20,"&lt;="&amp;A1907)</f>
        <v>735000</v>
      </c>
      <c r="E1907" s="38" t="n">
        <f aca="false">VLOOKUP(A1907,Inputs!$A$40:$B$48,2,TRUE())</f>
        <v>0.0363225</v>
      </c>
      <c r="F1907" s="38" t="n">
        <f aca="false">E1907+Inputs!$B$10</f>
        <v>0.1038225</v>
      </c>
      <c r="G1907" s="37" t="n">
        <f aca="false">D1907*F1907/C1907</f>
        <v>209.067226027397</v>
      </c>
      <c r="H1907" s="37" t="n">
        <f aca="false">IF(AND(A1907&gt;=Inputs!$B$13,OR(A1907&lt;Inputs!$B$19,Inputs!$B$20=1)),D1907*Inputs!$B$11/C1907,0)</f>
        <v>40.2739726027397</v>
      </c>
      <c r="I1907" s="37" t="n">
        <f aca="false">Inputs!$C$9-SUMIFS(Cash_Events!$G$6:$G$20,Cash_Events!$C$6:$C$20,"FHL",Cash_Events!$B$6:$B$20,"&lt;="&amp;A1907)</f>
        <v>735000</v>
      </c>
      <c r="J1907" s="38" t="n">
        <f aca="false">VLOOKUP(A1907,Inputs!$F$40:$G$48,2,TRUE())</f>
        <v>0.0364054</v>
      </c>
      <c r="K1907" s="38" t="n">
        <f aca="false">J1907+Inputs!$C$10</f>
        <v>0.1039054</v>
      </c>
      <c r="L1907" s="37" t="n">
        <f aca="false">I1907*K1907/C1907</f>
        <v>209.234161643836</v>
      </c>
      <c r="M1907" s="37" t="n">
        <f aca="false">IF(AND(A1907&gt;=Inputs!$C$13,OR(A1907&lt;Inputs!$B$19,Inputs!$B$20=1)),I1907*Inputs!$C$11/C1907,0)</f>
        <v>40.2739726027397</v>
      </c>
    </row>
    <row r="1908" customFormat="false" ht="15" hidden="false" customHeight="false" outlineLevel="0" collapsed="false">
      <c r="A1908" s="35" t="n">
        <f aca="false">A1907+1</f>
        <v>46715</v>
      </c>
      <c r="B1908" s="35" t="n">
        <f aca="false">EOMONTH(A1908+1,0)</f>
        <v>46721</v>
      </c>
      <c r="C1908" s="36" t="n">
        <f aca="false">IF(MOD(YEAR(A1908),4)=0,366,365)</f>
        <v>365</v>
      </c>
      <c r="D1908" s="37" t="n">
        <f aca="false">Inputs!$B$9-SUMIFS(Cash_Events!$G$6:$G$20,Cash_Events!$C$6:$C$20,"rAGMF",Cash_Events!$B$6:$B$20,"&lt;="&amp;A1908)</f>
        <v>735000</v>
      </c>
      <c r="E1908" s="38" t="n">
        <f aca="false">VLOOKUP(A1908,Inputs!$A$40:$B$48,2,TRUE())</f>
        <v>0.0363225</v>
      </c>
      <c r="F1908" s="38" t="n">
        <f aca="false">E1908+Inputs!$B$10</f>
        <v>0.1038225</v>
      </c>
      <c r="G1908" s="37" t="n">
        <f aca="false">D1908*F1908/C1908</f>
        <v>209.067226027397</v>
      </c>
      <c r="H1908" s="37" t="n">
        <f aca="false">IF(AND(A1908&gt;=Inputs!$B$13,OR(A1908&lt;Inputs!$B$19,Inputs!$B$20=1)),D1908*Inputs!$B$11/C1908,0)</f>
        <v>40.2739726027397</v>
      </c>
      <c r="I1908" s="37" t="n">
        <f aca="false">Inputs!$C$9-SUMIFS(Cash_Events!$G$6:$G$20,Cash_Events!$C$6:$C$20,"FHL",Cash_Events!$B$6:$B$20,"&lt;="&amp;A1908)</f>
        <v>735000</v>
      </c>
      <c r="J1908" s="38" t="n">
        <f aca="false">VLOOKUP(A1908,Inputs!$F$40:$G$48,2,TRUE())</f>
        <v>0.0364054</v>
      </c>
      <c r="K1908" s="38" t="n">
        <f aca="false">J1908+Inputs!$C$10</f>
        <v>0.1039054</v>
      </c>
      <c r="L1908" s="37" t="n">
        <f aca="false">I1908*K1908/C1908</f>
        <v>209.234161643836</v>
      </c>
      <c r="M1908" s="37" t="n">
        <f aca="false">IF(AND(A1908&gt;=Inputs!$C$13,OR(A1908&lt;Inputs!$B$19,Inputs!$B$20=1)),I1908*Inputs!$C$11/C1908,0)</f>
        <v>40.2739726027397</v>
      </c>
    </row>
    <row r="1909" customFormat="false" ht="15" hidden="false" customHeight="false" outlineLevel="0" collapsed="false">
      <c r="A1909" s="35" t="n">
        <f aca="false">A1908+1</f>
        <v>46716</v>
      </c>
      <c r="B1909" s="35" t="n">
        <f aca="false">EOMONTH(A1909+1,0)</f>
        <v>46721</v>
      </c>
      <c r="C1909" s="36" t="n">
        <f aca="false">IF(MOD(YEAR(A1909),4)=0,366,365)</f>
        <v>365</v>
      </c>
      <c r="D1909" s="37" t="n">
        <f aca="false">Inputs!$B$9-SUMIFS(Cash_Events!$G$6:$G$20,Cash_Events!$C$6:$C$20,"rAGMF",Cash_Events!$B$6:$B$20,"&lt;="&amp;A1909)</f>
        <v>735000</v>
      </c>
      <c r="E1909" s="38" t="n">
        <f aca="false">VLOOKUP(A1909,Inputs!$A$40:$B$48,2,TRUE())</f>
        <v>0.0363225</v>
      </c>
      <c r="F1909" s="38" t="n">
        <f aca="false">E1909+Inputs!$B$10</f>
        <v>0.1038225</v>
      </c>
      <c r="G1909" s="37" t="n">
        <f aca="false">D1909*F1909/C1909</f>
        <v>209.067226027397</v>
      </c>
      <c r="H1909" s="37" t="n">
        <f aca="false">IF(AND(A1909&gt;=Inputs!$B$13,OR(A1909&lt;Inputs!$B$19,Inputs!$B$20=1)),D1909*Inputs!$B$11/C1909,0)</f>
        <v>40.2739726027397</v>
      </c>
      <c r="I1909" s="37" t="n">
        <f aca="false">Inputs!$C$9-SUMIFS(Cash_Events!$G$6:$G$20,Cash_Events!$C$6:$C$20,"FHL",Cash_Events!$B$6:$B$20,"&lt;="&amp;A1909)</f>
        <v>735000</v>
      </c>
      <c r="J1909" s="38" t="n">
        <f aca="false">VLOOKUP(A1909,Inputs!$F$40:$G$48,2,TRUE())</f>
        <v>0.0364054</v>
      </c>
      <c r="K1909" s="38" t="n">
        <f aca="false">J1909+Inputs!$C$10</f>
        <v>0.1039054</v>
      </c>
      <c r="L1909" s="37" t="n">
        <f aca="false">I1909*K1909/C1909</f>
        <v>209.234161643836</v>
      </c>
      <c r="M1909" s="37" t="n">
        <f aca="false">IF(AND(A1909&gt;=Inputs!$C$13,OR(A1909&lt;Inputs!$B$19,Inputs!$B$20=1)),I1909*Inputs!$C$11/C1909,0)</f>
        <v>40.2739726027397</v>
      </c>
    </row>
    <row r="1910" customFormat="false" ht="15" hidden="false" customHeight="false" outlineLevel="0" collapsed="false">
      <c r="A1910" s="35" t="n">
        <f aca="false">A1909+1</f>
        <v>46717</v>
      </c>
      <c r="B1910" s="35" t="n">
        <f aca="false">EOMONTH(A1910+1,0)</f>
        <v>46721</v>
      </c>
      <c r="C1910" s="36" t="n">
        <f aca="false">IF(MOD(YEAR(A1910),4)=0,366,365)</f>
        <v>365</v>
      </c>
      <c r="D1910" s="37" t="n">
        <f aca="false">Inputs!$B$9-SUMIFS(Cash_Events!$G$6:$G$20,Cash_Events!$C$6:$C$20,"rAGMF",Cash_Events!$B$6:$B$20,"&lt;="&amp;A1910)</f>
        <v>735000</v>
      </c>
      <c r="E1910" s="38" t="n">
        <f aca="false">VLOOKUP(A1910,Inputs!$A$40:$B$48,2,TRUE())</f>
        <v>0.0363225</v>
      </c>
      <c r="F1910" s="38" t="n">
        <f aca="false">E1910+Inputs!$B$10</f>
        <v>0.1038225</v>
      </c>
      <c r="G1910" s="37" t="n">
        <f aca="false">D1910*F1910/C1910</f>
        <v>209.067226027397</v>
      </c>
      <c r="H1910" s="37" t="n">
        <f aca="false">IF(AND(A1910&gt;=Inputs!$B$13,OR(A1910&lt;Inputs!$B$19,Inputs!$B$20=1)),D1910*Inputs!$B$11/C1910,0)</f>
        <v>40.2739726027397</v>
      </c>
      <c r="I1910" s="37" t="n">
        <f aca="false">Inputs!$C$9-SUMIFS(Cash_Events!$G$6:$G$20,Cash_Events!$C$6:$C$20,"FHL",Cash_Events!$B$6:$B$20,"&lt;="&amp;A1910)</f>
        <v>735000</v>
      </c>
      <c r="J1910" s="38" t="n">
        <f aca="false">VLOOKUP(A1910,Inputs!$F$40:$G$48,2,TRUE())</f>
        <v>0.0364054</v>
      </c>
      <c r="K1910" s="38" t="n">
        <f aca="false">J1910+Inputs!$C$10</f>
        <v>0.1039054</v>
      </c>
      <c r="L1910" s="37" t="n">
        <f aca="false">I1910*K1910/C1910</f>
        <v>209.234161643836</v>
      </c>
      <c r="M1910" s="37" t="n">
        <f aca="false">IF(AND(A1910&gt;=Inputs!$C$13,OR(A1910&lt;Inputs!$B$19,Inputs!$B$20=1)),I1910*Inputs!$C$11/C1910,0)</f>
        <v>40.2739726027397</v>
      </c>
    </row>
    <row r="1911" customFormat="false" ht="15" hidden="false" customHeight="false" outlineLevel="0" collapsed="false">
      <c r="A1911" s="35" t="n">
        <f aca="false">A1910+1</f>
        <v>46718</v>
      </c>
      <c r="B1911" s="35" t="n">
        <f aca="false">EOMONTH(A1911+1,0)</f>
        <v>46721</v>
      </c>
      <c r="C1911" s="36" t="n">
        <f aca="false">IF(MOD(YEAR(A1911),4)=0,366,365)</f>
        <v>365</v>
      </c>
      <c r="D1911" s="37" t="n">
        <f aca="false">Inputs!$B$9-SUMIFS(Cash_Events!$G$6:$G$20,Cash_Events!$C$6:$C$20,"rAGMF",Cash_Events!$B$6:$B$20,"&lt;="&amp;A1911)</f>
        <v>735000</v>
      </c>
      <c r="E1911" s="38" t="n">
        <f aca="false">VLOOKUP(A1911,Inputs!$A$40:$B$48,2,TRUE())</f>
        <v>0.0363225</v>
      </c>
      <c r="F1911" s="38" t="n">
        <f aca="false">E1911+Inputs!$B$10</f>
        <v>0.1038225</v>
      </c>
      <c r="G1911" s="37" t="n">
        <f aca="false">D1911*F1911/C1911</f>
        <v>209.067226027397</v>
      </c>
      <c r="H1911" s="37" t="n">
        <f aca="false">IF(AND(A1911&gt;=Inputs!$B$13,OR(A1911&lt;Inputs!$B$19,Inputs!$B$20=1)),D1911*Inputs!$B$11/C1911,0)</f>
        <v>40.2739726027397</v>
      </c>
      <c r="I1911" s="37" t="n">
        <f aca="false">Inputs!$C$9-SUMIFS(Cash_Events!$G$6:$G$20,Cash_Events!$C$6:$C$20,"FHL",Cash_Events!$B$6:$B$20,"&lt;="&amp;A1911)</f>
        <v>735000</v>
      </c>
      <c r="J1911" s="38" t="n">
        <f aca="false">VLOOKUP(A1911,Inputs!$F$40:$G$48,2,TRUE())</f>
        <v>0.0364054</v>
      </c>
      <c r="K1911" s="38" t="n">
        <f aca="false">J1911+Inputs!$C$10</f>
        <v>0.1039054</v>
      </c>
      <c r="L1911" s="37" t="n">
        <f aca="false">I1911*K1911/C1911</f>
        <v>209.234161643836</v>
      </c>
      <c r="M1911" s="37" t="n">
        <f aca="false">IF(AND(A1911&gt;=Inputs!$C$13,OR(A1911&lt;Inputs!$B$19,Inputs!$B$20=1)),I1911*Inputs!$C$11/C1911,0)</f>
        <v>40.2739726027397</v>
      </c>
    </row>
    <row r="1912" customFormat="false" ht="15" hidden="false" customHeight="false" outlineLevel="0" collapsed="false">
      <c r="A1912" s="35" t="n">
        <f aca="false">A1911+1</f>
        <v>46719</v>
      </c>
      <c r="B1912" s="35" t="n">
        <f aca="false">EOMONTH(A1912+1,0)</f>
        <v>46721</v>
      </c>
      <c r="C1912" s="36" t="n">
        <f aca="false">IF(MOD(YEAR(A1912),4)=0,366,365)</f>
        <v>365</v>
      </c>
      <c r="D1912" s="37" t="n">
        <f aca="false">Inputs!$B$9-SUMIFS(Cash_Events!$G$6:$G$20,Cash_Events!$C$6:$C$20,"rAGMF",Cash_Events!$B$6:$B$20,"&lt;="&amp;A1912)</f>
        <v>735000</v>
      </c>
      <c r="E1912" s="38" t="n">
        <f aca="false">VLOOKUP(A1912,Inputs!$A$40:$B$48,2,TRUE())</f>
        <v>0.0363225</v>
      </c>
      <c r="F1912" s="38" t="n">
        <f aca="false">E1912+Inputs!$B$10</f>
        <v>0.1038225</v>
      </c>
      <c r="G1912" s="37" t="n">
        <f aca="false">D1912*F1912/C1912</f>
        <v>209.067226027397</v>
      </c>
      <c r="H1912" s="37" t="n">
        <f aca="false">IF(AND(A1912&gt;=Inputs!$B$13,OR(A1912&lt;Inputs!$B$19,Inputs!$B$20=1)),D1912*Inputs!$B$11/C1912,0)</f>
        <v>40.2739726027397</v>
      </c>
      <c r="I1912" s="37" t="n">
        <f aca="false">Inputs!$C$9-SUMIFS(Cash_Events!$G$6:$G$20,Cash_Events!$C$6:$C$20,"FHL",Cash_Events!$B$6:$B$20,"&lt;="&amp;A1912)</f>
        <v>735000</v>
      </c>
      <c r="J1912" s="38" t="n">
        <f aca="false">VLOOKUP(A1912,Inputs!$F$40:$G$48,2,TRUE())</f>
        <v>0.0364054</v>
      </c>
      <c r="K1912" s="38" t="n">
        <f aca="false">J1912+Inputs!$C$10</f>
        <v>0.1039054</v>
      </c>
      <c r="L1912" s="37" t="n">
        <f aca="false">I1912*K1912/C1912</f>
        <v>209.234161643836</v>
      </c>
      <c r="M1912" s="37" t="n">
        <f aca="false">IF(AND(A1912&gt;=Inputs!$C$13,OR(A1912&lt;Inputs!$B$19,Inputs!$B$20=1)),I1912*Inputs!$C$11/C1912,0)</f>
        <v>40.2739726027397</v>
      </c>
    </row>
    <row r="1913" customFormat="false" ht="15" hidden="false" customHeight="false" outlineLevel="0" collapsed="false">
      <c r="A1913" s="35" t="n">
        <f aca="false">A1912+1</f>
        <v>46720</v>
      </c>
      <c r="B1913" s="35" t="n">
        <f aca="false">EOMONTH(A1913+1,0)</f>
        <v>46721</v>
      </c>
      <c r="C1913" s="36" t="n">
        <f aca="false">IF(MOD(YEAR(A1913),4)=0,366,365)</f>
        <v>365</v>
      </c>
      <c r="D1913" s="37" t="n">
        <f aca="false">Inputs!$B$9-SUMIFS(Cash_Events!$G$6:$G$20,Cash_Events!$C$6:$C$20,"rAGMF",Cash_Events!$B$6:$B$20,"&lt;="&amp;A1913)</f>
        <v>735000</v>
      </c>
      <c r="E1913" s="38" t="n">
        <f aca="false">VLOOKUP(A1913,Inputs!$A$40:$B$48,2,TRUE())</f>
        <v>0.0363225</v>
      </c>
      <c r="F1913" s="38" t="n">
        <f aca="false">E1913+Inputs!$B$10</f>
        <v>0.1038225</v>
      </c>
      <c r="G1913" s="37" t="n">
        <f aca="false">D1913*F1913/C1913</f>
        <v>209.067226027397</v>
      </c>
      <c r="H1913" s="37" t="n">
        <f aca="false">IF(AND(A1913&gt;=Inputs!$B$13,OR(A1913&lt;Inputs!$B$19,Inputs!$B$20=1)),D1913*Inputs!$B$11/C1913,0)</f>
        <v>40.2739726027397</v>
      </c>
      <c r="I1913" s="37" t="n">
        <f aca="false">Inputs!$C$9-SUMIFS(Cash_Events!$G$6:$G$20,Cash_Events!$C$6:$C$20,"FHL",Cash_Events!$B$6:$B$20,"&lt;="&amp;A1913)</f>
        <v>735000</v>
      </c>
      <c r="J1913" s="38" t="n">
        <f aca="false">VLOOKUP(A1913,Inputs!$F$40:$G$48,2,TRUE())</f>
        <v>0.0364054</v>
      </c>
      <c r="K1913" s="38" t="n">
        <f aca="false">J1913+Inputs!$C$10</f>
        <v>0.1039054</v>
      </c>
      <c r="L1913" s="37" t="n">
        <f aca="false">I1913*K1913/C1913</f>
        <v>209.234161643836</v>
      </c>
      <c r="M1913" s="37" t="n">
        <f aca="false">IF(AND(A1913&gt;=Inputs!$C$13,OR(A1913&lt;Inputs!$B$19,Inputs!$B$20=1)),I1913*Inputs!$C$11/C1913,0)</f>
        <v>40.2739726027397</v>
      </c>
    </row>
    <row r="1914" customFormat="false" ht="15" hidden="false" customHeight="false" outlineLevel="0" collapsed="false">
      <c r="A1914" s="35" t="n">
        <f aca="false">A1913+1</f>
        <v>46721</v>
      </c>
      <c r="B1914" s="35" t="n">
        <f aca="false">EOMONTH(A1914+1,0)</f>
        <v>46752</v>
      </c>
      <c r="C1914" s="36" t="n">
        <f aca="false">IF(MOD(YEAR(A1914),4)=0,366,365)</f>
        <v>365</v>
      </c>
      <c r="D1914" s="37" t="n">
        <f aca="false">Inputs!$B$9-SUMIFS(Cash_Events!$G$6:$G$20,Cash_Events!$C$6:$C$20,"rAGMF",Cash_Events!$B$6:$B$20,"&lt;="&amp;A1914)</f>
        <v>735000</v>
      </c>
      <c r="E1914" s="38" t="n">
        <f aca="false">VLOOKUP(A1914,Inputs!$A$40:$B$48,2,TRUE())</f>
        <v>0.0363225</v>
      </c>
      <c r="F1914" s="38" t="n">
        <f aca="false">E1914+Inputs!$B$10</f>
        <v>0.1038225</v>
      </c>
      <c r="G1914" s="37" t="n">
        <f aca="false">D1914*F1914/C1914</f>
        <v>209.067226027397</v>
      </c>
      <c r="H1914" s="37" t="n">
        <f aca="false">IF(AND(A1914&gt;=Inputs!$B$13,OR(A1914&lt;Inputs!$B$19,Inputs!$B$20=1)),D1914*Inputs!$B$11/C1914,0)</f>
        <v>40.2739726027397</v>
      </c>
      <c r="I1914" s="37" t="n">
        <f aca="false">Inputs!$C$9-SUMIFS(Cash_Events!$G$6:$G$20,Cash_Events!$C$6:$C$20,"FHL",Cash_Events!$B$6:$B$20,"&lt;="&amp;A1914)</f>
        <v>735000</v>
      </c>
      <c r="J1914" s="38" t="n">
        <f aca="false">VLOOKUP(A1914,Inputs!$F$40:$G$48,2,TRUE())</f>
        <v>0.0364054</v>
      </c>
      <c r="K1914" s="38" t="n">
        <f aca="false">J1914+Inputs!$C$10</f>
        <v>0.1039054</v>
      </c>
      <c r="L1914" s="37" t="n">
        <f aca="false">I1914*K1914/C1914</f>
        <v>209.234161643836</v>
      </c>
      <c r="M1914" s="37" t="n">
        <f aca="false">IF(AND(A1914&gt;=Inputs!$C$13,OR(A1914&lt;Inputs!$B$19,Inputs!$B$20=1)),I1914*Inputs!$C$11/C1914,0)</f>
        <v>40.2739726027397</v>
      </c>
    </row>
    <row r="1915" customFormat="false" ht="15" hidden="false" customHeight="false" outlineLevel="0" collapsed="false">
      <c r="A1915" s="35" t="n">
        <f aca="false">A1914+1</f>
        <v>46722</v>
      </c>
      <c r="B1915" s="35" t="n">
        <f aca="false">EOMONTH(A1915+1,0)</f>
        <v>46752</v>
      </c>
      <c r="C1915" s="36" t="n">
        <f aca="false">IF(MOD(YEAR(A1915),4)=0,366,365)</f>
        <v>365</v>
      </c>
      <c r="D1915" s="37" t="n">
        <f aca="false">Inputs!$B$9-SUMIFS(Cash_Events!$G$6:$G$20,Cash_Events!$C$6:$C$20,"rAGMF",Cash_Events!$B$6:$B$20,"&lt;="&amp;A1915)</f>
        <v>735000</v>
      </c>
      <c r="E1915" s="38" t="n">
        <f aca="false">VLOOKUP(A1915,Inputs!$A$40:$B$48,2,TRUE())</f>
        <v>0.0363225</v>
      </c>
      <c r="F1915" s="38" t="n">
        <f aca="false">E1915+Inputs!$B$10</f>
        <v>0.1038225</v>
      </c>
      <c r="G1915" s="37" t="n">
        <f aca="false">D1915*F1915/C1915</f>
        <v>209.067226027397</v>
      </c>
      <c r="H1915" s="37" t="n">
        <f aca="false">IF(AND(A1915&gt;=Inputs!$B$13,OR(A1915&lt;Inputs!$B$19,Inputs!$B$20=1)),D1915*Inputs!$B$11/C1915,0)</f>
        <v>40.2739726027397</v>
      </c>
      <c r="I1915" s="37" t="n">
        <f aca="false">Inputs!$C$9-SUMIFS(Cash_Events!$G$6:$G$20,Cash_Events!$C$6:$C$20,"FHL",Cash_Events!$B$6:$B$20,"&lt;="&amp;A1915)</f>
        <v>735000</v>
      </c>
      <c r="J1915" s="38" t="n">
        <f aca="false">VLOOKUP(A1915,Inputs!$F$40:$G$48,2,TRUE())</f>
        <v>0.0364054</v>
      </c>
      <c r="K1915" s="38" t="n">
        <f aca="false">J1915+Inputs!$C$10</f>
        <v>0.1039054</v>
      </c>
      <c r="L1915" s="37" t="n">
        <f aca="false">I1915*K1915/C1915</f>
        <v>209.234161643836</v>
      </c>
      <c r="M1915" s="37" t="n">
        <f aca="false">IF(AND(A1915&gt;=Inputs!$C$13,OR(A1915&lt;Inputs!$B$19,Inputs!$B$20=1)),I1915*Inputs!$C$11/C1915,0)</f>
        <v>40.2739726027397</v>
      </c>
    </row>
    <row r="1916" customFormat="false" ht="15" hidden="false" customHeight="false" outlineLevel="0" collapsed="false">
      <c r="A1916" s="35" t="n">
        <f aca="false">A1915+1</f>
        <v>46723</v>
      </c>
      <c r="B1916" s="35" t="n">
        <f aca="false">EOMONTH(A1916+1,0)</f>
        <v>46752</v>
      </c>
      <c r="C1916" s="36" t="n">
        <f aca="false">IF(MOD(YEAR(A1916),4)=0,366,365)</f>
        <v>365</v>
      </c>
      <c r="D1916" s="37" t="n">
        <f aca="false">Inputs!$B$9-SUMIFS(Cash_Events!$G$6:$G$20,Cash_Events!$C$6:$C$20,"rAGMF",Cash_Events!$B$6:$B$20,"&lt;="&amp;A1916)</f>
        <v>735000</v>
      </c>
      <c r="E1916" s="38" t="n">
        <f aca="false">VLOOKUP(A1916,Inputs!$A$40:$B$48,2,TRUE())</f>
        <v>0.0363225</v>
      </c>
      <c r="F1916" s="38" t="n">
        <f aca="false">E1916+Inputs!$B$10</f>
        <v>0.1038225</v>
      </c>
      <c r="G1916" s="37" t="n">
        <f aca="false">D1916*F1916/C1916</f>
        <v>209.067226027397</v>
      </c>
      <c r="H1916" s="37" t="n">
        <f aca="false">IF(AND(A1916&gt;=Inputs!$B$13,OR(A1916&lt;Inputs!$B$19,Inputs!$B$20=1)),D1916*Inputs!$B$11/C1916,0)</f>
        <v>40.2739726027397</v>
      </c>
      <c r="I1916" s="37" t="n">
        <f aca="false">Inputs!$C$9-SUMIFS(Cash_Events!$G$6:$G$20,Cash_Events!$C$6:$C$20,"FHL",Cash_Events!$B$6:$B$20,"&lt;="&amp;A1916)</f>
        <v>735000</v>
      </c>
      <c r="J1916" s="38" t="n">
        <f aca="false">VLOOKUP(A1916,Inputs!$F$40:$G$48,2,TRUE())</f>
        <v>0.0364054</v>
      </c>
      <c r="K1916" s="38" t="n">
        <f aca="false">J1916+Inputs!$C$10</f>
        <v>0.1039054</v>
      </c>
      <c r="L1916" s="37" t="n">
        <f aca="false">I1916*K1916/C1916</f>
        <v>209.234161643836</v>
      </c>
      <c r="M1916" s="37" t="n">
        <f aca="false">IF(AND(A1916&gt;=Inputs!$C$13,OR(A1916&lt;Inputs!$B$19,Inputs!$B$20=1)),I1916*Inputs!$C$11/C1916,0)</f>
        <v>40.2739726027397</v>
      </c>
    </row>
    <row r="1917" customFormat="false" ht="15" hidden="false" customHeight="false" outlineLevel="0" collapsed="false">
      <c r="A1917" s="35" t="n">
        <f aca="false">A1916+1</f>
        <v>46724</v>
      </c>
      <c r="B1917" s="35" t="n">
        <f aca="false">EOMONTH(A1917+1,0)</f>
        <v>46752</v>
      </c>
      <c r="C1917" s="36" t="n">
        <f aca="false">IF(MOD(YEAR(A1917),4)=0,366,365)</f>
        <v>365</v>
      </c>
      <c r="D1917" s="37" t="n">
        <f aca="false">Inputs!$B$9-SUMIFS(Cash_Events!$G$6:$G$20,Cash_Events!$C$6:$C$20,"rAGMF",Cash_Events!$B$6:$B$20,"&lt;="&amp;A1917)</f>
        <v>735000</v>
      </c>
      <c r="E1917" s="38" t="n">
        <f aca="false">VLOOKUP(A1917,Inputs!$A$40:$B$48,2,TRUE())</f>
        <v>0.0363225</v>
      </c>
      <c r="F1917" s="38" t="n">
        <f aca="false">E1917+Inputs!$B$10</f>
        <v>0.1038225</v>
      </c>
      <c r="G1917" s="37" t="n">
        <f aca="false">D1917*F1917/C1917</f>
        <v>209.067226027397</v>
      </c>
      <c r="H1917" s="37" t="n">
        <f aca="false">IF(AND(A1917&gt;=Inputs!$B$13,OR(A1917&lt;Inputs!$B$19,Inputs!$B$20=1)),D1917*Inputs!$B$11/C1917,0)</f>
        <v>40.2739726027397</v>
      </c>
      <c r="I1917" s="37" t="n">
        <f aca="false">Inputs!$C$9-SUMIFS(Cash_Events!$G$6:$G$20,Cash_Events!$C$6:$C$20,"FHL",Cash_Events!$B$6:$B$20,"&lt;="&amp;A1917)</f>
        <v>735000</v>
      </c>
      <c r="J1917" s="38" t="n">
        <f aca="false">VLOOKUP(A1917,Inputs!$F$40:$G$48,2,TRUE())</f>
        <v>0.0364054</v>
      </c>
      <c r="K1917" s="38" t="n">
        <f aca="false">J1917+Inputs!$C$10</f>
        <v>0.1039054</v>
      </c>
      <c r="L1917" s="37" t="n">
        <f aca="false">I1917*K1917/C1917</f>
        <v>209.234161643836</v>
      </c>
      <c r="M1917" s="37" t="n">
        <f aca="false">IF(AND(A1917&gt;=Inputs!$C$13,OR(A1917&lt;Inputs!$B$19,Inputs!$B$20=1)),I1917*Inputs!$C$11/C1917,0)</f>
        <v>40.2739726027397</v>
      </c>
    </row>
    <row r="1918" customFormat="false" ht="15" hidden="false" customHeight="false" outlineLevel="0" collapsed="false">
      <c r="A1918" s="35" t="n">
        <f aca="false">A1917+1</f>
        <v>46725</v>
      </c>
      <c r="B1918" s="35" t="n">
        <f aca="false">EOMONTH(A1918+1,0)</f>
        <v>46752</v>
      </c>
      <c r="C1918" s="36" t="n">
        <f aca="false">IF(MOD(YEAR(A1918),4)=0,366,365)</f>
        <v>365</v>
      </c>
      <c r="D1918" s="37" t="n">
        <f aca="false">Inputs!$B$9-SUMIFS(Cash_Events!$G$6:$G$20,Cash_Events!$C$6:$C$20,"rAGMF",Cash_Events!$B$6:$B$20,"&lt;="&amp;A1918)</f>
        <v>735000</v>
      </c>
      <c r="E1918" s="38" t="n">
        <f aca="false">VLOOKUP(A1918,Inputs!$A$40:$B$48,2,TRUE())</f>
        <v>0.0363225</v>
      </c>
      <c r="F1918" s="38" t="n">
        <f aca="false">E1918+Inputs!$B$10</f>
        <v>0.1038225</v>
      </c>
      <c r="G1918" s="37" t="n">
        <f aca="false">D1918*F1918/C1918</f>
        <v>209.067226027397</v>
      </c>
      <c r="H1918" s="37" t="n">
        <f aca="false">IF(AND(A1918&gt;=Inputs!$B$13,OR(A1918&lt;Inputs!$B$19,Inputs!$B$20=1)),D1918*Inputs!$B$11/C1918,0)</f>
        <v>40.2739726027397</v>
      </c>
      <c r="I1918" s="37" t="n">
        <f aca="false">Inputs!$C$9-SUMIFS(Cash_Events!$G$6:$G$20,Cash_Events!$C$6:$C$20,"FHL",Cash_Events!$B$6:$B$20,"&lt;="&amp;A1918)</f>
        <v>735000</v>
      </c>
      <c r="J1918" s="38" t="n">
        <f aca="false">VLOOKUP(A1918,Inputs!$F$40:$G$48,2,TRUE())</f>
        <v>0.0364054</v>
      </c>
      <c r="K1918" s="38" t="n">
        <f aca="false">J1918+Inputs!$C$10</f>
        <v>0.1039054</v>
      </c>
      <c r="L1918" s="37" t="n">
        <f aca="false">I1918*K1918/C1918</f>
        <v>209.234161643836</v>
      </c>
      <c r="M1918" s="37" t="n">
        <f aca="false">IF(AND(A1918&gt;=Inputs!$C$13,OR(A1918&lt;Inputs!$B$19,Inputs!$B$20=1)),I1918*Inputs!$C$11/C1918,0)</f>
        <v>40.2739726027397</v>
      </c>
    </row>
    <row r="1919" customFormat="false" ht="15" hidden="false" customHeight="false" outlineLevel="0" collapsed="false">
      <c r="A1919" s="35" t="n">
        <f aca="false">A1918+1</f>
        <v>46726</v>
      </c>
      <c r="B1919" s="35" t="n">
        <f aca="false">EOMONTH(A1919+1,0)</f>
        <v>46752</v>
      </c>
      <c r="C1919" s="36" t="n">
        <f aca="false">IF(MOD(YEAR(A1919),4)=0,366,365)</f>
        <v>365</v>
      </c>
      <c r="D1919" s="37" t="n">
        <f aca="false">Inputs!$B$9-SUMIFS(Cash_Events!$G$6:$G$20,Cash_Events!$C$6:$C$20,"rAGMF",Cash_Events!$B$6:$B$20,"&lt;="&amp;A1919)</f>
        <v>735000</v>
      </c>
      <c r="E1919" s="38" t="n">
        <f aca="false">VLOOKUP(A1919,Inputs!$A$40:$B$48,2,TRUE())</f>
        <v>0.0363225</v>
      </c>
      <c r="F1919" s="38" t="n">
        <f aca="false">E1919+Inputs!$B$10</f>
        <v>0.1038225</v>
      </c>
      <c r="G1919" s="37" t="n">
        <f aca="false">D1919*F1919/C1919</f>
        <v>209.067226027397</v>
      </c>
      <c r="H1919" s="37" t="n">
        <f aca="false">IF(AND(A1919&gt;=Inputs!$B$13,OR(A1919&lt;Inputs!$B$19,Inputs!$B$20=1)),D1919*Inputs!$B$11/C1919,0)</f>
        <v>40.2739726027397</v>
      </c>
      <c r="I1919" s="37" t="n">
        <f aca="false">Inputs!$C$9-SUMIFS(Cash_Events!$G$6:$G$20,Cash_Events!$C$6:$C$20,"FHL",Cash_Events!$B$6:$B$20,"&lt;="&amp;A1919)</f>
        <v>735000</v>
      </c>
      <c r="J1919" s="38" t="n">
        <f aca="false">VLOOKUP(A1919,Inputs!$F$40:$G$48,2,TRUE())</f>
        <v>0.0364054</v>
      </c>
      <c r="K1919" s="38" t="n">
        <f aca="false">J1919+Inputs!$C$10</f>
        <v>0.1039054</v>
      </c>
      <c r="L1919" s="37" t="n">
        <f aca="false">I1919*K1919/C1919</f>
        <v>209.234161643836</v>
      </c>
      <c r="M1919" s="37" t="n">
        <f aca="false">IF(AND(A1919&gt;=Inputs!$C$13,OR(A1919&lt;Inputs!$B$19,Inputs!$B$20=1)),I1919*Inputs!$C$11/C1919,0)</f>
        <v>40.2739726027397</v>
      </c>
    </row>
    <row r="1920" customFormat="false" ht="15" hidden="false" customHeight="false" outlineLevel="0" collapsed="false">
      <c r="A1920" s="35" t="n">
        <f aca="false">A1919+1</f>
        <v>46727</v>
      </c>
      <c r="B1920" s="35" t="n">
        <f aca="false">EOMONTH(A1920+1,0)</f>
        <v>46752</v>
      </c>
      <c r="C1920" s="36" t="n">
        <f aca="false">IF(MOD(YEAR(A1920),4)=0,366,365)</f>
        <v>365</v>
      </c>
      <c r="D1920" s="37" t="n">
        <f aca="false">Inputs!$B$9-SUMIFS(Cash_Events!$G$6:$G$20,Cash_Events!$C$6:$C$20,"rAGMF",Cash_Events!$B$6:$B$20,"&lt;="&amp;A1920)</f>
        <v>735000</v>
      </c>
      <c r="E1920" s="38" t="n">
        <f aca="false">VLOOKUP(A1920,Inputs!$A$40:$B$48,2,TRUE())</f>
        <v>0.0363225</v>
      </c>
      <c r="F1920" s="38" t="n">
        <f aca="false">E1920+Inputs!$B$10</f>
        <v>0.1038225</v>
      </c>
      <c r="G1920" s="37" t="n">
        <f aca="false">D1920*F1920/C1920</f>
        <v>209.067226027397</v>
      </c>
      <c r="H1920" s="37" t="n">
        <f aca="false">IF(AND(A1920&gt;=Inputs!$B$13,OR(A1920&lt;Inputs!$B$19,Inputs!$B$20=1)),D1920*Inputs!$B$11/C1920,0)</f>
        <v>40.2739726027397</v>
      </c>
      <c r="I1920" s="37" t="n">
        <f aca="false">Inputs!$C$9-SUMIFS(Cash_Events!$G$6:$G$20,Cash_Events!$C$6:$C$20,"FHL",Cash_Events!$B$6:$B$20,"&lt;="&amp;A1920)</f>
        <v>735000</v>
      </c>
      <c r="J1920" s="38" t="n">
        <f aca="false">VLOOKUP(A1920,Inputs!$F$40:$G$48,2,TRUE())</f>
        <v>0.0364054</v>
      </c>
      <c r="K1920" s="38" t="n">
        <f aca="false">J1920+Inputs!$C$10</f>
        <v>0.1039054</v>
      </c>
      <c r="L1920" s="37" t="n">
        <f aca="false">I1920*K1920/C1920</f>
        <v>209.234161643836</v>
      </c>
      <c r="M1920" s="37" t="n">
        <f aca="false">IF(AND(A1920&gt;=Inputs!$C$13,OR(A1920&lt;Inputs!$B$19,Inputs!$B$20=1)),I1920*Inputs!$C$11/C1920,0)</f>
        <v>40.2739726027397</v>
      </c>
    </row>
    <row r="1921" customFormat="false" ht="15" hidden="false" customHeight="false" outlineLevel="0" collapsed="false">
      <c r="A1921" s="35" t="n">
        <f aca="false">A1920+1</f>
        <v>46728</v>
      </c>
      <c r="B1921" s="35" t="n">
        <f aca="false">EOMONTH(A1921+1,0)</f>
        <v>46752</v>
      </c>
      <c r="C1921" s="36" t="n">
        <f aca="false">IF(MOD(YEAR(A1921),4)=0,366,365)</f>
        <v>365</v>
      </c>
      <c r="D1921" s="37" t="n">
        <f aca="false">Inputs!$B$9-SUMIFS(Cash_Events!$G$6:$G$20,Cash_Events!$C$6:$C$20,"rAGMF",Cash_Events!$B$6:$B$20,"&lt;="&amp;A1921)</f>
        <v>735000</v>
      </c>
      <c r="E1921" s="38" t="n">
        <f aca="false">VLOOKUP(A1921,Inputs!$A$40:$B$48,2,TRUE())</f>
        <v>0.0363225</v>
      </c>
      <c r="F1921" s="38" t="n">
        <f aca="false">E1921+Inputs!$B$10</f>
        <v>0.1038225</v>
      </c>
      <c r="G1921" s="37" t="n">
        <f aca="false">D1921*F1921/C1921</f>
        <v>209.067226027397</v>
      </c>
      <c r="H1921" s="37" t="n">
        <f aca="false">IF(AND(A1921&gt;=Inputs!$B$13,OR(A1921&lt;Inputs!$B$19,Inputs!$B$20=1)),D1921*Inputs!$B$11/C1921,0)</f>
        <v>40.2739726027397</v>
      </c>
      <c r="I1921" s="37" t="n">
        <f aca="false">Inputs!$C$9-SUMIFS(Cash_Events!$G$6:$G$20,Cash_Events!$C$6:$C$20,"FHL",Cash_Events!$B$6:$B$20,"&lt;="&amp;A1921)</f>
        <v>735000</v>
      </c>
      <c r="J1921" s="38" t="n">
        <f aca="false">VLOOKUP(A1921,Inputs!$F$40:$G$48,2,TRUE())</f>
        <v>0.0364054</v>
      </c>
      <c r="K1921" s="38" t="n">
        <f aca="false">J1921+Inputs!$C$10</f>
        <v>0.1039054</v>
      </c>
      <c r="L1921" s="37" t="n">
        <f aca="false">I1921*K1921/C1921</f>
        <v>209.234161643836</v>
      </c>
      <c r="M1921" s="37" t="n">
        <f aca="false">IF(AND(A1921&gt;=Inputs!$C$13,OR(A1921&lt;Inputs!$B$19,Inputs!$B$20=1)),I1921*Inputs!$C$11/C1921,0)</f>
        <v>40.2739726027397</v>
      </c>
    </row>
    <row r="1922" customFormat="false" ht="15" hidden="false" customHeight="false" outlineLevel="0" collapsed="false">
      <c r="A1922" s="35" t="n">
        <f aca="false">A1921+1</f>
        <v>46729</v>
      </c>
      <c r="B1922" s="35" t="n">
        <f aca="false">EOMONTH(A1922+1,0)</f>
        <v>46752</v>
      </c>
      <c r="C1922" s="36" t="n">
        <f aca="false">IF(MOD(YEAR(A1922),4)=0,366,365)</f>
        <v>365</v>
      </c>
      <c r="D1922" s="37" t="n">
        <f aca="false">Inputs!$B$9-SUMIFS(Cash_Events!$G$6:$G$20,Cash_Events!$C$6:$C$20,"rAGMF",Cash_Events!$B$6:$B$20,"&lt;="&amp;A1922)</f>
        <v>735000</v>
      </c>
      <c r="E1922" s="38" t="n">
        <f aca="false">VLOOKUP(A1922,Inputs!$A$40:$B$48,2,TRUE())</f>
        <v>0.0363225</v>
      </c>
      <c r="F1922" s="38" t="n">
        <f aca="false">E1922+Inputs!$B$10</f>
        <v>0.1038225</v>
      </c>
      <c r="G1922" s="37" t="n">
        <f aca="false">D1922*F1922/C1922</f>
        <v>209.067226027397</v>
      </c>
      <c r="H1922" s="37" t="n">
        <f aca="false">IF(AND(A1922&gt;=Inputs!$B$13,OR(A1922&lt;Inputs!$B$19,Inputs!$B$20=1)),D1922*Inputs!$B$11/C1922,0)</f>
        <v>40.2739726027397</v>
      </c>
      <c r="I1922" s="37" t="n">
        <f aca="false">Inputs!$C$9-SUMIFS(Cash_Events!$G$6:$G$20,Cash_Events!$C$6:$C$20,"FHL",Cash_Events!$B$6:$B$20,"&lt;="&amp;A1922)</f>
        <v>735000</v>
      </c>
      <c r="J1922" s="38" t="n">
        <f aca="false">VLOOKUP(A1922,Inputs!$F$40:$G$48,2,TRUE())</f>
        <v>0.0364054</v>
      </c>
      <c r="K1922" s="38" t="n">
        <f aca="false">J1922+Inputs!$C$10</f>
        <v>0.1039054</v>
      </c>
      <c r="L1922" s="37" t="n">
        <f aca="false">I1922*K1922/C1922</f>
        <v>209.234161643836</v>
      </c>
      <c r="M1922" s="37" t="n">
        <f aca="false">IF(AND(A1922&gt;=Inputs!$C$13,OR(A1922&lt;Inputs!$B$19,Inputs!$B$20=1)),I1922*Inputs!$C$11/C1922,0)</f>
        <v>40.2739726027397</v>
      </c>
    </row>
    <row r="1923" customFormat="false" ht="15" hidden="false" customHeight="false" outlineLevel="0" collapsed="false">
      <c r="A1923" s="35" t="n">
        <f aca="false">A1922+1</f>
        <v>46730</v>
      </c>
      <c r="B1923" s="35" t="n">
        <f aca="false">EOMONTH(A1923+1,0)</f>
        <v>46752</v>
      </c>
      <c r="C1923" s="36" t="n">
        <f aca="false">IF(MOD(YEAR(A1923),4)=0,366,365)</f>
        <v>365</v>
      </c>
      <c r="D1923" s="37" t="n">
        <f aca="false">Inputs!$B$9-SUMIFS(Cash_Events!$G$6:$G$20,Cash_Events!$C$6:$C$20,"rAGMF",Cash_Events!$B$6:$B$20,"&lt;="&amp;A1923)</f>
        <v>735000</v>
      </c>
      <c r="E1923" s="38" t="n">
        <f aca="false">VLOOKUP(A1923,Inputs!$A$40:$B$48,2,TRUE())</f>
        <v>0.0363225</v>
      </c>
      <c r="F1923" s="38" t="n">
        <f aca="false">E1923+Inputs!$B$10</f>
        <v>0.1038225</v>
      </c>
      <c r="G1923" s="37" t="n">
        <f aca="false">D1923*F1923/C1923</f>
        <v>209.067226027397</v>
      </c>
      <c r="H1923" s="37" t="n">
        <f aca="false">IF(AND(A1923&gt;=Inputs!$B$13,OR(A1923&lt;Inputs!$B$19,Inputs!$B$20=1)),D1923*Inputs!$B$11/C1923,0)</f>
        <v>40.2739726027397</v>
      </c>
      <c r="I1923" s="37" t="n">
        <f aca="false">Inputs!$C$9-SUMIFS(Cash_Events!$G$6:$G$20,Cash_Events!$C$6:$C$20,"FHL",Cash_Events!$B$6:$B$20,"&lt;="&amp;A1923)</f>
        <v>735000</v>
      </c>
      <c r="J1923" s="38" t="n">
        <f aca="false">VLOOKUP(A1923,Inputs!$F$40:$G$48,2,TRUE())</f>
        <v>0.0364054</v>
      </c>
      <c r="K1923" s="38" t="n">
        <f aca="false">J1923+Inputs!$C$10</f>
        <v>0.1039054</v>
      </c>
      <c r="L1923" s="37" t="n">
        <f aca="false">I1923*K1923/C1923</f>
        <v>209.234161643836</v>
      </c>
      <c r="M1923" s="37" t="n">
        <f aca="false">IF(AND(A1923&gt;=Inputs!$C$13,OR(A1923&lt;Inputs!$B$19,Inputs!$B$20=1)),I1923*Inputs!$C$11/C1923,0)</f>
        <v>40.2739726027397</v>
      </c>
    </row>
    <row r="1924" customFormat="false" ht="15" hidden="false" customHeight="false" outlineLevel="0" collapsed="false">
      <c r="A1924" s="35" t="n">
        <f aca="false">A1923+1</f>
        <v>46731</v>
      </c>
      <c r="B1924" s="35" t="n">
        <f aca="false">EOMONTH(A1924+1,0)</f>
        <v>46752</v>
      </c>
      <c r="C1924" s="36" t="n">
        <f aca="false">IF(MOD(YEAR(A1924),4)=0,366,365)</f>
        <v>365</v>
      </c>
      <c r="D1924" s="37" t="n">
        <f aca="false">Inputs!$B$9-SUMIFS(Cash_Events!$G$6:$G$20,Cash_Events!$C$6:$C$20,"rAGMF",Cash_Events!$B$6:$B$20,"&lt;="&amp;A1924)</f>
        <v>735000</v>
      </c>
      <c r="E1924" s="38" t="n">
        <f aca="false">VLOOKUP(A1924,Inputs!$A$40:$B$48,2,TRUE())</f>
        <v>0.0363225</v>
      </c>
      <c r="F1924" s="38" t="n">
        <f aca="false">E1924+Inputs!$B$10</f>
        <v>0.1038225</v>
      </c>
      <c r="G1924" s="37" t="n">
        <f aca="false">D1924*F1924/C1924</f>
        <v>209.067226027397</v>
      </c>
      <c r="H1924" s="37" t="n">
        <f aca="false">IF(AND(A1924&gt;=Inputs!$B$13,OR(A1924&lt;Inputs!$B$19,Inputs!$B$20=1)),D1924*Inputs!$B$11/C1924,0)</f>
        <v>40.2739726027397</v>
      </c>
      <c r="I1924" s="37" t="n">
        <f aca="false">Inputs!$C$9-SUMIFS(Cash_Events!$G$6:$G$20,Cash_Events!$C$6:$C$20,"FHL",Cash_Events!$B$6:$B$20,"&lt;="&amp;A1924)</f>
        <v>735000</v>
      </c>
      <c r="J1924" s="38" t="n">
        <f aca="false">VLOOKUP(A1924,Inputs!$F$40:$G$48,2,TRUE())</f>
        <v>0.0364054</v>
      </c>
      <c r="K1924" s="38" t="n">
        <f aca="false">J1924+Inputs!$C$10</f>
        <v>0.1039054</v>
      </c>
      <c r="L1924" s="37" t="n">
        <f aca="false">I1924*K1924/C1924</f>
        <v>209.234161643836</v>
      </c>
      <c r="M1924" s="37" t="n">
        <f aca="false">IF(AND(A1924&gt;=Inputs!$C$13,OR(A1924&lt;Inputs!$B$19,Inputs!$B$20=1)),I1924*Inputs!$C$11/C1924,0)</f>
        <v>40.2739726027397</v>
      </c>
    </row>
    <row r="1925" customFormat="false" ht="15" hidden="false" customHeight="false" outlineLevel="0" collapsed="false">
      <c r="A1925" s="35" t="n">
        <f aca="false">A1924+1</f>
        <v>46732</v>
      </c>
      <c r="B1925" s="35" t="n">
        <f aca="false">EOMONTH(A1925+1,0)</f>
        <v>46752</v>
      </c>
      <c r="C1925" s="36" t="n">
        <f aca="false">IF(MOD(YEAR(A1925),4)=0,366,365)</f>
        <v>365</v>
      </c>
      <c r="D1925" s="37" t="n">
        <f aca="false">Inputs!$B$9-SUMIFS(Cash_Events!$G$6:$G$20,Cash_Events!$C$6:$C$20,"rAGMF",Cash_Events!$B$6:$B$20,"&lt;="&amp;A1925)</f>
        <v>735000</v>
      </c>
      <c r="E1925" s="38" t="n">
        <f aca="false">VLOOKUP(A1925,Inputs!$A$40:$B$48,2,TRUE())</f>
        <v>0.0363225</v>
      </c>
      <c r="F1925" s="38" t="n">
        <f aca="false">E1925+Inputs!$B$10</f>
        <v>0.1038225</v>
      </c>
      <c r="G1925" s="37" t="n">
        <f aca="false">D1925*F1925/C1925</f>
        <v>209.067226027397</v>
      </c>
      <c r="H1925" s="37" t="n">
        <f aca="false">IF(AND(A1925&gt;=Inputs!$B$13,OR(A1925&lt;Inputs!$B$19,Inputs!$B$20=1)),D1925*Inputs!$B$11/C1925,0)</f>
        <v>40.2739726027397</v>
      </c>
      <c r="I1925" s="37" t="n">
        <f aca="false">Inputs!$C$9-SUMIFS(Cash_Events!$G$6:$G$20,Cash_Events!$C$6:$C$20,"FHL",Cash_Events!$B$6:$B$20,"&lt;="&amp;A1925)</f>
        <v>735000</v>
      </c>
      <c r="J1925" s="38" t="n">
        <f aca="false">VLOOKUP(A1925,Inputs!$F$40:$G$48,2,TRUE())</f>
        <v>0.0364054</v>
      </c>
      <c r="K1925" s="38" t="n">
        <f aca="false">J1925+Inputs!$C$10</f>
        <v>0.1039054</v>
      </c>
      <c r="L1925" s="37" t="n">
        <f aca="false">I1925*K1925/C1925</f>
        <v>209.234161643836</v>
      </c>
      <c r="M1925" s="37" t="n">
        <f aca="false">IF(AND(A1925&gt;=Inputs!$C$13,OR(A1925&lt;Inputs!$B$19,Inputs!$B$20=1)),I1925*Inputs!$C$11/C1925,0)</f>
        <v>40.2739726027397</v>
      </c>
    </row>
    <row r="1926" customFormat="false" ht="15" hidden="false" customHeight="false" outlineLevel="0" collapsed="false">
      <c r="A1926" s="35" t="n">
        <f aca="false">A1925+1</f>
        <v>46733</v>
      </c>
      <c r="B1926" s="35" t="n">
        <f aca="false">EOMONTH(A1926+1,0)</f>
        <v>46752</v>
      </c>
      <c r="C1926" s="36" t="n">
        <f aca="false">IF(MOD(YEAR(A1926),4)=0,366,365)</f>
        <v>365</v>
      </c>
      <c r="D1926" s="37" t="n">
        <f aca="false">Inputs!$B$9-SUMIFS(Cash_Events!$G$6:$G$20,Cash_Events!$C$6:$C$20,"rAGMF",Cash_Events!$B$6:$B$20,"&lt;="&amp;A1926)</f>
        <v>735000</v>
      </c>
      <c r="E1926" s="38" t="n">
        <f aca="false">VLOOKUP(A1926,Inputs!$A$40:$B$48,2,TRUE())</f>
        <v>0.0363225</v>
      </c>
      <c r="F1926" s="38" t="n">
        <f aca="false">E1926+Inputs!$B$10</f>
        <v>0.1038225</v>
      </c>
      <c r="G1926" s="37" t="n">
        <f aca="false">D1926*F1926/C1926</f>
        <v>209.067226027397</v>
      </c>
      <c r="H1926" s="37" t="n">
        <f aca="false">IF(AND(A1926&gt;=Inputs!$B$13,OR(A1926&lt;Inputs!$B$19,Inputs!$B$20=1)),D1926*Inputs!$B$11/C1926,0)</f>
        <v>40.2739726027397</v>
      </c>
      <c r="I1926" s="37" t="n">
        <f aca="false">Inputs!$C$9-SUMIFS(Cash_Events!$G$6:$G$20,Cash_Events!$C$6:$C$20,"FHL",Cash_Events!$B$6:$B$20,"&lt;="&amp;A1926)</f>
        <v>735000</v>
      </c>
      <c r="J1926" s="38" t="n">
        <f aca="false">VLOOKUP(A1926,Inputs!$F$40:$G$48,2,TRUE())</f>
        <v>0.0364054</v>
      </c>
      <c r="K1926" s="38" t="n">
        <f aca="false">J1926+Inputs!$C$10</f>
        <v>0.1039054</v>
      </c>
      <c r="L1926" s="37" t="n">
        <f aca="false">I1926*K1926/C1926</f>
        <v>209.234161643836</v>
      </c>
      <c r="M1926" s="37" t="n">
        <f aca="false">IF(AND(A1926&gt;=Inputs!$C$13,OR(A1926&lt;Inputs!$B$19,Inputs!$B$20=1)),I1926*Inputs!$C$11/C1926,0)</f>
        <v>40.2739726027397</v>
      </c>
    </row>
    <row r="1927" customFormat="false" ht="15" hidden="false" customHeight="false" outlineLevel="0" collapsed="false">
      <c r="A1927" s="35" t="n">
        <f aca="false">A1926+1</f>
        <v>46734</v>
      </c>
      <c r="B1927" s="35" t="n">
        <f aca="false">EOMONTH(A1927+1,0)</f>
        <v>46752</v>
      </c>
      <c r="C1927" s="36" t="n">
        <f aca="false">IF(MOD(YEAR(A1927),4)=0,366,365)</f>
        <v>365</v>
      </c>
      <c r="D1927" s="37" t="n">
        <f aca="false">Inputs!$B$9-SUMIFS(Cash_Events!$G$6:$G$20,Cash_Events!$C$6:$C$20,"rAGMF",Cash_Events!$B$6:$B$20,"&lt;="&amp;A1927)</f>
        <v>735000</v>
      </c>
      <c r="E1927" s="38" t="n">
        <f aca="false">VLOOKUP(A1927,Inputs!$A$40:$B$48,2,TRUE())</f>
        <v>0.0363225</v>
      </c>
      <c r="F1927" s="38" t="n">
        <f aca="false">E1927+Inputs!$B$10</f>
        <v>0.1038225</v>
      </c>
      <c r="G1927" s="37" t="n">
        <f aca="false">D1927*F1927/C1927</f>
        <v>209.067226027397</v>
      </c>
      <c r="H1927" s="37" t="n">
        <f aca="false">IF(AND(A1927&gt;=Inputs!$B$13,OR(A1927&lt;Inputs!$B$19,Inputs!$B$20=1)),D1927*Inputs!$B$11/C1927,0)</f>
        <v>40.2739726027397</v>
      </c>
      <c r="I1927" s="37" t="n">
        <f aca="false">Inputs!$C$9-SUMIFS(Cash_Events!$G$6:$G$20,Cash_Events!$C$6:$C$20,"FHL",Cash_Events!$B$6:$B$20,"&lt;="&amp;A1927)</f>
        <v>735000</v>
      </c>
      <c r="J1927" s="38" t="n">
        <f aca="false">VLOOKUP(A1927,Inputs!$F$40:$G$48,2,TRUE())</f>
        <v>0.0364054</v>
      </c>
      <c r="K1927" s="38" t="n">
        <f aca="false">J1927+Inputs!$C$10</f>
        <v>0.1039054</v>
      </c>
      <c r="L1927" s="37" t="n">
        <f aca="false">I1927*K1927/C1927</f>
        <v>209.234161643836</v>
      </c>
      <c r="M1927" s="37" t="n">
        <f aca="false">IF(AND(A1927&gt;=Inputs!$C$13,OR(A1927&lt;Inputs!$B$19,Inputs!$B$20=1)),I1927*Inputs!$C$11/C1927,0)</f>
        <v>40.2739726027397</v>
      </c>
    </row>
    <row r="1928" customFormat="false" ht="15" hidden="false" customHeight="false" outlineLevel="0" collapsed="false">
      <c r="A1928" s="35" t="n">
        <f aca="false">A1927+1</f>
        <v>46735</v>
      </c>
      <c r="B1928" s="35" t="n">
        <f aca="false">EOMONTH(A1928+1,0)</f>
        <v>46752</v>
      </c>
      <c r="C1928" s="36" t="n">
        <f aca="false">IF(MOD(YEAR(A1928),4)=0,366,365)</f>
        <v>365</v>
      </c>
      <c r="D1928" s="37" t="n">
        <f aca="false">Inputs!$B$9-SUMIFS(Cash_Events!$G$6:$G$20,Cash_Events!$C$6:$C$20,"rAGMF",Cash_Events!$B$6:$B$20,"&lt;="&amp;A1928)</f>
        <v>735000</v>
      </c>
      <c r="E1928" s="38" t="n">
        <f aca="false">VLOOKUP(A1928,Inputs!$A$40:$B$48,2,TRUE())</f>
        <v>0.0363225</v>
      </c>
      <c r="F1928" s="38" t="n">
        <f aca="false">E1928+Inputs!$B$10</f>
        <v>0.1038225</v>
      </c>
      <c r="G1928" s="37" t="n">
        <f aca="false">D1928*F1928/C1928</f>
        <v>209.067226027397</v>
      </c>
      <c r="H1928" s="37" t="n">
        <f aca="false">IF(AND(A1928&gt;=Inputs!$B$13,OR(A1928&lt;Inputs!$B$19,Inputs!$B$20=1)),D1928*Inputs!$B$11/C1928,0)</f>
        <v>40.2739726027397</v>
      </c>
      <c r="I1928" s="37" t="n">
        <f aca="false">Inputs!$C$9-SUMIFS(Cash_Events!$G$6:$G$20,Cash_Events!$C$6:$C$20,"FHL",Cash_Events!$B$6:$B$20,"&lt;="&amp;A1928)</f>
        <v>735000</v>
      </c>
      <c r="J1928" s="38" t="n">
        <f aca="false">VLOOKUP(A1928,Inputs!$F$40:$G$48,2,TRUE())</f>
        <v>0.0364054</v>
      </c>
      <c r="K1928" s="38" t="n">
        <f aca="false">J1928+Inputs!$C$10</f>
        <v>0.1039054</v>
      </c>
      <c r="L1928" s="37" t="n">
        <f aca="false">I1928*K1928/C1928</f>
        <v>209.234161643836</v>
      </c>
      <c r="M1928" s="37" t="n">
        <f aca="false">IF(AND(A1928&gt;=Inputs!$C$13,OR(A1928&lt;Inputs!$B$19,Inputs!$B$20=1)),I1928*Inputs!$C$11/C1928,0)</f>
        <v>40.2739726027397</v>
      </c>
    </row>
    <row r="1929" customFormat="false" ht="15" hidden="false" customHeight="false" outlineLevel="0" collapsed="false">
      <c r="A1929" s="35" t="n">
        <f aca="false">A1928+1</f>
        <v>46736</v>
      </c>
      <c r="B1929" s="35" t="n">
        <f aca="false">EOMONTH(A1929+1,0)</f>
        <v>46752</v>
      </c>
      <c r="C1929" s="36" t="n">
        <f aca="false">IF(MOD(YEAR(A1929),4)=0,366,365)</f>
        <v>365</v>
      </c>
      <c r="D1929" s="37" t="n">
        <f aca="false">Inputs!$B$9-SUMIFS(Cash_Events!$G$6:$G$20,Cash_Events!$C$6:$C$20,"rAGMF",Cash_Events!$B$6:$B$20,"&lt;="&amp;A1929)</f>
        <v>735000</v>
      </c>
      <c r="E1929" s="38" t="n">
        <f aca="false">VLOOKUP(A1929,Inputs!$A$40:$B$48,2,TRUE())</f>
        <v>0.0363225</v>
      </c>
      <c r="F1929" s="38" t="n">
        <f aca="false">E1929+Inputs!$B$10</f>
        <v>0.1038225</v>
      </c>
      <c r="G1929" s="37" t="n">
        <f aca="false">D1929*F1929/C1929</f>
        <v>209.067226027397</v>
      </c>
      <c r="H1929" s="37" t="n">
        <f aca="false">IF(AND(A1929&gt;=Inputs!$B$13,OR(A1929&lt;Inputs!$B$19,Inputs!$B$20=1)),D1929*Inputs!$B$11/C1929,0)</f>
        <v>40.2739726027397</v>
      </c>
      <c r="I1929" s="37" t="n">
        <f aca="false">Inputs!$C$9-SUMIFS(Cash_Events!$G$6:$G$20,Cash_Events!$C$6:$C$20,"FHL",Cash_Events!$B$6:$B$20,"&lt;="&amp;A1929)</f>
        <v>735000</v>
      </c>
      <c r="J1929" s="38" t="n">
        <f aca="false">VLOOKUP(A1929,Inputs!$F$40:$G$48,2,TRUE())</f>
        <v>0.0364054</v>
      </c>
      <c r="K1929" s="38" t="n">
        <f aca="false">J1929+Inputs!$C$10</f>
        <v>0.1039054</v>
      </c>
      <c r="L1929" s="37" t="n">
        <f aca="false">I1929*K1929/C1929</f>
        <v>209.234161643836</v>
      </c>
      <c r="M1929" s="37" t="n">
        <f aca="false">IF(AND(A1929&gt;=Inputs!$C$13,OR(A1929&lt;Inputs!$B$19,Inputs!$B$20=1)),I1929*Inputs!$C$11/C1929,0)</f>
        <v>40.2739726027397</v>
      </c>
    </row>
    <row r="1930" customFormat="false" ht="15" hidden="false" customHeight="false" outlineLevel="0" collapsed="false">
      <c r="A1930" s="35" t="n">
        <f aca="false">A1929+1</f>
        <v>46737</v>
      </c>
      <c r="B1930" s="35" t="n">
        <f aca="false">EOMONTH(A1930+1,0)</f>
        <v>46752</v>
      </c>
      <c r="C1930" s="36" t="n">
        <f aca="false">IF(MOD(YEAR(A1930),4)=0,366,365)</f>
        <v>365</v>
      </c>
      <c r="D1930" s="37" t="n">
        <f aca="false">Inputs!$B$9-SUMIFS(Cash_Events!$G$6:$G$20,Cash_Events!$C$6:$C$20,"rAGMF",Cash_Events!$B$6:$B$20,"&lt;="&amp;A1930)</f>
        <v>735000</v>
      </c>
      <c r="E1930" s="38" t="n">
        <f aca="false">VLOOKUP(A1930,Inputs!$A$40:$B$48,2,TRUE())</f>
        <v>0.0363225</v>
      </c>
      <c r="F1930" s="38" t="n">
        <f aca="false">E1930+Inputs!$B$10</f>
        <v>0.1038225</v>
      </c>
      <c r="G1930" s="37" t="n">
        <f aca="false">D1930*F1930/C1930</f>
        <v>209.067226027397</v>
      </c>
      <c r="H1930" s="37" t="n">
        <f aca="false">IF(AND(A1930&gt;=Inputs!$B$13,OR(A1930&lt;Inputs!$B$19,Inputs!$B$20=1)),D1930*Inputs!$B$11/C1930,0)</f>
        <v>40.2739726027397</v>
      </c>
      <c r="I1930" s="37" t="n">
        <f aca="false">Inputs!$C$9-SUMIFS(Cash_Events!$G$6:$G$20,Cash_Events!$C$6:$C$20,"FHL",Cash_Events!$B$6:$B$20,"&lt;="&amp;A1930)</f>
        <v>735000</v>
      </c>
      <c r="J1930" s="38" t="n">
        <f aca="false">VLOOKUP(A1930,Inputs!$F$40:$G$48,2,TRUE())</f>
        <v>0.0364054</v>
      </c>
      <c r="K1930" s="38" t="n">
        <f aca="false">J1930+Inputs!$C$10</f>
        <v>0.1039054</v>
      </c>
      <c r="L1930" s="37" t="n">
        <f aca="false">I1930*K1930/C1930</f>
        <v>209.234161643836</v>
      </c>
      <c r="M1930" s="37" t="n">
        <f aca="false">IF(AND(A1930&gt;=Inputs!$C$13,OR(A1930&lt;Inputs!$B$19,Inputs!$B$20=1)),I1930*Inputs!$C$11/C1930,0)</f>
        <v>40.2739726027397</v>
      </c>
    </row>
    <row r="1931" customFormat="false" ht="15" hidden="false" customHeight="false" outlineLevel="0" collapsed="false">
      <c r="A1931" s="35" t="n">
        <f aca="false">A1930+1</f>
        <v>46738</v>
      </c>
      <c r="B1931" s="35" t="n">
        <f aca="false">EOMONTH(A1931+1,0)</f>
        <v>46752</v>
      </c>
      <c r="C1931" s="36" t="n">
        <f aca="false">IF(MOD(YEAR(A1931),4)=0,366,365)</f>
        <v>365</v>
      </c>
      <c r="D1931" s="37" t="n">
        <f aca="false">Inputs!$B$9-SUMIFS(Cash_Events!$G$6:$G$20,Cash_Events!$C$6:$C$20,"rAGMF",Cash_Events!$B$6:$B$20,"&lt;="&amp;A1931)</f>
        <v>735000</v>
      </c>
      <c r="E1931" s="38" t="n">
        <f aca="false">VLOOKUP(A1931,Inputs!$A$40:$B$48,2,TRUE())</f>
        <v>0.0363225</v>
      </c>
      <c r="F1931" s="38" t="n">
        <f aca="false">E1931+Inputs!$B$10</f>
        <v>0.1038225</v>
      </c>
      <c r="G1931" s="37" t="n">
        <f aca="false">D1931*F1931/C1931</f>
        <v>209.067226027397</v>
      </c>
      <c r="H1931" s="37" t="n">
        <f aca="false">IF(AND(A1931&gt;=Inputs!$B$13,OR(A1931&lt;Inputs!$B$19,Inputs!$B$20=1)),D1931*Inputs!$B$11/C1931,0)</f>
        <v>40.2739726027397</v>
      </c>
      <c r="I1931" s="37" t="n">
        <f aca="false">Inputs!$C$9-SUMIFS(Cash_Events!$G$6:$G$20,Cash_Events!$C$6:$C$20,"FHL",Cash_Events!$B$6:$B$20,"&lt;="&amp;A1931)</f>
        <v>735000</v>
      </c>
      <c r="J1931" s="38" t="n">
        <f aca="false">VLOOKUP(A1931,Inputs!$F$40:$G$48,2,TRUE())</f>
        <v>0.0364054</v>
      </c>
      <c r="K1931" s="38" t="n">
        <f aca="false">J1931+Inputs!$C$10</f>
        <v>0.1039054</v>
      </c>
      <c r="L1931" s="37" t="n">
        <f aca="false">I1931*K1931/C1931</f>
        <v>209.234161643836</v>
      </c>
      <c r="M1931" s="37" t="n">
        <f aca="false">IF(AND(A1931&gt;=Inputs!$C$13,OR(A1931&lt;Inputs!$B$19,Inputs!$B$20=1)),I1931*Inputs!$C$11/C1931,0)</f>
        <v>40.2739726027397</v>
      </c>
    </row>
    <row r="1932" customFormat="false" ht="15" hidden="false" customHeight="false" outlineLevel="0" collapsed="false">
      <c r="A1932" s="35" t="n">
        <f aca="false">A1931+1</f>
        <v>46739</v>
      </c>
      <c r="B1932" s="35" t="n">
        <f aca="false">EOMONTH(A1932+1,0)</f>
        <v>46752</v>
      </c>
      <c r="C1932" s="36" t="n">
        <f aca="false">IF(MOD(YEAR(A1932),4)=0,366,365)</f>
        <v>365</v>
      </c>
      <c r="D1932" s="37" t="n">
        <f aca="false">Inputs!$B$9-SUMIFS(Cash_Events!$G$6:$G$20,Cash_Events!$C$6:$C$20,"rAGMF",Cash_Events!$B$6:$B$20,"&lt;="&amp;A1932)</f>
        <v>735000</v>
      </c>
      <c r="E1932" s="38" t="n">
        <f aca="false">VLOOKUP(A1932,Inputs!$A$40:$B$48,2,TRUE())</f>
        <v>0.0363225</v>
      </c>
      <c r="F1932" s="38" t="n">
        <f aca="false">E1932+Inputs!$B$10</f>
        <v>0.1038225</v>
      </c>
      <c r="G1932" s="37" t="n">
        <f aca="false">D1932*F1932/C1932</f>
        <v>209.067226027397</v>
      </c>
      <c r="H1932" s="37" t="n">
        <f aca="false">IF(AND(A1932&gt;=Inputs!$B$13,OR(A1932&lt;Inputs!$B$19,Inputs!$B$20=1)),D1932*Inputs!$B$11/C1932,0)</f>
        <v>40.2739726027397</v>
      </c>
      <c r="I1932" s="37" t="n">
        <f aca="false">Inputs!$C$9-SUMIFS(Cash_Events!$G$6:$G$20,Cash_Events!$C$6:$C$20,"FHL",Cash_Events!$B$6:$B$20,"&lt;="&amp;A1932)</f>
        <v>735000</v>
      </c>
      <c r="J1932" s="38" t="n">
        <f aca="false">VLOOKUP(A1932,Inputs!$F$40:$G$48,2,TRUE())</f>
        <v>0.0364054</v>
      </c>
      <c r="K1932" s="38" t="n">
        <f aca="false">J1932+Inputs!$C$10</f>
        <v>0.1039054</v>
      </c>
      <c r="L1932" s="37" t="n">
        <f aca="false">I1932*K1932/C1932</f>
        <v>209.234161643836</v>
      </c>
      <c r="M1932" s="37" t="n">
        <f aca="false">IF(AND(A1932&gt;=Inputs!$C$13,OR(A1932&lt;Inputs!$B$19,Inputs!$B$20=1)),I1932*Inputs!$C$11/C1932,0)</f>
        <v>40.2739726027397</v>
      </c>
    </row>
    <row r="1933" customFormat="false" ht="15" hidden="false" customHeight="false" outlineLevel="0" collapsed="false">
      <c r="A1933" s="35" t="n">
        <f aca="false">A1932+1</f>
        <v>46740</v>
      </c>
      <c r="B1933" s="35" t="n">
        <f aca="false">EOMONTH(A1933+1,0)</f>
        <v>46752</v>
      </c>
      <c r="C1933" s="36" t="n">
        <f aca="false">IF(MOD(YEAR(A1933),4)=0,366,365)</f>
        <v>365</v>
      </c>
      <c r="D1933" s="37" t="n">
        <f aca="false">Inputs!$B$9-SUMIFS(Cash_Events!$G$6:$G$20,Cash_Events!$C$6:$C$20,"rAGMF",Cash_Events!$B$6:$B$20,"&lt;="&amp;A1933)</f>
        <v>735000</v>
      </c>
      <c r="E1933" s="38" t="n">
        <f aca="false">VLOOKUP(A1933,Inputs!$A$40:$B$48,2,TRUE())</f>
        <v>0.0363225</v>
      </c>
      <c r="F1933" s="38" t="n">
        <f aca="false">E1933+Inputs!$B$10</f>
        <v>0.1038225</v>
      </c>
      <c r="G1933" s="37" t="n">
        <f aca="false">D1933*F1933/C1933</f>
        <v>209.067226027397</v>
      </c>
      <c r="H1933" s="37" t="n">
        <f aca="false">IF(AND(A1933&gt;=Inputs!$B$13,OR(A1933&lt;Inputs!$B$19,Inputs!$B$20=1)),D1933*Inputs!$B$11/C1933,0)</f>
        <v>40.2739726027397</v>
      </c>
      <c r="I1933" s="37" t="n">
        <f aca="false">Inputs!$C$9-SUMIFS(Cash_Events!$G$6:$G$20,Cash_Events!$C$6:$C$20,"FHL",Cash_Events!$B$6:$B$20,"&lt;="&amp;A1933)</f>
        <v>735000</v>
      </c>
      <c r="J1933" s="38" t="n">
        <f aca="false">VLOOKUP(A1933,Inputs!$F$40:$G$48,2,TRUE())</f>
        <v>0.0364054</v>
      </c>
      <c r="K1933" s="38" t="n">
        <f aca="false">J1933+Inputs!$C$10</f>
        <v>0.1039054</v>
      </c>
      <c r="L1933" s="37" t="n">
        <f aca="false">I1933*K1933/C1933</f>
        <v>209.234161643836</v>
      </c>
      <c r="M1933" s="37" t="n">
        <f aca="false">IF(AND(A1933&gt;=Inputs!$C$13,OR(A1933&lt;Inputs!$B$19,Inputs!$B$20=1)),I1933*Inputs!$C$11/C1933,0)</f>
        <v>40.2739726027397</v>
      </c>
    </row>
    <row r="1934" customFormat="false" ht="15" hidden="false" customHeight="false" outlineLevel="0" collapsed="false">
      <c r="A1934" s="35" t="n">
        <f aca="false">A1933+1</f>
        <v>46741</v>
      </c>
      <c r="B1934" s="35" t="n">
        <f aca="false">EOMONTH(A1934+1,0)</f>
        <v>46752</v>
      </c>
      <c r="C1934" s="36" t="n">
        <f aca="false">IF(MOD(YEAR(A1934),4)=0,366,365)</f>
        <v>365</v>
      </c>
      <c r="D1934" s="37" t="n">
        <f aca="false">Inputs!$B$9-SUMIFS(Cash_Events!$G$6:$G$20,Cash_Events!$C$6:$C$20,"rAGMF",Cash_Events!$B$6:$B$20,"&lt;="&amp;A1934)</f>
        <v>735000</v>
      </c>
      <c r="E1934" s="38" t="n">
        <f aca="false">VLOOKUP(A1934,Inputs!$A$40:$B$48,2,TRUE())</f>
        <v>0.0363225</v>
      </c>
      <c r="F1934" s="38" t="n">
        <f aca="false">E1934+Inputs!$B$10</f>
        <v>0.1038225</v>
      </c>
      <c r="G1934" s="37" t="n">
        <f aca="false">D1934*F1934/C1934</f>
        <v>209.067226027397</v>
      </c>
      <c r="H1934" s="37" t="n">
        <f aca="false">IF(AND(A1934&gt;=Inputs!$B$13,OR(A1934&lt;Inputs!$B$19,Inputs!$B$20=1)),D1934*Inputs!$B$11/C1934,0)</f>
        <v>40.2739726027397</v>
      </c>
      <c r="I1934" s="37" t="n">
        <f aca="false">Inputs!$C$9-SUMIFS(Cash_Events!$G$6:$G$20,Cash_Events!$C$6:$C$20,"FHL",Cash_Events!$B$6:$B$20,"&lt;="&amp;A1934)</f>
        <v>735000</v>
      </c>
      <c r="J1934" s="38" t="n">
        <f aca="false">VLOOKUP(A1934,Inputs!$F$40:$G$48,2,TRUE())</f>
        <v>0.0364054</v>
      </c>
      <c r="K1934" s="38" t="n">
        <f aca="false">J1934+Inputs!$C$10</f>
        <v>0.1039054</v>
      </c>
      <c r="L1934" s="37" t="n">
        <f aca="false">I1934*K1934/C1934</f>
        <v>209.234161643836</v>
      </c>
      <c r="M1934" s="37" t="n">
        <f aca="false">IF(AND(A1934&gt;=Inputs!$C$13,OR(A1934&lt;Inputs!$B$19,Inputs!$B$20=1)),I1934*Inputs!$C$11/C1934,0)</f>
        <v>40.2739726027397</v>
      </c>
    </row>
    <row r="1935" customFormat="false" ht="15" hidden="false" customHeight="false" outlineLevel="0" collapsed="false">
      <c r="A1935" s="35" t="n">
        <f aca="false">A1934+1</f>
        <v>46742</v>
      </c>
      <c r="B1935" s="35" t="n">
        <f aca="false">EOMONTH(A1935+1,0)</f>
        <v>46752</v>
      </c>
      <c r="C1935" s="36" t="n">
        <f aca="false">IF(MOD(YEAR(A1935),4)=0,366,365)</f>
        <v>365</v>
      </c>
      <c r="D1935" s="37" t="n">
        <f aca="false">Inputs!$B$9-SUMIFS(Cash_Events!$G$6:$G$20,Cash_Events!$C$6:$C$20,"rAGMF",Cash_Events!$B$6:$B$20,"&lt;="&amp;A1935)</f>
        <v>735000</v>
      </c>
      <c r="E1935" s="38" t="n">
        <f aca="false">VLOOKUP(A1935,Inputs!$A$40:$B$48,2,TRUE())</f>
        <v>0.0363225</v>
      </c>
      <c r="F1935" s="38" t="n">
        <f aca="false">E1935+Inputs!$B$10</f>
        <v>0.1038225</v>
      </c>
      <c r="G1935" s="37" t="n">
        <f aca="false">D1935*F1935/C1935</f>
        <v>209.067226027397</v>
      </c>
      <c r="H1935" s="37" t="n">
        <f aca="false">IF(AND(A1935&gt;=Inputs!$B$13,OR(A1935&lt;Inputs!$B$19,Inputs!$B$20=1)),D1935*Inputs!$B$11/C1935,0)</f>
        <v>40.2739726027397</v>
      </c>
      <c r="I1935" s="37" t="n">
        <f aca="false">Inputs!$C$9-SUMIFS(Cash_Events!$G$6:$G$20,Cash_Events!$C$6:$C$20,"FHL",Cash_Events!$B$6:$B$20,"&lt;="&amp;A1935)</f>
        <v>735000</v>
      </c>
      <c r="J1935" s="38" t="n">
        <f aca="false">VLOOKUP(A1935,Inputs!$F$40:$G$48,2,TRUE())</f>
        <v>0.0364054</v>
      </c>
      <c r="K1935" s="38" t="n">
        <f aca="false">J1935+Inputs!$C$10</f>
        <v>0.1039054</v>
      </c>
      <c r="L1935" s="37" t="n">
        <f aca="false">I1935*K1935/C1935</f>
        <v>209.234161643836</v>
      </c>
      <c r="M1935" s="37" t="n">
        <f aca="false">IF(AND(A1935&gt;=Inputs!$C$13,OR(A1935&lt;Inputs!$B$19,Inputs!$B$20=1)),I1935*Inputs!$C$11/C1935,0)</f>
        <v>40.2739726027397</v>
      </c>
    </row>
    <row r="1936" customFormat="false" ht="15" hidden="false" customHeight="false" outlineLevel="0" collapsed="false">
      <c r="A1936" s="35" t="n">
        <f aca="false">A1935+1</f>
        <v>46743</v>
      </c>
      <c r="B1936" s="35" t="n">
        <f aca="false">EOMONTH(A1936+1,0)</f>
        <v>46752</v>
      </c>
      <c r="C1936" s="36" t="n">
        <f aca="false">IF(MOD(YEAR(A1936),4)=0,366,365)</f>
        <v>365</v>
      </c>
      <c r="D1936" s="37" t="n">
        <f aca="false">Inputs!$B$9-SUMIFS(Cash_Events!$G$6:$G$20,Cash_Events!$C$6:$C$20,"rAGMF",Cash_Events!$B$6:$B$20,"&lt;="&amp;A1936)</f>
        <v>735000</v>
      </c>
      <c r="E1936" s="38" t="n">
        <f aca="false">VLOOKUP(A1936,Inputs!$A$40:$B$48,2,TRUE())</f>
        <v>0.0363225</v>
      </c>
      <c r="F1936" s="38" t="n">
        <f aca="false">E1936+Inputs!$B$10</f>
        <v>0.1038225</v>
      </c>
      <c r="G1936" s="37" t="n">
        <f aca="false">D1936*F1936/C1936</f>
        <v>209.067226027397</v>
      </c>
      <c r="H1936" s="37" t="n">
        <f aca="false">IF(AND(A1936&gt;=Inputs!$B$13,OR(A1936&lt;Inputs!$B$19,Inputs!$B$20=1)),D1936*Inputs!$B$11/C1936,0)</f>
        <v>40.2739726027397</v>
      </c>
      <c r="I1936" s="37" t="n">
        <f aca="false">Inputs!$C$9-SUMIFS(Cash_Events!$G$6:$G$20,Cash_Events!$C$6:$C$20,"FHL",Cash_Events!$B$6:$B$20,"&lt;="&amp;A1936)</f>
        <v>735000</v>
      </c>
      <c r="J1936" s="38" t="n">
        <f aca="false">VLOOKUP(A1936,Inputs!$F$40:$G$48,2,TRUE())</f>
        <v>0.0364054</v>
      </c>
      <c r="K1936" s="38" t="n">
        <f aca="false">J1936+Inputs!$C$10</f>
        <v>0.1039054</v>
      </c>
      <c r="L1936" s="37" t="n">
        <f aca="false">I1936*K1936/C1936</f>
        <v>209.234161643836</v>
      </c>
      <c r="M1936" s="37" t="n">
        <f aca="false">IF(AND(A1936&gt;=Inputs!$C$13,OR(A1936&lt;Inputs!$B$19,Inputs!$B$20=1)),I1936*Inputs!$C$11/C1936,0)</f>
        <v>40.2739726027397</v>
      </c>
    </row>
    <row r="1937" customFormat="false" ht="15" hidden="false" customHeight="false" outlineLevel="0" collapsed="false">
      <c r="A1937" s="35" t="n">
        <f aca="false">A1936+1</f>
        <v>46744</v>
      </c>
      <c r="B1937" s="35" t="n">
        <f aca="false">EOMONTH(A1937+1,0)</f>
        <v>46752</v>
      </c>
      <c r="C1937" s="36" t="n">
        <f aca="false">IF(MOD(YEAR(A1937),4)=0,366,365)</f>
        <v>365</v>
      </c>
      <c r="D1937" s="37" t="n">
        <f aca="false">Inputs!$B$9-SUMIFS(Cash_Events!$G$6:$G$20,Cash_Events!$C$6:$C$20,"rAGMF",Cash_Events!$B$6:$B$20,"&lt;="&amp;A1937)</f>
        <v>735000</v>
      </c>
      <c r="E1937" s="38" t="n">
        <f aca="false">VLOOKUP(A1937,Inputs!$A$40:$B$48,2,TRUE())</f>
        <v>0.0363225</v>
      </c>
      <c r="F1937" s="38" t="n">
        <f aca="false">E1937+Inputs!$B$10</f>
        <v>0.1038225</v>
      </c>
      <c r="G1937" s="37" t="n">
        <f aca="false">D1937*F1937/C1937</f>
        <v>209.067226027397</v>
      </c>
      <c r="H1937" s="37" t="n">
        <f aca="false">IF(AND(A1937&gt;=Inputs!$B$13,OR(A1937&lt;Inputs!$B$19,Inputs!$B$20=1)),D1937*Inputs!$B$11/C1937,0)</f>
        <v>40.2739726027397</v>
      </c>
      <c r="I1937" s="37" t="n">
        <f aca="false">Inputs!$C$9-SUMIFS(Cash_Events!$G$6:$G$20,Cash_Events!$C$6:$C$20,"FHL",Cash_Events!$B$6:$B$20,"&lt;="&amp;A1937)</f>
        <v>735000</v>
      </c>
      <c r="J1937" s="38" t="n">
        <f aca="false">VLOOKUP(A1937,Inputs!$F$40:$G$48,2,TRUE())</f>
        <v>0.0364054</v>
      </c>
      <c r="K1937" s="38" t="n">
        <f aca="false">J1937+Inputs!$C$10</f>
        <v>0.1039054</v>
      </c>
      <c r="L1937" s="37" t="n">
        <f aca="false">I1937*K1937/C1937</f>
        <v>209.234161643836</v>
      </c>
      <c r="M1937" s="37" t="n">
        <f aca="false">IF(AND(A1937&gt;=Inputs!$C$13,OR(A1937&lt;Inputs!$B$19,Inputs!$B$20=1)),I1937*Inputs!$C$11/C1937,0)</f>
        <v>40.2739726027397</v>
      </c>
    </row>
    <row r="1938" customFormat="false" ht="15" hidden="false" customHeight="false" outlineLevel="0" collapsed="false">
      <c r="A1938" s="35" t="n">
        <f aca="false">A1937+1</f>
        <v>46745</v>
      </c>
      <c r="B1938" s="35" t="n">
        <f aca="false">EOMONTH(A1938+1,0)</f>
        <v>46752</v>
      </c>
      <c r="C1938" s="36" t="n">
        <f aca="false">IF(MOD(YEAR(A1938),4)=0,366,365)</f>
        <v>365</v>
      </c>
      <c r="D1938" s="37" t="n">
        <f aca="false">Inputs!$B$9-SUMIFS(Cash_Events!$G$6:$G$20,Cash_Events!$C$6:$C$20,"rAGMF",Cash_Events!$B$6:$B$20,"&lt;="&amp;A1938)</f>
        <v>735000</v>
      </c>
      <c r="E1938" s="38" t="n">
        <f aca="false">VLOOKUP(A1938,Inputs!$A$40:$B$48,2,TRUE())</f>
        <v>0.0363225</v>
      </c>
      <c r="F1938" s="38" t="n">
        <f aca="false">E1938+Inputs!$B$10</f>
        <v>0.1038225</v>
      </c>
      <c r="G1938" s="37" t="n">
        <f aca="false">D1938*F1938/C1938</f>
        <v>209.067226027397</v>
      </c>
      <c r="H1938" s="37" t="n">
        <f aca="false">IF(AND(A1938&gt;=Inputs!$B$13,OR(A1938&lt;Inputs!$B$19,Inputs!$B$20=1)),D1938*Inputs!$B$11/C1938,0)</f>
        <v>40.2739726027397</v>
      </c>
      <c r="I1938" s="37" t="n">
        <f aca="false">Inputs!$C$9-SUMIFS(Cash_Events!$G$6:$G$20,Cash_Events!$C$6:$C$20,"FHL",Cash_Events!$B$6:$B$20,"&lt;="&amp;A1938)</f>
        <v>735000</v>
      </c>
      <c r="J1938" s="38" t="n">
        <f aca="false">VLOOKUP(A1938,Inputs!$F$40:$G$48,2,TRUE())</f>
        <v>0.0364054</v>
      </c>
      <c r="K1938" s="38" t="n">
        <f aca="false">J1938+Inputs!$C$10</f>
        <v>0.1039054</v>
      </c>
      <c r="L1938" s="37" t="n">
        <f aca="false">I1938*K1938/C1938</f>
        <v>209.234161643836</v>
      </c>
      <c r="M1938" s="37" t="n">
        <f aca="false">IF(AND(A1938&gt;=Inputs!$C$13,OR(A1938&lt;Inputs!$B$19,Inputs!$B$20=1)),I1938*Inputs!$C$11/C1938,0)</f>
        <v>40.2739726027397</v>
      </c>
    </row>
    <row r="1939" customFormat="false" ht="15" hidden="false" customHeight="false" outlineLevel="0" collapsed="false">
      <c r="A1939" s="35" t="n">
        <f aca="false">A1938+1</f>
        <v>46746</v>
      </c>
      <c r="B1939" s="35" t="n">
        <f aca="false">EOMONTH(A1939+1,0)</f>
        <v>46752</v>
      </c>
      <c r="C1939" s="36" t="n">
        <f aca="false">IF(MOD(YEAR(A1939),4)=0,366,365)</f>
        <v>365</v>
      </c>
      <c r="D1939" s="37" t="n">
        <f aca="false">Inputs!$B$9-SUMIFS(Cash_Events!$G$6:$G$20,Cash_Events!$C$6:$C$20,"rAGMF",Cash_Events!$B$6:$B$20,"&lt;="&amp;A1939)</f>
        <v>735000</v>
      </c>
      <c r="E1939" s="38" t="n">
        <f aca="false">VLOOKUP(A1939,Inputs!$A$40:$B$48,2,TRUE())</f>
        <v>0.0363225</v>
      </c>
      <c r="F1939" s="38" t="n">
        <f aca="false">E1939+Inputs!$B$10</f>
        <v>0.1038225</v>
      </c>
      <c r="G1939" s="37" t="n">
        <f aca="false">D1939*F1939/C1939</f>
        <v>209.067226027397</v>
      </c>
      <c r="H1939" s="37" t="n">
        <f aca="false">IF(AND(A1939&gt;=Inputs!$B$13,OR(A1939&lt;Inputs!$B$19,Inputs!$B$20=1)),D1939*Inputs!$B$11/C1939,0)</f>
        <v>40.2739726027397</v>
      </c>
      <c r="I1939" s="37" t="n">
        <f aca="false">Inputs!$C$9-SUMIFS(Cash_Events!$G$6:$G$20,Cash_Events!$C$6:$C$20,"FHL",Cash_Events!$B$6:$B$20,"&lt;="&amp;A1939)</f>
        <v>735000</v>
      </c>
      <c r="J1939" s="38" t="n">
        <f aca="false">VLOOKUP(A1939,Inputs!$F$40:$G$48,2,TRUE())</f>
        <v>0.0364054</v>
      </c>
      <c r="K1939" s="38" t="n">
        <f aca="false">J1939+Inputs!$C$10</f>
        <v>0.1039054</v>
      </c>
      <c r="L1939" s="37" t="n">
        <f aca="false">I1939*K1939/C1939</f>
        <v>209.234161643836</v>
      </c>
      <c r="M1939" s="37" t="n">
        <f aca="false">IF(AND(A1939&gt;=Inputs!$C$13,OR(A1939&lt;Inputs!$B$19,Inputs!$B$20=1)),I1939*Inputs!$C$11/C1939,0)</f>
        <v>40.2739726027397</v>
      </c>
    </row>
    <row r="1940" customFormat="false" ht="15" hidden="false" customHeight="false" outlineLevel="0" collapsed="false">
      <c r="A1940" s="35" t="n">
        <f aca="false">A1939+1</f>
        <v>46747</v>
      </c>
      <c r="B1940" s="35" t="n">
        <f aca="false">EOMONTH(A1940+1,0)</f>
        <v>46752</v>
      </c>
      <c r="C1940" s="36" t="n">
        <f aca="false">IF(MOD(YEAR(A1940),4)=0,366,365)</f>
        <v>365</v>
      </c>
      <c r="D1940" s="37" t="n">
        <f aca="false">Inputs!$B$9-SUMIFS(Cash_Events!$G$6:$G$20,Cash_Events!$C$6:$C$20,"rAGMF",Cash_Events!$B$6:$B$20,"&lt;="&amp;A1940)</f>
        <v>735000</v>
      </c>
      <c r="E1940" s="38" t="n">
        <f aca="false">VLOOKUP(A1940,Inputs!$A$40:$B$48,2,TRUE())</f>
        <v>0.0363225</v>
      </c>
      <c r="F1940" s="38" t="n">
        <f aca="false">E1940+Inputs!$B$10</f>
        <v>0.1038225</v>
      </c>
      <c r="G1940" s="37" t="n">
        <f aca="false">D1940*F1940/C1940</f>
        <v>209.067226027397</v>
      </c>
      <c r="H1940" s="37" t="n">
        <f aca="false">IF(AND(A1940&gt;=Inputs!$B$13,OR(A1940&lt;Inputs!$B$19,Inputs!$B$20=1)),D1940*Inputs!$B$11/C1940,0)</f>
        <v>40.2739726027397</v>
      </c>
      <c r="I1940" s="37" t="n">
        <f aca="false">Inputs!$C$9-SUMIFS(Cash_Events!$G$6:$G$20,Cash_Events!$C$6:$C$20,"FHL",Cash_Events!$B$6:$B$20,"&lt;="&amp;A1940)</f>
        <v>735000</v>
      </c>
      <c r="J1940" s="38" t="n">
        <f aca="false">VLOOKUP(A1940,Inputs!$F$40:$G$48,2,TRUE())</f>
        <v>0.0364054</v>
      </c>
      <c r="K1940" s="38" t="n">
        <f aca="false">J1940+Inputs!$C$10</f>
        <v>0.1039054</v>
      </c>
      <c r="L1940" s="37" t="n">
        <f aca="false">I1940*K1940/C1940</f>
        <v>209.234161643836</v>
      </c>
      <c r="M1940" s="37" t="n">
        <f aca="false">IF(AND(A1940&gt;=Inputs!$C$13,OR(A1940&lt;Inputs!$B$19,Inputs!$B$20=1)),I1940*Inputs!$C$11/C1940,0)</f>
        <v>40.2739726027397</v>
      </c>
    </row>
    <row r="1941" customFormat="false" ht="15" hidden="false" customHeight="false" outlineLevel="0" collapsed="false">
      <c r="A1941" s="35" t="n">
        <f aca="false">A1940+1</f>
        <v>46748</v>
      </c>
      <c r="B1941" s="35" t="n">
        <f aca="false">EOMONTH(A1941+1,0)</f>
        <v>46752</v>
      </c>
      <c r="C1941" s="36" t="n">
        <f aca="false">IF(MOD(YEAR(A1941),4)=0,366,365)</f>
        <v>365</v>
      </c>
      <c r="D1941" s="37" t="n">
        <f aca="false">Inputs!$B$9-SUMIFS(Cash_Events!$G$6:$G$20,Cash_Events!$C$6:$C$20,"rAGMF",Cash_Events!$B$6:$B$20,"&lt;="&amp;A1941)</f>
        <v>735000</v>
      </c>
      <c r="E1941" s="38" t="n">
        <f aca="false">VLOOKUP(A1941,Inputs!$A$40:$B$48,2,TRUE())</f>
        <v>0.0363225</v>
      </c>
      <c r="F1941" s="38" t="n">
        <f aca="false">E1941+Inputs!$B$10</f>
        <v>0.1038225</v>
      </c>
      <c r="G1941" s="37" t="n">
        <f aca="false">D1941*F1941/C1941</f>
        <v>209.067226027397</v>
      </c>
      <c r="H1941" s="37" t="n">
        <f aca="false">IF(AND(A1941&gt;=Inputs!$B$13,OR(A1941&lt;Inputs!$B$19,Inputs!$B$20=1)),D1941*Inputs!$B$11/C1941,0)</f>
        <v>40.2739726027397</v>
      </c>
      <c r="I1941" s="37" t="n">
        <f aca="false">Inputs!$C$9-SUMIFS(Cash_Events!$G$6:$G$20,Cash_Events!$C$6:$C$20,"FHL",Cash_Events!$B$6:$B$20,"&lt;="&amp;A1941)</f>
        <v>735000</v>
      </c>
      <c r="J1941" s="38" t="n">
        <f aca="false">VLOOKUP(A1941,Inputs!$F$40:$G$48,2,TRUE())</f>
        <v>0.0364054</v>
      </c>
      <c r="K1941" s="38" t="n">
        <f aca="false">J1941+Inputs!$C$10</f>
        <v>0.1039054</v>
      </c>
      <c r="L1941" s="37" t="n">
        <f aca="false">I1941*K1941/C1941</f>
        <v>209.234161643836</v>
      </c>
      <c r="M1941" s="37" t="n">
        <f aca="false">IF(AND(A1941&gt;=Inputs!$C$13,OR(A1941&lt;Inputs!$B$19,Inputs!$B$20=1)),I1941*Inputs!$C$11/C1941,0)</f>
        <v>40.2739726027397</v>
      </c>
    </row>
    <row r="1942" customFormat="false" ht="15" hidden="false" customHeight="false" outlineLevel="0" collapsed="false">
      <c r="A1942" s="35" t="n">
        <f aca="false">A1941+1</f>
        <v>46749</v>
      </c>
      <c r="B1942" s="35" t="n">
        <f aca="false">EOMONTH(A1942+1,0)</f>
        <v>46752</v>
      </c>
      <c r="C1942" s="36" t="n">
        <f aca="false">IF(MOD(YEAR(A1942),4)=0,366,365)</f>
        <v>365</v>
      </c>
      <c r="D1942" s="37" t="n">
        <f aca="false">Inputs!$B$9-SUMIFS(Cash_Events!$G$6:$G$20,Cash_Events!$C$6:$C$20,"rAGMF",Cash_Events!$B$6:$B$20,"&lt;="&amp;A1942)</f>
        <v>735000</v>
      </c>
      <c r="E1942" s="38" t="n">
        <f aca="false">VLOOKUP(A1942,Inputs!$A$40:$B$48,2,TRUE())</f>
        <v>0.0363225</v>
      </c>
      <c r="F1942" s="38" t="n">
        <f aca="false">E1942+Inputs!$B$10</f>
        <v>0.1038225</v>
      </c>
      <c r="G1942" s="37" t="n">
        <f aca="false">D1942*F1942/C1942</f>
        <v>209.067226027397</v>
      </c>
      <c r="H1942" s="37" t="n">
        <f aca="false">IF(AND(A1942&gt;=Inputs!$B$13,OR(A1942&lt;Inputs!$B$19,Inputs!$B$20=1)),D1942*Inputs!$B$11/C1942,0)</f>
        <v>40.2739726027397</v>
      </c>
      <c r="I1942" s="37" t="n">
        <f aca="false">Inputs!$C$9-SUMIFS(Cash_Events!$G$6:$G$20,Cash_Events!$C$6:$C$20,"FHL",Cash_Events!$B$6:$B$20,"&lt;="&amp;A1942)</f>
        <v>735000</v>
      </c>
      <c r="J1942" s="38" t="n">
        <f aca="false">VLOOKUP(A1942,Inputs!$F$40:$G$48,2,TRUE())</f>
        <v>0.0364054</v>
      </c>
      <c r="K1942" s="38" t="n">
        <f aca="false">J1942+Inputs!$C$10</f>
        <v>0.1039054</v>
      </c>
      <c r="L1942" s="37" t="n">
        <f aca="false">I1942*K1942/C1942</f>
        <v>209.234161643836</v>
      </c>
      <c r="M1942" s="37" t="n">
        <f aca="false">IF(AND(A1942&gt;=Inputs!$C$13,OR(A1942&lt;Inputs!$B$19,Inputs!$B$20=1)),I1942*Inputs!$C$11/C1942,0)</f>
        <v>40.2739726027397</v>
      </c>
    </row>
    <row r="1943" customFormat="false" ht="15" hidden="false" customHeight="false" outlineLevel="0" collapsed="false">
      <c r="A1943" s="35" t="n">
        <f aca="false">A1942+1</f>
        <v>46750</v>
      </c>
      <c r="B1943" s="35" t="n">
        <f aca="false">EOMONTH(A1943+1,0)</f>
        <v>46752</v>
      </c>
      <c r="C1943" s="36" t="n">
        <f aca="false">IF(MOD(YEAR(A1943),4)=0,366,365)</f>
        <v>365</v>
      </c>
      <c r="D1943" s="37" t="n">
        <f aca="false">Inputs!$B$9-SUMIFS(Cash_Events!$G$6:$G$20,Cash_Events!$C$6:$C$20,"rAGMF",Cash_Events!$B$6:$B$20,"&lt;="&amp;A1943)</f>
        <v>735000</v>
      </c>
      <c r="E1943" s="38" t="n">
        <f aca="false">VLOOKUP(A1943,Inputs!$A$40:$B$48,2,TRUE())</f>
        <v>0.0363225</v>
      </c>
      <c r="F1943" s="38" t="n">
        <f aca="false">E1943+Inputs!$B$10</f>
        <v>0.1038225</v>
      </c>
      <c r="G1943" s="37" t="n">
        <f aca="false">D1943*F1943/C1943</f>
        <v>209.067226027397</v>
      </c>
      <c r="H1943" s="37" t="n">
        <f aca="false">IF(AND(A1943&gt;=Inputs!$B$13,OR(A1943&lt;Inputs!$B$19,Inputs!$B$20=1)),D1943*Inputs!$B$11/C1943,0)</f>
        <v>40.2739726027397</v>
      </c>
      <c r="I1943" s="37" t="n">
        <f aca="false">Inputs!$C$9-SUMIFS(Cash_Events!$G$6:$G$20,Cash_Events!$C$6:$C$20,"FHL",Cash_Events!$B$6:$B$20,"&lt;="&amp;A1943)</f>
        <v>735000</v>
      </c>
      <c r="J1943" s="38" t="n">
        <f aca="false">VLOOKUP(A1943,Inputs!$F$40:$G$48,2,TRUE())</f>
        <v>0.0364054</v>
      </c>
      <c r="K1943" s="38" t="n">
        <f aca="false">J1943+Inputs!$C$10</f>
        <v>0.1039054</v>
      </c>
      <c r="L1943" s="37" t="n">
        <f aca="false">I1943*K1943/C1943</f>
        <v>209.234161643836</v>
      </c>
      <c r="M1943" s="37" t="n">
        <f aca="false">IF(AND(A1943&gt;=Inputs!$C$13,OR(A1943&lt;Inputs!$B$19,Inputs!$B$20=1)),I1943*Inputs!$C$11/C1943,0)</f>
        <v>40.2739726027397</v>
      </c>
    </row>
    <row r="1944" customFormat="false" ht="15" hidden="false" customHeight="false" outlineLevel="0" collapsed="false">
      <c r="A1944" s="35" t="n">
        <f aca="false">A1943+1</f>
        <v>46751</v>
      </c>
      <c r="B1944" s="35" t="n">
        <f aca="false">EOMONTH(A1944+1,0)</f>
        <v>46752</v>
      </c>
      <c r="C1944" s="36" t="n">
        <f aca="false">IF(MOD(YEAR(A1944),4)=0,366,365)</f>
        <v>365</v>
      </c>
      <c r="D1944" s="37" t="n">
        <f aca="false">Inputs!$B$9-SUMIFS(Cash_Events!$G$6:$G$20,Cash_Events!$C$6:$C$20,"rAGMF",Cash_Events!$B$6:$B$20,"&lt;="&amp;A1944)</f>
        <v>735000</v>
      </c>
      <c r="E1944" s="38" t="n">
        <f aca="false">VLOOKUP(A1944,Inputs!$A$40:$B$48,2,TRUE())</f>
        <v>0.0363225</v>
      </c>
      <c r="F1944" s="38" t="n">
        <f aca="false">E1944+Inputs!$B$10</f>
        <v>0.1038225</v>
      </c>
      <c r="G1944" s="37" t="n">
        <f aca="false">D1944*F1944/C1944</f>
        <v>209.067226027397</v>
      </c>
      <c r="H1944" s="37" t="n">
        <f aca="false">IF(AND(A1944&gt;=Inputs!$B$13,OR(A1944&lt;Inputs!$B$19,Inputs!$B$20=1)),D1944*Inputs!$B$11/C1944,0)</f>
        <v>40.2739726027397</v>
      </c>
      <c r="I1944" s="37" t="n">
        <f aca="false">Inputs!$C$9-SUMIFS(Cash_Events!$G$6:$G$20,Cash_Events!$C$6:$C$20,"FHL",Cash_Events!$B$6:$B$20,"&lt;="&amp;A1944)</f>
        <v>735000</v>
      </c>
      <c r="J1944" s="38" t="n">
        <f aca="false">VLOOKUP(A1944,Inputs!$F$40:$G$48,2,TRUE())</f>
        <v>0.0364054</v>
      </c>
      <c r="K1944" s="38" t="n">
        <f aca="false">J1944+Inputs!$C$10</f>
        <v>0.1039054</v>
      </c>
      <c r="L1944" s="37" t="n">
        <f aca="false">I1944*K1944/C1944</f>
        <v>209.234161643836</v>
      </c>
      <c r="M1944" s="37" t="n">
        <f aca="false">IF(AND(A1944&gt;=Inputs!$C$13,OR(A1944&lt;Inputs!$B$19,Inputs!$B$20=1)),I1944*Inputs!$C$11/C1944,0)</f>
        <v>40.2739726027397</v>
      </c>
    </row>
    <row r="1945" customFormat="false" ht="15" hidden="false" customHeight="false" outlineLevel="0" collapsed="false">
      <c r="A1945" s="35" t="n">
        <f aca="false">A1944+1</f>
        <v>46752</v>
      </c>
      <c r="B1945" s="35" t="n">
        <f aca="false">EOMONTH(A1945+1,0)</f>
        <v>46783</v>
      </c>
      <c r="C1945" s="36" t="n">
        <f aca="false">IF(MOD(YEAR(A1945),4)=0,366,365)</f>
        <v>365</v>
      </c>
      <c r="D1945" s="37" t="n">
        <f aca="false">Inputs!$B$9-SUMIFS(Cash_Events!$G$6:$G$20,Cash_Events!$C$6:$C$20,"rAGMF",Cash_Events!$B$6:$B$20,"&lt;="&amp;A1945)</f>
        <v>735000</v>
      </c>
      <c r="E1945" s="38" t="n">
        <f aca="false">VLOOKUP(A1945,Inputs!$A$40:$B$48,2,TRUE())</f>
        <v>0.0363225</v>
      </c>
      <c r="F1945" s="38" t="n">
        <f aca="false">E1945+Inputs!$B$10</f>
        <v>0.1038225</v>
      </c>
      <c r="G1945" s="37" t="n">
        <f aca="false">D1945*F1945/C1945</f>
        <v>209.067226027397</v>
      </c>
      <c r="H1945" s="37" t="n">
        <f aca="false">IF(AND(A1945&gt;=Inputs!$B$13,OR(A1945&lt;Inputs!$B$19,Inputs!$B$20=1)),D1945*Inputs!$B$11/C1945,0)</f>
        <v>40.2739726027397</v>
      </c>
      <c r="I1945" s="37" t="n">
        <f aca="false">Inputs!$C$9-SUMIFS(Cash_Events!$G$6:$G$20,Cash_Events!$C$6:$C$20,"FHL",Cash_Events!$B$6:$B$20,"&lt;="&amp;A1945)</f>
        <v>735000</v>
      </c>
      <c r="J1945" s="38" t="n">
        <f aca="false">VLOOKUP(A1945,Inputs!$F$40:$G$48,2,TRUE())</f>
        <v>0.0364054</v>
      </c>
      <c r="K1945" s="38" t="n">
        <f aca="false">J1945+Inputs!$C$10</f>
        <v>0.1039054</v>
      </c>
      <c r="L1945" s="37" t="n">
        <f aca="false">I1945*K1945/C1945</f>
        <v>209.234161643836</v>
      </c>
      <c r="M1945" s="37" t="n">
        <f aca="false">IF(AND(A1945&gt;=Inputs!$C$13,OR(A1945&lt;Inputs!$B$19,Inputs!$B$20=1)),I1945*Inputs!$C$11/C1945,0)</f>
        <v>40.2739726027397</v>
      </c>
    </row>
    <row r="1946" customFormat="false" ht="15" hidden="false" customHeight="false" outlineLevel="0" collapsed="false">
      <c r="A1946" s="35" t="n">
        <f aca="false">A1945+1</f>
        <v>46753</v>
      </c>
      <c r="B1946" s="35" t="n">
        <f aca="false">EOMONTH(A1946+1,0)</f>
        <v>46783</v>
      </c>
      <c r="C1946" s="36" t="n">
        <f aca="false">IF(MOD(YEAR(A1946),4)=0,366,365)</f>
        <v>366</v>
      </c>
      <c r="D1946" s="37" t="n">
        <f aca="false">Inputs!$B$9-SUMIFS(Cash_Events!$G$6:$G$20,Cash_Events!$C$6:$C$20,"rAGMF",Cash_Events!$B$6:$B$20,"&lt;="&amp;A1946)</f>
        <v>735000</v>
      </c>
      <c r="E1946" s="38" t="n">
        <f aca="false">VLOOKUP(A1946,Inputs!$A$40:$B$48,2,TRUE())</f>
        <v>0.0363225</v>
      </c>
      <c r="F1946" s="38" t="n">
        <f aca="false">E1946+Inputs!$B$10</f>
        <v>0.1038225</v>
      </c>
      <c r="G1946" s="37" t="n">
        <f aca="false">D1946*F1946/C1946</f>
        <v>208.496004098361</v>
      </c>
      <c r="H1946" s="37" t="n">
        <f aca="false">IF(AND(A1946&gt;=Inputs!$B$13,OR(A1946&lt;Inputs!$B$19,Inputs!$B$20=1)),D1946*Inputs!$B$11/C1946,0)</f>
        <v>40.1639344262295</v>
      </c>
      <c r="I1946" s="37" t="n">
        <f aca="false">Inputs!$C$9-SUMIFS(Cash_Events!$G$6:$G$20,Cash_Events!$C$6:$C$20,"FHL",Cash_Events!$B$6:$B$20,"&lt;="&amp;A1946)</f>
        <v>735000</v>
      </c>
      <c r="J1946" s="38" t="n">
        <f aca="false">VLOOKUP(A1946,Inputs!$F$40:$G$48,2,TRUE())</f>
        <v>0.0364054</v>
      </c>
      <c r="K1946" s="38" t="n">
        <f aca="false">J1946+Inputs!$C$10</f>
        <v>0.1039054</v>
      </c>
      <c r="L1946" s="37" t="n">
        <f aca="false">I1946*K1946/C1946</f>
        <v>208.662483606557</v>
      </c>
      <c r="M1946" s="37" t="n">
        <f aca="false">IF(AND(A1946&gt;=Inputs!$C$13,OR(A1946&lt;Inputs!$B$19,Inputs!$B$20=1)),I1946*Inputs!$C$11/C1946,0)</f>
        <v>40.1639344262295</v>
      </c>
    </row>
    <row r="1947" customFormat="false" ht="15" hidden="false" customHeight="false" outlineLevel="0" collapsed="false">
      <c r="A1947" s="35" t="n">
        <f aca="false">A1946+1</f>
        <v>46754</v>
      </c>
      <c r="B1947" s="35" t="n">
        <f aca="false">EOMONTH(A1947+1,0)</f>
        <v>46783</v>
      </c>
      <c r="C1947" s="36" t="n">
        <f aca="false">IF(MOD(YEAR(A1947),4)=0,366,365)</f>
        <v>366</v>
      </c>
      <c r="D1947" s="37" t="n">
        <f aca="false">Inputs!$B$9-SUMIFS(Cash_Events!$G$6:$G$20,Cash_Events!$C$6:$C$20,"rAGMF",Cash_Events!$B$6:$B$20,"&lt;="&amp;A1947)</f>
        <v>735000</v>
      </c>
      <c r="E1947" s="38" t="n">
        <f aca="false">VLOOKUP(A1947,Inputs!$A$40:$B$48,2,TRUE())</f>
        <v>0.0363225</v>
      </c>
      <c r="F1947" s="38" t="n">
        <f aca="false">E1947+Inputs!$B$10</f>
        <v>0.1038225</v>
      </c>
      <c r="G1947" s="37" t="n">
        <f aca="false">D1947*F1947/C1947</f>
        <v>208.496004098361</v>
      </c>
      <c r="H1947" s="37" t="n">
        <f aca="false">IF(AND(A1947&gt;=Inputs!$B$13,OR(A1947&lt;Inputs!$B$19,Inputs!$B$20=1)),D1947*Inputs!$B$11/C1947,0)</f>
        <v>40.1639344262295</v>
      </c>
      <c r="I1947" s="37" t="n">
        <f aca="false">Inputs!$C$9-SUMIFS(Cash_Events!$G$6:$G$20,Cash_Events!$C$6:$C$20,"FHL",Cash_Events!$B$6:$B$20,"&lt;="&amp;A1947)</f>
        <v>735000</v>
      </c>
      <c r="J1947" s="38" t="n">
        <f aca="false">VLOOKUP(A1947,Inputs!$F$40:$G$48,2,TRUE())</f>
        <v>0.0364054</v>
      </c>
      <c r="K1947" s="38" t="n">
        <f aca="false">J1947+Inputs!$C$10</f>
        <v>0.1039054</v>
      </c>
      <c r="L1947" s="37" t="n">
        <f aca="false">I1947*K1947/C1947</f>
        <v>208.662483606557</v>
      </c>
      <c r="M1947" s="37" t="n">
        <f aca="false">IF(AND(A1947&gt;=Inputs!$C$13,OR(A1947&lt;Inputs!$B$19,Inputs!$B$20=1)),I1947*Inputs!$C$11/C1947,0)</f>
        <v>40.1639344262295</v>
      </c>
    </row>
    <row r="1948" customFormat="false" ht="15" hidden="false" customHeight="false" outlineLevel="0" collapsed="false">
      <c r="A1948" s="35" t="n">
        <f aca="false">A1947+1</f>
        <v>46755</v>
      </c>
      <c r="B1948" s="35" t="n">
        <f aca="false">EOMONTH(A1948+1,0)</f>
        <v>46783</v>
      </c>
      <c r="C1948" s="36" t="n">
        <f aca="false">IF(MOD(YEAR(A1948),4)=0,366,365)</f>
        <v>366</v>
      </c>
      <c r="D1948" s="37" t="n">
        <f aca="false">Inputs!$B$9-SUMIFS(Cash_Events!$G$6:$G$20,Cash_Events!$C$6:$C$20,"rAGMF",Cash_Events!$B$6:$B$20,"&lt;="&amp;A1948)</f>
        <v>735000</v>
      </c>
      <c r="E1948" s="38" t="n">
        <f aca="false">VLOOKUP(A1948,Inputs!$A$40:$B$48,2,TRUE())</f>
        <v>0.0363225</v>
      </c>
      <c r="F1948" s="38" t="n">
        <f aca="false">E1948+Inputs!$B$10</f>
        <v>0.1038225</v>
      </c>
      <c r="G1948" s="37" t="n">
        <f aca="false">D1948*F1948/C1948</f>
        <v>208.496004098361</v>
      </c>
      <c r="H1948" s="37" t="n">
        <f aca="false">IF(AND(A1948&gt;=Inputs!$B$13,OR(A1948&lt;Inputs!$B$19,Inputs!$B$20=1)),D1948*Inputs!$B$11/C1948,0)</f>
        <v>40.1639344262295</v>
      </c>
      <c r="I1948" s="37" t="n">
        <f aca="false">Inputs!$C$9-SUMIFS(Cash_Events!$G$6:$G$20,Cash_Events!$C$6:$C$20,"FHL",Cash_Events!$B$6:$B$20,"&lt;="&amp;A1948)</f>
        <v>735000</v>
      </c>
      <c r="J1948" s="38" t="n">
        <f aca="false">VLOOKUP(A1948,Inputs!$F$40:$G$48,2,TRUE())</f>
        <v>0.0364054</v>
      </c>
      <c r="K1948" s="38" t="n">
        <f aca="false">J1948+Inputs!$C$10</f>
        <v>0.1039054</v>
      </c>
      <c r="L1948" s="37" t="n">
        <f aca="false">I1948*K1948/C1948</f>
        <v>208.662483606557</v>
      </c>
      <c r="M1948" s="37" t="n">
        <f aca="false">IF(AND(A1948&gt;=Inputs!$C$13,OR(A1948&lt;Inputs!$B$19,Inputs!$B$20=1)),I1948*Inputs!$C$11/C1948,0)</f>
        <v>40.1639344262295</v>
      </c>
    </row>
    <row r="1949" customFormat="false" ht="15" hidden="false" customHeight="false" outlineLevel="0" collapsed="false">
      <c r="A1949" s="35" t="n">
        <f aca="false">A1948+1</f>
        <v>46756</v>
      </c>
      <c r="B1949" s="35" t="n">
        <f aca="false">EOMONTH(A1949+1,0)</f>
        <v>46783</v>
      </c>
      <c r="C1949" s="36" t="n">
        <f aca="false">IF(MOD(YEAR(A1949),4)=0,366,365)</f>
        <v>366</v>
      </c>
      <c r="D1949" s="37" t="n">
        <f aca="false">Inputs!$B$9-SUMIFS(Cash_Events!$G$6:$G$20,Cash_Events!$C$6:$C$20,"rAGMF",Cash_Events!$B$6:$B$20,"&lt;="&amp;A1949)</f>
        <v>735000</v>
      </c>
      <c r="E1949" s="38" t="n">
        <f aca="false">VLOOKUP(A1949,Inputs!$A$40:$B$48,2,TRUE())</f>
        <v>0.0363225</v>
      </c>
      <c r="F1949" s="38" t="n">
        <f aca="false">E1949+Inputs!$B$10</f>
        <v>0.1038225</v>
      </c>
      <c r="G1949" s="37" t="n">
        <f aca="false">D1949*F1949/C1949</f>
        <v>208.496004098361</v>
      </c>
      <c r="H1949" s="37" t="n">
        <f aca="false">IF(AND(A1949&gt;=Inputs!$B$13,OR(A1949&lt;Inputs!$B$19,Inputs!$B$20=1)),D1949*Inputs!$B$11/C1949,0)</f>
        <v>40.1639344262295</v>
      </c>
      <c r="I1949" s="37" t="n">
        <f aca="false">Inputs!$C$9-SUMIFS(Cash_Events!$G$6:$G$20,Cash_Events!$C$6:$C$20,"FHL",Cash_Events!$B$6:$B$20,"&lt;="&amp;A1949)</f>
        <v>735000</v>
      </c>
      <c r="J1949" s="38" t="n">
        <f aca="false">VLOOKUP(A1949,Inputs!$F$40:$G$48,2,TRUE())</f>
        <v>0.0364054</v>
      </c>
      <c r="K1949" s="38" t="n">
        <f aca="false">J1949+Inputs!$C$10</f>
        <v>0.1039054</v>
      </c>
      <c r="L1949" s="37" t="n">
        <f aca="false">I1949*K1949/C1949</f>
        <v>208.662483606557</v>
      </c>
      <c r="M1949" s="37" t="n">
        <f aca="false">IF(AND(A1949&gt;=Inputs!$C$13,OR(A1949&lt;Inputs!$B$19,Inputs!$B$20=1)),I1949*Inputs!$C$11/C1949,0)</f>
        <v>40.1639344262295</v>
      </c>
    </row>
    <row r="1950" customFormat="false" ht="15" hidden="false" customHeight="false" outlineLevel="0" collapsed="false">
      <c r="A1950" s="35" t="n">
        <f aca="false">A1949+1</f>
        <v>46757</v>
      </c>
      <c r="B1950" s="35" t="n">
        <f aca="false">EOMONTH(A1950+1,0)</f>
        <v>46783</v>
      </c>
      <c r="C1950" s="36" t="n">
        <f aca="false">IF(MOD(YEAR(A1950),4)=0,366,365)</f>
        <v>366</v>
      </c>
      <c r="D1950" s="37" t="n">
        <f aca="false">Inputs!$B$9-SUMIFS(Cash_Events!$G$6:$G$20,Cash_Events!$C$6:$C$20,"rAGMF",Cash_Events!$B$6:$B$20,"&lt;="&amp;A1950)</f>
        <v>735000</v>
      </c>
      <c r="E1950" s="38" t="n">
        <f aca="false">VLOOKUP(A1950,Inputs!$A$40:$B$48,2,TRUE())</f>
        <v>0.0363225</v>
      </c>
      <c r="F1950" s="38" t="n">
        <f aca="false">E1950+Inputs!$B$10</f>
        <v>0.1038225</v>
      </c>
      <c r="G1950" s="37" t="n">
        <f aca="false">D1950*F1950/C1950</f>
        <v>208.496004098361</v>
      </c>
      <c r="H1950" s="37" t="n">
        <f aca="false">IF(AND(A1950&gt;=Inputs!$B$13,OR(A1950&lt;Inputs!$B$19,Inputs!$B$20=1)),D1950*Inputs!$B$11/C1950,0)</f>
        <v>40.1639344262295</v>
      </c>
      <c r="I1950" s="37" t="n">
        <f aca="false">Inputs!$C$9-SUMIFS(Cash_Events!$G$6:$G$20,Cash_Events!$C$6:$C$20,"FHL",Cash_Events!$B$6:$B$20,"&lt;="&amp;A1950)</f>
        <v>735000</v>
      </c>
      <c r="J1950" s="38" t="n">
        <f aca="false">VLOOKUP(A1950,Inputs!$F$40:$G$48,2,TRUE())</f>
        <v>0.0364054</v>
      </c>
      <c r="K1950" s="38" t="n">
        <f aca="false">J1950+Inputs!$C$10</f>
        <v>0.1039054</v>
      </c>
      <c r="L1950" s="37" t="n">
        <f aca="false">I1950*K1950/C1950</f>
        <v>208.662483606557</v>
      </c>
      <c r="M1950" s="37" t="n">
        <f aca="false">IF(AND(A1950&gt;=Inputs!$C$13,OR(A1950&lt;Inputs!$B$19,Inputs!$B$20=1)),I1950*Inputs!$C$11/C1950,0)</f>
        <v>40.1639344262295</v>
      </c>
    </row>
    <row r="1951" customFormat="false" ht="15" hidden="false" customHeight="false" outlineLevel="0" collapsed="false">
      <c r="A1951" s="35" t="n">
        <f aca="false">A1950+1</f>
        <v>46758</v>
      </c>
      <c r="B1951" s="35" t="n">
        <f aca="false">EOMONTH(A1951+1,0)</f>
        <v>46783</v>
      </c>
      <c r="C1951" s="36" t="n">
        <f aca="false">IF(MOD(YEAR(A1951),4)=0,366,365)</f>
        <v>366</v>
      </c>
      <c r="D1951" s="37" t="n">
        <f aca="false">Inputs!$B$9-SUMIFS(Cash_Events!$G$6:$G$20,Cash_Events!$C$6:$C$20,"rAGMF",Cash_Events!$B$6:$B$20,"&lt;="&amp;A1951)</f>
        <v>735000</v>
      </c>
      <c r="E1951" s="38" t="n">
        <f aca="false">VLOOKUP(A1951,Inputs!$A$40:$B$48,2,TRUE())</f>
        <v>0.0363225</v>
      </c>
      <c r="F1951" s="38" t="n">
        <f aca="false">E1951+Inputs!$B$10</f>
        <v>0.1038225</v>
      </c>
      <c r="G1951" s="37" t="n">
        <f aca="false">D1951*F1951/C1951</f>
        <v>208.496004098361</v>
      </c>
      <c r="H1951" s="37" t="n">
        <f aca="false">IF(AND(A1951&gt;=Inputs!$B$13,OR(A1951&lt;Inputs!$B$19,Inputs!$B$20=1)),D1951*Inputs!$B$11/C1951,0)</f>
        <v>40.1639344262295</v>
      </c>
      <c r="I1951" s="37" t="n">
        <f aca="false">Inputs!$C$9-SUMIFS(Cash_Events!$G$6:$G$20,Cash_Events!$C$6:$C$20,"FHL",Cash_Events!$B$6:$B$20,"&lt;="&amp;A1951)</f>
        <v>735000</v>
      </c>
      <c r="J1951" s="38" t="n">
        <f aca="false">VLOOKUP(A1951,Inputs!$F$40:$G$48,2,TRUE())</f>
        <v>0.0364054</v>
      </c>
      <c r="K1951" s="38" t="n">
        <f aca="false">J1951+Inputs!$C$10</f>
        <v>0.1039054</v>
      </c>
      <c r="L1951" s="37" t="n">
        <f aca="false">I1951*K1951/C1951</f>
        <v>208.662483606557</v>
      </c>
      <c r="M1951" s="37" t="n">
        <f aca="false">IF(AND(A1951&gt;=Inputs!$C$13,OR(A1951&lt;Inputs!$B$19,Inputs!$B$20=1)),I1951*Inputs!$C$11/C1951,0)</f>
        <v>40.1639344262295</v>
      </c>
    </row>
    <row r="1952" customFormat="false" ht="15" hidden="false" customHeight="false" outlineLevel="0" collapsed="false">
      <c r="A1952" s="35" t="n">
        <f aca="false">A1951+1</f>
        <v>46759</v>
      </c>
      <c r="B1952" s="35" t="n">
        <f aca="false">EOMONTH(A1952+1,0)</f>
        <v>46783</v>
      </c>
      <c r="C1952" s="36" t="n">
        <f aca="false">IF(MOD(YEAR(A1952),4)=0,366,365)</f>
        <v>366</v>
      </c>
      <c r="D1952" s="37" t="n">
        <f aca="false">Inputs!$B$9-SUMIFS(Cash_Events!$G$6:$G$20,Cash_Events!$C$6:$C$20,"rAGMF",Cash_Events!$B$6:$B$20,"&lt;="&amp;A1952)</f>
        <v>735000</v>
      </c>
      <c r="E1952" s="38" t="n">
        <f aca="false">VLOOKUP(A1952,Inputs!$A$40:$B$48,2,TRUE())</f>
        <v>0.0363225</v>
      </c>
      <c r="F1952" s="38" t="n">
        <f aca="false">E1952+Inputs!$B$10</f>
        <v>0.1038225</v>
      </c>
      <c r="G1952" s="37" t="n">
        <f aca="false">D1952*F1952/C1952</f>
        <v>208.496004098361</v>
      </c>
      <c r="H1952" s="37" t="n">
        <f aca="false">IF(AND(A1952&gt;=Inputs!$B$13,OR(A1952&lt;Inputs!$B$19,Inputs!$B$20=1)),D1952*Inputs!$B$11/C1952,0)</f>
        <v>40.1639344262295</v>
      </c>
      <c r="I1952" s="37" t="n">
        <f aca="false">Inputs!$C$9-SUMIFS(Cash_Events!$G$6:$G$20,Cash_Events!$C$6:$C$20,"FHL",Cash_Events!$B$6:$B$20,"&lt;="&amp;A1952)</f>
        <v>735000</v>
      </c>
      <c r="J1952" s="38" t="n">
        <f aca="false">VLOOKUP(A1952,Inputs!$F$40:$G$48,2,TRUE())</f>
        <v>0.0364054</v>
      </c>
      <c r="K1952" s="38" t="n">
        <f aca="false">J1952+Inputs!$C$10</f>
        <v>0.1039054</v>
      </c>
      <c r="L1952" s="37" t="n">
        <f aca="false">I1952*K1952/C1952</f>
        <v>208.662483606557</v>
      </c>
      <c r="M1952" s="37" t="n">
        <f aca="false">IF(AND(A1952&gt;=Inputs!$C$13,OR(A1952&lt;Inputs!$B$19,Inputs!$B$20=1)),I1952*Inputs!$C$11/C1952,0)</f>
        <v>40.1639344262295</v>
      </c>
    </row>
    <row r="1953" customFormat="false" ht="15" hidden="false" customHeight="false" outlineLevel="0" collapsed="false">
      <c r="A1953" s="35" t="n">
        <f aca="false">A1952+1</f>
        <v>46760</v>
      </c>
      <c r="B1953" s="35" t="n">
        <f aca="false">EOMONTH(A1953+1,0)</f>
        <v>46783</v>
      </c>
      <c r="C1953" s="36" t="n">
        <f aca="false">IF(MOD(YEAR(A1953),4)=0,366,365)</f>
        <v>366</v>
      </c>
      <c r="D1953" s="37" t="n">
        <f aca="false">Inputs!$B$9-SUMIFS(Cash_Events!$G$6:$G$20,Cash_Events!$C$6:$C$20,"rAGMF",Cash_Events!$B$6:$B$20,"&lt;="&amp;A1953)</f>
        <v>735000</v>
      </c>
      <c r="E1953" s="38" t="n">
        <f aca="false">VLOOKUP(A1953,Inputs!$A$40:$B$48,2,TRUE())</f>
        <v>0.0363225</v>
      </c>
      <c r="F1953" s="38" t="n">
        <f aca="false">E1953+Inputs!$B$10</f>
        <v>0.1038225</v>
      </c>
      <c r="G1953" s="37" t="n">
        <f aca="false">D1953*F1953/C1953</f>
        <v>208.496004098361</v>
      </c>
      <c r="H1953" s="37" t="n">
        <f aca="false">IF(AND(A1953&gt;=Inputs!$B$13,OR(A1953&lt;Inputs!$B$19,Inputs!$B$20=1)),D1953*Inputs!$B$11/C1953,0)</f>
        <v>40.1639344262295</v>
      </c>
      <c r="I1953" s="37" t="n">
        <f aca="false">Inputs!$C$9-SUMIFS(Cash_Events!$G$6:$G$20,Cash_Events!$C$6:$C$20,"FHL",Cash_Events!$B$6:$B$20,"&lt;="&amp;A1953)</f>
        <v>735000</v>
      </c>
      <c r="J1953" s="38" t="n">
        <f aca="false">VLOOKUP(A1953,Inputs!$F$40:$G$48,2,TRUE())</f>
        <v>0.0364054</v>
      </c>
      <c r="K1953" s="38" t="n">
        <f aca="false">J1953+Inputs!$C$10</f>
        <v>0.1039054</v>
      </c>
      <c r="L1953" s="37" t="n">
        <f aca="false">I1953*K1953/C1953</f>
        <v>208.662483606557</v>
      </c>
      <c r="M1953" s="37" t="n">
        <f aca="false">IF(AND(A1953&gt;=Inputs!$C$13,OR(A1953&lt;Inputs!$B$19,Inputs!$B$20=1)),I1953*Inputs!$C$11/C1953,0)</f>
        <v>40.1639344262295</v>
      </c>
    </row>
    <row r="1954" customFormat="false" ht="15" hidden="false" customHeight="false" outlineLevel="0" collapsed="false">
      <c r="A1954" s="35" t="n">
        <f aca="false">A1953+1</f>
        <v>46761</v>
      </c>
      <c r="B1954" s="35" t="n">
        <f aca="false">EOMONTH(A1954+1,0)</f>
        <v>46783</v>
      </c>
      <c r="C1954" s="36" t="n">
        <f aca="false">IF(MOD(YEAR(A1954),4)=0,366,365)</f>
        <v>366</v>
      </c>
      <c r="D1954" s="37" t="n">
        <f aca="false">Inputs!$B$9-SUMIFS(Cash_Events!$G$6:$G$20,Cash_Events!$C$6:$C$20,"rAGMF",Cash_Events!$B$6:$B$20,"&lt;="&amp;A1954)</f>
        <v>735000</v>
      </c>
      <c r="E1954" s="38" t="n">
        <f aca="false">VLOOKUP(A1954,Inputs!$A$40:$B$48,2,TRUE())</f>
        <v>0.0363225</v>
      </c>
      <c r="F1954" s="38" t="n">
        <f aca="false">E1954+Inputs!$B$10</f>
        <v>0.1038225</v>
      </c>
      <c r="G1954" s="37" t="n">
        <f aca="false">D1954*F1954/C1954</f>
        <v>208.496004098361</v>
      </c>
      <c r="H1954" s="37" t="n">
        <f aca="false">IF(AND(A1954&gt;=Inputs!$B$13,OR(A1954&lt;Inputs!$B$19,Inputs!$B$20=1)),D1954*Inputs!$B$11/C1954,0)</f>
        <v>40.1639344262295</v>
      </c>
      <c r="I1954" s="37" t="n">
        <f aca="false">Inputs!$C$9-SUMIFS(Cash_Events!$G$6:$G$20,Cash_Events!$C$6:$C$20,"FHL",Cash_Events!$B$6:$B$20,"&lt;="&amp;A1954)</f>
        <v>735000</v>
      </c>
      <c r="J1954" s="38" t="n">
        <f aca="false">VLOOKUP(A1954,Inputs!$F$40:$G$48,2,TRUE())</f>
        <v>0.0364054</v>
      </c>
      <c r="K1954" s="38" t="n">
        <f aca="false">J1954+Inputs!$C$10</f>
        <v>0.1039054</v>
      </c>
      <c r="L1954" s="37" t="n">
        <f aca="false">I1954*K1954/C1954</f>
        <v>208.662483606557</v>
      </c>
      <c r="M1954" s="37" t="n">
        <f aca="false">IF(AND(A1954&gt;=Inputs!$C$13,OR(A1954&lt;Inputs!$B$19,Inputs!$B$20=1)),I1954*Inputs!$C$11/C1954,0)</f>
        <v>40.1639344262295</v>
      </c>
    </row>
    <row r="1955" customFormat="false" ht="15" hidden="false" customHeight="false" outlineLevel="0" collapsed="false">
      <c r="A1955" s="35" t="n">
        <f aca="false">A1954+1</f>
        <v>46762</v>
      </c>
      <c r="B1955" s="35" t="n">
        <f aca="false">EOMONTH(A1955+1,0)</f>
        <v>46783</v>
      </c>
      <c r="C1955" s="36" t="n">
        <f aca="false">IF(MOD(YEAR(A1955),4)=0,366,365)</f>
        <v>366</v>
      </c>
      <c r="D1955" s="37" t="n">
        <f aca="false">Inputs!$B$9-SUMIFS(Cash_Events!$G$6:$G$20,Cash_Events!$C$6:$C$20,"rAGMF",Cash_Events!$B$6:$B$20,"&lt;="&amp;A1955)</f>
        <v>735000</v>
      </c>
      <c r="E1955" s="38" t="n">
        <f aca="false">VLOOKUP(A1955,Inputs!$A$40:$B$48,2,TRUE())</f>
        <v>0.0363225</v>
      </c>
      <c r="F1955" s="38" t="n">
        <f aca="false">E1955+Inputs!$B$10</f>
        <v>0.1038225</v>
      </c>
      <c r="G1955" s="37" t="n">
        <f aca="false">D1955*F1955/C1955</f>
        <v>208.496004098361</v>
      </c>
      <c r="H1955" s="37" t="n">
        <f aca="false">IF(AND(A1955&gt;=Inputs!$B$13,OR(A1955&lt;Inputs!$B$19,Inputs!$B$20=1)),D1955*Inputs!$B$11/C1955,0)</f>
        <v>40.1639344262295</v>
      </c>
      <c r="I1955" s="37" t="n">
        <f aca="false">Inputs!$C$9-SUMIFS(Cash_Events!$G$6:$G$20,Cash_Events!$C$6:$C$20,"FHL",Cash_Events!$B$6:$B$20,"&lt;="&amp;A1955)</f>
        <v>735000</v>
      </c>
      <c r="J1955" s="38" t="n">
        <f aca="false">VLOOKUP(A1955,Inputs!$F$40:$G$48,2,TRUE())</f>
        <v>0.0364054</v>
      </c>
      <c r="K1955" s="38" t="n">
        <f aca="false">J1955+Inputs!$C$10</f>
        <v>0.1039054</v>
      </c>
      <c r="L1955" s="37" t="n">
        <f aca="false">I1955*K1955/C1955</f>
        <v>208.662483606557</v>
      </c>
      <c r="M1955" s="37" t="n">
        <f aca="false">IF(AND(A1955&gt;=Inputs!$C$13,OR(A1955&lt;Inputs!$B$19,Inputs!$B$20=1)),I1955*Inputs!$C$11/C1955,0)</f>
        <v>40.1639344262295</v>
      </c>
    </row>
    <row r="1956" customFormat="false" ht="15" hidden="false" customHeight="false" outlineLevel="0" collapsed="false">
      <c r="A1956" s="35" t="n">
        <f aca="false">A1955+1</f>
        <v>46763</v>
      </c>
      <c r="B1956" s="35" t="n">
        <f aca="false">EOMONTH(A1956+1,0)</f>
        <v>46783</v>
      </c>
      <c r="C1956" s="36" t="n">
        <f aca="false">IF(MOD(YEAR(A1956),4)=0,366,365)</f>
        <v>366</v>
      </c>
      <c r="D1956" s="37" t="n">
        <f aca="false">Inputs!$B$9-SUMIFS(Cash_Events!$G$6:$G$20,Cash_Events!$C$6:$C$20,"rAGMF",Cash_Events!$B$6:$B$20,"&lt;="&amp;A1956)</f>
        <v>735000</v>
      </c>
      <c r="E1956" s="38" t="n">
        <f aca="false">VLOOKUP(A1956,Inputs!$A$40:$B$48,2,TRUE())</f>
        <v>0.0363225</v>
      </c>
      <c r="F1956" s="38" t="n">
        <f aca="false">E1956+Inputs!$B$10</f>
        <v>0.1038225</v>
      </c>
      <c r="G1956" s="37" t="n">
        <f aca="false">D1956*F1956/C1956</f>
        <v>208.496004098361</v>
      </c>
      <c r="H1956" s="37" t="n">
        <f aca="false">IF(AND(A1956&gt;=Inputs!$B$13,OR(A1956&lt;Inputs!$B$19,Inputs!$B$20=1)),D1956*Inputs!$B$11/C1956,0)</f>
        <v>40.1639344262295</v>
      </c>
      <c r="I1956" s="37" t="n">
        <f aca="false">Inputs!$C$9-SUMIFS(Cash_Events!$G$6:$G$20,Cash_Events!$C$6:$C$20,"FHL",Cash_Events!$B$6:$B$20,"&lt;="&amp;A1956)</f>
        <v>735000</v>
      </c>
      <c r="J1956" s="38" t="n">
        <f aca="false">VLOOKUP(A1956,Inputs!$F$40:$G$48,2,TRUE())</f>
        <v>0.0364054</v>
      </c>
      <c r="K1956" s="38" t="n">
        <f aca="false">J1956+Inputs!$C$10</f>
        <v>0.1039054</v>
      </c>
      <c r="L1956" s="37" t="n">
        <f aca="false">I1956*K1956/C1956</f>
        <v>208.662483606557</v>
      </c>
      <c r="M1956" s="37" t="n">
        <f aca="false">IF(AND(A1956&gt;=Inputs!$C$13,OR(A1956&lt;Inputs!$B$19,Inputs!$B$20=1)),I1956*Inputs!$C$11/C1956,0)</f>
        <v>40.1639344262295</v>
      </c>
    </row>
    <row r="1957" customFormat="false" ht="15" hidden="false" customHeight="false" outlineLevel="0" collapsed="false">
      <c r="A1957" s="35" t="n">
        <f aca="false">A1956+1</f>
        <v>46764</v>
      </c>
      <c r="B1957" s="35" t="n">
        <f aca="false">EOMONTH(A1957+1,0)</f>
        <v>46783</v>
      </c>
      <c r="C1957" s="36" t="n">
        <f aca="false">IF(MOD(YEAR(A1957),4)=0,366,365)</f>
        <v>366</v>
      </c>
      <c r="D1957" s="37" t="n">
        <f aca="false">Inputs!$B$9-SUMIFS(Cash_Events!$G$6:$G$20,Cash_Events!$C$6:$C$20,"rAGMF",Cash_Events!$B$6:$B$20,"&lt;="&amp;A1957)</f>
        <v>735000</v>
      </c>
      <c r="E1957" s="38" t="n">
        <f aca="false">VLOOKUP(A1957,Inputs!$A$40:$B$48,2,TRUE())</f>
        <v>0.0363225</v>
      </c>
      <c r="F1957" s="38" t="n">
        <f aca="false">E1957+Inputs!$B$10</f>
        <v>0.1038225</v>
      </c>
      <c r="G1957" s="37" t="n">
        <f aca="false">D1957*F1957/C1957</f>
        <v>208.496004098361</v>
      </c>
      <c r="H1957" s="37" t="n">
        <f aca="false">IF(AND(A1957&gt;=Inputs!$B$13,OR(A1957&lt;Inputs!$B$19,Inputs!$B$20=1)),D1957*Inputs!$B$11/C1957,0)</f>
        <v>40.1639344262295</v>
      </c>
      <c r="I1957" s="37" t="n">
        <f aca="false">Inputs!$C$9-SUMIFS(Cash_Events!$G$6:$G$20,Cash_Events!$C$6:$C$20,"FHL",Cash_Events!$B$6:$B$20,"&lt;="&amp;A1957)</f>
        <v>735000</v>
      </c>
      <c r="J1957" s="38" t="n">
        <f aca="false">VLOOKUP(A1957,Inputs!$F$40:$G$48,2,TRUE())</f>
        <v>0.0364054</v>
      </c>
      <c r="K1957" s="38" t="n">
        <f aca="false">J1957+Inputs!$C$10</f>
        <v>0.1039054</v>
      </c>
      <c r="L1957" s="37" t="n">
        <f aca="false">I1957*K1957/C1957</f>
        <v>208.662483606557</v>
      </c>
      <c r="M1957" s="37" t="n">
        <f aca="false">IF(AND(A1957&gt;=Inputs!$C$13,OR(A1957&lt;Inputs!$B$19,Inputs!$B$20=1)),I1957*Inputs!$C$11/C1957,0)</f>
        <v>40.1639344262295</v>
      </c>
    </row>
    <row r="1958" customFormat="false" ht="15" hidden="false" customHeight="false" outlineLevel="0" collapsed="false">
      <c r="A1958" s="35" t="n">
        <f aca="false">A1957+1</f>
        <v>46765</v>
      </c>
      <c r="B1958" s="35" t="n">
        <f aca="false">EOMONTH(A1958+1,0)</f>
        <v>46783</v>
      </c>
      <c r="C1958" s="36" t="n">
        <f aca="false">IF(MOD(YEAR(A1958),4)=0,366,365)</f>
        <v>366</v>
      </c>
      <c r="D1958" s="37" t="n">
        <f aca="false">Inputs!$B$9-SUMIFS(Cash_Events!$G$6:$G$20,Cash_Events!$C$6:$C$20,"rAGMF",Cash_Events!$B$6:$B$20,"&lt;="&amp;A1958)</f>
        <v>735000</v>
      </c>
      <c r="E1958" s="38" t="n">
        <f aca="false">VLOOKUP(A1958,Inputs!$A$40:$B$48,2,TRUE())</f>
        <v>0.0363225</v>
      </c>
      <c r="F1958" s="38" t="n">
        <f aca="false">E1958+Inputs!$B$10</f>
        <v>0.1038225</v>
      </c>
      <c r="G1958" s="37" t="n">
        <f aca="false">D1958*F1958/C1958</f>
        <v>208.496004098361</v>
      </c>
      <c r="H1958" s="37" t="n">
        <f aca="false">IF(AND(A1958&gt;=Inputs!$B$13,OR(A1958&lt;Inputs!$B$19,Inputs!$B$20=1)),D1958*Inputs!$B$11/C1958,0)</f>
        <v>40.1639344262295</v>
      </c>
      <c r="I1958" s="37" t="n">
        <f aca="false">Inputs!$C$9-SUMIFS(Cash_Events!$G$6:$G$20,Cash_Events!$C$6:$C$20,"FHL",Cash_Events!$B$6:$B$20,"&lt;="&amp;A1958)</f>
        <v>735000</v>
      </c>
      <c r="J1958" s="38" t="n">
        <f aca="false">VLOOKUP(A1958,Inputs!$F$40:$G$48,2,TRUE())</f>
        <v>0.0364054</v>
      </c>
      <c r="K1958" s="38" t="n">
        <f aca="false">J1958+Inputs!$C$10</f>
        <v>0.1039054</v>
      </c>
      <c r="L1958" s="37" t="n">
        <f aca="false">I1958*K1958/C1958</f>
        <v>208.662483606557</v>
      </c>
      <c r="M1958" s="37" t="n">
        <f aca="false">IF(AND(A1958&gt;=Inputs!$C$13,OR(A1958&lt;Inputs!$B$19,Inputs!$B$20=1)),I1958*Inputs!$C$11/C1958,0)</f>
        <v>40.1639344262295</v>
      </c>
    </row>
    <row r="1959" customFormat="false" ht="15" hidden="false" customHeight="false" outlineLevel="0" collapsed="false">
      <c r="A1959" s="35" t="n">
        <f aca="false">A1958+1</f>
        <v>46766</v>
      </c>
      <c r="B1959" s="35" t="n">
        <f aca="false">EOMONTH(A1959+1,0)</f>
        <v>46783</v>
      </c>
      <c r="C1959" s="36" t="n">
        <f aca="false">IF(MOD(YEAR(A1959),4)=0,366,365)</f>
        <v>366</v>
      </c>
      <c r="D1959" s="37" t="n">
        <f aca="false">Inputs!$B$9-SUMIFS(Cash_Events!$G$6:$G$20,Cash_Events!$C$6:$C$20,"rAGMF",Cash_Events!$B$6:$B$20,"&lt;="&amp;A1959)</f>
        <v>735000</v>
      </c>
      <c r="E1959" s="38" t="n">
        <f aca="false">VLOOKUP(A1959,Inputs!$A$40:$B$48,2,TRUE())</f>
        <v>0.0363225</v>
      </c>
      <c r="F1959" s="38" t="n">
        <f aca="false">E1959+Inputs!$B$10</f>
        <v>0.1038225</v>
      </c>
      <c r="G1959" s="37" t="n">
        <f aca="false">D1959*F1959/C1959</f>
        <v>208.496004098361</v>
      </c>
      <c r="H1959" s="37" t="n">
        <f aca="false">IF(AND(A1959&gt;=Inputs!$B$13,OR(A1959&lt;Inputs!$B$19,Inputs!$B$20=1)),D1959*Inputs!$B$11/C1959,0)</f>
        <v>40.1639344262295</v>
      </c>
      <c r="I1959" s="37" t="n">
        <f aca="false">Inputs!$C$9-SUMIFS(Cash_Events!$G$6:$G$20,Cash_Events!$C$6:$C$20,"FHL",Cash_Events!$B$6:$B$20,"&lt;="&amp;A1959)</f>
        <v>735000</v>
      </c>
      <c r="J1959" s="38" t="n">
        <f aca="false">VLOOKUP(A1959,Inputs!$F$40:$G$48,2,TRUE())</f>
        <v>0.0364054</v>
      </c>
      <c r="K1959" s="38" t="n">
        <f aca="false">J1959+Inputs!$C$10</f>
        <v>0.1039054</v>
      </c>
      <c r="L1959" s="37" t="n">
        <f aca="false">I1959*K1959/C1959</f>
        <v>208.662483606557</v>
      </c>
      <c r="M1959" s="37" t="n">
        <f aca="false">IF(AND(A1959&gt;=Inputs!$C$13,OR(A1959&lt;Inputs!$B$19,Inputs!$B$20=1)),I1959*Inputs!$C$11/C1959,0)</f>
        <v>40.1639344262295</v>
      </c>
    </row>
    <row r="1960" customFormat="false" ht="15" hidden="false" customHeight="false" outlineLevel="0" collapsed="false">
      <c r="A1960" s="35" t="n">
        <f aca="false">A1959+1</f>
        <v>46767</v>
      </c>
      <c r="B1960" s="35" t="n">
        <f aca="false">EOMONTH(A1960+1,0)</f>
        <v>46783</v>
      </c>
      <c r="C1960" s="36" t="n">
        <f aca="false">IF(MOD(YEAR(A1960),4)=0,366,365)</f>
        <v>366</v>
      </c>
      <c r="D1960" s="37" t="n">
        <f aca="false">Inputs!$B$9-SUMIFS(Cash_Events!$G$6:$G$20,Cash_Events!$C$6:$C$20,"rAGMF",Cash_Events!$B$6:$B$20,"&lt;="&amp;A1960)</f>
        <v>735000</v>
      </c>
      <c r="E1960" s="38" t="n">
        <f aca="false">VLOOKUP(A1960,Inputs!$A$40:$B$48,2,TRUE())</f>
        <v>0.0363225</v>
      </c>
      <c r="F1960" s="38" t="n">
        <f aca="false">E1960+Inputs!$B$10</f>
        <v>0.1038225</v>
      </c>
      <c r="G1960" s="37" t="n">
        <f aca="false">D1960*F1960/C1960</f>
        <v>208.496004098361</v>
      </c>
      <c r="H1960" s="37" t="n">
        <f aca="false">IF(AND(A1960&gt;=Inputs!$B$13,OR(A1960&lt;Inputs!$B$19,Inputs!$B$20=1)),D1960*Inputs!$B$11/C1960,0)</f>
        <v>40.1639344262295</v>
      </c>
      <c r="I1960" s="37" t="n">
        <f aca="false">Inputs!$C$9-SUMIFS(Cash_Events!$G$6:$G$20,Cash_Events!$C$6:$C$20,"FHL",Cash_Events!$B$6:$B$20,"&lt;="&amp;A1960)</f>
        <v>735000</v>
      </c>
      <c r="J1960" s="38" t="n">
        <f aca="false">VLOOKUP(A1960,Inputs!$F$40:$G$48,2,TRUE())</f>
        <v>0.0364054</v>
      </c>
      <c r="K1960" s="38" t="n">
        <f aca="false">J1960+Inputs!$C$10</f>
        <v>0.1039054</v>
      </c>
      <c r="L1960" s="37" t="n">
        <f aca="false">I1960*K1960/C1960</f>
        <v>208.662483606557</v>
      </c>
      <c r="M1960" s="37" t="n">
        <f aca="false">IF(AND(A1960&gt;=Inputs!$C$13,OR(A1960&lt;Inputs!$B$19,Inputs!$B$20=1)),I1960*Inputs!$C$11/C1960,0)</f>
        <v>40.1639344262295</v>
      </c>
    </row>
    <row r="1961" customFormat="false" ht="15" hidden="false" customHeight="false" outlineLevel="0" collapsed="false">
      <c r="A1961" s="35" t="n">
        <f aca="false">A1960+1</f>
        <v>46768</v>
      </c>
      <c r="B1961" s="35" t="n">
        <f aca="false">EOMONTH(A1961+1,0)</f>
        <v>46783</v>
      </c>
      <c r="C1961" s="36" t="n">
        <f aca="false">IF(MOD(YEAR(A1961),4)=0,366,365)</f>
        <v>366</v>
      </c>
      <c r="D1961" s="37" t="n">
        <f aca="false">Inputs!$B$9-SUMIFS(Cash_Events!$G$6:$G$20,Cash_Events!$C$6:$C$20,"rAGMF",Cash_Events!$B$6:$B$20,"&lt;="&amp;A1961)</f>
        <v>735000</v>
      </c>
      <c r="E1961" s="38" t="n">
        <f aca="false">VLOOKUP(A1961,Inputs!$A$40:$B$48,2,TRUE())</f>
        <v>0.0363225</v>
      </c>
      <c r="F1961" s="38" t="n">
        <f aca="false">E1961+Inputs!$B$10</f>
        <v>0.1038225</v>
      </c>
      <c r="G1961" s="37" t="n">
        <f aca="false">D1961*F1961/C1961</f>
        <v>208.496004098361</v>
      </c>
      <c r="H1961" s="37" t="n">
        <f aca="false">IF(AND(A1961&gt;=Inputs!$B$13,OR(A1961&lt;Inputs!$B$19,Inputs!$B$20=1)),D1961*Inputs!$B$11/C1961,0)</f>
        <v>40.1639344262295</v>
      </c>
      <c r="I1961" s="37" t="n">
        <f aca="false">Inputs!$C$9-SUMIFS(Cash_Events!$G$6:$G$20,Cash_Events!$C$6:$C$20,"FHL",Cash_Events!$B$6:$B$20,"&lt;="&amp;A1961)</f>
        <v>735000</v>
      </c>
      <c r="J1961" s="38" t="n">
        <f aca="false">VLOOKUP(A1961,Inputs!$F$40:$G$48,2,TRUE())</f>
        <v>0.0364054</v>
      </c>
      <c r="K1961" s="38" t="n">
        <f aca="false">J1961+Inputs!$C$10</f>
        <v>0.1039054</v>
      </c>
      <c r="L1961" s="37" t="n">
        <f aca="false">I1961*K1961/C1961</f>
        <v>208.662483606557</v>
      </c>
      <c r="M1961" s="37" t="n">
        <f aca="false">IF(AND(A1961&gt;=Inputs!$C$13,OR(A1961&lt;Inputs!$B$19,Inputs!$B$20=1)),I1961*Inputs!$C$11/C1961,0)</f>
        <v>40.1639344262295</v>
      </c>
    </row>
    <row r="1962" customFormat="false" ht="15" hidden="false" customHeight="false" outlineLevel="0" collapsed="false">
      <c r="A1962" s="35" t="n">
        <f aca="false">A1961+1</f>
        <v>46769</v>
      </c>
      <c r="B1962" s="35" t="n">
        <f aca="false">EOMONTH(A1962+1,0)</f>
        <v>46783</v>
      </c>
      <c r="C1962" s="36" t="n">
        <f aca="false">IF(MOD(YEAR(A1962),4)=0,366,365)</f>
        <v>366</v>
      </c>
      <c r="D1962" s="37" t="n">
        <f aca="false">Inputs!$B$9-SUMIFS(Cash_Events!$G$6:$G$20,Cash_Events!$C$6:$C$20,"rAGMF",Cash_Events!$B$6:$B$20,"&lt;="&amp;A1962)</f>
        <v>735000</v>
      </c>
      <c r="E1962" s="38" t="n">
        <f aca="false">VLOOKUP(A1962,Inputs!$A$40:$B$48,2,TRUE())</f>
        <v>0.0363225</v>
      </c>
      <c r="F1962" s="38" t="n">
        <f aca="false">E1962+Inputs!$B$10</f>
        <v>0.1038225</v>
      </c>
      <c r="G1962" s="37" t="n">
        <f aca="false">D1962*F1962/C1962</f>
        <v>208.496004098361</v>
      </c>
      <c r="H1962" s="37" t="n">
        <f aca="false">IF(AND(A1962&gt;=Inputs!$B$13,OR(A1962&lt;Inputs!$B$19,Inputs!$B$20=1)),D1962*Inputs!$B$11/C1962,0)</f>
        <v>40.1639344262295</v>
      </c>
      <c r="I1962" s="37" t="n">
        <f aca="false">Inputs!$C$9-SUMIFS(Cash_Events!$G$6:$G$20,Cash_Events!$C$6:$C$20,"FHL",Cash_Events!$B$6:$B$20,"&lt;="&amp;A1962)</f>
        <v>735000</v>
      </c>
      <c r="J1962" s="38" t="n">
        <f aca="false">VLOOKUP(A1962,Inputs!$F$40:$G$48,2,TRUE())</f>
        <v>0.0364054</v>
      </c>
      <c r="K1962" s="38" t="n">
        <f aca="false">J1962+Inputs!$C$10</f>
        <v>0.1039054</v>
      </c>
      <c r="L1962" s="37" t="n">
        <f aca="false">I1962*K1962/C1962</f>
        <v>208.662483606557</v>
      </c>
      <c r="M1962" s="37" t="n">
        <f aca="false">IF(AND(A1962&gt;=Inputs!$C$13,OR(A1962&lt;Inputs!$B$19,Inputs!$B$20=1)),I1962*Inputs!$C$11/C1962,0)</f>
        <v>40.1639344262295</v>
      </c>
    </row>
    <row r="1963" customFormat="false" ht="15" hidden="false" customHeight="false" outlineLevel="0" collapsed="false">
      <c r="A1963" s="35" t="n">
        <f aca="false">A1962+1</f>
        <v>46770</v>
      </c>
      <c r="B1963" s="35" t="n">
        <f aca="false">EOMONTH(A1963+1,0)</f>
        <v>46783</v>
      </c>
      <c r="C1963" s="36" t="n">
        <f aca="false">IF(MOD(YEAR(A1963),4)=0,366,365)</f>
        <v>366</v>
      </c>
      <c r="D1963" s="37" t="n">
        <f aca="false">Inputs!$B$9-SUMIFS(Cash_Events!$G$6:$G$20,Cash_Events!$C$6:$C$20,"rAGMF",Cash_Events!$B$6:$B$20,"&lt;="&amp;A1963)</f>
        <v>735000</v>
      </c>
      <c r="E1963" s="38" t="n">
        <f aca="false">VLOOKUP(A1963,Inputs!$A$40:$B$48,2,TRUE())</f>
        <v>0.0363225</v>
      </c>
      <c r="F1963" s="38" t="n">
        <f aca="false">E1963+Inputs!$B$10</f>
        <v>0.1038225</v>
      </c>
      <c r="G1963" s="37" t="n">
        <f aca="false">D1963*F1963/C1963</f>
        <v>208.496004098361</v>
      </c>
      <c r="H1963" s="37" t="n">
        <f aca="false">IF(AND(A1963&gt;=Inputs!$B$13,OR(A1963&lt;Inputs!$B$19,Inputs!$B$20=1)),D1963*Inputs!$B$11/C1963,0)</f>
        <v>40.1639344262295</v>
      </c>
      <c r="I1963" s="37" t="n">
        <f aca="false">Inputs!$C$9-SUMIFS(Cash_Events!$G$6:$G$20,Cash_Events!$C$6:$C$20,"FHL",Cash_Events!$B$6:$B$20,"&lt;="&amp;A1963)</f>
        <v>735000</v>
      </c>
      <c r="J1963" s="38" t="n">
        <f aca="false">VLOOKUP(A1963,Inputs!$F$40:$G$48,2,TRUE())</f>
        <v>0.0364054</v>
      </c>
      <c r="K1963" s="38" t="n">
        <f aca="false">J1963+Inputs!$C$10</f>
        <v>0.1039054</v>
      </c>
      <c r="L1963" s="37" t="n">
        <f aca="false">I1963*K1963/C1963</f>
        <v>208.662483606557</v>
      </c>
      <c r="M1963" s="37" t="n">
        <f aca="false">IF(AND(A1963&gt;=Inputs!$C$13,OR(A1963&lt;Inputs!$B$19,Inputs!$B$20=1)),I1963*Inputs!$C$11/C1963,0)</f>
        <v>40.1639344262295</v>
      </c>
    </row>
    <row r="1964" customFormat="false" ht="15" hidden="false" customHeight="false" outlineLevel="0" collapsed="false">
      <c r="A1964" s="35" t="n">
        <f aca="false">A1963+1</f>
        <v>46771</v>
      </c>
      <c r="B1964" s="35" t="n">
        <f aca="false">EOMONTH(A1964+1,0)</f>
        <v>46783</v>
      </c>
      <c r="C1964" s="36" t="n">
        <f aca="false">IF(MOD(YEAR(A1964),4)=0,366,365)</f>
        <v>366</v>
      </c>
      <c r="D1964" s="37" t="n">
        <f aca="false">Inputs!$B$9-SUMIFS(Cash_Events!$G$6:$G$20,Cash_Events!$C$6:$C$20,"rAGMF",Cash_Events!$B$6:$B$20,"&lt;="&amp;A1964)</f>
        <v>735000</v>
      </c>
      <c r="E1964" s="38" t="n">
        <f aca="false">VLOOKUP(A1964,Inputs!$A$40:$B$48,2,TRUE())</f>
        <v>0.0363225</v>
      </c>
      <c r="F1964" s="38" t="n">
        <f aca="false">E1964+Inputs!$B$10</f>
        <v>0.1038225</v>
      </c>
      <c r="G1964" s="37" t="n">
        <f aca="false">D1964*F1964/C1964</f>
        <v>208.496004098361</v>
      </c>
      <c r="H1964" s="37" t="n">
        <f aca="false">IF(AND(A1964&gt;=Inputs!$B$13,OR(A1964&lt;Inputs!$B$19,Inputs!$B$20=1)),D1964*Inputs!$B$11/C1964,0)</f>
        <v>40.1639344262295</v>
      </c>
      <c r="I1964" s="37" t="n">
        <f aca="false">Inputs!$C$9-SUMIFS(Cash_Events!$G$6:$G$20,Cash_Events!$C$6:$C$20,"FHL",Cash_Events!$B$6:$B$20,"&lt;="&amp;A1964)</f>
        <v>735000</v>
      </c>
      <c r="J1964" s="38" t="n">
        <f aca="false">VLOOKUP(A1964,Inputs!$F$40:$G$48,2,TRUE())</f>
        <v>0.0364054</v>
      </c>
      <c r="K1964" s="38" t="n">
        <f aca="false">J1964+Inputs!$C$10</f>
        <v>0.1039054</v>
      </c>
      <c r="L1964" s="37" t="n">
        <f aca="false">I1964*K1964/C1964</f>
        <v>208.662483606557</v>
      </c>
      <c r="M1964" s="37" t="n">
        <f aca="false">IF(AND(A1964&gt;=Inputs!$C$13,OR(A1964&lt;Inputs!$B$19,Inputs!$B$20=1)),I1964*Inputs!$C$11/C1964,0)</f>
        <v>40.1639344262295</v>
      </c>
    </row>
    <row r="1965" customFormat="false" ht="15" hidden="false" customHeight="false" outlineLevel="0" collapsed="false">
      <c r="A1965" s="35" t="n">
        <f aca="false">A1964+1</f>
        <v>46772</v>
      </c>
      <c r="B1965" s="35" t="n">
        <f aca="false">EOMONTH(A1965+1,0)</f>
        <v>46783</v>
      </c>
      <c r="C1965" s="36" t="n">
        <f aca="false">IF(MOD(YEAR(A1965),4)=0,366,365)</f>
        <v>366</v>
      </c>
      <c r="D1965" s="37" t="n">
        <f aca="false">Inputs!$B$9-SUMIFS(Cash_Events!$G$6:$G$20,Cash_Events!$C$6:$C$20,"rAGMF",Cash_Events!$B$6:$B$20,"&lt;="&amp;A1965)</f>
        <v>735000</v>
      </c>
      <c r="E1965" s="38" t="n">
        <f aca="false">VLOOKUP(A1965,Inputs!$A$40:$B$48,2,TRUE())</f>
        <v>0.0363225</v>
      </c>
      <c r="F1965" s="38" t="n">
        <f aca="false">E1965+Inputs!$B$10</f>
        <v>0.1038225</v>
      </c>
      <c r="G1965" s="37" t="n">
        <f aca="false">D1965*F1965/C1965</f>
        <v>208.496004098361</v>
      </c>
      <c r="H1965" s="37" t="n">
        <f aca="false">IF(AND(A1965&gt;=Inputs!$B$13,OR(A1965&lt;Inputs!$B$19,Inputs!$B$20=1)),D1965*Inputs!$B$11/C1965,0)</f>
        <v>40.1639344262295</v>
      </c>
      <c r="I1965" s="37" t="n">
        <f aca="false">Inputs!$C$9-SUMIFS(Cash_Events!$G$6:$G$20,Cash_Events!$C$6:$C$20,"FHL",Cash_Events!$B$6:$B$20,"&lt;="&amp;A1965)</f>
        <v>735000</v>
      </c>
      <c r="J1965" s="38" t="n">
        <f aca="false">VLOOKUP(A1965,Inputs!$F$40:$G$48,2,TRUE())</f>
        <v>0.0364054</v>
      </c>
      <c r="K1965" s="38" t="n">
        <f aca="false">J1965+Inputs!$C$10</f>
        <v>0.1039054</v>
      </c>
      <c r="L1965" s="37" t="n">
        <f aca="false">I1965*K1965/C1965</f>
        <v>208.662483606557</v>
      </c>
      <c r="M1965" s="37" t="n">
        <f aca="false">IF(AND(A1965&gt;=Inputs!$C$13,OR(A1965&lt;Inputs!$B$19,Inputs!$B$20=1)),I1965*Inputs!$C$11/C1965,0)</f>
        <v>40.1639344262295</v>
      </c>
    </row>
    <row r="1966" customFormat="false" ht="15" hidden="false" customHeight="false" outlineLevel="0" collapsed="false">
      <c r="A1966" s="35" t="n">
        <f aca="false">A1965+1</f>
        <v>46773</v>
      </c>
      <c r="B1966" s="35" t="n">
        <f aca="false">EOMONTH(A1966+1,0)</f>
        <v>46783</v>
      </c>
      <c r="C1966" s="36" t="n">
        <f aca="false">IF(MOD(YEAR(A1966),4)=0,366,365)</f>
        <v>366</v>
      </c>
      <c r="D1966" s="37" t="n">
        <f aca="false">Inputs!$B$9-SUMIFS(Cash_Events!$G$6:$G$20,Cash_Events!$C$6:$C$20,"rAGMF",Cash_Events!$B$6:$B$20,"&lt;="&amp;A1966)</f>
        <v>735000</v>
      </c>
      <c r="E1966" s="38" t="n">
        <f aca="false">VLOOKUP(A1966,Inputs!$A$40:$B$48,2,TRUE())</f>
        <v>0.0363225</v>
      </c>
      <c r="F1966" s="38" t="n">
        <f aca="false">E1966+Inputs!$B$10</f>
        <v>0.1038225</v>
      </c>
      <c r="G1966" s="37" t="n">
        <f aca="false">D1966*F1966/C1966</f>
        <v>208.496004098361</v>
      </c>
      <c r="H1966" s="37" t="n">
        <f aca="false">IF(AND(A1966&gt;=Inputs!$B$13,OR(A1966&lt;Inputs!$B$19,Inputs!$B$20=1)),D1966*Inputs!$B$11/C1966,0)</f>
        <v>40.1639344262295</v>
      </c>
      <c r="I1966" s="37" t="n">
        <f aca="false">Inputs!$C$9-SUMIFS(Cash_Events!$G$6:$G$20,Cash_Events!$C$6:$C$20,"FHL",Cash_Events!$B$6:$B$20,"&lt;="&amp;A1966)</f>
        <v>735000</v>
      </c>
      <c r="J1966" s="38" t="n">
        <f aca="false">VLOOKUP(A1966,Inputs!$F$40:$G$48,2,TRUE())</f>
        <v>0.0364054</v>
      </c>
      <c r="K1966" s="38" t="n">
        <f aca="false">J1966+Inputs!$C$10</f>
        <v>0.1039054</v>
      </c>
      <c r="L1966" s="37" t="n">
        <f aca="false">I1966*K1966/C1966</f>
        <v>208.662483606557</v>
      </c>
      <c r="M1966" s="37" t="n">
        <f aca="false">IF(AND(A1966&gt;=Inputs!$C$13,OR(A1966&lt;Inputs!$B$19,Inputs!$B$20=1)),I1966*Inputs!$C$11/C1966,0)</f>
        <v>40.1639344262295</v>
      </c>
    </row>
    <row r="1967" customFormat="false" ht="15" hidden="false" customHeight="false" outlineLevel="0" collapsed="false">
      <c r="A1967" s="35" t="n">
        <f aca="false">A1966+1</f>
        <v>46774</v>
      </c>
      <c r="B1967" s="35" t="n">
        <f aca="false">EOMONTH(A1967+1,0)</f>
        <v>46783</v>
      </c>
      <c r="C1967" s="36" t="n">
        <f aca="false">IF(MOD(YEAR(A1967),4)=0,366,365)</f>
        <v>366</v>
      </c>
      <c r="D1967" s="37" t="n">
        <f aca="false">Inputs!$B$9-SUMIFS(Cash_Events!$G$6:$G$20,Cash_Events!$C$6:$C$20,"rAGMF",Cash_Events!$B$6:$B$20,"&lt;="&amp;A1967)</f>
        <v>735000</v>
      </c>
      <c r="E1967" s="38" t="n">
        <f aca="false">VLOOKUP(A1967,Inputs!$A$40:$B$48,2,TRUE())</f>
        <v>0.0363225</v>
      </c>
      <c r="F1967" s="38" t="n">
        <f aca="false">E1967+Inputs!$B$10</f>
        <v>0.1038225</v>
      </c>
      <c r="G1967" s="37" t="n">
        <f aca="false">D1967*F1967/C1967</f>
        <v>208.496004098361</v>
      </c>
      <c r="H1967" s="37" t="n">
        <f aca="false">IF(AND(A1967&gt;=Inputs!$B$13,OR(A1967&lt;Inputs!$B$19,Inputs!$B$20=1)),D1967*Inputs!$B$11/C1967,0)</f>
        <v>40.1639344262295</v>
      </c>
      <c r="I1967" s="37" t="n">
        <f aca="false">Inputs!$C$9-SUMIFS(Cash_Events!$G$6:$G$20,Cash_Events!$C$6:$C$20,"FHL",Cash_Events!$B$6:$B$20,"&lt;="&amp;A1967)</f>
        <v>735000</v>
      </c>
      <c r="J1967" s="38" t="n">
        <f aca="false">VLOOKUP(A1967,Inputs!$F$40:$G$48,2,TRUE())</f>
        <v>0.0364054</v>
      </c>
      <c r="K1967" s="38" t="n">
        <f aca="false">J1967+Inputs!$C$10</f>
        <v>0.1039054</v>
      </c>
      <c r="L1967" s="37" t="n">
        <f aca="false">I1967*K1967/C1967</f>
        <v>208.662483606557</v>
      </c>
      <c r="M1967" s="37" t="n">
        <f aca="false">IF(AND(A1967&gt;=Inputs!$C$13,OR(A1967&lt;Inputs!$B$19,Inputs!$B$20=1)),I1967*Inputs!$C$11/C1967,0)</f>
        <v>40.1639344262295</v>
      </c>
    </row>
    <row r="1968" customFormat="false" ht="15" hidden="false" customHeight="false" outlineLevel="0" collapsed="false">
      <c r="A1968" s="35" t="n">
        <f aca="false">A1967+1</f>
        <v>46775</v>
      </c>
      <c r="B1968" s="35" t="n">
        <f aca="false">EOMONTH(A1968+1,0)</f>
        <v>46783</v>
      </c>
      <c r="C1968" s="36" t="n">
        <f aca="false">IF(MOD(YEAR(A1968),4)=0,366,365)</f>
        <v>366</v>
      </c>
      <c r="D1968" s="37" t="n">
        <f aca="false">Inputs!$B$9-SUMIFS(Cash_Events!$G$6:$G$20,Cash_Events!$C$6:$C$20,"rAGMF",Cash_Events!$B$6:$B$20,"&lt;="&amp;A1968)</f>
        <v>735000</v>
      </c>
      <c r="E1968" s="38" t="n">
        <f aca="false">VLOOKUP(A1968,Inputs!$A$40:$B$48,2,TRUE())</f>
        <v>0.0363225</v>
      </c>
      <c r="F1968" s="38" t="n">
        <f aca="false">E1968+Inputs!$B$10</f>
        <v>0.1038225</v>
      </c>
      <c r="G1968" s="37" t="n">
        <f aca="false">D1968*F1968/C1968</f>
        <v>208.496004098361</v>
      </c>
      <c r="H1968" s="37" t="n">
        <f aca="false">IF(AND(A1968&gt;=Inputs!$B$13,OR(A1968&lt;Inputs!$B$19,Inputs!$B$20=1)),D1968*Inputs!$B$11/C1968,0)</f>
        <v>40.1639344262295</v>
      </c>
      <c r="I1968" s="37" t="n">
        <f aca="false">Inputs!$C$9-SUMIFS(Cash_Events!$G$6:$G$20,Cash_Events!$C$6:$C$20,"FHL",Cash_Events!$B$6:$B$20,"&lt;="&amp;A1968)</f>
        <v>735000</v>
      </c>
      <c r="J1968" s="38" t="n">
        <f aca="false">VLOOKUP(A1968,Inputs!$F$40:$G$48,2,TRUE())</f>
        <v>0.0364054</v>
      </c>
      <c r="K1968" s="38" t="n">
        <f aca="false">J1968+Inputs!$C$10</f>
        <v>0.1039054</v>
      </c>
      <c r="L1968" s="37" t="n">
        <f aca="false">I1968*K1968/C1968</f>
        <v>208.662483606557</v>
      </c>
      <c r="M1968" s="37" t="n">
        <f aca="false">IF(AND(A1968&gt;=Inputs!$C$13,OR(A1968&lt;Inputs!$B$19,Inputs!$B$20=1)),I1968*Inputs!$C$11/C1968,0)</f>
        <v>40.1639344262295</v>
      </c>
    </row>
    <row r="1969" customFormat="false" ht="15" hidden="false" customHeight="false" outlineLevel="0" collapsed="false">
      <c r="A1969" s="35" t="n">
        <f aca="false">A1968+1</f>
        <v>46776</v>
      </c>
      <c r="B1969" s="35" t="n">
        <f aca="false">EOMONTH(A1969+1,0)</f>
        <v>46783</v>
      </c>
      <c r="C1969" s="36" t="n">
        <f aca="false">IF(MOD(YEAR(A1969),4)=0,366,365)</f>
        <v>366</v>
      </c>
      <c r="D1969" s="37" t="n">
        <f aca="false">Inputs!$B$9-SUMIFS(Cash_Events!$G$6:$G$20,Cash_Events!$C$6:$C$20,"rAGMF",Cash_Events!$B$6:$B$20,"&lt;="&amp;A1969)</f>
        <v>735000</v>
      </c>
      <c r="E1969" s="38" t="n">
        <f aca="false">VLOOKUP(A1969,Inputs!$A$40:$B$48,2,TRUE())</f>
        <v>0.0363225</v>
      </c>
      <c r="F1969" s="38" t="n">
        <f aca="false">E1969+Inputs!$B$10</f>
        <v>0.1038225</v>
      </c>
      <c r="G1969" s="37" t="n">
        <f aca="false">D1969*F1969/C1969</f>
        <v>208.496004098361</v>
      </c>
      <c r="H1969" s="37" t="n">
        <f aca="false">IF(AND(A1969&gt;=Inputs!$B$13,OR(A1969&lt;Inputs!$B$19,Inputs!$B$20=1)),D1969*Inputs!$B$11/C1969,0)</f>
        <v>40.1639344262295</v>
      </c>
      <c r="I1969" s="37" t="n">
        <f aca="false">Inputs!$C$9-SUMIFS(Cash_Events!$G$6:$G$20,Cash_Events!$C$6:$C$20,"FHL",Cash_Events!$B$6:$B$20,"&lt;="&amp;A1969)</f>
        <v>735000</v>
      </c>
      <c r="J1969" s="38" t="n">
        <f aca="false">VLOOKUP(A1969,Inputs!$F$40:$G$48,2,TRUE())</f>
        <v>0.0364054</v>
      </c>
      <c r="K1969" s="38" t="n">
        <f aca="false">J1969+Inputs!$C$10</f>
        <v>0.1039054</v>
      </c>
      <c r="L1969" s="37" t="n">
        <f aca="false">I1969*K1969/C1969</f>
        <v>208.662483606557</v>
      </c>
      <c r="M1969" s="37" t="n">
        <f aca="false">IF(AND(A1969&gt;=Inputs!$C$13,OR(A1969&lt;Inputs!$B$19,Inputs!$B$20=1)),I1969*Inputs!$C$11/C1969,0)</f>
        <v>40.1639344262295</v>
      </c>
    </row>
    <row r="1970" customFormat="false" ht="15" hidden="false" customHeight="false" outlineLevel="0" collapsed="false">
      <c r="A1970" s="35" t="n">
        <f aca="false">A1969+1</f>
        <v>46777</v>
      </c>
      <c r="B1970" s="35" t="n">
        <f aca="false">EOMONTH(A1970+1,0)</f>
        <v>46783</v>
      </c>
      <c r="C1970" s="36" t="n">
        <f aca="false">IF(MOD(YEAR(A1970),4)=0,366,365)</f>
        <v>366</v>
      </c>
      <c r="D1970" s="37" t="n">
        <f aca="false">Inputs!$B$9-SUMIFS(Cash_Events!$G$6:$G$20,Cash_Events!$C$6:$C$20,"rAGMF",Cash_Events!$B$6:$B$20,"&lt;="&amp;A1970)</f>
        <v>735000</v>
      </c>
      <c r="E1970" s="38" t="n">
        <f aca="false">VLOOKUP(A1970,Inputs!$A$40:$B$48,2,TRUE())</f>
        <v>0.0363225</v>
      </c>
      <c r="F1970" s="38" t="n">
        <f aca="false">E1970+Inputs!$B$10</f>
        <v>0.1038225</v>
      </c>
      <c r="G1970" s="37" t="n">
        <f aca="false">D1970*F1970/C1970</f>
        <v>208.496004098361</v>
      </c>
      <c r="H1970" s="37" t="n">
        <f aca="false">IF(AND(A1970&gt;=Inputs!$B$13,OR(A1970&lt;Inputs!$B$19,Inputs!$B$20=1)),D1970*Inputs!$B$11/C1970,0)</f>
        <v>40.1639344262295</v>
      </c>
      <c r="I1970" s="37" t="n">
        <f aca="false">Inputs!$C$9-SUMIFS(Cash_Events!$G$6:$G$20,Cash_Events!$C$6:$C$20,"FHL",Cash_Events!$B$6:$B$20,"&lt;="&amp;A1970)</f>
        <v>735000</v>
      </c>
      <c r="J1970" s="38" t="n">
        <f aca="false">VLOOKUP(A1970,Inputs!$F$40:$G$48,2,TRUE())</f>
        <v>0.0364054</v>
      </c>
      <c r="K1970" s="38" t="n">
        <f aca="false">J1970+Inputs!$C$10</f>
        <v>0.1039054</v>
      </c>
      <c r="L1970" s="37" t="n">
        <f aca="false">I1970*K1970/C1970</f>
        <v>208.662483606557</v>
      </c>
      <c r="M1970" s="37" t="n">
        <f aca="false">IF(AND(A1970&gt;=Inputs!$C$13,OR(A1970&lt;Inputs!$B$19,Inputs!$B$20=1)),I1970*Inputs!$C$11/C1970,0)</f>
        <v>40.1639344262295</v>
      </c>
    </row>
    <row r="1971" customFormat="false" ht="15" hidden="false" customHeight="false" outlineLevel="0" collapsed="false">
      <c r="A1971" s="35" t="n">
        <f aca="false">A1970+1</f>
        <v>46778</v>
      </c>
      <c r="B1971" s="35" t="n">
        <f aca="false">EOMONTH(A1971+1,0)</f>
        <v>46783</v>
      </c>
      <c r="C1971" s="36" t="n">
        <f aca="false">IF(MOD(YEAR(A1971),4)=0,366,365)</f>
        <v>366</v>
      </c>
      <c r="D1971" s="37" t="n">
        <f aca="false">Inputs!$B$9-SUMIFS(Cash_Events!$G$6:$G$20,Cash_Events!$C$6:$C$20,"rAGMF",Cash_Events!$B$6:$B$20,"&lt;="&amp;A1971)</f>
        <v>735000</v>
      </c>
      <c r="E1971" s="38" t="n">
        <f aca="false">VLOOKUP(A1971,Inputs!$A$40:$B$48,2,TRUE())</f>
        <v>0.0363225</v>
      </c>
      <c r="F1971" s="38" t="n">
        <f aca="false">E1971+Inputs!$B$10</f>
        <v>0.1038225</v>
      </c>
      <c r="G1971" s="37" t="n">
        <f aca="false">D1971*F1971/C1971</f>
        <v>208.496004098361</v>
      </c>
      <c r="H1971" s="37" t="n">
        <f aca="false">IF(AND(A1971&gt;=Inputs!$B$13,OR(A1971&lt;Inputs!$B$19,Inputs!$B$20=1)),D1971*Inputs!$B$11/C1971,0)</f>
        <v>40.1639344262295</v>
      </c>
      <c r="I1971" s="37" t="n">
        <f aca="false">Inputs!$C$9-SUMIFS(Cash_Events!$G$6:$G$20,Cash_Events!$C$6:$C$20,"FHL",Cash_Events!$B$6:$B$20,"&lt;="&amp;A1971)</f>
        <v>735000</v>
      </c>
      <c r="J1971" s="38" t="n">
        <f aca="false">VLOOKUP(A1971,Inputs!$F$40:$G$48,2,TRUE())</f>
        <v>0.0364054</v>
      </c>
      <c r="K1971" s="38" t="n">
        <f aca="false">J1971+Inputs!$C$10</f>
        <v>0.1039054</v>
      </c>
      <c r="L1971" s="37" t="n">
        <f aca="false">I1971*K1971/C1971</f>
        <v>208.662483606557</v>
      </c>
      <c r="M1971" s="37" t="n">
        <f aca="false">IF(AND(A1971&gt;=Inputs!$C$13,OR(A1971&lt;Inputs!$B$19,Inputs!$B$20=1)),I1971*Inputs!$C$11/C1971,0)</f>
        <v>40.1639344262295</v>
      </c>
    </row>
    <row r="1972" customFormat="false" ht="15" hidden="false" customHeight="false" outlineLevel="0" collapsed="false">
      <c r="A1972" s="35" t="n">
        <f aca="false">A1971+1</f>
        <v>46779</v>
      </c>
      <c r="B1972" s="35" t="n">
        <f aca="false">EOMONTH(A1972+1,0)</f>
        <v>46783</v>
      </c>
      <c r="C1972" s="36" t="n">
        <f aca="false">IF(MOD(YEAR(A1972),4)=0,366,365)</f>
        <v>366</v>
      </c>
      <c r="D1972" s="37" t="n">
        <f aca="false">Inputs!$B$9-SUMIFS(Cash_Events!$G$6:$G$20,Cash_Events!$C$6:$C$20,"rAGMF",Cash_Events!$B$6:$B$20,"&lt;="&amp;A1972)</f>
        <v>735000</v>
      </c>
      <c r="E1972" s="38" t="n">
        <f aca="false">VLOOKUP(A1972,Inputs!$A$40:$B$48,2,TRUE())</f>
        <v>0.0363225</v>
      </c>
      <c r="F1972" s="38" t="n">
        <f aca="false">E1972+Inputs!$B$10</f>
        <v>0.1038225</v>
      </c>
      <c r="G1972" s="37" t="n">
        <f aca="false">D1972*F1972/C1972</f>
        <v>208.496004098361</v>
      </c>
      <c r="H1972" s="37" t="n">
        <f aca="false">IF(AND(A1972&gt;=Inputs!$B$13,OR(A1972&lt;Inputs!$B$19,Inputs!$B$20=1)),D1972*Inputs!$B$11/C1972,0)</f>
        <v>40.1639344262295</v>
      </c>
      <c r="I1972" s="37" t="n">
        <f aca="false">Inputs!$C$9-SUMIFS(Cash_Events!$G$6:$G$20,Cash_Events!$C$6:$C$20,"FHL",Cash_Events!$B$6:$B$20,"&lt;="&amp;A1972)</f>
        <v>735000</v>
      </c>
      <c r="J1972" s="38" t="n">
        <f aca="false">VLOOKUP(A1972,Inputs!$F$40:$G$48,2,TRUE())</f>
        <v>0.0364054</v>
      </c>
      <c r="K1972" s="38" t="n">
        <f aca="false">J1972+Inputs!$C$10</f>
        <v>0.1039054</v>
      </c>
      <c r="L1972" s="37" t="n">
        <f aca="false">I1972*K1972/C1972</f>
        <v>208.662483606557</v>
      </c>
      <c r="M1972" s="37" t="n">
        <f aca="false">IF(AND(A1972&gt;=Inputs!$C$13,OR(A1972&lt;Inputs!$B$19,Inputs!$B$20=1)),I1972*Inputs!$C$11/C1972,0)</f>
        <v>40.1639344262295</v>
      </c>
    </row>
    <row r="1973" customFormat="false" ht="15" hidden="false" customHeight="false" outlineLevel="0" collapsed="false">
      <c r="A1973" s="35" t="n">
        <f aca="false">A1972+1</f>
        <v>46780</v>
      </c>
      <c r="B1973" s="35" t="n">
        <f aca="false">EOMONTH(A1973+1,0)</f>
        <v>46783</v>
      </c>
      <c r="C1973" s="36" t="n">
        <f aca="false">IF(MOD(YEAR(A1973),4)=0,366,365)</f>
        <v>366</v>
      </c>
      <c r="D1973" s="37" t="n">
        <f aca="false">Inputs!$B$9-SUMIFS(Cash_Events!$G$6:$G$20,Cash_Events!$C$6:$C$20,"rAGMF",Cash_Events!$B$6:$B$20,"&lt;="&amp;A1973)</f>
        <v>735000</v>
      </c>
      <c r="E1973" s="38" t="n">
        <f aca="false">VLOOKUP(A1973,Inputs!$A$40:$B$48,2,TRUE())</f>
        <v>0.0363225</v>
      </c>
      <c r="F1973" s="38" t="n">
        <f aca="false">E1973+Inputs!$B$10</f>
        <v>0.1038225</v>
      </c>
      <c r="G1973" s="37" t="n">
        <f aca="false">D1973*F1973/C1973</f>
        <v>208.496004098361</v>
      </c>
      <c r="H1973" s="37" t="n">
        <f aca="false">IF(AND(A1973&gt;=Inputs!$B$13,OR(A1973&lt;Inputs!$B$19,Inputs!$B$20=1)),D1973*Inputs!$B$11/C1973,0)</f>
        <v>40.1639344262295</v>
      </c>
      <c r="I1973" s="37" t="n">
        <f aca="false">Inputs!$C$9-SUMIFS(Cash_Events!$G$6:$G$20,Cash_Events!$C$6:$C$20,"FHL",Cash_Events!$B$6:$B$20,"&lt;="&amp;A1973)</f>
        <v>735000</v>
      </c>
      <c r="J1973" s="38" t="n">
        <f aca="false">VLOOKUP(A1973,Inputs!$F$40:$G$48,2,TRUE())</f>
        <v>0.0364054</v>
      </c>
      <c r="K1973" s="38" t="n">
        <f aca="false">J1973+Inputs!$C$10</f>
        <v>0.1039054</v>
      </c>
      <c r="L1973" s="37" t="n">
        <f aca="false">I1973*K1973/C1973</f>
        <v>208.662483606557</v>
      </c>
      <c r="M1973" s="37" t="n">
        <f aca="false">IF(AND(A1973&gt;=Inputs!$C$13,OR(A1973&lt;Inputs!$B$19,Inputs!$B$20=1)),I1973*Inputs!$C$11/C1973,0)</f>
        <v>40.1639344262295</v>
      </c>
    </row>
    <row r="1974" customFormat="false" ht="15" hidden="false" customHeight="false" outlineLevel="0" collapsed="false">
      <c r="A1974" s="35" t="n">
        <f aca="false">A1973+1</f>
        <v>46781</v>
      </c>
      <c r="B1974" s="35" t="n">
        <f aca="false">EOMONTH(A1974+1,0)</f>
        <v>46783</v>
      </c>
      <c r="C1974" s="36" t="n">
        <f aca="false">IF(MOD(YEAR(A1974),4)=0,366,365)</f>
        <v>366</v>
      </c>
      <c r="D1974" s="37" t="n">
        <f aca="false">Inputs!$B$9-SUMIFS(Cash_Events!$G$6:$G$20,Cash_Events!$C$6:$C$20,"rAGMF",Cash_Events!$B$6:$B$20,"&lt;="&amp;A1974)</f>
        <v>735000</v>
      </c>
      <c r="E1974" s="38" t="n">
        <f aca="false">VLOOKUP(A1974,Inputs!$A$40:$B$48,2,TRUE())</f>
        <v>0.0363225</v>
      </c>
      <c r="F1974" s="38" t="n">
        <f aca="false">E1974+Inputs!$B$10</f>
        <v>0.1038225</v>
      </c>
      <c r="G1974" s="37" t="n">
        <f aca="false">D1974*F1974/C1974</f>
        <v>208.496004098361</v>
      </c>
      <c r="H1974" s="37" t="n">
        <f aca="false">IF(AND(A1974&gt;=Inputs!$B$13,OR(A1974&lt;Inputs!$B$19,Inputs!$B$20=1)),D1974*Inputs!$B$11/C1974,0)</f>
        <v>40.1639344262295</v>
      </c>
      <c r="I1974" s="37" t="n">
        <f aca="false">Inputs!$C$9-SUMIFS(Cash_Events!$G$6:$G$20,Cash_Events!$C$6:$C$20,"FHL",Cash_Events!$B$6:$B$20,"&lt;="&amp;A1974)</f>
        <v>735000</v>
      </c>
      <c r="J1974" s="38" t="n">
        <f aca="false">VLOOKUP(A1974,Inputs!$F$40:$G$48,2,TRUE())</f>
        <v>0.0364054</v>
      </c>
      <c r="K1974" s="38" t="n">
        <f aca="false">J1974+Inputs!$C$10</f>
        <v>0.1039054</v>
      </c>
      <c r="L1974" s="37" t="n">
        <f aca="false">I1974*K1974/C1974</f>
        <v>208.662483606557</v>
      </c>
      <c r="M1974" s="37" t="n">
        <f aca="false">IF(AND(A1974&gt;=Inputs!$C$13,OR(A1974&lt;Inputs!$B$19,Inputs!$B$20=1)),I1974*Inputs!$C$11/C1974,0)</f>
        <v>40.1639344262295</v>
      </c>
    </row>
    <row r="1975" customFormat="false" ht="15" hidden="false" customHeight="false" outlineLevel="0" collapsed="false">
      <c r="A1975" s="35" t="n">
        <f aca="false">A1974+1</f>
        <v>46782</v>
      </c>
      <c r="B1975" s="35" t="n">
        <f aca="false">EOMONTH(A1975+1,0)</f>
        <v>46783</v>
      </c>
      <c r="C1975" s="36" t="n">
        <f aca="false">IF(MOD(YEAR(A1975),4)=0,366,365)</f>
        <v>366</v>
      </c>
      <c r="D1975" s="37" t="n">
        <f aca="false">Inputs!$B$9-SUMIFS(Cash_Events!$G$6:$G$20,Cash_Events!$C$6:$C$20,"rAGMF",Cash_Events!$B$6:$B$20,"&lt;="&amp;A1975)</f>
        <v>735000</v>
      </c>
      <c r="E1975" s="38" t="n">
        <f aca="false">VLOOKUP(A1975,Inputs!$A$40:$B$48,2,TRUE())</f>
        <v>0.0363225</v>
      </c>
      <c r="F1975" s="38" t="n">
        <f aca="false">E1975+Inputs!$B$10</f>
        <v>0.1038225</v>
      </c>
      <c r="G1975" s="37" t="n">
        <f aca="false">D1975*F1975/C1975</f>
        <v>208.496004098361</v>
      </c>
      <c r="H1975" s="37" t="n">
        <f aca="false">IF(AND(A1975&gt;=Inputs!$B$13,OR(A1975&lt;Inputs!$B$19,Inputs!$B$20=1)),D1975*Inputs!$B$11/C1975,0)</f>
        <v>40.1639344262295</v>
      </c>
      <c r="I1975" s="37" t="n">
        <f aca="false">Inputs!$C$9-SUMIFS(Cash_Events!$G$6:$G$20,Cash_Events!$C$6:$C$20,"FHL",Cash_Events!$B$6:$B$20,"&lt;="&amp;A1975)</f>
        <v>735000</v>
      </c>
      <c r="J1975" s="38" t="n">
        <f aca="false">VLOOKUP(A1975,Inputs!$F$40:$G$48,2,TRUE())</f>
        <v>0.0364054</v>
      </c>
      <c r="K1975" s="38" t="n">
        <f aca="false">J1975+Inputs!$C$10</f>
        <v>0.1039054</v>
      </c>
      <c r="L1975" s="37" t="n">
        <f aca="false">I1975*K1975/C1975</f>
        <v>208.662483606557</v>
      </c>
      <c r="M1975" s="37" t="n">
        <f aca="false">IF(AND(A1975&gt;=Inputs!$C$13,OR(A1975&lt;Inputs!$B$19,Inputs!$B$20=1)),I1975*Inputs!$C$11/C1975,0)</f>
        <v>40.1639344262295</v>
      </c>
    </row>
    <row r="1976" customFormat="false" ht="15" hidden="false" customHeight="false" outlineLevel="0" collapsed="false">
      <c r="A1976" s="35" t="n">
        <f aca="false">A1975+1</f>
        <v>46783</v>
      </c>
      <c r="B1976" s="35" t="n">
        <f aca="false">EOMONTH(A1976+1,0)</f>
        <v>46812</v>
      </c>
      <c r="C1976" s="36" t="n">
        <f aca="false">IF(MOD(YEAR(A1976),4)=0,366,365)</f>
        <v>366</v>
      </c>
      <c r="D1976" s="37" t="n">
        <f aca="false">Inputs!$B$9-SUMIFS(Cash_Events!$G$6:$G$20,Cash_Events!$C$6:$C$20,"rAGMF",Cash_Events!$B$6:$B$20,"&lt;="&amp;A1976)</f>
        <v>735000</v>
      </c>
      <c r="E1976" s="38" t="n">
        <f aca="false">VLOOKUP(A1976,Inputs!$A$40:$B$48,2,TRUE())</f>
        <v>0.0363225</v>
      </c>
      <c r="F1976" s="38" t="n">
        <f aca="false">E1976+Inputs!$B$10</f>
        <v>0.1038225</v>
      </c>
      <c r="G1976" s="37" t="n">
        <f aca="false">D1976*F1976/C1976</f>
        <v>208.496004098361</v>
      </c>
      <c r="H1976" s="37" t="n">
        <f aca="false">IF(AND(A1976&gt;=Inputs!$B$13,OR(A1976&lt;Inputs!$B$19,Inputs!$B$20=1)),D1976*Inputs!$B$11/C1976,0)</f>
        <v>40.1639344262295</v>
      </c>
      <c r="I1976" s="37" t="n">
        <f aca="false">Inputs!$C$9-SUMIFS(Cash_Events!$G$6:$G$20,Cash_Events!$C$6:$C$20,"FHL",Cash_Events!$B$6:$B$20,"&lt;="&amp;A1976)</f>
        <v>735000</v>
      </c>
      <c r="J1976" s="38" t="n">
        <f aca="false">VLOOKUP(A1976,Inputs!$F$40:$G$48,2,TRUE())</f>
        <v>0.0364054</v>
      </c>
      <c r="K1976" s="38" t="n">
        <f aca="false">J1976+Inputs!$C$10</f>
        <v>0.1039054</v>
      </c>
      <c r="L1976" s="37" t="n">
        <f aca="false">I1976*K1976/C1976</f>
        <v>208.662483606557</v>
      </c>
      <c r="M1976" s="37" t="n">
        <f aca="false">IF(AND(A1976&gt;=Inputs!$C$13,OR(A1976&lt;Inputs!$B$19,Inputs!$B$20=1)),I1976*Inputs!$C$11/C1976,0)</f>
        <v>40.1639344262295</v>
      </c>
    </row>
    <row r="1977" customFormat="false" ht="15" hidden="false" customHeight="false" outlineLevel="0" collapsed="false">
      <c r="A1977" s="35" t="n">
        <f aca="false">A1976+1</f>
        <v>46784</v>
      </c>
      <c r="B1977" s="35" t="n">
        <f aca="false">EOMONTH(A1977+1,0)</f>
        <v>46812</v>
      </c>
      <c r="C1977" s="36" t="n">
        <f aca="false">IF(MOD(YEAR(A1977),4)=0,366,365)</f>
        <v>366</v>
      </c>
      <c r="D1977" s="37" t="n">
        <f aca="false">Inputs!$B$9-SUMIFS(Cash_Events!$G$6:$G$20,Cash_Events!$C$6:$C$20,"rAGMF",Cash_Events!$B$6:$B$20,"&lt;="&amp;A1977)</f>
        <v>735000</v>
      </c>
      <c r="E1977" s="38" t="n">
        <f aca="false">VLOOKUP(A1977,Inputs!$A$40:$B$48,2,TRUE())</f>
        <v>0.0363225</v>
      </c>
      <c r="F1977" s="38" t="n">
        <f aca="false">E1977+Inputs!$B$10</f>
        <v>0.1038225</v>
      </c>
      <c r="G1977" s="37" t="n">
        <f aca="false">D1977*F1977/C1977</f>
        <v>208.496004098361</v>
      </c>
      <c r="H1977" s="37" t="n">
        <f aca="false">IF(AND(A1977&gt;=Inputs!$B$13,OR(A1977&lt;Inputs!$B$19,Inputs!$B$20=1)),D1977*Inputs!$B$11/C1977,0)</f>
        <v>40.1639344262295</v>
      </c>
      <c r="I1977" s="37" t="n">
        <f aca="false">Inputs!$C$9-SUMIFS(Cash_Events!$G$6:$G$20,Cash_Events!$C$6:$C$20,"FHL",Cash_Events!$B$6:$B$20,"&lt;="&amp;A1977)</f>
        <v>735000</v>
      </c>
      <c r="J1977" s="38" t="n">
        <f aca="false">VLOOKUP(A1977,Inputs!$F$40:$G$48,2,TRUE())</f>
        <v>0.0364054</v>
      </c>
      <c r="K1977" s="38" t="n">
        <f aca="false">J1977+Inputs!$C$10</f>
        <v>0.1039054</v>
      </c>
      <c r="L1977" s="37" t="n">
        <f aca="false">I1977*K1977/C1977</f>
        <v>208.662483606557</v>
      </c>
      <c r="M1977" s="37" t="n">
        <f aca="false">IF(AND(A1977&gt;=Inputs!$C$13,OR(A1977&lt;Inputs!$B$19,Inputs!$B$20=1)),I1977*Inputs!$C$11/C1977,0)</f>
        <v>40.1639344262295</v>
      </c>
    </row>
    <row r="1978" customFormat="false" ht="15" hidden="false" customHeight="false" outlineLevel="0" collapsed="false">
      <c r="A1978" s="35" t="n">
        <f aca="false">A1977+1</f>
        <v>46785</v>
      </c>
      <c r="B1978" s="35" t="n">
        <f aca="false">EOMONTH(A1978+1,0)</f>
        <v>46812</v>
      </c>
      <c r="C1978" s="36" t="n">
        <f aca="false">IF(MOD(YEAR(A1978),4)=0,366,365)</f>
        <v>366</v>
      </c>
      <c r="D1978" s="37" t="n">
        <f aca="false">Inputs!$B$9-SUMIFS(Cash_Events!$G$6:$G$20,Cash_Events!$C$6:$C$20,"rAGMF",Cash_Events!$B$6:$B$20,"&lt;="&amp;A1978)</f>
        <v>735000</v>
      </c>
      <c r="E1978" s="38" t="n">
        <f aca="false">VLOOKUP(A1978,Inputs!$A$40:$B$48,2,TRUE())</f>
        <v>0.0363225</v>
      </c>
      <c r="F1978" s="38" t="n">
        <f aca="false">E1978+Inputs!$B$10</f>
        <v>0.1038225</v>
      </c>
      <c r="G1978" s="37" t="n">
        <f aca="false">D1978*F1978/C1978</f>
        <v>208.496004098361</v>
      </c>
      <c r="H1978" s="37" t="n">
        <f aca="false">IF(AND(A1978&gt;=Inputs!$B$13,OR(A1978&lt;Inputs!$B$19,Inputs!$B$20=1)),D1978*Inputs!$B$11/C1978,0)</f>
        <v>40.1639344262295</v>
      </c>
      <c r="I1978" s="37" t="n">
        <f aca="false">Inputs!$C$9-SUMIFS(Cash_Events!$G$6:$G$20,Cash_Events!$C$6:$C$20,"FHL",Cash_Events!$B$6:$B$20,"&lt;="&amp;A1978)</f>
        <v>735000</v>
      </c>
      <c r="J1978" s="38" t="n">
        <f aca="false">VLOOKUP(A1978,Inputs!$F$40:$G$48,2,TRUE())</f>
        <v>0.0364054</v>
      </c>
      <c r="K1978" s="38" t="n">
        <f aca="false">J1978+Inputs!$C$10</f>
        <v>0.1039054</v>
      </c>
      <c r="L1978" s="37" t="n">
        <f aca="false">I1978*K1978/C1978</f>
        <v>208.662483606557</v>
      </c>
      <c r="M1978" s="37" t="n">
        <f aca="false">IF(AND(A1978&gt;=Inputs!$C$13,OR(A1978&lt;Inputs!$B$19,Inputs!$B$20=1)),I1978*Inputs!$C$11/C1978,0)</f>
        <v>40.1639344262295</v>
      </c>
    </row>
    <row r="1979" customFormat="false" ht="15" hidden="false" customHeight="false" outlineLevel="0" collapsed="false">
      <c r="A1979" s="35" t="n">
        <f aca="false">A1978+1</f>
        <v>46786</v>
      </c>
      <c r="B1979" s="35" t="n">
        <f aca="false">EOMONTH(A1979+1,0)</f>
        <v>46812</v>
      </c>
      <c r="C1979" s="36" t="n">
        <f aca="false">IF(MOD(YEAR(A1979),4)=0,366,365)</f>
        <v>366</v>
      </c>
      <c r="D1979" s="37" t="n">
        <f aca="false">Inputs!$B$9-SUMIFS(Cash_Events!$G$6:$G$20,Cash_Events!$C$6:$C$20,"rAGMF",Cash_Events!$B$6:$B$20,"&lt;="&amp;A1979)</f>
        <v>735000</v>
      </c>
      <c r="E1979" s="38" t="n">
        <f aca="false">VLOOKUP(A1979,Inputs!$A$40:$B$48,2,TRUE())</f>
        <v>0.0363225</v>
      </c>
      <c r="F1979" s="38" t="n">
        <f aca="false">E1979+Inputs!$B$10</f>
        <v>0.1038225</v>
      </c>
      <c r="G1979" s="37" t="n">
        <f aca="false">D1979*F1979/C1979</f>
        <v>208.496004098361</v>
      </c>
      <c r="H1979" s="37" t="n">
        <f aca="false">IF(AND(A1979&gt;=Inputs!$B$13,OR(A1979&lt;Inputs!$B$19,Inputs!$B$20=1)),D1979*Inputs!$B$11/C1979,0)</f>
        <v>40.1639344262295</v>
      </c>
      <c r="I1979" s="37" t="n">
        <f aca="false">Inputs!$C$9-SUMIFS(Cash_Events!$G$6:$G$20,Cash_Events!$C$6:$C$20,"FHL",Cash_Events!$B$6:$B$20,"&lt;="&amp;A1979)</f>
        <v>735000</v>
      </c>
      <c r="J1979" s="38" t="n">
        <f aca="false">VLOOKUP(A1979,Inputs!$F$40:$G$48,2,TRUE())</f>
        <v>0.0364054</v>
      </c>
      <c r="K1979" s="38" t="n">
        <f aca="false">J1979+Inputs!$C$10</f>
        <v>0.1039054</v>
      </c>
      <c r="L1979" s="37" t="n">
        <f aca="false">I1979*K1979/C1979</f>
        <v>208.662483606557</v>
      </c>
      <c r="M1979" s="37" t="n">
        <f aca="false">IF(AND(A1979&gt;=Inputs!$C$13,OR(A1979&lt;Inputs!$B$19,Inputs!$B$20=1)),I1979*Inputs!$C$11/C1979,0)</f>
        <v>40.1639344262295</v>
      </c>
    </row>
    <row r="1980" customFormat="false" ht="15" hidden="false" customHeight="false" outlineLevel="0" collapsed="false">
      <c r="A1980" s="35" t="n">
        <f aca="false">A1979+1</f>
        <v>46787</v>
      </c>
      <c r="B1980" s="35" t="n">
        <f aca="false">EOMONTH(A1980+1,0)</f>
        <v>46812</v>
      </c>
      <c r="C1980" s="36" t="n">
        <f aca="false">IF(MOD(YEAR(A1980),4)=0,366,365)</f>
        <v>366</v>
      </c>
      <c r="D1980" s="37" t="n">
        <f aca="false">Inputs!$B$9-SUMIFS(Cash_Events!$G$6:$G$20,Cash_Events!$C$6:$C$20,"rAGMF",Cash_Events!$B$6:$B$20,"&lt;="&amp;A1980)</f>
        <v>735000</v>
      </c>
      <c r="E1980" s="38" t="n">
        <f aca="false">VLOOKUP(A1980,Inputs!$A$40:$B$48,2,TRUE())</f>
        <v>0.0363225</v>
      </c>
      <c r="F1980" s="38" t="n">
        <f aca="false">E1980+Inputs!$B$10</f>
        <v>0.1038225</v>
      </c>
      <c r="G1980" s="37" t="n">
        <f aca="false">D1980*F1980/C1980</f>
        <v>208.496004098361</v>
      </c>
      <c r="H1980" s="37" t="n">
        <f aca="false">IF(AND(A1980&gt;=Inputs!$B$13,OR(A1980&lt;Inputs!$B$19,Inputs!$B$20=1)),D1980*Inputs!$B$11/C1980,0)</f>
        <v>40.1639344262295</v>
      </c>
      <c r="I1980" s="37" t="n">
        <f aca="false">Inputs!$C$9-SUMIFS(Cash_Events!$G$6:$G$20,Cash_Events!$C$6:$C$20,"FHL",Cash_Events!$B$6:$B$20,"&lt;="&amp;A1980)</f>
        <v>735000</v>
      </c>
      <c r="J1980" s="38" t="n">
        <f aca="false">VLOOKUP(A1980,Inputs!$F$40:$G$48,2,TRUE())</f>
        <v>0.0364054</v>
      </c>
      <c r="K1980" s="38" t="n">
        <f aca="false">J1980+Inputs!$C$10</f>
        <v>0.1039054</v>
      </c>
      <c r="L1980" s="37" t="n">
        <f aca="false">I1980*K1980/C1980</f>
        <v>208.662483606557</v>
      </c>
      <c r="M1980" s="37" t="n">
        <f aca="false">IF(AND(A1980&gt;=Inputs!$C$13,OR(A1980&lt;Inputs!$B$19,Inputs!$B$20=1)),I1980*Inputs!$C$11/C1980,0)</f>
        <v>40.1639344262295</v>
      </c>
    </row>
    <row r="1981" customFormat="false" ht="15" hidden="false" customHeight="false" outlineLevel="0" collapsed="false">
      <c r="A1981" s="35" t="n">
        <f aca="false">A1980+1</f>
        <v>46788</v>
      </c>
      <c r="B1981" s="35" t="n">
        <f aca="false">EOMONTH(A1981+1,0)</f>
        <v>46812</v>
      </c>
      <c r="C1981" s="36" t="n">
        <f aca="false">IF(MOD(YEAR(A1981),4)=0,366,365)</f>
        <v>366</v>
      </c>
      <c r="D1981" s="37" t="n">
        <f aca="false">Inputs!$B$9-SUMIFS(Cash_Events!$G$6:$G$20,Cash_Events!$C$6:$C$20,"rAGMF",Cash_Events!$B$6:$B$20,"&lt;="&amp;A1981)</f>
        <v>735000</v>
      </c>
      <c r="E1981" s="38" t="n">
        <f aca="false">VLOOKUP(A1981,Inputs!$A$40:$B$48,2,TRUE())</f>
        <v>0.0363225</v>
      </c>
      <c r="F1981" s="38" t="n">
        <f aca="false">E1981+Inputs!$B$10</f>
        <v>0.1038225</v>
      </c>
      <c r="G1981" s="37" t="n">
        <f aca="false">D1981*F1981/C1981</f>
        <v>208.496004098361</v>
      </c>
      <c r="H1981" s="37" t="n">
        <f aca="false">IF(AND(A1981&gt;=Inputs!$B$13,OR(A1981&lt;Inputs!$B$19,Inputs!$B$20=1)),D1981*Inputs!$B$11/C1981,0)</f>
        <v>40.1639344262295</v>
      </c>
      <c r="I1981" s="37" t="n">
        <f aca="false">Inputs!$C$9-SUMIFS(Cash_Events!$G$6:$G$20,Cash_Events!$C$6:$C$20,"FHL",Cash_Events!$B$6:$B$20,"&lt;="&amp;A1981)</f>
        <v>735000</v>
      </c>
      <c r="J1981" s="38" t="n">
        <f aca="false">VLOOKUP(A1981,Inputs!$F$40:$G$48,2,TRUE())</f>
        <v>0.0364054</v>
      </c>
      <c r="K1981" s="38" t="n">
        <f aca="false">J1981+Inputs!$C$10</f>
        <v>0.1039054</v>
      </c>
      <c r="L1981" s="37" t="n">
        <f aca="false">I1981*K1981/C1981</f>
        <v>208.662483606557</v>
      </c>
      <c r="M1981" s="37" t="n">
        <f aca="false">IF(AND(A1981&gt;=Inputs!$C$13,OR(A1981&lt;Inputs!$B$19,Inputs!$B$20=1)),I1981*Inputs!$C$11/C1981,0)</f>
        <v>40.1639344262295</v>
      </c>
    </row>
    <row r="1982" customFormat="false" ht="15" hidden="false" customHeight="false" outlineLevel="0" collapsed="false">
      <c r="A1982" s="35" t="n">
        <f aca="false">A1981+1</f>
        <v>46789</v>
      </c>
      <c r="B1982" s="35" t="n">
        <f aca="false">EOMONTH(A1982+1,0)</f>
        <v>46812</v>
      </c>
      <c r="C1982" s="36" t="n">
        <f aca="false">IF(MOD(YEAR(A1982),4)=0,366,365)</f>
        <v>366</v>
      </c>
      <c r="D1982" s="37" t="n">
        <f aca="false">Inputs!$B$9-SUMIFS(Cash_Events!$G$6:$G$20,Cash_Events!$C$6:$C$20,"rAGMF",Cash_Events!$B$6:$B$20,"&lt;="&amp;A1982)</f>
        <v>735000</v>
      </c>
      <c r="E1982" s="38" t="n">
        <f aca="false">VLOOKUP(A1982,Inputs!$A$40:$B$48,2,TRUE())</f>
        <v>0.0363225</v>
      </c>
      <c r="F1982" s="38" t="n">
        <f aca="false">E1982+Inputs!$B$10</f>
        <v>0.1038225</v>
      </c>
      <c r="G1982" s="37" t="n">
        <f aca="false">D1982*F1982/C1982</f>
        <v>208.496004098361</v>
      </c>
      <c r="H1982" s="37" t="n">
        <f aca="false">IF(AND(A1982&gt;=Inputs!$B$13,OR(A1982&lt;Inputs!$B$19,Inputs!$B$20=1)),D1982*Inputs!$B$11/C1982,0)</f>
        <v>40.1639344262295</v>
      </c>
      <c r="I1982" s="37" t="n">
        <f aca="false">Inputs!$C$9-SUMIFS(Cash_Events!$G$6:$G$20,Cash_Events!$C$6:$C$20,"FHL",Cash_Events!$B$6:$B$20,"&lt;="&amp;A1982)</f>
        <v>735000</v>
      </c>
      <c r="J1982" s="38" t="n">
        <f aca="false">VLOOKUP(A1982,Inputs!$F$40:$G$48,2,TRUE())</f>
        <v>0.0364054</v>
      </c>
      <c r="K1982" s="38" t="n">
        <f aca="false">J1982+Inputs!$C$10</f>
        <v>0.1039054</v>
      </c>
      <c r="L1982" s="37" t="n">
        <f aca="false">I1982*K1982/C1982</f>
        <v>208.662483606557</v>
      </c>
      <c r="M1982" s="37" t="n">
        <f aca="false">IF(AND(A1982&gt;=Inputs!$C$13,OR(A1982&lt;Inputs!$B$19,Inputs!$B$20=1)),I1982*Inputs!$C$11/C1982,0)</f>
        <v>40.1639344262295</v>
      </c>
    </row>
    <row r="1983" customFormat="false" ht="15" hidden="false" customHeight="false" outlineLevel="0" collapsed="false">
      <c r="A1983" s="35" t="n">
        <f aca="false">A1982+1</f>
        <v>46790</v>
      </c>
      <c r="B1983" s="35" t="n">
        <f aca="false">EOMONTH(A1983+1,0)</f>
        <v>46812</v>
      </c>
      <c r="C1983" s="36" t="n">
        <f aca="false">IF(MOD(YEAR(A1983),4)=0,366,365)</f>
        <v>366</v>
      </c>
      <c r="D1983" s="37" t="n">
        <f aca="false">Inputs!$B$9-SUMIFS(Cash_Events!$G$6:$G$20,Cash_Events!$C$6:$C$20,"rAGMF",Cash_Events!$B$6:$B$20,"&lt;="&amp;A1983)</f>
        <v>735000</v>
      </c>
      <c r="E1983" s="38" t="n">
        <f aca="false">VLOOKUP(A1983,Inputs!$A$40:$B$48,2,TRUE())</f>
        <v>0.0363225</v>
      </c>
      <c r="F1983" s="38" t="n">
        <f aca="false">E1983+Inputs!$B$10</f>
        <v>0.1038225</v>
      </c>
      <c r="G1983" s="37" t="n">
        <f aca="false">D1983*F1983/C1983</f>
        <v>208.496004098361</v>
      </c>
      <c r="H1983" s="37" t="n">
        <f aca="false">IF(AND(A1983&gt;=Inputs!$B$13,OR(A1983&lt;Inputs!$B$19,Inputs!$B$20=1)),D1983*Inputs!$B$11/C1983,0)</f>
        <v>40.1639344262295</v>
      </c>
      <c r="I1983" s="37" t="n">
        <f aca="false">Inputs!$C$9-SUMIFS(Cash_Events!$G$6:$G$20,Cash_Events!$C$6:$C$20,"FHL",Cash_Events!$B$6:$B$20,"&lt;="&amp;A1983)</f>
        <v>735000</v>
      </c>
      <c r="J1983" s="38" t="n">
        <f aca="false">VLOOKUP(A1983,Inputs!$F$40:$G$48,2,TRUE())</f>
        <v>0.0364054</v>
      </c>
      <c r="K1983" s="38" t="n">
        <f aca="false">J1983+Inputs!$C$10</f>
        <v>0.1039054</v>
      </c>
      <c r="L1983" s="37" t="n">
        <f aca="false">I1983*K1983/C1983</f>
        <v>208.662483606557</v>
      </c>
      <c r="M1983" s="37" t="n">
        <f aca="false">IF(AND(A1983&gt;=Inputs!$C$13,OR(A1983&lt;Inputs!$B$19,Inputs!$B$20=1)),I1983*Inputs!$C$11/C1983,0)</f>
        <v>40.1639344262295</v>
      </c>
    </row>
    <row r="1984" customFormat="false" ht="15" hidden="false" customHeight="false" outlineLevel="0" collapsed="false">
      <c r="A1984" s="35" t="n">
        <f aca="false">A1983+1</f>
        <v>46791</v>
      </c>
      <c r="B1984" s="35" t="n">
        <f aca="false">EOMONTH(A1984+1,0)</f>
        <v>46812</v>
      </c>
      <c r="C1984" s="36" t="n">
        <f aca="false">IF(MOD(YEAR(A1984),4)=0,366,365)</f>
        <v>366</v>
      </c>
      <c r="D1984" s="37" t="n">
        <f aca="false">Inputs!$B$9-SUMIFS(Cash_Events!$G$6:$G$20,Cash_Events!$C$6:$C$20,"rAGMF",Cash_Events!$B$6:$B$20,"&lt;="&amp;A1984)</f>
        <v>735000</v>
      </c>
      <c r="E1984" s="38" t="n">
        <f aca="false">VLOOKUP(A1984,Inputs!$A$40:$B$48,2,TRUE())</f>
        <v>0.0363225</v>
      </c>
      <c r="F1984" s="38" t="n">
        <f aca="false">E1984+Inputs!$B$10</f>
        <v>0.1038225</v>
      </c>
      <c r="G1984" s="37" t="n">
        <f aca="false">D1984*F1984/C1984</f>
        <v>208.496004098361</v>
      </c>
      <c r="H1984" s="37" t="n">
        <f aca="false">IF(AND(A1984&gt;=Inputs!$B$13,OR(A1984&lt;Inputs!$B$19,Inputs!$B$20=1)),D1984*Inputs!$B$11/C1984,0)</f>
        <v>40.1639344262295</v>
      </c>
      <c r="I1984" s="37" t="n">
        <f aca="false">Inputs!$C$9-SUMIFS(Cash_Events!$G$6:$G$20,Cash_Events!$C$6:$C$20,"FHL",Cash_Events!$B$6:$B$20,"&lt;="&amp;A1984)</f>
        <v>735000</v>
      </c>
      <c r="J1984" s="38" t="n">
        <f aca="false">VLOOKUP(A1984,Inputs!$F$40:$G$48,2,TRUE())</f>
        <v>0.0364054</v>
      </c>
      <c r="K1984" s="38" t="n">
        <f aca="false">J1984+Inputs!$C$10</f>
        <v>0.1039054</v>
      </c>
      <c r="L1984" s="37" t="n">
        <f aca="false">I1984*K1984/C1984</f>
        <v>208.662483606557</v>
      </c>
      <c r="M1984" s="37" t="n">
        <f aca="false">IF(AND(A1984&gt;=Inputs!$C$13,OR(A1984&lt;Inputs!$B$19,Inputs!$B$20=1)),I1984*Inputs!$C$11/C1984,0)</f>
        <v>40.1639344262295</v>
      </c>
    </row>
    <row r="1985" customFormat="false" ht="15" hidden="false" customHeight="false" outlineLevel="0" collapsed="false">
      <c r="A1985" s="35" t="n">
        <f aca="false">A1984+1</f>
        <v>46792</v>
      </c>
      <c r="B1985" s="35" t="n">
        <f aca="false">EOMONTH(A1985+1,0)</f>
        <v>46812</v>
      </c>
      <c r="C1985" s="36" t="n">
        <f aca="false">IF(MOD(YEAR(A1985),4)=0,366,365)</f>
        <v>366</v>
      </c>
      <c r="D1985" s="37" t="n">
        <f aca="false">Inputs!$B$9-SUMIFS(Cash_Events!$G$6:$G$20,Cash_Events!$C$6:$C$20,"rAGMF",Cash_Events!$B$6:$B$20,"&lt;="&amp;A1985)</f>
        <v>735000</v>
      </c>
      <c r="E1985" s="38" t="n">
        <f aca="false">VLOOKUP(A1985,Inputs!$A$40:$B$48,2,TRUE())</f>
        <v>0.0363225</v>
      </c>
      <c r="F1985" s="38" t="n">
        <f aca="false">E1985+Inputs!$B$10</f>
        <v>0.1038225</v>
      </c>
      <c r="G1985" s="37" t="n">
        <f aca="false">D1985*F1985/C1985</f>
        <v>208.496004098361</v>
      </c>
      <c r="H1985" s="37" t="n">
        <f aca="false">IF(AND(A1985&gt;=Inputs!$B$13,OR(A1985&lt;Inputs!$B$19,Inputs!$B$20=1)),D1985*Inputs!$B$11/C1985,0)</f>
        <v>40.1639344262295</v>
      </c>
      <c r="I1985" s="37" t="n">
        <f aca="false">Inputs!$C$9-SUMIFS(Cash_Events!$G$6:$G$20,Cash_Events!$C$6:$C$20,"FHL",Cash_Events!$B$6:$B$20,"&lt;="&amp;A1985)</f>
        <v>735000</v>
      </c>
      <c r="J1985" s="38" t="n">
        <f aca="false">VLOOKUP(A1985,Inputs!$F$40:$G$48,2,TRUE())</f>
        <v>0.0364054</v>
      </c>
      <c r="K1985" s="38" t="n">
        <f aca="false">J1985+Inputs!$C$10</f>
        <v>0.1039054</v>
      </c>
      <c r="L1985" s="37" t="n">
        <f aca="false">I1985*K1985/C1985</f>
        <v>208.662483606557</v>
      </c>
      <c r="M1985" s="37" t="n">
        <f aca="false">IF(AND(A1985&gt;=Inputs!$C$13,OR(A1985&lt;Inputs!$B$19,Inputs!$B$20=1)),I1985*Inputs!$C$11/C1985,0)</f>
        <v>40.1639344262295</v>
      </c>
    </row>
    <row r="1986" customFormat="false" ht="15" hidden="false" customHeight="false" outlineLevel="0" collapsed="false">
      <c r="A1986" s="35" t="n">
        <f aca="false">A1985+1</f>
        <v>46793</v>
      </c>
      <c r="B1986" s="35" t="n">
        <f aca="false">EOMONTH(A1986+1,0)</f>
        <v>46812</v>
      </c>
      <c r="C1986" s="36" t="n">
        <f aca="false">IF(MOD(YEAR(A1986),4)=0,366,365)</f>
        <v>366</v>
      </c>
      <c r="D1986" s="37" t="n">
        <f aca="false">Inputs!$B$9-SUMIFS(Cash_Events!$G$6:$G$20,Cash_Events!$C$6:$C$20,"rAGMF",Cash_Events!$B$6:$B$20,"&lt;="&amp;A1986)</f>
        <v>735000</v>
      </c>
      <c r="E1986" s="38" t="n">
        <f aca="false">VLOOKUP(A1986,Inputs!$A$40:$B$48,2,TRUE())</f>
        <v>0.0363225</v>
      </c>
      <c r="F1986" s="38" t="n">
        <f aca="false">E1986+Inputs!$B$10</f>
        <v>0.1038225</v>
      </c>
      <c r="G1986" s="37" t="n">
        <f aca="false">D1986*F1986/C1986</f>
        <v>208.496004098361</v>
      </c>
      <c r="H1986" s="37" t="n">
        <f aca="false">IF(AND(A1986&gt;=Inputs!$B$13,OR(A1986&lt;Inputs!$B$19,Inputs!$B$20=1)),D1986*Inputs!$B$11/C1986,0)</f>
        <v>40.1639344262295</v>
      </c>
      <c r="I1986" s="37" t="n">
        <f aca="false">Inputs!$C$9-SUMIFS(Cash_Events!$G$6:$G$20,Cash_Events!$C$6:$C$20,"FHL",Cash_Events!$B$6:$B$20,"&lt;="&amp;A1986)</f>
        <v>735000</v>
      </c>
      <c r="J1986" s="38" t="n">
        <f aca="false">VLOOKUP(A1986,Inputs!$F$40:$G$48,2,TRUE())</f>
        <v>0.0364054</v>
      </c>
      <c r="K1986" s="38" t="n">
        <f aca="false">J1986+Inputs!$C$10</f>
        <v>0.1039054</v>
      </c>
      <c r="L1986" s="37" t="n">
        <f aca="false">I1986*K1986/C1986</f>
        <v>208.662483606557</v>
      </c>
      <c r="M1986" s="37" t="n">
        <f aca="false">IF(AND(A1986&gt;=Inputs!$C$13,OR(A1986&lt;Inputs!$B$19,Inputs!$B$20=1)),I1986*Inputs!$C$11/C1986,0)</f>
        <v>40.1639344262295</v>
      </c>
    </row>
    <row r="1987" customFormat="false" ht="15" hidden="false" customHeight="false" outlineLevel="0" collapsed="false">
      <c r="A1987" s="35" t="n">
        <f aca="false">A1986+1</f>
        <v>46794</v>
      </c>
      <c r="B1987" s="35" t="n">
        <f aca="false">EOMONTH(A1987+1,0)</f>
        <v>46812</v>
      </c>
      <c r="C1987" s="36" t="n">
        <f aca="false">IF(MOD(YEAR(A1987),4)=0,366,365)</f>
        <v>366</v>
      </c>
      <c r="D1987" s="37" t="n">
        <f aca="false">Inputs!$B$9-SUMIFS(Cash_Events!$G$6:$G$20,Cash_Events!$C$6:$C$20,"rAGMF",Cash_Events!$B$6:$B$20,"&lt;="&amp;A1987)</f>
        <v>735000</v>
      </c>
      <c r="E1987" s="38" t="n">
        <f aca="false">VLOOKUP(A1987,Inputs!$A$40:$B$48,2,TRUE())</f>
        <v>0.0363225</v>
      </c>
      <c r="F1987" s="38" t="n">
        <f aca="false">E1987+Inputs!$B$10</f>
        <v>0.1038225</v>
      </c>
      <c r="G1987" s="37" t="n">
        <f aca="false">D1987*F1987/C1987</f>
        <v>208.496004098361</v>
      </c>
      <c r="H1987" s="37" t="n">
        <f aca="false">IF(AND(A1987&gt;=Inputs!$B$13,OR(A1987&lt;Inputs!$B$19,Inputs!$B$20=1)),D1987*Inputs!$B$11/C1987,0)</f>
        <v>40.1639344262295</v>
      </c>
      <c r="I1987" s="37" t="n">
        <f aca="false">Inputs!$C$9-SUMIFS(Cash_Events!$G$6:$G$20,Cash_Events!$C$6:$C$20,"FHL",Cash_Events!$B$6:$B$20,"&lt;="&amp;A1987)</f>
        <v>735000</v>
      </c>
      <c r="J1987" s="38" t="n">
        <f aca="false">VLOOKUP(A1987,Inputs!$F$40:$G$48,2,TRUE())</f>
        <v>0.0364054</v>
      </c>
      <c r="K1987" s="38" t="n">
        <f aca="false">J1987+Inputs!$C$10</f>
        <v>0.1039054</v>
      </c>
      <c r="L1987" s="37" t="n">
        <f aca="false">I1987*K1987/C1987</f>
        <v>208.662483606557</v>
      </c>
      <c r="M1987" s="37" t="n">
        <f aca="false">IF(AND(A1987&gt;=Inputs!$C$13,OR(A1987&lt;Inputs!$B$19,Inputs!$B$20=1)),I1987*Inputs!$C$11/C1987,0)</f>
        <v>40.1639344262295</v>
      </c>
    </row>
    <row r="1988" customFormat="false" ht="15" hidden="false" customHeight="false" outlineLevel="0" collapsed="false">
      <c r="A1988" s="35" t="n">
        <f aca="false">A1987+1</f>
        <v>46795</v>
      </c>
      <c r="B1988" s="35" t="n">
        <f aca="false">EOMONTH(A1988+1,0)</f>
        <v>46812</v>
      </c>
      <c r="C1988" s="36" t="n">
        <f aca="false">IF(MOD(YEAR(A1988),4)=0,366,365)</f>
        <v>366</v>
      </c>
      <c r="D1988" s="37" t="n">
        <f aca="false">Inputs!$B$9-SUMIFS(Cash_Events!$G$6:$G$20,Cash_Events!$C$6:$C$20,"rAGMF",Cash_Events!$B$6:$B$20,"&lt;="&amp;A1988)</f>
        <v>735000</v>
      </c>
      <c r="E1988" s="38" t="n">
        <f aca="false">VLOOKUP(A1988,Inputs!$A$40:$B$48,2,TRUE())</f>
        <v>0.0363225</v>
      </c>
      <c r="F1988" s="38" t="n">
        <f aca="false">E1988+Inputs!$B$10</f>
        <v>0.1038225</v>
      </c>
      <c r="G1988" s="37" t="n">
        <f aca="false">D1988*F1988/C1988</f>
        <v>208.496004098361</v>
      </c>
      <c r="H1988" s="37" t="n">
        <f aca="false">IF(AND(A1988&gt;=Inputs!$B$13,OR(A1988&lt;Inputs!$B$19,Inputs!$B$20=1)),D1988*Inputs!$B$11/C1988,0)</f>
        <v>40.1639344262295</v>
      </c>
      <c r="I1988" s="37" t="n">
        <f aca="false">Inputs!$C$9-SUMIFS(Cash_Events!$G$6:$G$20,Cash_Events!$C$6:$C$20,"FHL",Cash_Events!$B$6:$B$20,"&lt;="&amp;A1988)</f>
        <v>735000</v>
      </c>
      <c r="J1988" s="38" t="n">
        <f aca="false">VLOOKUP(A1988,Inputs!$F$40:$G$48,2,TRUE())</f>
        <v>0.0364054</v>
      </c>
      <c r="K1988" s="38" t="n">
        <f aca="false">J1988+Inputs!$C$10</f>
        <v>0.1039054</v>
      </c>
      <c r="L1988" s="37" t="n">
        <f aca="false">I1988*K1988/C1988</f>
        <v>208.662483606557</v>
      </c>
      <c r="M1988" s="37" t="n">
        <f aca="false">IF(AND(A1988&gt;=Inputs!$C$13,OR(A1988&lt;Inputs!$B$19,Inputs!$B$20=1)),I1988*Inputs!$C$11/C1988,0)</f>
        <v>40.1639344262295</v>
      </c>
    </row>
    <row r="1989" customFormat="false" ht="15" hidden="false" customHeight="false" outlineLevel="0" collapsed="false">
      <c r="A1989" s="35" t="n">
        <f aca="false">A1988+1</f>
        <v>46796</v>
      </c>
      <c r="B1989" s="35" t="n">
        <f aca="false">EOMONTH(A1989+1,0)</f>
        <v>46812</v>
      </c>
      <c r="C1989" s="36" t="n">
        <f aca="false">IF(MOD(YEAR(A1989),4)=0,366,365)</f>
        <v>366</v>
      </c>
      <c r="D1989" s="37" t="n">
        <f aca="false">Inputs!$B$9-SUMIFS(Cash_Events!$G$6:$G$20,Cash_Events!$C$6:$C$20,"rAGMF",Cash_Events!$B$6:$B$20,"&lt;="&amp;A1989)</f>
        <v>735000</v>
      </c>
      <c r="E1989" s="38" t="n">
        <f aca="false">VLOOKUP(A1989,Inputs!$A$40:$B$48,2,TRUE())</f>
        <v>0.0363225</v>
      </c>
      <c r="F1989" s="38" t="n">
        <f aca="false">E1989+Inputs!$B$10</f>
        <v>0.1038225</v>
      </c>
      <c r="G1989" s="37" t="n">
        <f aca="false">D1989*F1989/C1989</f>
        <v>208.496004098361</v>
      </c>
      <c r="H1989" s="37" t="n">
        <f aca="false">IF(AND(A1989&gt;=Inputs!$B$13,OR(A1989&lt;Inputs!$B$19,Inputs!$B$20=1)),D1989*Inputs!$B$11/C1989,0)</f>
        <v>40.1639344262295</v>
      </c>
      <c r="I1989" s="37" t="n">
        <f aca="false">Inputs!$C$9-SUMIFS(Cash_Events!$G$6:$G$20,Cash_Events!$C$6:$C$20,"FHL",Cash_Events!$B$6:$B$20,"&lt;="&amp;A1989)</f>
        <v>735000</v>
      </c>
      <c r="J1989" s="38" t="n">
        <f aca="false">VLOOKUP(A1989,Inputs!$F$40:$G$48,2,TRUE())</f>
        <v>0.0364054</v>
      </c>
      <c r="K1989" s="38" t="n">
        <f aca="false">J1989+Inputs!$C$10</f>
        <v>0.1039054</v>
      </c>
      <c r="L1989" s="37" t="n">
        <f aca="false">I1989*K1989/C1989</f>
        <v>208.662483606557</v>
      </c>
      <c r="M1989" s="37" t="n">
        <f aca="false">IF(AND(A1989&gt;=Inputs!$C$13,OR(A1989&lt;Inputs!$B$19,Inputs!$B$20=1)),I1989*Inputs!$C$11/C1989,0)</f>
        <v>40.1639344262295</v>
      </c>
    </row>
    <row r="1990" customFormat="false" ht="15" hidden="false" customHeight="false" outlineLevel="0" collapsed="false">
      <c r="A1990" s="35" t="n">
        <f aca="false">A1989+1</f>
        <v>46797</v>
      </c>
      <c r="B1990" s="35" t="n">
        <f aca="false">EOMONTH(A1990+1,0)</f>
        <v>46812</v>
      </c>
      <c r="C1990" s="36" t="n">
        <f aca="false">IF(MOD(YEAR(A1990),4)=0,366,365)</f>
        <v>366</v>
      </c>
      <c r="D1990" s="37" t="n">
        <f aca="false">Inputs!$B$9-SUMIFS(Cash_Events!$G$6:$G$20,Cash_Events!$C$6:$C$20,"rAGMF",Cash_Events!$B$6:$B$20,"&lt;="&amp;A1990)</f>
        <v>735000</v>
      </c>
      <c r="E1990" s="38" t="n">
        <f aca="false">VLOOKUP(A1990,Inputs!$A$40:$B$48,2,TRUE())</f>
        <v>0.0363225</v>
      </c>
      <c r="F1990" s="38" t="n">
        <f aca="false">E1990+Inputs!$B$10</f>
        <v>0.1038225</v>
      </c>
      <c r="G1990" s="37" t="n">
        <f aca="false">D1990*F1990/C1990</f>
        <v>208.496004098361</v>
      </c>
      <c r="H1990" s="37" t="n">
        <f aca="false">IF(AND(A1990&gt;=Inputs!$B$13,OR(A1990&lt;Inputs!$B$19,Inputs!$B$20=1)),D1990*Inputs!$B$11/C1990,0)</f>
        <v>40.1639344262295</v>
      </c>
      <c r="I1990" s="37" t="n">
        <f aca="false">Inputs!$C$9-SUMIFS(Cash_Events!$G$6:$G$20,Cash_Events!$C$6:$C$20,"FHL",Cash_Events!$B$6:$B$20,"&lt;="&amp;A1990)</f>
        <v>735000</v>
      </c>
      <c r="J1990" s="38" t="n">
        <f aca="false">VLOOKUP(A1990,Inputs!$F$40:$G$48,2,TRUE())</f>
        <v>0.0364054</v>
      </c>
      <c r="K1990" s="38" t="n">
        <f aca="false">J1990+Inputs!$C$10</f>
        <v>0.1039054</v>
      </c>
      <c r="L1990" s="37" t="n">
        <f aca="false">I1990*K1990/C1990</f>
        <v>208.662483606557</v>
      </c>
      <c r="M1990" s="37" t="n">
        <f aca="false">IF(AND(A1990&gt;=Inputs!$C$13,OR(A1990&lt;Inputs!$B$19,Inputs!$B$20=1)),I1990*Inputs!$C$11/C1990,0)</f>
        <v>40.1639344262295</v>
      </c>
    </row>
    <row r="1991" customFormat="false" ht="15" hidden="false" customHeight="false" outlineLevel="0" collapsed="false">
      <c r="A1991" s="35" t="n">
        <f aca="false">A1990+1</f>
        <v>46798</v>
      </c>
      <c r="B1991" s="35" t="n">
        <f aca="false">EOMONTH(A1991+1,0)</f>
        <v>46812</v>
      </c>
      <c r="C1991" s="36" t="n">
        <f aca="false">IF(MOD(YEAR(A1991),4)=0,366,365)</f>
        <v>366</v>
      </c>
      <c r="D1991" s="37" t="n">
        <f aca="false">Inputs!$B$9-SUMIFS(Cash_Events!$G$6:$G$20,Cash_Events!$C$6:$C$20,"rAGMF",Cash_Events!$B$6:$B$20,"&lt;="&amp;A1991)</f>
        <v>735000</v>
      </c>
      <c r="E1991" s="38" t="n">
        <f aca="false">VLOOKUP(A1991,Inputs!$A$40:$B$48,2,TRUE())</f>
        <v>0.0363225</v>
      </c>
      <c r="F1991" s="38" t="n">
        <f aca="false">E1991+Inputs!$B$10</f>
        <v>0.1038225</v>
      </c>
      <c r="G1991" s="37" t="n">
        <f aca="false">D1991*F1991/C1991</f>
        <v>208.496004098361</v>
      </c>
      <c r="H1991" s="37" t="n">
        <f aca="false">IF(AND(A1991&gt;=Inputs!$B$13,OR(A1991&lt;Inputs!$B$19,Inputs!$B$20=1)),D1991*Inputs!$B$11/C1991,0)</f>
        <v>40.1639344262295</v>
      </c>
      <c r="I1991" s="37" t="n">
        <f aca="false">Inputs!$C$9-SUMIFS(Cash_Events!$G$6:$G$20,Cash_Events!$C$6:$C$20,"FHL",Cash_Events!$B$6:$B$20,"&lt;="&amp;A1991)</f>
        <v>735000</v>
      </c>
      <c r="J1991" s="38" t="n">
        <f aca="false">VLOOKUP(A1991,Inputs!$F$40:$G$48,2,TRUE())</f>
        <v>0.0364054</v>
      </c>
      <c r="K1991" s="38" t="n">
        <f aca="false">J1991+Inputs!$C$10</f>
        <v>0.1039054</v>
      </c>
      <c r="L1991" s="37" t="n">
        <f aca="false">I1991*K1991/C1991</f>
        <v>208.662483606557</v>
      </c>
      <c r="M1991" s="37" t="n">
        <f aca="false">IF(AND(A1991&gt;=Inputs!$C$13,OR(A1991&lt;Inputs!$B$19,Inputs!$B$20=1)),I1991*Inputs!$C$11/C1991,0)</f>
        <v>40.1639344262295</v>
      </c>
    </row>
    <row r="1992" customFormat="false" ht="15" hidden="false" customHeight="false" outlineLevel="0" collapsed="false">
      <c r="A1992" s="35" t="n">
        <f aca="false">A1991+1</f>
        <v>46799</v>
      </c>
      <c r="B1992" s="35" t="n">
        <f aca="false">EOMONTH(A1992+1,0)</f>
        <v>46812</v>
      </c>
      <c r="C1992" s="36" t="n">
        <f aca="false">IF(MOD(YEAR(A1992),4)=0,366,365)</f>
        <v>366</v>
      </c>
      <c r="D1992" s="37" t="n">
        <f aca="false">Inputs!$B$9-SUMIFS(Cash_Events!$G$6:$G$20,Cash_Events!$C$6:$C$20,"rAGMF",Cash_Events!$B$6:$B$20,"&lt;="&amp;A1992)</f>
        <v>735000</v>
      </c>
      <c r="E1992" s="38" t="n">
        <f aca="false">VLOOKUP(A1992,Inputs!$A$40:$B$48,2,TRUE())</f>
        <v>0.0363225</v>
      </c>
      <c r="F1992" s="38" t="n">
        <f aca="false">E1992+Inputs!$B$10</f>
        <v>0.1038225</v>
      </c>
      <c r="G1992" s="37" t="n">
        <f aca="false">D1992*F1992/C1992</f>
        <v>208.496004098361</v>
      </c>
      <c r="H1992" s="37" t="n">
        <f aca="false">IF(AND(A1992&gt;=Inputs!$B$13,OR(A1992&lt;Inputs!$B$19,Inputs!$B$20=1)),D1992*Inputs!$B$11/C1992,0)</f>
        <v>40.1639344262295</v>
      </c>
      <c r="I1992" s="37" t="n">
        <f aca="false">Inputs!$C$9-SUMIFS(Cash_Events!$G$6:$G$20,Cash_Events!$C$6:$C$20,"FHL",Cash_Events!$B$6:$B$20,"&lt;="&amp;A1992)</f>
        <v>735000</v>
      </c>
      <c r="J1992" s="38" t="n">
        <f aca="false">VLOOKUP(A1992,Inputs!$F$40:$G$48,2,TRUE())</f>
        <v>0.0364054</v>
      </c>
      <c r="K1992" s="38" t="n">
        <f aca="false">J1992+Inputs!$C$10</f>
        <v>0.1039054</v>
      </c>
      <c r="L1992" s="37" t="n">
        <f aca="false">I1992*K1992/C1992</f>
        <v>208.662483606557</v>
      </c>
      <c r="M1992" s="37" t="n">
        <f aca="false">IF(AND(A1992&gt;=Inputs!$C$13,OR(A1992&lt;Inputs!$B$19,Inputs!$B$20=1)),I1992*Inputs!$C$11/C1992,0)</f>
        <v>40.1639344262295</v>
      </c>
    </row>
    <row r="1993" customFormat="false" ht="15" hidden="false" customHeight="false" outlineLevel="0" collapsed="false">
      <c r="A1993" s="35" t="n">
        <f aca="false">A1992+1</f>
        <v>46800</v>
      </c>
      <c r="B1993" s="35" t="n">
        <f aca="false">EOMONTH(A1993+1,0)</f>
        <v>46812</v>
      </c>
      <c r="C1993" s="36" t="n">
        <f aca="false">IF(MOD(YEAR(A1993),4)=0,366,365)</f>
        <v>366</v>
      </c>
      <c r="D1993" s="37" t="n">
        <f aca="false">Inputs!$B$9-SUMIFS(Cash_Events!$G$6:$G$20,Cash_Events!$C$6:$C$20,"rAGMF",Cash_Events!$B$6:$B$20,"&lt;="&amp;A1993)</f>
        <v>735000</v>
      </c>
      <c r="E1993" s="38" t="n">
        <f aca="false">VLOOKUP(A1993,Inputs!$A$40:$B$48,2,TRUE())</f>
        <v>0.0363225</v>
      </c>
      <c r="F1993" s="38" t="n">
        <f aca="false">E1993+Inputs!$B$10</f>
        <v>0.1038225</v>
      </c>
      <c r="G1993" s="37" t="n">
        <f aca="false">D1993*F1993/C1993</f>
        <v>208.496004098361</v>
      </c>
      <c r="H1993" s="37" t="n">
        <f aca="false">IF(AND(A1993&gt;=Inputs!$B$13,OR(A1993&lt;Inputs!$B$19,Inputs!$B$20=1)),D1993*Inputs!$B$11/C1993,0)</f>
        <v>40.1639344262295</v>
      </c>
      <c r="I1993" s="37" t="n">
        <f aca="false">Inputs!$C$9-SUMIFS(Cash_Events!$G$6:$G$20,Cash_Events!$C$6:$C$20,"FHL",Cash_Events!$B$6:$B$20,"&lt;="&amp;A1993)</f>
        <v>735000</v>
      </c>
      <c r="J1993" s="38" t="n">
        <f aca="false">VLOOKUP(A1993,Inputs!$F$40:$G$48,2,TRUE())</f>
        <v>0.0364054</v>
      </c>
      <c r="K1993" s="38" t="n">
        <f aca="false">J1993+Inputs!$C$10</f>
        <v>0.1039054</v>
      </c>
      <c r="L1993" s="37" t="n">
        <f aca="false">I1993*K1993/C1993</f>
        <v>208.662483606557</v>
      </c>
      <c r="M1993" s="37" t="n">
        <f aca="false">IF(AND(A1993&gt;=Inputs!$C$13,OR(A1993&lt;Inputs!$B$19,Inputs!$B$20=1)),I1993*Inputs!$C$11/C1993,0)</f>
        <v>40.1639344262295</v>
      </c>
    </row>
    <row r="1994" customFormat="false" ht="15" hidden="false" customHeight="false" outlineLevel="0" collapsed="false">
      <c r="A1994" s="35" t="n">
        <f aca="false">A1993+1</f>
        <v>46801</v>
      </c>
      <c r="B1994" s="35" t="n">
        <f aca="false">EOMONTH(A1994+1,0)</f>
        <v>46812</v>
      </c>
      <c r="C1994" s="36" t="n">
        <f aca="false">IF(MOD(YEAR(A1994),4)=0,366,365)</f>
        <v>366</v>
      </c>
      <c r="D1994" s="37" t="n">
        <f aca="false">Inputs!$B$9-SUMIFS(Cash_Events!$G$6:$G$20,Cash_Events!$C$6:$C$20,"rAGMF",Cash_Events!$B$6:$B$20,"&lt;="&amp;A1994)</f>
        <v>735000</v>
      </c>
      <c r="E1994" s="38" t="n">
        <f aca="false">VLOOKUP(A1994,Inputs!$A$40:$B$48,2,TRUE())</f>
        <v>0.0363225</v>
      </c>
      <c r="F1994" s="38" t="n">
        <f aca="false">E1994+Inputs!$B$10</f>
        <v>0.1038225</v>
      </c>
      <c r="G1994" s="37" t="n">
        <f aca="false">D1994*F1994/C1994</f>
        <v>208.496004098361</v>
      </c>
      <c r="H1994" s="37" t="n">
        <f aca="false">IF(AND(A1994&gt;=Inputs!$B$13,OR(A1994&lt;Inputs!$B$19,Inputs!$B$20=1)),D1994*Inputs!$B$11/C1994,0)</f>
        <v>40.1639344262295</v>
      </c>
      <c r="I1994" s="37" t="n">
        <f aca="false">Inputs!$C$9-SUMIFS(Cash_Events!$G$6:$G$20,Cash_Events!$C$6:$C$20,"FHL",Cash_Events!$B$6:$B$20,"&lt;="&amp;A1994)</f>
        <v>735000</v>
      </c>
      <c r="J1994" s="38" t="n">
        <f aca="false">VLOOKUP(A1994,Inputs!$F$40:$G$48,2,TRUE())</f>
        <v>0.0364054</v>
      </c>
      <c r="K1994" s="38" t="n">
        <f aca="false">J1994+Inputs!$C$10</f>
        <v>0.1039054</v>
      </c>
      <c r="L1994" s="37" t="n">
        <f aca="false">I1994*K1994/C1994</f>
        <v>208.662483606557</v>
      </c>
      <c r="M1994" s="37" t="n">
        <f aca="false">IF(AND(A1994&gt;=Inputs!$C$13,OR(A1994&lt;Inputs!$B$19,Inputs!$B$20=1)),I1994*Inputs!$C$11/C1994,0)</f>
        <v>40.1639344262295</v>
      </c>
    </row>
    <row r="1995" customFormat="false" ht="15" hidden="false" customHeight="false" outlineLevel="0" collapsed="false">
      <c r="A1995" s="35" t="n">
        <f aca="false">A1994+1</f>
        <v>46802</v>
      </c>
      <c r="B1995" s="35" t="n">
        <f aca="false">EOMONTH(A1995+1,0)</f>
        <v>46812</v>
      </c>
      <c r="C1995" s="36" t="n">
        <f aca="false">IF(MOD(YEAR(A1995),4)=0,366,365)</f>
        <v>366</v>
      </c>
      <c r="D1995" s="37" t="n">
        <f aca="false">Inputs!$B$9-SUMIFS(Cash_Events!$G$6:$G$20,Cash_Events!$C$6:$C$20,"rAGMF",Cash_Events!$B$6:$B$20,"&lt;="&amp;A1995)</f>
        <v>735000</v>
      </c>
      <c r="E1995" s="38" t="n">
        <f aca="false">VLOOKUP(A1995,Inputs!$A$40:$B$48,2,TRUE())</f>
        <v>0.0363225</v>
      </c>
      <c r="F1995" s="38" t="n">
        <f aca="false">E1995+Inputs!$B$10</f>
        <v>0.1038225</v>
      </c>
      <c r="G1995" s="37" t="n">
        <f aca="false">D1995*F1995/C1995</f>
        <v>208.496004098361</v>
      </c>
      <c r="H1995" s="37" t="n">
        <f aca="false">IF(AND(A1995&gt;=Inputs!$B$13,OR(A1995&lt;Inputs!$B$19,Inputs!$B$20=1)),D1995*Inputs!$B$11/C1995,0)</f>
        <v>40.1639344262295</v>
      </c>
      <c r="I1995" s="37" t="n">
        <f aca="false">Inputs!$C$9-SUMIFS(Cash_Events!$G$6:$G$20,Cash_Events!$C$6:$C$20,"FHL",Cash_Events!$B$6:$B$20,"&lt;="&amp;A1995)</f>
        <v>735000</v>
      </c>
      <c r="J1995" s="38" t="n">
        <f aca="false">VLOOKUP(A1995,Inputs!$F$40:$G$48,2,TRUE())</f>
        <v>0.0364054</v>
      </c>
      <c r="K1995" s="38" t="n">
        <f aca="false">J1995+Inputs!$C$10</f>
        <v>0.1039054</v>
      </c>
      <c r="L1995" s="37" t="n">
        <f aca="false">I1995*K1995/C1995</f>
        <v>208.662483606557</v>
      </c>
      <c r="M1995" s="37" t="n">
        <f aca="false">IF(AND(A1995&gt;=Inputs!$C$13,OR(A1995&lt;Inputs!$B$19,Inputs!$B$20=1)),I1995*Inputs!$C$11/C1995,0)</f>
        <v>40.1639344262295</v>
      </c>
    </row>
    <row r="1996" customFormat="false" ht="15" hidden="false" customHeight="false" outlineLevel="0" collapsed="false">
      <c r="A1996" s="35" t="n">
        <f aca="false">A1995+1</f>
        <v>46803</v>
      </c>
      <c r="B1996" s="35" t="n">
        <f aca="false">EOMONTH(A1996+1,0)</f>
        <v>46812</v>
      </c>
      <c r="C1996" s="36" t="n">
        <f aca="false">IF(MOD(YEAR(A1996),4)=0,366,365)</f>
        <v>366</v>
      </c>
      <c r="D1996" s="37" t="n">
        <f aca="false">Inputs!$B$9-SUMIFS(Cash_Events!$G$6:$G$20,Cash_Events!$C$6:$C$20,"rAGMF",Cash_Events!$B$6:$B$20,"&lt;="&amp;A1996)</f>
        <v>735000</v>
      </c>
      <c r="E1996" s="38" t="n">
        <f aca="false">VLOOKUP(A1996,Inputs!$A$40:$B$48,2,TRUE())</f>
        <v>0.0363225</v>
      </c>
      <c r="F1996" s="38" t="n">
        <f aca="false">E1996+Inputs!$B$10</f>
        <v>0.1038225</v>
      </c>
      <c r="G1996" s="37" t="n">
        <f aca="false">D1996*F1996/C1996</f>
        <v>208.496004098361</v>
      </c>
      <c r="H1996" s="37" t="n">
        <f aca="false">IF(AND(A1996&gt;=Inputs!$B$13,OR(A1996&lt;Inputs!$B$19,Inputs!$B$20=1)),D1996*Inputs!$B$11/C1996,0)</f>
        <v>40.1639344262295</v>
      </c>
      <c r="I1996" s="37" t="n">
        <f aca="false">Inputs!$C$9-SUMIFS(Cash_Events!$G$6:$G$20,Cash_Events!$C$6:$C$20,"FHL",Cash_Events!$B$6:$B$20,"&lt;="&amp;A1996)</f>
        <v>735000</v>
      </c>
      <c r="J1996" s="38" t="n">
        <f aca="false">VLOOKUP(A1996,Inputs!$F$40:$G$48,2,TRUE())</f>
        <v>0.0364054</v>
      </c>
      <c r="K1996" s="38" t="n">
        <f aca="false">J1996+Inputs!$C$10</f>
        <v>0.1039054</v>
      </c>
      <c r="L1996" s="37" t="n">
        <f aca="false">I1996*K1996/C1996</f>
        <v>208.662483606557</v>
      </c>
      <c r="M1996" s="37" t="n">
        <f aca="false">IF(AND(A1996&gt;=Inputs!$C$13,OR(A1996&lt;Inputs!$B$19,Inputs!$B$20=1)),I1996*Inputs!$C$11/C1996,0)</f>
        <v>40.1639344262295</v>
      </c>
    </row>
    <row r="1997" customFormat="false" ht="15" hidden="false" customHeight="false" outlineLevel="0" collapsed="false">
      <c r="A1997" s="35" t="n">
        <f aca="false">A1996+1</f>
        <v>46804</v>
      </c>
      <c r="B1997" s="35" t="n">
        <f aca="false">EOMONTH(A1997+1,0)</f>
        <v>46812</v>
      </c>
      <c r="C1997" s="36" t="n">
        <f aca="false">IF(MOD(YEAR(A1997),4)=0,366,365)</f>
        <v>366</v>
      </c>
      <c r="D1997" s="37" t="n">
        <f aca="false">Inputs!$B$9-SUMIFS(Cash_Events!$G$6:$G$20,Cash_Events!$C$6:$C$20,"rAGMF",Cash_Events!$B$6:$B$20,"&lt;="&amp;A1997)</f>
        <v>735000</v>
      </c>
      <c r="E1997" s="38" t="n">
        <f aca="false">VLOOKUP(A1997,Inputs!$A$40:$B$48,2,TRUE())</f>
        <v>0.0363225</v>
      </c>
      <c r="F1997" s="38" t="n">
        <f aca="false">E1997+Inputs!$B$10</f>
        <v>0.1038225</v>
      </c>
      <c r="G1997" s="37" t="n">
        <f aca="false">D1997*F1997/C1997</f>
        <v>208.496004098361</v>
      </c>
      <c r="H1997" s="37" t="n">
        <f aca="false">IF(AND(A1997&gt;=Inputs!$B$13,OR(A1997&lt;Inputs!$B$19,Inputs!$B$20=1)),D1997*Inputs!$B$11/C1997,0)</f>
        <v>40.1639344262295</v>
      </c>
      <c r="I1997" s="37" t="n">
        <f aca="false">Inputs!$C$9-SUMIFS(Cash_Events!$G$6:$G$20,Cash_Events!$C$6:$C$20,"FHL",Cash_Events!$B$6:$B$20,"&lt;="&amp;A1997)</f>
        <v>735000</v>
      </c>
      <c r="J1997" s="38" t="n">
        <f aca="false">VLOOKUP(A1997,Inputs!$F$40:$G$48,2,TRUE())</f>
        <v>0.0364054</v>
      </c>
      <c r="K1997" s="38" t="n">
        <f aca="false">J1997+Inputs!$C$10</f>
        <v>0.1039054</v>
      </c>
      <c r="L1997" s="37" t="n">
        <f aca="false">I1997*K1997/C1997</f>
        <v>208.662483606557</v>
      </c>
      <c r="M1997" s="37" t="n">
        <f aca="false">IF(AND(A1997&gt;=Inputs!$C$13,OR(A1997&lt;Inputs!$B$19,Inputs!$B$20=1)),I1997*Inputs!$C$11/C1997,0)</f>
        <v>40.1639344262295</v>
      </c>
    </row>
    <row r="1998" customFormat="false" ht="15" hidden="false" customHeight="false" outlineLevel="0" collapsed="false">
      <c r="A1998" s="35" t="n">
        <f aca="false">A1997+1</f>
        <v>46805</v>
      </c>
      <c r="B1998" s="35" t="n">
        <f aca="false">EOMONTH(A1998+1,0)</f>
        <v>46812</v>
      </c>
      <c r="C1998" s="36" t="n">
        <f aca="false">IF(MOD(YEAR(A1998),4)=0,366,365)</f>
        <v>366</v>
      </c>
      <c r="D1998" s="37" t="n">
        <f aca="false">Inputs!$B$9-SUMIFS(Cash_Events!$G$6:$G$20,Cash_Events!$C$6:$C$20,"rAGMF",Cash_Events!$B$6:$B$20,"&lt;="&amp;A1998)</f>
        <v>735000</v>
      </c>
      <c r="E1998" s="38" t="n">
        <f aca="false">VLOOKUP(A1998,Inputs!$A$40:$B$48,2,TRUE())</f>
        <v>0.0363225</v>
      </c>
      <c r="F1998" s="38" t="n">
        <f aca="false">E1998+Inputs!$B$10</f>
        <v>0.1038225</v>
      </c>
      <c r="G1998" s="37" t="n">
        <f aca="false">D1998*F1998/C1998</f>
        <v>208.496004098361</v>
      </c>
      <c r="H1998" s="37" t="n">
        <f aca="false">IF(AND(A1998&gt;=Inputs!$B$13,OR(A1998&lt;Inputs!$B$19,Inputs!$B$20=1)),D1998*Inputs!$B$11/C1998,0)</f>
        <v>40.1639344262295</v>
      </c>
      <c r="I1998" s="37" t="n">
        <f aca="false">Inputs!$C$9-SUMIFS(Cash_Events!$G$6:$G$20,Cash_Events!$C$6:$C$20,"FHL",Cash_Events!$B$6:$B$20,"&lt;="&amp;A1998)</f>
        <v>735000</v>
      </c>
      <c r="J1998" s="38" t="n">
        <f aca="false">VLOOKUP(A1998,Inputs!$F$40:$G$48,2,TRUE())</f>
        <v>0.0364054</v>
      </c>
      <c r="K1998" s="38" t="n">
        <f aca="false">J1998+Inputs!$C$10</f>
        <v>0.1039054</v>
      </c>
      <c r="L1998" s="37" t="n">
        <f aca="false">I1998*K1998/C1998</f>
        <v>208.662483606557</v>
      </c>
      <c r="M1998" s="37" t="n">
        <f aca="false">IF(AND(A1998&gt;=Inputs!$C$13,OR(A1998&lt;Inputs!$B$19,Inputs!$B$20=1)),I1998*Inputs!$C$11/C1998,0)</f>
        <v>40.1639344262295</v>
      </c>
    </row>
    <row r="1999" customFormat="false" ht="15" hidden="false" customHeight="false" outlineLevel="0" collapsed="false">
      <c r="A1999" s="35" t="n">
        <f aca="false">A1998+1</f>
        <v>46806</v>
      </c>
      <c r="B1999" s="35" t="n">
        <f aca="false">EOMONTH(A1999+1,0)</f>
        <v>46812</v>
      </c>
      <c r="C1999" s="36" t="n">
        <f aca="false">IF(MOD(YEAR(A1999),4)=0,366,365)</f>
        <v>366</v>
      </c>
      <c r="D1999" s="37" t="n">
        <f aca="false">Inputs!$B$9-SUMIFS(Cash_Events!$G$6:$G$20,Cash_Events!$C$6:$C$20,"rAGMF",Cash_Events!$B$6:$B$20,"&lt;="&amp;A1999)</f>
        <v>735000</v>
      </c>
      <c r="E1999" s="38" t="n">
        <f aca="false">VLOOKUP(A1999,Inputs!$A$40:$B$48,2,TRUE())</f>
        <v>0.0363225</v>
      </c>
      <c r="F1999" s="38" t="n">
        <f aca="false">E1999+Inputs!$B$10</f>
        <v>0.1038225</v>
      </c>
      <c r="G1999" s="37" t="n">
        <f aca="false">D1999*F1999/C1999</f>
        <v>208.496004098361</v>
      </c>
      <c r="H1999" s="37" t="n">
        <f aca="false">IF(AND(A1999&gt;=Inputs!$B$13,OR(A1999&lt;Inputs!$B$19,Inputs!$B$20=1)),D1999*Inputs!$B$11/C1999,0)</f>
        <v>40.1639344262295</v>
      </c>
      <c r="I1999" s="37" t="n">
        <f aca="false">Inputs!$C$9-SUMIFS(Cash_Events!$G$6:$G$20,Cash_Events!$C$6:$C$20,"FHL",Cash_Events!$B$6:$B$20,"&lt;="&amp;A1999)</f>
        <v>735000</v>
      </c>
      <c r="J1999" s="38" t="n">
        <f aca="false">VLOOKUP(A1999,Inputs!$F$40:$G$48,2,TRUE())</f>
        <v>0.0364054</v>
      </c>
      <c r="K1999" s="38" t="n">
        <f aca="false">J1999+Inputs!$C$10</f>
        <v>0.1039054</v>
      </c>
      <c r="L1999" s="37" t="n">
        <f aca="false">I1999*K1999/C1999</f>
        <v>208.662483606557</v>
      </c>
      <c r="M1999" s="37" t="n">
        <f aca="false">IF(AND(A1999&gt;=Inputs!$C$13,OR(A1999&lt;Inputs!$B$19,Inputs!$B$20=1)),I1999*Inputs!$C$11/C1999,0)</f>
        <v>40.1639344262295</v>
      </c>
    </row>
    <row r="2000" customFormat="false" ht="15" hidden="false" customHeight="false" outlineLevel="0" collapsed="false">
      <c r="A2000" s="35" t="n">
        <f aca="false">A1999+1</f>
        <v>46807</v>
      </c>
      <c r="B2000" s="35" t="n">
        <f aca="false">EOMONTH(A2000+1,0)</f>
        <v>46812</v>
      </c>
      <c r="C2000" s="36" t="n">
        <f aca="false">IF(MOD(YEAR(A2000),4)=0,366,365)</f>
        <v>366</v>
      </c>
      <c r="D2000" s="37" t="n">
        <f aca="false">Inputs!$B$9-SUMIFS(Cash_Events!$G$6:$G$20,Cash_Events!$C$6:$C$20,"rAGMF",Cash_Events!$B$6:$B$20,"&lt;="&amp;A2000)</f>
        <v>735000</v>
      </c>
      <c r="E2000" s="38" t="n">
        <f aca="false">VLOOKUP(A2000,Inputs!$A$40:$B$48,2,TRUE())</f>
        <v>0.0363225</v>
      </c>
      <c r="F2000" s="38" t="n">
        <f aca="false">E2000+Inputs!$B$10</f>
        <v>0.1038225</v>
      </c>
      <c r="G2000" s="37" t="n">
        <f aca="false">D2000*F2000/C2000</f>
        <v>208.496004098361</v>
      </c>
      <c r="H2000" s="37" t="n">
        <f aca="false">IF(AND(A2000&gt;=Inputs!$B$13,OR(A2000&lt;Inputs!$B$19,Inputs!$B$20=1)),D2000*Inputs!$B$11/C2000,0)</f>
        <v>40.1639344262295</v>
      </c>
      <c r="I2000" s="37" t="n">
        <f aca="false">Inputs!$C$9-SUMIFS(Cash_Events!$G$6:$G$20,Cash_Events!$C$6:$C$20,"FHL",Cash_Events!$B$6:$B$20,"&lt;="&amp;A2000)</f>
        <v>735000</v>
      </c>
      <c r="J2000" s="38" t="n">
        <f aca="false">VLOOKUP(A2000,Inputs!$F$40:$G$48,2,TRUE())</f>
        <v>0.0364054</v>
      </c>
      <c r="K2000" s="38" t="n">
        <f aca="false">J2000+Inputs!$C$10</f>
        <v>0.1039054</v>
      </c>
      <c r="L2000" s="37" t="n">
        <f aca="false">I2000*K2000/C2000</f>
        <v>208.662483606557</v>
      </c>
      <c r="M2000" s="37" t="n">
        <f aca="false">IF(AND(A2000&gt;=Inputs!$C$13,OR(A2000&lt;Inputs!$B$19,Inputs!$B$20=1)),I2000*Inputs!$C$11/C2000,0)</f>
        <v>40.1639344262295</v>
      </c>
    </row>
    <row r="2001" customFormat="false" ht="15" hidden="false" customHeight="false" outlineLevel="0" collapsed="false">
      <c r="A2001" s="35" t="n">
        <f aca="false">A2000+1</f>
        <v>46808</v>
      </c>
      <c r="B2001" s="35" t="n">
        <f aca="false">EOMONTH(A2001+1,0)</f>
        <v>46812</v>
      </c>
      <c r="C2001" s="36" t="n">
        <f aca="false">IF(MOD(YEAR(A2001),4)=0,366,365)</f>
        <v>366</v>
      </c>
      <c r="D2001" s="37" t="n">
        <f aca="false">Inputs!$B$9-SUMIFS(Cash_Events!$G$6:$G$20,Cash_Events!$C$6:$C$20,"rAGMF",Cash_Events!$B$6:$B$20,"&lt;="&amp;A2001)</f>
        <v>735000</v>
      </c>
      <c r="E2001" s="38" t="n">
        <f aca="false">VLOOKUP(A2001,Inputs!$A$40:$B$48,2,TRUE())</f>
        <v>0.0363225</v>
      </c>
      <c r="F2001" s="38" t="n">
        <f aca="false">E2001+Inputs!$B$10</f>
        <v>0.1038225</v>
      </c>
      <c r="G2001" s="37" t="n">
        <f aca="false">D2001*F2001/C2001</f>
        <v>208.496004098361</v>
      </c>
      <c r="H2001" s="37" t="n">
        <f aca="false">IF(AND(A2001&gt;=Inputs!$B$13,OR(A2001&lt;Inputs!$B$19,Inputs!$B$20=1)),D2001*Inputs!$B$11/C2001,0)</f>
        <v>40.1639344262295</v>
      </c>
      <c r="I2001" s="37" t="n">
        <f aca="false">Inputs!$C$9-SUMIFS(Cash_Events!$G$6:$G$20,Cash_Events!$C$6:$C$20,"FHL",Cash_Events!$B$6:$B$20,"&lt;="&amp;A2001)</f>
        <v>735000</v>
      </c>
      <c r="J2001" s="38" t="n">
        <f aca="false">VLOOKUP(A2001,Inputs!$F$40:$G$48,2,TRUE())</f>
        <v>0.0364054</v>
      </c>
      <c r="K2001" s="38" t="n">
        <f aca="false">J2001+Inputs!$C$10</f>
        <v>0.1039054</v>
      </c>
      <c r="L2001" s="37" t="n">
        <f aca="false">I2001*K2001/C2001</f>
        <v>208.662483606557</v>
      </c>
      <c r="M2001" s="37" t="n">
        <f aca="false">IF(AND(A2001&gt;=Inputs!$C$13,OR(A2001&lt;Inputs!$B$19,Inputs!$B$20=1)),I2001*Inputs!$C$11/C2001,0)</f>
        <v>40.1639344262295</v>
      </c>
    </row>
    <row r="2002" customFormat="false" ht="15" hidden="false" customHeight="false" outlineLevel="0" collapsed="false">
      <c r="A2002" s="35" t="n">
        <f aca="false">A2001+1</f>
        <v>46809</v>
      </c>
      <c r="B2002" s="35" t="n">
        <f aca="false">EOMONTH(A2002+1,0)</f>
        <v>46812</v>
      </c>
      <c r="C2002" s="36" t="n">
        <f aca="false">IF(MOD(YEAR(A2002),4)=0,366,365)</f>
        <v>366</v>
      </c>
      <c r="D2002" s="37" t="n">
        <f aca="false">Inputs!$B$9-SUMIFS(Cash_Events!$G$6:$G$20,Cash_Events!$C$6:$C$20,"rAGMF",Cash_Events!$B$6:$B$20,"&lt;="&amp;A2002)</f>
        <v>735000</v>
      </c>
      <c r="E2002" s="38" t="n">
        <f aca="false">VLOOKUP(A2002,Inputs!$A$40:$B$48,2,TRUE())</f>
        <v>0.0363225</v>
      </c>
      <c r="F2002" s="38" t="n">
        <f aca="false">E2002+Inputs!$B$10</f>
        <v>0.1038225</v>
      </c>
      <c r="G2002" s="37" t="n">
        <f aca="false">D2002*F2002/C2002</f>
        <v>208.496004098361</v>
      </c>
      <c r="H2002" s="37" t="n">
        <f aca="false">IF(AND(A2002&gt;=Inputs!$B$13,OR(A2002&lt;Inputs!$B$19,Inputs!$B$20=1)),D2002*Inputs!$B$11/C2002,0)</f>
        <v>40.1639344262295</v>
      </c>
      <c r="I2002" s="37" t="n">
        <f aca="false">Inputs!$C$9-SUMIFS(Cash_Events!$G$6:$G$20,Cash_Events!$C$6:$C$20,"FHL",Cash_Events!$B$6:$B$20,"&lt;="&amp;A2002)</f>
        <v>735000</v>
      </c>
      <c r="J2002" s="38" t="n">
        <f aca="false">VLOOKUP(A2002,Inputs!$F$40:$G$48,2,TRUE())</f>
        <v>0.0364054</v>
      </c>
      <c r="K2002" s="38" t="n">
        <f aca="false">J2002+Inputs!$C$10</f>
        <v>0.1039054</v>
      </c>
      <c r="L2002" s="37" t="n">
        <f aca="false">I2002*K2002/C2002</f>
        <v>208.662483606557</v>
      </c>
      <c r="M2002" s="37" t="n">
        <f aca="false">IF(AND(A2002&gt;=Inputs!$C$13,OR(A2002&lt;Inputs!$B$19,Inputs!$B$20=1)),I2002*Inputs!$C$11/C2002,0)</f>
        <v>40.1639344262295</v>
      </c>
    </row>
    <row r="2003" customFormat="false" ht="15" hidden="false" customHeight="false" outlineLevel="0" collapsed="false">
      <c r="A2003" s="35" t="n">
        <f aca="false">A2002+1</f>
        <v>46810</v>
      </c>
      <c r="B2003" s="35" t="n">
        <f aca="false">EOMONTH(A2003+1,0)</f>
        <v>46812</v>
      </c>
      <c r="C2003" s="36" t="n">
        <f aca="false">IF(MOD(YEAR(A2003),4)=0,366,365)</f>
        <v>366</v>
      </c>
      <c r="D2003" s="37" t="n">
        <f aca="false">Inputs!$B$9-SUMIFS(Cash_Events!$G$6:$G$20,Cash_Events!$C$6:$C$20,"rAGMF",Cash_Events!$B$6:$B$20,"&lt;="&amp;A2003)</f>
        <v>735000</v>
      </c>
      <c r="E2003" s="38" t="n">
        <f aca="false">VLOOKUP(A2003,Inputs!$A$40:$B$48,2,TRUE())</f>
        <v>0.0363225</v>
      </c>
      <c r="F2003" s="38" t="n">
        <f aca="false">E2003+Inputs!$B$10</f>
        <v>0.1038225</v>
      </c>
      <c r="G2003" s="37" t="n">
        <f aca="false">D2003*F2003/C2003</f>
        <v>208.496004098361</v>
      </c>
      <c r="H2003" s="37" t="n">
        <f aca="false">IF(AND(A2003&gt;=Inputs!$B$13,OR(A2003&lt;Inputs!$B$19,Inputs!$B$20=1)),D2003*Inputs!$B$11/C2003,0)</f>
        <v>40.1639344262295</v>
      </c>
      <c r="I2003" s="37" t="n">
        <f aca="false">Inputs!$C$9-SUMIFS(Cash_Events!$G$6:$G$20,Cash_Events!$C$6:$C$20,"FHL",Cash_Events!$B$6:$B$20,"&lt;="&amp;A2003)</f>
        <v>735000</v>
      </c>
      <c r="J2003" s="38" t="n">
        <f aca="false">VLOOKUP(A2003,Inputs!$F$40:$G$48,2,TRUE())</f>
        <v>0.0364054</v>
      </c>
      <c r="K2003" s="38" t="n">
        <f aca="false">J2003+Inputs!$C$10</f>
        <v>0.1039054</v>
      </c>
      <c r="L2003" s="37" t="n">
        <f aca="false">I2003*K2003/C2003</f>
        <v>208.662483606557</v>
      </c>
      <c r="M2003" s="37" t="n">
        <f aca="false">IF(AND(A2003&gt;=Inputs!$C$13,OR(A2003&lt;Inputs!$B$19,Inputs!$B$20=1)),I2003*Inputs!$C$11/C2003,0)</f>
        <v>40.1639344262295</v>
      </c>
    </row>
    <row r="2004" customFormat="false" ht="15" hidden="false" customHeight="false" outlineLevel="0" collapsed="false">
      <c r="A2004" s="35" t="n">
        <f aca="false">A2003+1</f>
        <v>46811</v>
      </c>
      <c r="B2004" s="35" t="n">
        <f aca="false">EOMONTH(A2004+1,0)</f>
        <v>46812</v>
      </c>
      <c r="C2004" s="36" t="n">
        <f aca="false">IF(MOD(YEAR(A2004),4)=0,366,365)</f>
        <v>366</v>
      </c>
      <c r="D2004" s="37" t="n">
        <f aca="false">Inputs!$B$9-SUMIFS(Cash_Events!$G$6:$G$20,Cash_Events!$C$6:$C$20,"rAGMF",Cash_Events!$B$6:$B$20,"&lt;="&amp;A2004)</f>
        <v>735000</v>
      </c>
      <c r="E2004" s="38" t="n">
        <f aca="false">VLOOKUP(A2004,Inputs!$A$40:$B$48,2,TRUE())</f>
        <v>0.0363225</v>
      </c>
      <c r="F2004" s="38" t="n">
        <f aca="false">E2004+Inputs!$B$10</f>
        <v>0.1038225</v>
      </c>
      <c r="G2004" s="37" t="n">
        <f aca="false">D2004*F2004/C2004</f>
        <v>208.496004098361</v>
      </c>
      <c r="H2004" s="37" t="n">
        <f aca="false">IF(AND(A2004&gt;=Inputs!$B$13,OR(A2004&lt;Inputs!$B$19,Inputs!$B$20=1)),D2004*Inputs!$B$11/C2004,0)</f>
        <v>40.1639344262295</v>
      </c>
      <c r="I2004" s="37" t="n">
        <f aca="false">Inputs!$C$9-SUMIFS(Cash_Events!$G$6:$G$20,Cash_Events!$C$6:$C$20,"FHL",Cash_Events!$B$6:$B$20,"&lt;="&amp;A2004)</f>
        <v>735000</v>
      </c>
      <c r="J2004" s="38" t="n">
        <f aca="false">VLOOKUP(A2004,Inputs!$F$40:$G$48,2,TRUE())</f>
        <v>0.0364054</v>
      </c>
      <c r="K2004" s="38" t="n">
        <f aca="false">J2004+Inputs!$C$10</f>
        <v>0.1039054</v>
      </c>
      <c r="L2004" s="37" t="n">
        <f aca="false">I2004*K2004/C2004</f>
        <v>208.662483606557</v>
      </c>
      <c r="M2004" s="37" t="n">
        <f aca="false">IF(AND(A2004&gt;=Inputs!$C$13,OR(A2004&lt;Inputs!$B$19,Inputs!$B$20=1)),I2004*Inputs!$C$11/C2004,0)</f>
        <v>40.1639344262295</v>
      </c>
    </row>
    <row r="2005" customFormat="false" ht="15" hidden="false" customHeight="false" outlineLevel="0" collapsed="false">
      <c r="A2005" s="35" t="n">
        <f aca="false">A2004+1</f>
        <v>46812</v>
      </c>
      <c r="B2005" s="35" t="n">
        <f aca="false">EOMONTH(A2005+1,0)</f>
        <v>46843</v>
      </c>
      <c r="C2005" s="36" t="n">
        <f aca="false">IF(MOD(YEAR(A2005),4)=0,366,365)</f>
        <v>366</v>
      </c>
      <c r="D2005" s="37" t="n">
        <f aca="false">Inputs!$B$9-SUMIFS(Cash_Events!$G$6:$G$20,Cash_Events!$C$6:$C$20,"rAGMF",Cash_Events!$B$6:$B$20,"&lt;="&amp;A2005)</f>
        <v>735000</v>
      </c>
      <c r="E2005" s="38" t="n">
        <f aca="false">VLOOKUP(A2005,Inputs!$A$40:$B$48,2,TRUE())</f>
        <v>0.0363225</v>
      </c>
      <c r="F2005" s="38" t="n">
        <f aca="false">E2005+Inputs!$B$10</f>
        <v>0.1038225</v>
      </c>
      <c r="G2005" s="37" t="n">
        <f aca="false">D2005*F2005/C2005</f>
        <v>208.496004098361</v>
      </c>
      <c r="H2005" s="37" t="n">
        <f aca="false">IF(AND(A2005&gt;=Inputs!$B$13,OR(A2005&lt;Inputs!$B$19,Inputs!$B$20=1)),D2005*Inputs!$B$11/C2005,0)</f>
        <v>40.1639344262295</v>
      </c>
      <c r="I2005" s="37" t="n">
        <f aca="false">Inputs!$C$9-SUMIFS(Cash_Events!$G$6:$G$20,Cash_Events!$C$6:$C$20,"FHL",Cash_Events!$B$6:$B$20,"&lt;="&amp;A2005)</f>
        <v>735000</v>
      </c>
      <c r="J2005" s="38" t="n">
        <f aca="false">VLOOKUP(A2005,Inputs!$F$40:$G$48,2,TRUE())</f>
        <v>0.0364054</v>
      </c>
      <c r="K2005" s="38" t="n">
        <f aca="false">J2005+Inputs!$C$10</f>
        <v>0.1039054</v>
      </c>
      <c r="L2005" s="37" t="n">
        <f aca="false">I2005*K2005/C2005</f>
        <v>208.662483606557</v>
      </c>
      <c r="M2005" s="37" t="n">
        <f aca="false">IF(AND(A2005&gt;=Inputs!$C$13,OR(A2005&lt;Inputs!$B$19,Inputs!$B$20=1)),I2005*Inputs!$C$11/C2005,0)</f>
        <v>40.1639344262295</v>
      </c>
    </row>
    <row r="2006" customFormat="false" ht="15" hidden="false" customHeight="false" outlineLevel="0" collapsed="false">
      <c r="A2006" s="35" t="n">
        <f aca="false">A2005+1</f>
        <v>46813</v>
      </c>
      <c r="B2006" s="35" t="n">
        <f aca="false">EOMONTH(A2006+1,0)</f>
        <v>46843</v>
      </c>
      <c r="C2006" s="36" t="n">
        <f aca="false">IF(MOD(YEAR(A2006),4)=0,366,365)</f>
        <v>366</v>
      </c>
      <c r="D2006" s="37" t="n">
        <f aca="false">Inputs!$B$9-SUMIFS(Cash_Events!$G$6:$G$20,Cash_Events!$C$6:$C$20,"rAGMF",Cash_Events!$B$6:$B$20,"&lt;="&amp;A2006)</f>
        <v>735000</v>
      </c>
      <c r="E2006" s="38" t="n">
        <f aca="false">VLOOKUP(A2006,Inputs!$A$40:$B$48,2,TRUE())</f>
        <v>0.0363225</v>
      </c>
      <c r="F2006" s="38" t="n">
        <f aca="false">E2006+Inputs!$B$10</f>
        <v>0.1038225</v>
      </c>
      <c r="G2006" s="37" t="n">
        <f aca="false">D2006*F2006/C2006</f>
        <v>208.496004098361</v>
      </c>
      <c r="H2006" s="37" t="n">
        <f aca="false">IF(AND(A2006&gt;=Inputs!$B$13,OR(A2006&lt;Inputs!$B$19,Inputs!$B$20=1)),D2006*Inputs!$B$11/C2006,0)</f>
        <v>40.1639344262295</v>
      </c>
      <c r="I2006" s="37" t="n">
        <f aca="false">Inputs!$C$9-SUMIFS(Cash_Events!$G$6:$G$20,Cash_Events!$C$6:$C$20,"FHL",Cash_Events!$B$6:$B$20,"&lt;="&amp;A2006)</f>
        <v>735000</v>
      </c>
      <c r="J2006" s="38" t="n">
        <f aca="false">VLOOKUP(A2006,Inputs!$F$40:$G$48,2,TRUE())</f>
        <v>0.0364054</v>
      </c>
      <c r="K2006" s="38" t="n">
        <f aca="false">J2006+Inputs!$C$10</f>
        <v>0.1039054</v>
      </c>
      <c r="L2006" s="37" t="n">
        <f aca="false">I2006*K2006/C2006</f>
        <v>208.662483606557</v>
      </c>
      <c r="M2006" s="37" t="n">
        <f aca="false">IF(AND(A2006&gt;=Inputs!$C$13,OR(A2006&lt;Inputs!$B$19,Inputs!$B$20=1)),I2006*Inputs!$C$11/C2006,0)</f>
        <v>40.1639344262295</v>
      </c>
    </row>
    <row r="2007" customFormat="false" ht="15" hidden="false" customHeight="false" outlineLevel="0" collapsed="false">
      <c r="A2007" s="35" t="n">
        <f aca="false">A2006+1</f>
        <v>46814</v>
      </c>
      <c r="B2007" s="35" t="n">
        <f aca="false">EOMONTH(A2007+1,0)</f>
        <v>46843</v>
      </c>
      <c r="C2007" s="36" t="n">
        <f aca="false">IF(MOD(YEAR(A2007),4)=0,366,365)</f>
        <v>366</v>
      </c>
      <c r="D2007" s="37" t="n">
        <f aca="false">Inputs!$B$9-SUMIFS(Cash_Events!$G$6:$G$20,Cash_Events!$C$6:$C$20,"rAGMF",Cash_Events!$B$6:$B$20,"&lt;="&amp;A2007)</f>
        <v>735000</v>
      </c>
      <c r="E2007" s="38" t="n">
        <f aca="false">VLOOKUP(A2007,Inputs!$A$40:$B$48,2,TRUE())</f>
        <v>0.0363225</v>
      </c>
      <c r="F2007" s="38" t="n">
        <f aca="false">E2007+Inputs!$B$10</f>
        <v>0.1038225</v>
      </c>
      <c r="G2007" s="37" t="n">
        <f aca="false">D2007*F2007/C2007</f>
        <v>208.496004098361</v>
      </c>
      <c r="H2007" s="37" t="n">
        <f aca="false">IF(AND(A2007&gt;=Inputs!$B$13,OR(A2007&lt;Inputs!$B$19,Inputs!$B$20=1)),D2007*Inputs!$B$11/C2007,0)</f>
        <v>40.1639344262295</v>
      </c>
      <c r="I2007" s="37" t="n">
        <f aca="false">Inputs!$C$9-SUMIFS(Cash_Events!$G$6:$G$20,Cash_Events!$C$6:$C$20,"FHL",Cash_Events!$B$6:$B$20,"&lt;="&amp;A2007)</f>
        <v>735000</v>
      </c>
      <c r="J2007" s="38" t="n">
        <f aca="false">VLOOKUP(A2007,Inputs!$F$40:$G$48,2,TRUE())</f>
        <v>0.0364054</v>
      </c>
      <c r="K2007" s="38" t="n">
        <f aca="false">J2007+Inputs!$C$10</f>
        <v>0.1039054</v>
      </c>
      <c r="L2007" s="37" t="n">
        <f aca="false">I2007*K2007/C2007</f>
        <v>208.662483606557</v>
      </c>
      <c r="M2007" s="37" t="n">
        <f aca="false">IF(AND(A2007&gt;=Inputs!$C$13,OR(A2007&lt;Inputs!$B$19,Inputs!$B$20=1)),I2007*Inputs!$C$11/C2007,0)</f>
        <v>40.1639344262295</v>
      </c>
    </row>
    <row r="2008" customFormat="false" ht="15" hidden="false" customHeight="false" outlineLevel="0" collapsed="false">
      <c r="A2008" s="35" t="n">
        <f aca="false">A2007+1</f>
        <v>46815</v>
      </c>
      <c r="B2008" s="35" t="n">
        <f aca="false">EOMONTH(A2008+1,0)</f>
        <v>46843</v>
      </c>
      <c r="C2008" s="36" t="n">
        <f aca="false">IF(MOD(YEAR(A2008),4)=0,366,365)</f>
        <v>366</v>
      </c>
      <c r="D2008" s="37" t="n">
        <f aca="false">Inputs!$B$9-SUMIFS(Cash_Events!$G$6:$G$20,Cash_Events!$C$6:$C$20,"rAGMF",Cash_Events!$B$6:$B$20,"&lt;="&amp;A2008)</f>
        <v>735000</v>
      </c>
      <c r="E2008" s="38" t="n">
        <f aca="false">VLOOKUP(A2008,Inputs!$A$40:$B$48,2,TRUE())</f>
        <v>0.0363225</v>
      </c>
      <c r="F2008" s="38" t="n">
        <f aca="false">E2008+Inputs!$B$10</f>
        <v>0.1038225</v>
      </c>
      <c r="G2008" s="37" t="n">
        <f aca="false">D2008*F2008/C2008</f>
        <v>208.496004098361</v>
      </c>
      <c r="H2008" s="37" t="n">
        <f aca="false">IF(AND(A2008&gt;=Inputs!$B$13,OR(A2008&lt;Inputs!$B$19,Inputs!$B$20=1)),D2008*Inputs!$B$11/C2008,0)</f>
        <v>40.1639344262295</v>
      </c>
      <c r="I2008" s="37" t="n">
        <f aca="false">Inputs!$C$9-SUMIFS(Cash_Events!$G$6:$G$20,Cash_Events!$C$6:$C$20,"FHL",Cash_Events!$B$6:$B$20,"&lt;="&amp;A2008)</f>
        <v>735000</v>
      </c>
      <c r="J2008" s="38" t="n">
        <f aca="false">VLOOKUP(A2008,Inputs!$F$40:$G$48,2,TRUE())</f>
        <v>0.0364054</v>
      </c>
      <c r="K2008" s="38" t="n">
        <f aca="false">J2008+Inputs!$C$10</f>
        <v>0.1039054</v>
      </c>
      <c r="L2008" s="37" t="n">
        <f aca="false">I2008*K2008/C2008</f>
        <v>208.662483606557</v>
      </c>
      <c r="M2008" s="37" t="n">
        <f aca="false">IF(AND(A2008&gt;=Inputs!$C$13,OR(A2008&lt;Inputs!$B$19,Inputs!$B$20=1)),I2008*Inputs!$C$11/C2008,0)</f>
        <v>40.1639344262295</v>
      </c>
    </row>
    <row r="2009" customFormat="false" ht="15" hidden="false" customHeight="false" outlineLevel="0" collapsed="false">
      <c r="A2009" s="35" t="n">
        <f aca="false">A2008+1</f>
        <v>46816</v>
      </c>
      <c r="B2009" s="35" t="n">
        <f aca="false">EOMONTH(A2009+1,0)</f>
        <v>46843</v>
      </c>
      <c r="C2009" s="36" t="n">
        <f aca="false">IF(MOD(YEAR(A2009),4)=0,366,365)</f>
        <v>366</v>
      </c>
      <c r="D2009" s="37" t="n">
        <f aca="false">Inputs!$B$9-SUMIFS(Cash_Events!$G$6:$G$20,Cash_Events!$C$6:$C$20,"rAGMF",Cash_Events!$B$6:$B$20,"&lt;="&amp;A2009)</f>
        <v>735000</v>
      </c>
      <c r="E2009" s="38" t="n">
        <f aca="false">VLOOKUP(A2009,Inputs!$A$40:$B$48,2,TRUE())</f>
        <v>0.0363225</v>
      </c>
      <c r="F2009" s="38" t="n">
        <f aca="false">E2009+Inputs!$B$10</f>
        <v>0.1038225</v>
      </c>
      <c r="G2009" s="37" t="n">
        <f aca="false">D2009*F2009/C2009</f>
        <v>208.496004098361</v>
      </c>
      <c r="H2009" s="37" t="n">
        <f aca="false">IF(AND(A2009&gt;=Inputs!$B$13,OR(A2009&lt;Inputs!$B$19,Inputs!$B$20=1)),D2009*Inputs!$B$11/C2009,0)</f>
        <v>40.1639344262295</v>
      </c>
      <c r="I2009" s="37" t="n">
        <f aca="false">Inputs!$C$9-SUMIFS(Cash_Events!$G$6:$G$20,Cash_Events!$C$6:$C$20,"FHL",Cash_Events!$B$6:$B$20,"&lt;="&amp;A2009)</f>
        <v>735000</v>
      </c>
      <c r="J2009" s="38" t="n">
        <f aca="false">VLOOKUP(A2009,Inputs!$F$40:$G$48,2,TRUE())</f>
        <v>0.0364054</v>
      </c>
      <c r="K2009" s="38" t="n">
        <f aca="false">J2009+Inputs!$C$10</f>
        <v>0.1039054</v>
      </c>
      <c r="L2009" s="37" t="n">
        <f aca="false">I2009*K2009/C2009</f>
        <v>208.662483606557</v>
      </c>
      <c r="M2009" s="37" t="n">
        <f aca="false">IF(AND(A2009&gt;=Inputs!$C$13,OR(A2009&lt;Inputs!$B$19,Inputs!$B$20=1)),I2009*Inputs!$C$11/C2009,0)</f>
        <v>40.1639344262295</v>
      </c>
    </row>
    <row r="2010" customFormat="false" ht="15" hidden="false" customHeight="false" outlineLevel="0" collapsed="false">
      <c r="A2010" s="35" t="n">
        <f aca="false">A2009+1</f>
        <v>46817</v>
      </c>
      <c r="B2010" s="35" t="n">
        <f aca="false">EOMONTH(A2010+1,0)</f>
        <v>46843</v>
      </c>
      <c r="C2010" s="36" t="n">
        <f aca="false">IF(MOD(YEAR(A2010),4)=0,366,365)</f>
        <v>366</v>
      </c>
      <c r="D2010" s="37" t="n">
        <f aca="false">Inputs!$B$9-SUMIFS(Cash_Events!$G$6:$G$20,Cash_Events!$C$6:$C$20,"rAGMF",Cash_Events!$B$6:$B$20,"&lt;="&amp;A2010)</f>
        <v>735000</v>
      </c>
      <c r="E2010" s="38" t="n">
        <f aca="false">VLOOKUP(A2010,Inputs!$A$40:$B$48,2,TRUE())</f>
        <v>0.0363225</v>
      </c>
      <c r="F2010" s="38" t="n">
        <f aca="false">E2010+Inputs!$B$10</f>
        <v>0.1038225</v>
      </c>
      <c r="G2010" s="37" t="n">
        <f aca="false">D2010*F2010/C2010</f>
        <v>208.496004098361</v>
      </c>
      <c r="H2010" s="37" t="n">
        <f aca="false">IF(AND(A2010&gt;=Inputs!$B$13,OR(A2010&lt;Inputs!$B$19,Inputs!$B$20=1)),D2010*Inputs!$B$11/C2010,0)</f>
        <v>40.1639344262295</v>
      </c>
      <c r="I2010" s="37" t="n">
        <f aca="false">Inputs!$C$9-SUMIFS(Cash_Events!$G$6:$G$20,Cash_Events!$C$6:$C$20,"FHL",Cash_Events!$B$6:$B$20,"&lt;="&amp;A2010)</f>
        <v>735000</v>
      </c>
      <c r="J2010" s="38" t="n">
        <f aca="false">VLOOKUP(A2010,Inputs!$F$40:$G$48,2,TRUE())</f>
        <v>0.0364054</v>
      </c>
      <c r="K2010" s="38" t="n">
        <f aca="false">J2010+Inputs!$C$10</f>
        <v>0.1039054</v>
      </c>
      <c r="L2010" s="37" t="n">
        <f aca="false">I2010*K2010/C2010</f>
        <v>208.662483606557</v>
      </c>
      <c r="M2010" s="37" t="n">
        <f aca="false">IF(AND(A2010&gt;=Inputs!$C$13,OR(A2010&lt;Inputs!$B$19,Inputs!$B$20=1)),I2010*Inputs!$C$11/C2010,0)</f>
        <v>40.1639344262295</v>
      </c>
    </row>
    <row r="2011" customFormat="false" ht="15" hidden="false" customHeight="false" outlineLevel="0" collapsed="false">
      <c r="A2011" s="35" t="n">
        <f aca="false">A2010+1</f>
        <v>46818</v>
      </c>
      <c r="B2011" s="35" t="n">
        <f aca="false">EOMONTH(A2011+1,0)</f>
        <v>46843</v>
      </c>
      <c r="C2011" s="36" t="n">
        <f aca="false">IF(MOD(YEAR(A2011),4)=0,366,365)</f>
        <v>366</v>
      </c>
      <c r="D2011" s="37" t="n">
        <f aca="false">Inputs!$B$9-SUMIFS(Cash_Events!$G$6:$G$20,Cash_Events!$C$6:$C$20,"rAGMF",Cash_Events!$B$6:$B$20,"&lt;="&amp;A2011)</f>
        <v>735000</v>
      </c>
      <c r="E2011" s="38" t="n">
        <f aca="false">VLOOKUP(A2011,Inputs!$A$40:$B$48,2,TRUE())</f>
        <v>0.0363225</v>
      </c>
      <c r="F2011" s="38" t="n">
        <f aca="false">E2011+Inputs!$B$10</f>
        <v>0.1038225</v>
      </c>
      <c r="G2011" s="37" t="n">
        <f aca="false">D2011*F2011/C2011</f>
        <v>208.496004098361</v>
      </c>
      <c r="H2011" s="37" t="n">
        <f aca="false">IF(AND(A2011&gt;=Inputs!$B$13,OR(A2011&lt;Inputs!$B$19,Inputs!$B$20=1)),D2011*Inputs!$B$11/C2011,0)</f>
        <v>40.1639344262295</v>
      </c>
      <c r="I2011" s="37" t="n">
        <f aca="false">Inputs!$C$9-SUMIFS(Cash_Events!$G$6:$G$20,Cash_Events!$C$6:$C$20,"FHL",Cash_Events!$B$6:$B$20,"&lt;="&amp;A2011)</f>
        <v>735000</v>
      </c>
      <c r="J2011" s="38" t="n">
        <f aca="false">VLOOKUP(A2011,Inputs!$F$40:$G$48,2,TRUE())</f>
        <v>0.0364054</v>
      </c>
      <c r="K2011" s="38" t="n">
        <f aca="false">J2011+Inputs!$C$10</f>
        <v>0.1039054</v>
      </c>
      <c r="L2011" s="37" t="n">
        <f aca="false">I2011*K2011/C2011</f>
        <v>208.662483606557</v>
      </c>
      <c r="M2011" s="37" t="n">
        <f aca="false">IF(AND(A2011&gt;=Inputs!$C$13,OR(A2011&lt;Inputs!$B$19,Inputs!$B$20=1)),I2011*Inputs!$C$11/C2011,0)</f>
        <v>40.1639344262295</v>
      </c>
    </row>
    <row r="2012" customFormat="false" ht="15" hidden="false" customHeight="false" outlineLevel="0" collapsed="false">
      <c r="A2012" s="35" t="n">
        <f aca="false">A2011+1</f>
        <v>46819</v>
      </c>
      <c r="B2012" s="35" t="n">
        <f aca="false">EOMONTH(A2012+1,0)</f>
        <v>46843</v>
      </c>
      <c r="C2012" s="36" t="n">
        <f aca="false">IF(MOD(YEAR(A2012),4)=0,366,365)</f>
        <v>366</v>
      </c>
      <c r="D2012" s="37" t="n">
        <f aca="false">Inputs!$B$9-SUMIFS(Cash_Events!$G$6:$G$20,Cash_Events!$C$6:$C$20,"rAGMF",Cash_Events!$B$6:$B$20,"&lt;="&amp;A2012)</f>
        <v>735000</v>
      </c>
      <c r="E2012" s="38" t="n">
        <f aca="false">VLOOKUP(A2012,Inputs!$A$40:$B$48,2,TRUE())</f>
        <v>0.0363225</v>
      </c>
      <c r="F2012" s="38" t="n">
        <f aca="false">E2012+Inputs!$B$10</f>
        <v>0.1038225</v>
      </c>
      <c r="G2012" s="37" t="n">
        <f aca="false">D2012*F2012/C2012</f>
        <v>208.496004098361</v>
      </c>
      <c r="H2012" s="37" t="n">
        <f aca="false">IF(AND(A2012&gt;=Inputs!$B$13,OR(A2012&lt;Inputs!$B$19,Inputs!$B$20=1)),D2012*Inputs!$B$11/C2012,0)</f>
        <v>40.1639344262295</v>
      </c>
      <c r="I2012" s="37" t="n">
        <f aca="false">Inputs!$C$9-SUMIFS(Cash_Events!$G$6:$G$20,Cash_Events!$C$6:$C$20,"FHL",Cash_Events!$B$6:$B$20,"&lt;="&amp;A2012)</f>
        <v>735000</v>
      </c>
      <c r="J2012" s="38" t="n">
        <f aca="false">VLOOKUP(A2012,Inputs!$F$40:$G$48,2,TRUE())</f>
        <v>0.0364054</v>
      </c>
      <c r="K2012" s="38" t="n">
        <f aca="false">J2012+Inputs!$C$10</f>
        <v>0.1039054</v>
      </c>
      <c r="L2012" s="37" t="n">
        <f aca="false">I2012*K2012/C2012</f>
        <v>208.662483606557</v>
      </c>
      <c r="M2012" s="37" t="n">
        <f aca="false">IF(AND(A2012&gt;=Inputs!$C$13,OR(A2012&lt;Inputs!$B$19,Inputs!$B$20=1)),I2012*Inputs!$C$11/C2012,0)</f>
        <v>40.1639344262295</v>
      </c>
    </row>
    <row r="2013" customFormat="false" ht="15" hidden="false" customHeight="false" outlineLevel="0" collapsed="false">
      <c r="A2013" s="35" t="n">
        <f aca="false">A2012+1</f>
        <v>46820</v>
      </c>
      <c r="B2013" s="35" t="n">
        <f aca="false">EOMONTH(A2013+1,0)</f>
        <v>46843</v>
      </c>
      <c r="C2013" s="36" t="n">
        <f aca="false">IF(MOD(YEAR(A2013),4)=0,366,365)</f>
        <v>366</v>
      </c>
      <c r="D2013" s="37" t="n">
        <f aca="false">Inputs!$B$9-SUMIFS(Cash_Events!$G$6:$G$20,Cash_Events!$C$6:$C$20,"rAGMF",Cash_Events!$B$6:$B$20,"&lt;="&amp;A2013)</f>
        <v>735000</v>
      </c>
      <c r="E2013" s="38" t="n">
        <f aca="false">VLOOKUP(A2013,Inputs!$A$40:$B$48,2,TRUE())</f>
        <v>0.0363225</v>
      </c>
      <c r="F2013" s="38" t="n">
        <f aca="false">E2013+Inputs!$B$10</f>
        <v>0.1038225</v>
      </c>
      <c r="G2013" s="37" t="n">
        <f aca="false">D2013*F2013/C2013</f>
        <v>208.496004098361</v>
      </c>
      <c r="H2013" s="37" t="n">
        <f aca="false">IF(AND(A2013&gt;=Inputs!$B$13,OR(A2013&lt;Inputs!$B$19,Inputs!$B$20=1)),D2013*Inputs!$B$11/C2013,0)</f>
        <v>40.1639344262295</v>
      </c>
      <c r="I2013" s="37" t="n">
        <f aca="false">Inputs!$C$9-SUMIFS(Cash_Events!$G$6:$G$20,Cash_Events!$C$6:$C$20,"FHL",Cash_Events!$B$6:$B$20,"&lt;="&amp;A2013)</f>
        <v>735000</v>
      </c>
      <c r="J2013" s="38" t="n">
        <f aca="false">VLOOKUP(A2013,Inputs!$F$40:$G$48,2,TRUE())</f>
        <v>0.0364054</v>
      </c>
      <c r="K2013" s="38" t="n">
        <f aca="false">J2013+Inputs!$C$10</f>
        <v>0.1039054</v>
      </c>
      <c r="L2013" s="37" t="n">
        <f aca="false">I2013*K2013/C2013</f>
        <v>208.662483606557</v>
      </c>
      <c r="M2013" s="37" t="n">
        <f aca="false">IF(AND(A2013&gt;=Inputs!$C$13,OR(A2013&lt;Inputs!$B$19,Inputs!$B$20=1)),I2013*Inputs!$C$11/C2013,0)</f>
        <v>40.1639344262295</v>
      </c>
    </row>
    <row r="2014" customFormat="false" ht="15" hidden="false" customHeight="false" outlineLevel="0" collapsed="false">
      <c r="A2014" s="35" t="n">
        <f aca="false">A2013+1</f>
        <v>46821</v>
      </c>
      <c r="B2014" s="35" t="n">
        <f aca="false">EOMONTH(A2014+1,0)</f>
        <v>46843</v>
      </c>
      <c r="C2014" s="36" t="n">
        <f aca="false">IF(MOD(YEAR(A2014),4)=0,366,365)</f>
        <v>366</v>
      </c>
      <c r="D2014" s="37" t="n">
        <f aca="false">Inputs!$B$9-SUMIFS(Cash_Events!$G$6:$G$20,Cash_Events!$C$6:$C$20,"rAGMF",Cash_Events!$B$6:$B$20,"&lt;="&amp;A2014)</f>
        <v>735000</v>
      </c>
      <c r="E2014" s="38" t="n">
        <f aca="false">VLOOKUP(A2014,Inputs!$A$40:$B$48,2,TRUE())</f>
        <v>0.0363225</v>
      </c>
      <c r="F2014" s="38" t="n">
        <f aca="false">E2014+Inputs!$B$10</f>
        <v>0.1038225</v>
      </c>
      <c r="G2014" s="37" t="n">
        <f aca="false">D2014*F2014/C2014</f>
        <v>208.496004098361</v>
      </c>
      <c r="H2014" s="37" t="n">
        <f aca="false">IF(AND(A2014&gt;=Inputs!$B$13,OR(A2014&lt;Inputs!$B$19,Inputs!$B$20=1)),D2014*Inputs!$B$11/C2014,0)</f>
        <v>40.1639344262295</v>
      </c>
      <c r="I2014" s="37" t="n">
        <f aca="false">Inputs!$C$9-SUMIFS(Cash_Events!$G$6:$G$20,Cash_Events!$C$6:$C$20,"FHL",Cash_Events!$B$6:$B$20,"&lt;="&amp;A2014)</f>
        <v>735000</v>
      </c>
      <c r="J2014" s="38" t="n">
        <f aca="false">VLOOKUP(A2014,Inputs!$F$40:$G$48,2,TRUE())</f>
        <v>0.0364054</v>
      </c>
      <c r="K2014" s="38" t="n">
        <f aca="false">J2014+Inputs!$C$10</f>
        <v>0.1039054</v>
      </c>
      <c r="L2014" s="37" t="n">
        <f aca="false">I2014*K2014/C2014</f>
        <v>208.662483606557</v>
      </c>
      <c r="M2014" s="37" t="n">
        <f aca="false">IF(AND(A2014&gt;=Inputs!$C$13,OR(A2014&lt;Inputs!$B$19,Inputs!$B$20=1)),I2014*Inputs!$C$11/C2014,0)</f>
        <v>40.1639344262295</v>
      </c>
    </row>
    <row r="2015" customFormat="false" ht="15" hidden="false" customHeight="false" outlineLevel="0" collapsed="false">
      <c r="A2015" s="35" t="n">
        <f aca="false">A2014+1</f>
        <v>46822</v>
      </c>
      <c r="B2015" s="35" t="n">
        <f aca="false">EOMONTH(A2015+1,0)</f>
        <v>46843</v>
      </c>
      <c r="C2015" s="36" t="n">
        <f aca="false">IF(MOD(YEAR(A2015),4)=0,366,365)</f>
        <v>366</v>
      </c>
      <c r="D2015" s="37" t="n">
        <f aca="false">Inputs!$B$9-SUMIFS(Cash_Events!$G$6:$G$20,Cash_Events!$C$6:$C$20,"rAGMF",Cash_Events!$B$6:$B$20,"&lt;="&amp;A2015)</f>
        <v>735000</v>
      </c>
      <c r="E2015" s="38" t="n">
        <f aca="false">VLOOKUP(A2015,Inputs!$A$40:$B$48,2,TRUE())</f>
        <v>0.0363225</v>
      </c>
      <c r="F2015" s="38" t="n">
        <f aca="false">E2015+Inputs!$B$10</f>
        <v>0.1038225</v>
      </c>
      <c r="G2015" s="37" t="n">
        <f aca="false">D2015*F2015/C2015</f>
        <v>208.496004098361</v>
      </c>
      <c r="H2015" s="37" t="n">
        <f aca="false">IF(AND(A2015&gt;=Inputs!$B$13,OR(A2015&lt;Inputs!$B$19,Inputs!$B$20=1)),D2015*Inputs!$B$11/C2015,0)</f>
        <v>40.1639344262295</v>
      </c>
      <c r="I2015" s="37" t="n">
        <f aca="false">Inputs!$C$9-SUMIFS(Cash_Events!$G$6:$G$20,Cash_Events!$C$6:$C$20,"FHL",Cash_Events!$B$6:$B$20,"&lt;="&amp;A2015)</f>
        <v>735000</v>
      </c>
      <c r="J2015" s="38" t="n">
        <f aca="false">VLOOKUP(A2015,Inputs!$F$40:$G$48,2,TRUE())</f>
        <v>0.0364054</v>
      </c>
      <c r="K2015" s="38" t="n">
        <f aca="false">J2015+Inputs!$C$10</f>
        <v>0.1039054</v>
      </c>
      <c r="L2015" s="37" t="n">
        <f aca="false">I2015*K2015/C2015</f>
        <v>208.662483606557</v>
      </c>
      <c r="M2015" s="37" t="n">
        <f aca="false">IF(AND(A2015&gt;=Inputs!$C$13,OR(A2015&lt;Inputs!$B$19,Inputs!$B$20=1)),I2015*Inputs!$C$11/C2015,0)</f>
        <v>40.1639344262295</v>
      </c>
    </row>
    <row r="2016" customFormat="false" ht="15" hidden="false" customHeight="false" outlineLevel="0" collapsed="false">
      <c r="A2016" s="35" t="n">
        <f aca="false">A2015+1</f>
        <v>46823</v>
      </c>
      <c r="B2016" s="35" t="n">
        <f aca="false">EOMONTH(A2016+1,0)</f>
        <v>46843</v>
      </c>
      <c r="C2016" s="36" t="n">
        <f aca="false">IF(MOD(YEAR(A2016),4)=0,366,365)</f>
        <v>366</v>
      </c>
      <c r="D2016" s="37" t="n">
        <f aca="false">Inputs!$B$9-SUMIFS(Cash_Events!$G$6:$G$20,Cash_Events!$C$6:$C$20,"rAGMF",Cash_Events!$B$6:$B$20,"&lt;="&amp;A2016)</f>
        <v>735000</v>
      </c>
      <c r="E2016" s="38" t="n">
        <f aca="false">VLOOKUP(A2016,Inputs!$A$40:$B$48,2,TRUE())</f>
        <v>0.0363225</v>
      </c>
      <c r="F2016" s="38" t="n">
        <f aca="false">E2016+Inputs!$B$10</f>
        <v>0.1038225</v>
      </c>
      <c r="G2016" s="37" t="n">
        <f aca="false">D2016*F2016/C2016</f>
        <v>208.496004098361</v>
      </c>
      <c r="H2016" s="37" t="n">
        <f aca="false">IF(AND(A2016&gt;=Inputs!$B$13,OR(A2016&lt;Inputs!$B$19,Inputs!$B$20=1)),D2016*Inputs!$B$11/C2016,0)</f>
        <v>40.1639344262295</v>
      </c>
      <c r="I2016" s="37" t="n">
        <f aca="false">Inputs!$C$9-SUMIFS(Cash_Events!$G$6:$G$20,Cash_Events!$C$6:$C$20,"FHL",Cash_Events!$B$6:$B$20,"&lt;="&amp;A2016)</f>
        <v>735000</v>
      </c>
      <c r="J2016" s="38" t="n">
        <f aca="false">VLOOKUP(A2016,Inputs!$F$40:$G$48,2,TRUE())</f>
        <v>0.0364054</v>
      </c>
      <c r="K2016" s="38" t="n">
        <f aca="false">J2016+Inputs!$C$10</f>
        <v>0.1039054</v>
      </c>
      <c r="L2016" s="37" t="n">
        <f aca="false">I2016*K2016/C2016</f>
        <v>208.662483606557</v>
      </c>
      <c r="M2016" s="37" t="n">
        <f aca="false">IF(AND(A2016&gt;=Inputs!$C$13,OR(A2016&lt;Inputs!$B$19,Inputs!$B$20=1)),I2016*Inputs!$C$11/C2016,0)</f>
        <v>40.1639344262295</v>
      </c>
    </row>
    <row r="2017" customFormat="false" ht="15" hidden="false" customHeight="false" outlineLevel="0" collapsed="false">
      <c r="A2017" s="35" t="n">
        <f aca="false">A2016+1</f>
        <v>46824</v>
      </c>
      <c r="B2017" s="35" t="n">
        <f aca="false">EOMONTH(A2017+1,0)</f>
        <v>46843</v>
      </c>
      <c r="C2017" s="36" t="n">
        <f aca="false">IF(MOD(YEAR(A2017),4)=0,366,365)</f>
        <v>366</v>
      </c>
      <c r="D2017" s="37" t="n">
        <f aca="false">Inputs!$B$9-SUMIFS(Cash_Events!$G$6:$G$20,Cash_Events!$C$6:$C$20,"rAGMF",Cash_Events!$B$6:$B$20,"&lt;="&amp;A2017)</f>
        <v>735000</v>
      </c>
      <c r="E2017" s="38" t="n">
        <f aca="false">VLOOKUP(A2017,Inputs!$A$40:$B$48,2,TRUE())</f>
        <v>0.0363225</v>
      </c>
      <c r="F2017" s="38" t="n">
        <f aca="false">E2017+Inputs!$B$10</f>
        <v>0.1038225</v>
      </c>
      <c r="G2017" s="37" t="n">
        <f aca="false">D2017*F2017/C2017</f>
        <v>208.496004098361</v>
      </c>
      <c r="H2017" s="37" t="n">
        <f aca="false">IF(AND(A2017&gt;=Inputs!$B$13,OR(A2017&lt;Inputs!$B$19,Inputs!$B$20=1)),D2017*Inputs!$B$11/C2017,0)</f>
        <v>40.1639344262295</v>
      </c>
      <c r="I2017" s="37" t="n">
        <f aca="false">Inputs!$C$9-SUMIFS(Cash_Events!$G$6:$G$20,Cash_Events!$C$6:$C$20,"FHL",Cash_Events!$B$6:$B$20,"&lt;="&amp;A2017)</f>
        <v>735000</v>
      </c>
      <c r="J2017" s="38" t="n">
        <f aca="false">VLOOKUP(A2017,Inputs!$F$40:$G$48,2,TRUE())</f>
        <v>0.0364054</v>
      </c>
      <c r="K2017" s="38" t="n">
        <f aca="false">J2017+Inputs!$C$10</f>
        <v>0.1039054</v>
      </c>
      <c r="L2017" s="37" t="n">
        <f aca="false">I2017*K2017/C2017</f>
        <v>208.662483606557</v>
      </c>
      <c r="M2017" s="37" t="n">
        <f aca="false">IF(AND(A2017&gt;=Inputs!$C$13,OR(A2017&lt;Inputs!$B$19,Inputs!$B$20=1)),I2017*Inputs!$C$11/C2017,0)</f>
        <v>40.1639344262295</v>
      </c>
    </row>
    <row r="2018" customFormat="false" ht="15" hidden="false" customHeight="false" outlineLevel="0" collapsed="false">
      <c r="A2018" s="35" t="n">
        <f aca="false">A2017+1</f>
        <v>46825</v>
      </c>
      <c r="B2018" s="35" t="n">
        <f aca="false">EOMONTH(A2018+1,0)</f>
        <v>46843</v>
      </c>
      <c r="C2018" s="36" t="n">
        <f aca="false">IF(MOD(YEAR(A2018),4)=0,366,365)</f>
        <v>366</v>
      </c>
      <c r="D2018" s="37" t="n">
        <f aca="false">Inputs!$B$9-SUMIFS(Cash_Events!$G$6:$G$20,Cash_Events!$C$6:$C$20,"rAGMF",Cash_Events!$B$6:$B$20,"&lt;="&amp;A2018)</f>
        <v>735000</v>
      </c>
      <c r="E2018" s="38" t="n">
        <f aca="false">VLOOKUP(A2018,Inputs!$A$40:$B$48,2,TRUE())</f>
        <v>0.0363225</v>
      </c>
      <c r="F2018" s="38" t="n">
        <f aca="false">E2018+Inputs!$B$10</f>
        <v>0.1038225</v>
      </c>
      <c r="G2018" s="37" t="n">
        <f aca="false">D2018*F2018/C2018</f>
        <v>208.496004098361</v>
      </c>
      <c r="H2018" s="37" t="n">
        <f aca="false">IF(AND(A2018&gt;=Inputs!$B$13,OR(A2018&lt;Inputs!$B$19,Inputs!$B$20=1)),D2018*Inputs!$B$11/C2018,0)</f>
        <v>40.1639344262295</v>
      </c>
      <c r="I2018" s="37" t="n">
        <f aca="false">Inputs!$C$9-SUMIFS(Cash_Events!$G$6:$G$20,Cash_Events!$C$6:$C$20,"FHL",Cash_Events!$B$6:$B$20,"&lt;="&amp;A2018)</f>
        <v>735000</v>
      </c>
      <c r="J2018" s="38" t="n">
        <f aca="false">VLOOKUP(A2018,Inputs!$F$40:$G$48,2,TRUE())</f>
        <v>0.0364054</v>
      </c>
      <c r="K2018" s="38" t="n">
        <f aca="false">J2018+Inputs!$C$10</f>
        <v>0.1039054</v>
      </c>
      <c r="L2018" s="37" t="n">
        <f aca="false">I2018*K2018/C2018</f>
        <v>208.662483606557</v>
      </c>
      <c r="M2018" s="37" t="n">
        <f aca="false">IF(AND(A2018&gt;=Inputs!$C$13,OR(A2018&lt;Inputs!$B$19,Inputs!$B$20=1)),I2018*Inputs!$C$11/C2018,0)</f>
        <v>40.1639344262295</v>
      </c>
    </row>
    <row r="2019" customFormat="false" ht="15" hidden="false" customHeight="false" outlineLevel="0" collapsed="false">
      <c r="A2019" s="35" t="n">
        <f aca="false">A2018+1</f>
        <v>46826</v>
      </c>
      <c r="B2019" s="35" t="n">
        <f aca="false">EOMONTH(A2019+1,0)</f>
        <v>46843</v>
      </c>
      <c r="C2019" s="36" t="n">
        <f aca="false">IF(MOD(YEAR(A2019),4)=0,366,365)</f>
        <v>366</v>
      </c>
      <c r="D2019" s="37" t="n">
        <f aca="false">Inputs!$B$9-SUMIFS(Cash_Events!$G$6:$G$20,Cash_Events!$C$6:$C$20,"rAGMF",Cash_Events!$B$6:$B$20,"&lt;="&amp;A2019)</f>
        <v>735000</v>
      </c>
      <c r="E2019" s="38" t="n">
        <f aca="false">VLOOKUP(A2019,Inputs!$A$40:$B$48,2,TRUE())</f>
        <v>0.0363225</v>
      </c>
      <c r="F2019" s="38" t="n">
        <f aca="false">E2019+Inputs!$B$10</f>
        <v>0.1038225</v>
      </c>
      <c r="G2019" s="37" t="n">
        <f aca="false">D2019*F2019/C2019</f>
        <v>208.496004098361</v>
      </c>
      <c r="H2019" s="37" t="n">
        <f aca="false">IF(AND(A2019&gt;=Inputs!$B$13,OR(A2019&lt;Inputs!$B$19,Inputs!$B$20=1)),D2019*Inputs!$B$11/C2019,0)</f>
        <v>40.1639344262295</v>
      </c>
      <c r="I2019" s="37" t="n">
        <f aca="false">Inputs!$C$9-SUMIFS(Cash_Events!$G$6:$G$20,Cash_Events!$C$6:$C$20,"FHL",Cash_Events!$B$6:$B$20,"&lt;="&amp;A2019)</f>
        <v>735000</v>
      </c>
      <c r="J2019" s="38" t="n">
        <f aca="false">VLOOKUP(A2019,Inputs!$F$40:$G$48,2,TRUE())</f>
        <v>0.0364054</v>
      </c>
      <c r="K2019" s="38" t="n">
        <f aca="false">J2019+Inputs!$C$10</f>
        <v>0.1039054</v>
      </c>
      <c r="L2019" s="37" t="n">
        <f aca="false">I2019*K2019/C2019</f>
        <v>208.662483606557</v>
      </c>
      <c r="M2019" s="37" t="n">
        <f aca="false">IF(AND(A2019&gt;=Inputs!$C$13,OR(A2019&lt;Inputs!$B$19,Inputs!$B$20=1)),I2019*Inputs!$C$11/C2019,0)</f>
        <v>40.1639344262295</v>
      </c>
    </row>
    <row r="2020" customFormat="false" ht="15" hidden="false" customHeight="false" outlineLevel="0" collapsed="false">
      <c r="A2020" s="35" t="n">
        <f aca="false">A2019+1</f>
        <v>46827</v>
      </c>
      <c r="B2020" s="35" t="n">
        <f aca="false">EOMONTH(A2020+1,0)</f>
        <v>46843</v>
      </c>
      <c r="C2020" s="36" t="n">
        <f aca="false">IF(MOD(YEAR(A2020),4)=0,366,365)</f>
        <v>366</v>
      </c>
      <c r="D2020" s="37" t="n">
        <f aca="false">Inputs!$B$9-SUMIFS(Cash_Events!$G$6:$G$20,Cash_Events!$C$6:$C$20,"rAGMF",Cash_Events!$B$6:$B$20,"&lt;="&amp;A2020)</f>
        <v>735000</v>
      </c>
      <c r="E2020" s="38" t="n">
        <f aca="false">VLOOKUP(A2020,Inputs!$A$40:$B$48,2,TRUE())</f>
        <v>0.0363225</v>
      </c>
      <c r="F2020" s="38" t="n">
        <f aca="false">E2020+Inputs!$B$10</f>
        <v>0.1038225</v>
      </c>
      <c r="G2020" s="37" t="n">
        <f aca="false">D2020*F2020/C2020</f>
        <v>208.496004098361</v>
      </c>
      <c r="H2020" s="37" t="n">
        <f aca="false">IF(AND(A2020&gt;=Inputs!$B$13,OR(A2020&lt;Inputs!$B$19,Inputs!$B$20=1)),D2020*Inputs!$B$11/C2020,0)</f>
        <v>40.1639344262295</v>
      </c>
      <c r="I2020" s="37" t="n">
        <f aca="false">Inputs!$C$9-SUMIFS(Cash_Events!$G$6:$G$20,Cash_Events!$C$6:$C$20,"FHL",Cash_Events!$B$6:$B$20,"&lt;="&amp;A2020)</f>
        <v>735000</v>
      </c>
      <c r="J2020" s="38" t="n">
        <f aca="false">VLOOKUP(A2020,Inputs!$F$40:$G$48,2,TRUE())</f>
        <v>0.0364054</v>
      </c>
      <c r="K2020" s="38" t="n">
        <f aca="false">J2020+Inputs!$C$10</f>
        <v>0.1039054</v>
      </c>
      <c r="L2020" s="37" t="n">
        <f aca="false">I2020*K2020/C2020</f>
        <v>208.662483606557</v>
      </c>
      <c r="M2020" s="37" t="n">
        <f aca="false">IF(AND(A2020&gt;=Inputs!$C$13,OR(A2020&lt;Inputs!$B$19,Inputs!$B$20=1)),I2020*Inputs!$C$11/C2020,0)</f>
        <v>40.1639344262295</v>
      </c>
    </row>
    <row r="2021" customFormat="false" ht="15" hidden="false" customHeight="false" outlineLevel="0" collapsed="false">
      <c r="A2021" s="35" t="n">
        <f aca="false">A2020+1</f>
        <v>46828</v>
      </c>
      <c r="B2021" s="35" t="n">
        <f aca="false">EOMONTH(A2021+1,0)</f>
        <v>46843</v>
      </c>
      <c r="C2021" s="36" t="n">
        <f aca="false">IF(MOD(YEAR(A2021),4)=0,366,365)</f>
        <v>366</v>
      </c>
      <c r="D2021" s="37" t="n">
        <f aca="false">Inputs!$B$9-SUMIFS(Cash_Events!$G$6:$G$20,Cash_Events!$C$6:$C$20,"rAGMF",Cash_Events!$B$6:$B$20,"&lt;="&amp;A2021)</f>
        <v>735000</v>
      </c>
      <c r="E2021" s="38" t="n">
        <f aca="false">VLOOKUP(A2021,Inputs!$A$40:$B$48,2,TRUE())</f>
        <v>0.0363225</v>
      </c>
      <c r="F2021" s="38" t="n">
        <f aca="false">E2021+Inputs!$B$10</f>
        <v>0.1038225</v>
      </c>
      <c r="G2021" s="37" t="n">
        <f aca="false">D2021*F2021/C2021</f>
        <v>208.496004098361</v>
      </c>
      <c r="H2021" s="37" t="n">
        <f aca="false">IF(AND(A2021&gt;=Inputs!$B$13,OR(A2021&lt;Inputs!$B$19,Inputs!$B$20=1)),D2021*Inputs!$B$11/C2021,0)</f>
        <v>40.1639344262295</v>
      </c>
      <c r="I2021" s="37" t="n">
        <f aca="false">Inputs!$C$9-SUMIFS(Cash_Events!$G$6:$G$20,Cash_Events!$C$6:$C$20,"FHL",Cash_Events!$B$6:$B$20,"&lt;="&amp;A2021)</f>
        <v>735000</v>
      </c>
      <c r="J2021" s="38" t="n">
        <f aca="false">VLOOKUP(A2021,Inputs!$F$40:$G$48,2,TRUE())</f>
        <v>0.0364054</v>
      </c>
      <c r="K2021" s="38" t="n">
        <f aca="false">J2021+Inputs!$C$10</f>
        <v>0.1039054</v>
      </c>
      <c r="L2021" s="37" t="n">
        <f aca="false">I2021*K2021/C2021</f>
        <v>208.662483606557</v>
      </c>
      <c r="M2021" s="37" t="n">
        <f aca="false">IF(AND(A2021&gt;=Inputs!$C$13,OR(A2021&lt;Inputs!$B$19,Inputs!$B$20=1)),I2021*Inputs!$C$11/C2021,0)</f>
        <v>40.1639344262295</v>
      </c>
    </row>
    <row r="2022" customFormat="false" ht="15" hidden="false" customHeight="false" outlineLevel="0" collapsed="false">
      <c r="A2022" s="35" t="n">
        <f aca="false">A2021+1</f>
        <v>46829</v>
      </c>
      <c r="B2022" s="35" t="n">
        <f aca="false">EOMONTH(A2022+1,0)</f>
        <v>46843</v>
      </c>
      <c r="C2022" s="36" t="n">
        <f aca="false">IF(MOD(YEAR(A2022),4)=0,366,365)</f>
        <v>366</v>
      </c>
      <c r="D2022" s="37" t="n">
        <f aca="false">Inputs!$B$9-SUMIFS(Cash_Events!$G$6:$G$20,Cash_Events!$C$6:$C$20,"rAGMF",Cash_Events!$B$6:$B$20,"&lt;="&amp;A2022)</f>
        <v>735000</v>
      </c>
      <c r="E2022" s="38" t="n">
        <f aca="false">VLOOKUP(A2022,Inputs!$A$40:$B$48,2,TRUE())</f>
        <v>0.0363225</v>
      </c>
      <c r="F2022" s="38" t="n">
        <f aca="false">E2022+Inputs!$B$10</f>
        <v>0.1038225</v>
      </c>
      <c r="G2022" s="37" t="n">
        <f aca="false">D2022*F2022/C2022</f>
        <v>208.496004098361</v>
      </c>
      <c r="H2022" s="37" t="n">
        <f aca="false">IF(AND(A2022&gt;=Inputs!$B$13,OR(A2022&lt;Inputs!$B$19,Inputs!$B$20=1)),D2022*Inputs!$B$11/C2022,0)</f>
        <v>40.1639344262295</v>
      </c>
      <c r="I2022" s="37" t="n">
        <f aca="false">Inputs!$C$9-SUMIFS(Cash_Events!$G$6:$G$20,Cash_Events!$C$6:$C$20,"FHL",Cash_Events!$B$6:$B$20,"&lt;="&amp;A2022)</f>
        <v>735000</v>
      </c>
      <c r="J2022" s="38" t="n">
        <f aca="false">VLOOKUP(A2022,Inputs!$F$40:$G$48,2,TRUE())</f>
        <v>0.0364054</v>
      </c>
      <c r="K2022" s="38" t="n">
        <f aca="false">J2022+Inputs!$C$10</f>
        <v>0.1039054</v>
      </c>
      <c r="L2022" s="37" t="n">
        <f aca="false">I2022*K2022/C2022</f>
        <v>208.662483606557</v>
      </c>
      <c r="M2022" s="37" t="n">
        <f aca="false">IF(AND(A2022&gt;=Inputs!$C$13,OR(A2022&lt;Inputs!$B$19,Inputs!$B$20=1)),I2022*Inputs!$C$11/C2022,0)</f>
        <v>40.1639344262295</v>
      </c>
    </row>
    <row r="2023" customFormat="false" ht="15" hidden="false" customHeight="false" outlineLevel="0" collapsed="false">
      <c r="A2023" s="35" t="n">
        <f aca="false">A2022+1</f>
        <v>46830</v>
      </c>
      <c r="B2023" s="35" t="n">
        <f aca="false">EOMONTH(A2023+1,0)</f>
        <v>46843</v>
      </c>
      <c r="C2023" s="36" t="n">
        <f aca="false">IF(MOD(YEAR(A2023),4)=0,366,365)</f>
        <v>366</v>
      </c>
      <c r="D2023" s="37" t="n">
        <f aca="false">Inputs!$B$9-SUMIFS(Cash_Events!$G$6:$G$20,Cash_Events!$C$6:$C$20,"rAGMF",Cash_Events!$B$6:$B$20,"&lt;="&amp;A2023)</f>
        <v>735000</v>
      </c>
      <c r="E2023" s="38" t="n">
        <f aca="false">VLOOKUP(A2023,Inputs!$A$40:$B$48,2,TRUE())</f>
        <v>0.0363225</v>
      </c>
      <c r="F2023" s="38" t="n">
        <f aca="false">E2023+Inputs!$B$10</f>
        <v>0.1038225</v>
      </c>
      <c r="G2023" s="37" t="n">
        <f aca="false">D2023*F2023/C2023</f>
        <v>208.496004098361</v>
      </c>
      <c r="H2023" s="37" t="n">
        <f aca="false">IF(AND(A2023&gt;=Inputs!$B$13,OR(A2023&lt;Inputs!$B$19,Inputs!$B$20=1)),D2023*Inputs!$B$11/C2023,0)</f>
        <v>40.1639344262295</v>
      </c>
      <c r="I2023" s="37" t="n">
        <f aca="false">Inputs!$C$9-SUMIFS(Cash_Events!$G$6:$G$20,Cash_Events!$C$6:$C$20,"FHL",Cash_Events!$B$6:$B$20,"&lt;="&amp;A2023)</f>
        <v>735000</v>
      </c>
      <c r="J2023" s="38" t="n">
        <f aca="false">VLOOKUP(A2023,Inputs!$F$40:$G$48,2,TRUE())</f>
        <v>0.0364054</v>
      </c>
      <c r="K2023" s="38" t="n">
        <f aca="false">J2023+Inputs!$C$10</f>
        <v>0.1039054</v>
      </c>
      <c r="L2023" s="37" t="n">
        <f aca="false">I2023*K2023/C2023</f>
        <v>208.662483606557</v>
      </c>
      <c r="M2023" s="37" t="n">
        <f aca="false">IF(AND(A2023&gt;=Inputs!$C$13,OR(A2023&lt;Inputs!$B$19,Inputs!$B$20=1)),I2023*Inputs!$C$11/C2023,0)</f>
        <v>40.1639344262295</v>
      </c>
    </row>
    <row r="2024" customFormat="false" ht="15" hidden="false" customHeight="false" outlineLevel="0" collapsed="false">
      <c r="A2024" s="35" t="n">
        <f aca="false">A2023+1</f>
        <v>46831</v>
      </c>
      <c r="B2024" s="35" t="n">
        <f aca="false">EOMONTH(A2024+1,0)</f>
        <v>46843</v>
      </c>
      <c r="C2024" s="36" t="n">
        <f aca="false">IF(MOD(YEAR(A2024),4)=0,366,365)</f>
        <v>366</v>
      </c>
      <c r="D2024" s="37" t="n">
        <f aca="false">Inputs!$B$9-SUMIFS(Cash_Events!$G$6:$G$20,Cash_Events!$C$6:$C$20,"rAGMF",Cash_Events!$B$6:$B$20,"&lt;="&amp;A2024)</f>
        <v>735000</v>
      </c>
      <c r="E2024" s="38" t="n">
        <f aca="false">VLOOKUP(A2024,Inputs!$A$40:$B$48,2,TRUE())</f>
        <v>0.0363225</v>
      </c>
      <c r="F2024" s="38" t="n">
        <f aca="false">E2024+Inputs!$B$10</f>
        <v>0.1038225</v>
      </c>
      <c r="G2024" s="37" t="n">
        <f aca="false">D2024*F2024/C2024</f>
        <v>208.496004098361</v>
      </c>
      <c r="H2024" s="37" t="n">
        <f aca="false">IF(AND(A2024&gt;=Inputs!$B$13,OR(A2024&lt;Inputs!$B$19,Inputs!$B$20=1)),D2024*Inputs!$B$11/C2024,0)</f>
        <v>40.1639344262295</v>
      </c>
      <c r="I2024" s="37" t="n">
        <f aca="false">Inputs!$C$9-SUMIFS(Cash_Events!$G$6:$G$20,Cash_Events!$C$6:$C$20,"FHL",Cash_Events!$B$6:$B$20,"&lt;="&amp;A2024)</f>
        <v>735000</v>
      </c>
      <c r="J2024" s="38" t="n">
        <f aca="false">VLOOKUP(A2024,Inputs!$F$40:$G$48,2,TRUE())</f>
        <v>0.0364054</v>
      </c>
      <c r="K2024" s="38" t="n">
        <f aca="false">J2024+Inputs!$C$10</f>
        <v>0.1039054</v>
      </c>
      <c r="L2024" s="37" t="n">
        <f aca="false">I2024*K2024/C2024</f>
        <v>208.662483606557</v>
      </c>
      <c r="M2024" s="37" t="n">
        <f aca="false">IF(AND(A2024&gt;=Inputs!$C$13,OR(A2024&lt;Inputs!$B$19,Inputs!$B$20=1)),I2024*Inputs!$C$11/C2024,0)</f>
        <v>40.1639344262295</v>
      </c>
    </row>
    <row r="2025" customFormat="false" ht="15" hidden="false" customHeight="false" outlineLevel="0" collapsed="false">
      <c r="A2025" s="35" t="n">
        <f aca="false">A2024+1</f>
        <v>46832</v>
      </c>
      <c r="B2025" s="35" t="n">
        <f aca="false">EOMONTH(A2025+1,0)</f>
        <v>46843</v>
      </c>
      <c r="C2025" s="36" t="n">
        <f aca="false">IF(MOD(YEAR(A2025),4)=0,366,365)</f>
        <v>366</v>
      </c>
      <c r="D2025" s="37" t="n">
        <f aca="false">Inputs!$B$9-SUMIFS(Cash_Events!$G$6:$G$20,Cash_Events!$C$6:$C$20,"rAGMF",Cash_Events!$B$6:$B$20,"&lt;="&amp;A2025)</f>
        <v>735000</v>
      </c>
      <c r="E2025" s="38" t="n">
        <f aca="false">VLOOKUP(A2025,Inputs!$A$40:$B$48,2,TRUE())</f>
        <v>0.0363225</v>
      </c>
      <c r="F2025" s="38" t="n">
        <f aca="false">E2025+Inputs!$B$10</f>
        <v>0.1038225</v>
      </c>
      <c r="G2025" s="37" t="n">
        <f aca="false">D2025*F2025/C2025</f>
        <v>208.496004098361</v>
      </c>
      <c r="H2025" s="37" t="n">
        <f aca="false">IF(AND(A2025&gt;=Inputs!$B$13,OR(A2025&lt;Inputs!$B$19,Inputs!$B$20=1)),D2025*Inputs!$B$11/C2025,0)</f>
        <v>40.1639344262295</v>
      </c>
      <c r="I2025" s="37" t="n">
        <f aca="false">Inputs!$C$9-SUMIFS(Cash_Events!$G$6:$G$20,Cash_Events!$C$6:$C$20,"FHL",Cash_Events!$B$6:$B$20,"&lt;="&amp;A2025)</f>
        <v>735000</v>
      </c>
      <c r="J2025" s="38" t="n">
        <f aca="false">VLOOKUP(A2025,Inputs!$F$40:$G$48,2,TRUE())</f>
        <v>0.0364054</v>
      </c>
      <c r="K2025" s="38" t="n">
        <f aca="false">J2025+Inputs!$C$10</f>
        <v>0.1039054</v>
      </c>
      <c r="L2025" s="37" t="n">
        <f aca="false">I2025*K2025/C2025</f>
        <v>208.662483606557</v>
      </c>
      <c r="M2025" s="37" t="n">
        <f aca="false">IF(AND(A2025&gt;=Inputs!$C$13,OR(A2025&lt;Inputs!$B$19,Inputs!$B$20=1)),I2025*Inputs!$C$11/C2025,0)</f>
        <v>40.1639344262295</v>
      </c>
    </row>
    <row r="2026" customFormat="false" ht="15" hidden="false" customHeight="false" outlineLevel="0" collapsed="false">
      <c r="A2026" s="35" t="n">
        <f aca="false">A2025+1</f>
        <v>46833</v>
      </c>
      <c r="B2026" s="35" t="n">
        <f aca="false">EOMONTH(A2026+1,0)</f>
        <v>46843</v>
      </c>
      <c r="C2026" s="36" t="n">
        <f aca="false">IF(MOD(YEAR(A2026),4)=0,366,365)</f>
        <v>366</v>
      </c>
      <c r="D2026" s="37" t="n">
        <f aca="false">Inputs!$B$9-SUMIFS(Cash_Events!$G$6:$G$20,Cash_Events!$C$6:$C$20,"rAGMF",Cash_Events!$B$6:$B$20,"&lt;="&amp;A2026)</f>
        <v>735000</v>
      </c>
      <c r="E2026" s="38" t="n">
        <f aca="false">VLOOKUP(A2026,Inputs!$A$40:$B$48,2,TRUE())</f>
        <v>0.0363225</v>
      </c>
      <c r="F2026" s="38" t="n">
        <f aca="false">E2026+Inputs!$B$10</f>
        <v>0.1038225</v>
      </c>
      <c r="G2026" s="37" t="n">
        <f aca="false">D2026*F2026/C2026</f>
        <v>208.496004098361</v>
      </c>
      <c r="H2026" s="37" t="n">
        <f aca="false">IF(AND(A2026&gt;=Inputs!$B$13,OR(A2026&lt;Inputs!$B$19,Inputs!$B$20=1)),D2026*Inputs!$B$11/C2026,0)</f>
        <v>40.1639344262295</v>
      </c>
      <c r="I2026" s="37" t="n">
        <f aca="false">Inputs!$C$9-SUMIFS(Cash_Events!$G$6:$G$20,Cash_Events!$C$6:$C$20,"FHL",Cash_Events!$B$6:$B$20,"&lt;="&amp;A2026)</f>
        <v>735000</v>
      </c>
      <c r="J2026" s="38" t="n">
        <f aca="false">VLOOKUP(A2026,Inputs!$F$40:$G$48,2,TRUE())</f>
        <v>0.0364054</v>
      </c>
      <c r="K2026" s="38" t="n">
        <f aca="false">J2026+Inputs!$C$10</f>
        <v>0.1039054</v>
      </c>
      <c r="L2026" s="37" t="n">
        <f aca="false">I2026*K2026/C2026</f>
        <v>208.662483606557</v>
      </c>
      <c r="M2026" s="37" t="n">
        <f aca="false">IF(AND(A2026&gt;=Inputs!$C$13,OR(A2026&lt;Inputs!$B$19,Inputs!$B$20=1)),I2026*Inputs!$C$11/C2026,0)</f>
        <v>40.1639344262295</v>
      </c>
    </row>
    <row r="2027" customFormat="false" ht="15" hidden="false" customHeight="false" outlineLevel="0" collapsed="false">
      <c r="A2027" s="35" t="n">
        <f aca="false">A2026+1</f>
        <v>46834</v>
      </c>
      <c r="B2027" s="35" t="n">
        <f aca="false">EOMONTH(A2027+1,0)</f>
        <v>46843</v>
      </c>
      <c r="C2027" s="36" t="n">
        <f aca="false">IF(MOD(YEAR(A2027),4)=0,366,365)</f>
        <v>366</v>
      </c>
      <c r="D2027" s="37" t="n">
        <f aca="false">Inputs!$B$9-SUMIFS(Cash_Events!$G$6:$G$20,Cash_Events!$C$6:$C$20,"rAGMF",Cash_Events!$B$6:$B$20,"&lt;="&amp;A2027)</f>
        <v>735000</v>
      </c>
      <c r="E2027" s="38" t="n">
        <f aca="false">VLOOKUP(A2027,Inputs!$A$40:$B$48,2,TRUE())</f>
        <v>0.0363225</v>
      </c>
      <c r="F2027" s="38" t="n">
        <f aca="false">E2027+Inputs!$B$10</f>
        <v>0.1038225</v>
      </c>
      <c r="G2027" s="37" t="n">
        <f aca="false">D2027*F2027/C2027</f>
        <v>208.496004098361</v>
      </c>
      <c r="H2027" s="37" t="n">
        <f aca="false">IF(AND(A2027&gt;=Inputs!$B$13,OR(A2027&lt;Inputs!$B$19,Inputs!$B$20=1)),D2027*Inputs!$B$11/C2027,0)</f>
        <v>40.1639344262295</v>
      </c>
      <c r="I2027" s="37" t="n">
        <f aca="false">Inputs!$C$9-SUMIFS(Cash_Events!$G$6:$G$20,Cash_Events!$C$6:$C$20,"FHL",Cash_Events!$B$6:$B$20,"&lt;="&amp;A2027)</f>
        <v>735000</v>
      </c>
      <c r="J2027" s="38" t="n">
        <f aca="false">VLOOKUP(A2027,Inputs!$F$40:$G$48,2,TRUE())</f>
        <v>0.0364054</v>
      </c>
      <c r="K2027" s="38" t="n">
        <f aca="false">J2027+Inputs!$C$10</f>
        <v>0.1039054</v>
      </c>
      <c r="L2027" s="37" t="n">
        <f aca="false">I2027*K2027/C2027</f>
        <v>208.662483606557</v>
      </c>
      <c r="M2027" s="37" t="n">
        <f aca="false">IF(AND(A2027&gt;=Inputs!$C$13,OR(A2027&lt;Inputs!$B$19,Inputs!$B$20=1)),I2027*Inputs!$C$11/C2027,0)</f>
        <v>40.1639344262295</v>
      </c>
    </row>
    <row r="2028" customFormat="false" ht="15" hidden="false" customHeight="false" outlineLevel="0" collapsed="false">
      <c r="A2028" s="35" t="n">
        <f aca="false">A2027+1</f>
        <v>46835</v>
      </c>
      <c r="B2028" s="35" t="n">
        <f aca="false">EOMONTH(A2028+1,0)</f>
        <v>46843</v>
      </c>
      <c r="C2028" s="36" t="n">
        <f aca="false">IF(MOD(YEAR(A2028),4)=0,366,365)</f>
        <v>366</v>
      </c>
      <c r="D2028" s="37" t="n">
        <f aca="false">Inputs!$B$9-SUMIFS(Cash_Events!$G$6:$G$20,Cash_Events!$C$6:$C$20,"rAGMF",Cash_Events!$B$6:$B$20,"&lt;="&amp;A2028)</f>
        <v>735000</v>
      </c>
      <c r="E2028" s="38" t="n">
        <f aca="false">VLOOKUP(A2028,Inputs!$A$40:$B$48,2,TRUE())</f>
        <v>0.0363225</v>
      </c>
      <c r="F2028" s="38" t="n">
        <f aca="false">E2028+Inputs!$B$10</f>
        <v>0.1038225</v>
      </c>
      <c r="G2028" s="37" t="n">
        <f aca="false">D2028*F2028/C2028</f>
        <v>208.496004098361</v>
      </c>
      <c r="H2028" s="37" t="n">
        <f aca="false">IF(AND(A2028&gt;=Inputs!$B$13,OR(A2028&lt;Inputs!$B$19,Inputs!$B$20=1)),D2028*Inputs!$B$11/C2028,0)</f>
        <v>40.1639344262295</v>
      </c>
      <c r="I2028" s="37" t="n">
        <f aca="false">Inputs!$C$9-SUMIFS(Cash_Events!$G$6:$G$20,Cash_Events!$C$6:$C$20,"FHL",Cash_Events!$B$6:$B$20,"&lt;="&amp;A2028)</f>
        <v>735000</v>
      </c>
      <c r="J2028" s="38" t="n">
        <f aca="false">VLOOKUP(A2028,Inputs!$F$40:$G$48,2,TRUE())</f>
        <v>0.0364054</v>
      </c>
      <c r="K2028" s="38" t="n">
        <f aca="false">J2028+Inputs!$C$10</f>
        <v>0.1039054</v>
      </c>
      <c r="L2028" s="37" t="n">
        <f aca="false">I2028*K2028/C2028</f>
        <v>208.662483606557</v>
      </c>
      <c r="M2028" s="37" t="n">
        <f aca="false">IF(AND(A2028&gt;=Inputs!$C$13,OR(A2028&lt;Inputs!$B$19,Inputs!$B$20=1)),I2028*Inputs!$C$11/C2028,0)</f>
        <v>40.1639344262295</v>
      </c>
    </row>
    <row r="2029" customFormat="false" ht="15" hidden="false" customHeight="false" outlineLevel="0" collapsed="false">
      <c r="A2029" s="35" t="n">
        <f aca="false">A2028+1</f>
        <v>46836</v>
      </c>
      <c r="B2029" s="35" t="n">
        <f aca="false">EOMONTH(A2029+1,0)</f>
        <v>46843</v>
      </c>
      <c r="C2029" s="36" t="n">
        <f aca="false">IF(MOD(YEAR(A2029),4)=0,366,365)</f>
        <v>366</v>
      </c>
      <c r="D2029" s="37" t="n">
        <f aca="false">Inputs!$B$9-SUMIFS(Cash_Events!$G$6:$G$20,Cash_Events!$C$6:$C$20,"rAGMF",Cash_Events!$B$6:$B$20,"&lt;="&amp;A2029)</f>
        <v>735000</v>
      </c>
      <c r="E2029" s="38" t="n">
        <f aca="false">VLOOKUP(A2029,Inputs!$A$40:$B$48,2,TRUE())</f>
        <v>0.0363225</v>
      </c>
      <c r="F2029" s="38" t="n">
        <f aca="false">E2029+Inputs!$B$10</f>
        <v>0.1038225</v>
      </c>
      <c r="G2029" s="37" t="n">
        <f aca="false">D2029*F2029/C2029</f>
        <v>208.496004098361</v>
      </c>
      <c r="H2029" s="37" t="n">
        <f aca="false">IF(AND(A2029&gt;=Inputs!$B$13,OR(A2029&lt;Inputs!$B$19,Inputs!$B$20=1)),D2029*Inputs!$B$11/C2029,0)</f>
        <v>40.1639344262295</v>
      </c>
      <c r="I2029" s="37" t="n">
        <f aca="false">Inputs!$C$9-SUMIFS(Cash_Events!$G$6:$G$20,Cash_Events!$C$6:$C$20,"FHL",Cash_Events!$B$6:$B$20,"&lt;="&amp;A2029)</f>
        <v>735000</v>
      </c>
      <c r="J2029" s="38" t="n">
        <f aca="false">VLOOKUP(A2029,Inputs!$F$40:$G$48,2,TRUE())</f>
        <v>0.0364054</v>
      </c>
      <c r="K2029" s="38" t="n">
        <f aca="false">J2029+Inputs!$C$10</f>
        <v>0.1039054</v>
      </c>
      <c r="L2029" s="37" t="n">
        <f aca="false">I2029*K2029/C2029</f>
        <v>208.662483606557</v>
      </c>
      <c r="M2029" s="37" t="n">
        <f aca="false">IF(AND(A2029&gt;=Inputs!$C$13,OR(A2029&lt;Inputs!$B$19,Inputs!$B$20=1)),I2029*Inputs!$C$11/C2029,0)</f>
        <v>40.1639344262295</v>
      </c>
    </row>
    <row r="2030" customFormat="false" ht="15" hidden="false" customHeight="false" outlineLevel="0" collapsed="false">
      <c r="A2030" s="35" t="n">
        <f aca="false">A2029+1</f>
        <v>46837</v>
      </c>
      <c r="B2030" s="35" t="n">
        <f aca="false">EOMONTH(A2030+1,0)</f>
        <v>46843</v>
      </c>
      <c r="C2030" s="36" t="n">
        <f aca="false">IF(MOD(YEAR(A2030),4)=0,366,365)</f>
        <v>366</v>
      </c>
      <c r="D2030" s="37" t="n">
        <f aca="false">Inputs!$B$9-SUMIFS(Cash_Events!$G$6:$G$20,Cash_Events!$C$6:$C$20,"rAGMF",Cash_Events!$B$6:$B$20,"&lt;="&amp;A2030)</f>
        <v>735000</v>
      </c>
      <c r="E2030" s="38" t="n">
        <f aca="false">VLOOKUP(A2030,Inputs!$A$40:$B$48,2,TRUE())</f>
        <v>0.0363225</v>
      </c>
      <c r="F2030" s="38" t="n">
        <f aca="false">E2030+Inputs!$B$10</f>
        <v>0.1038225</v>
      </c>
      <c r="G2030" s="37" t="n">
        <f aca="false">D2030*F2030/C2030</f>
        <v>208.496004098361</v>
      </c>
      <c r="H2030" s="37" t="n">
        <f aca="false">IF(AND(A2030&gt;=Inputs!$B$13,OR(A2030&lt;Inputs!$B$19,Inputs!$B$20=1)),D2030*Inputs!$B$11/C2030,0)</f>
        <v>40.1639344262295</v>
      </c>
      <c r="I2030" s="37" t="n">
        <f aca="false">Inputs!$C$9-SUMIFS(Cash_Events!$G$6:$G$20,Cash_Events!$C$6:$C$20,"FHL",Cash_Events!$B$6:$B$20,"&lt;="&amp;A2030)</f>
        <v>735000</v>
      </c>
      <c r="J2030" s="38" t="n">
        <f aca="false">VLOOKUP(A2030,Inputs!$F$40:$G$48,2,TRUE())</f>
        <v>0.0364054</v>
      </c>
      <c r="K2030" s="38" t="n">
        <f aca="false">J2030+Inputs!$C$10</f>
        <v>0.1039054</v>
      </c>
      <c r="L2030" s="37" t="n">
        <f aca="false">I2030*K2030/C2030</f>
        <v>208.662483606557</v>
      </c>
      <c r="M2030" s="37" t="n">
        <f aca="false">IF(AND(A2030&gt;=Inputs!$C$13,OR(A2030&lt;Inputs!$B$19,Inputs!$B$20=1)),I2030*Inputs!$C$11/C2030,0)</f>
        <v>40.1639344262295</v>
      </c>
    </row>
    <row r="2031" customFormat="false" ht="15" hidden="false" customHeight="false" outlineLevel="0" collapsed="false">
      <c r="A2031" s="35" t="n">
        <f aca="false">A2030+1</f>
        <v>46838</v>
      </c>
      <c r="B2031" s="35" t="n">
        <f aca="false">EOMONTH(A2031+1,0)</f>
        <v>46843</v>
      </c>
      <c r="C2031" s="36" t="n">
        <f aca="false">IF(MOD(YEAR(A2031),4)=0,366,365)</f>
        <v>366</v>
      </c>
      <c r="D2031" s="37" t="n">
        <f aca="false">Inputs!$B$9-SUMIFS(Cash_Events!$G$6:$G$20,Cash_Events!$C$6:$C$20,"rAGMF",Cash_Events!$B$6:$B$20,"&lt;="&amp;A2031)</f>
        <v>735000</v>
      </c>
      <c r="E2031" s="38" t="n">
        <f aca="false">VLOOKUP(A2031,Inputs!$A$40:$B$48,2,TRUE())</f>
        <v>0.0363225</v>
      </c>
      <c r="F2031" s="38" t="n">
        <f aca="false">E2031+Inputs!$B$10</f>
        <v>0.1038225</v>
      </c>
      <c r="G2031" s="37" t="n">
        <f aca="false">D2031*F2031/C2031</f>
        <v>208.496004098361</v>
      </c>
      <c r="H2031" s="37" t="n">
        <f aca="false">IF(AND(A2031&gt;=Inputs!$B$13,OR(A2031&lt;Inputs!$B$19,Inputs!$B$20=1)),D2031*Inputs!$B$11/C2031,0)</f>
        <v>40.1639344262295</v>
      </c>
      <c r="I2031" s="37" t="n">
        <f aca="false">Inputs!$C$9-SUMIFS(Cash_Events!$G$6:$G$20,Cash_Events!$C$6:$C$20,"FHL",Cash_Events!$B$6:$B$20,"&lt;="&amp;A2031)</f>
        <v>735000</v>
      </c>
      <c r="J2031" s="38" t="n">
        <f aca="false">VLOOKUP(A2031,Inputs!$F$40:$G$48,2,TRUE())</f>
        <v>0.0364054</v>
      </c>
      <c r="K2031" s="38" t="n">
        <f aca="false">J2031+Inputs!$C$10</f>
        <v>0.1039054</v>
      </c>
      <c r="L2031" s="37" t="n">
        <f aca="false">I2031*K2031/C2031</f>
        <v>208.662483606557</v>
      </c>
      <c r="M2031" s="37" t="n">
        <f aca="false">IF(AND(A2031&gt;=Inputs!$C$13,OR(A2031&lt;Inputs!$B$19,Inputs!$B$20=1)),I2031*Inputs!$C$11/C2031,0)</f>
        <v>40.1639344262295</v>
      </c>
    </row>
    <row r="2032" customFormat="false" ht="15" hidden="false" customHeight="false" outlineLevel="0" collapsed="false">
      <c r="A2032" s="35" t="n">
        <f aca="false">A2031+1</f>
        <v>46839</v>
      </c>
      <c r="B2032" s="35" t="n">
        <f aca="false">EOMONTH(A2032+1,0)</f>
        <v>46843</v>
      </c>
      <c r="C2032" s="36" t="n">
        <f aca="false">IF(MOD(YEAR(A2032),4)=0,366,365)</f>
        <v>366</v>
      </c>
      <c r="D2032" s="37" t="n">
        <f aca="false">Inputs!$B$9-SUMIFS(Cash_Events!$G$6:$G$20,Cash_Events!$C$6:$C$20,"rAGMF",Cash_Events!$B$6:$B$20,"&lt;="&amp;A2032)</f>
        <v>735000</v>
      </c>
      <c r="E2032" s="38" t="n">
        <f aca="false">VLOOKUP(A2032,Inputs!$A$40:$B$48,2,TRUE())</f>
        <v>0.0363225</v>
      </c>
      <c r="F2032" s="38" t="n">
        <f aca="false">E2032+Inputs!$B$10</f>
        <v>0.1038225</v>
      </c>
      <c r="G2032" s="37" t="n">
        <f aca="false">D2032*F2032/C2032</f>
        <v>208.496004098361</v>
      </c>
      <c r="H2032" s="37" t="n">
        <f aca="false">IF(AND(A2032&gt;=Inputs!$B$13,OR(A2032&lt;Inputs!$B$19,Inputs!$B$20=1)),D2032*Inputs!$B$11/C2032,0)</f>
        <v>40.1639344262295</v>
      </c>
      <c r="I2032" s="37" t="n">
        <f aca="false">Inputs!$C$9-SUMIFS(Cash_Events!$G$6:$G$20,Cash_Events!$C$6:$C$20,"FHL",Cash_Events!$B$6:$B$20,"&lt;="&amp;A2032)</f>
        <v>735000</v>
      </c>
      <c r="J2032" s="38" t="n">
        <f aca="false">VLOOKUP(A2032,Inputs!$F$40:$G$48,2,TRUE())</f>
        <v>0.0364054</v>
      </c>
      <c r="K2032" s="38" t="n">
        <f aca="false">J2032+Inputs!$C$10</f>
        <v>0.1039054</v>
      </c>
      <c r="L2032" s="37" t="n">
        <f aca="false">I2032*K2032/C2032</f>
        <v>208.662483606557</v>
      </c>
      <c r="M2032" s="37" t="n">
        <f aca="false">IF(AND(A2032&gt;=Inputs!$C$13,OR(A2032&lt;Inputs!$B$19,Inputs!$B$20=1)),I2032*Inputs!$C$11/C2032,0)</f>
        <v>40.1639344262295</v>
      </c>
    </row>
    <row r="2033" customFormat="false" ht="15" hidden="false" customHeight="false" outlineLevel="0" collapsed="false">
      <c r="A2033" s="35" t="n">
        <f aca="false">A2032+1</f>
        <v>46840</v>
      </c>
      <c r="B2033" s="35" t="n">
        <f aca="false">EOMONTH(A2033+1,0)</f>
        <v>46843</v>
      </c>
      <c r="C2033" s="36" t="n">
        <f aca="false">IF(MOD(YEAR(A2033),4)=0,366,365)</f>
        <v>366</v>
      </c>
      <c r="D2033" s="37" t="n">
        <f aca="false">Inputs!$B$9-SUMIFS(Cash_Events!$G$6:$G$20,Cash_Events!$C$6:$C$20,"rAGMF",Cash_Events!$B$6:$B$20,"&lt;="&amp;A2033)</f>
        <v>735000</v>
      </c>
      <c r="E2033" s="38" t="n">
        <f aca="false">VLOOKUP(A2033,Inputs!$A$40:$B$48,2,TRUE())</f>
        <v>0.0363225</v>
      </c>
      <c r="F2033" s="38" t="n">
        <f aca="false">E2033+Inputs!$B$10</f>
        <v>0.1038225</v>
      </c>
      <c r="G2033" s="37" t="n">
        <f aca="false">D2033*F2033/C2033</f>
        <v>208.496004098361</v>
      </c>
      <c r="H2033" s="37" t="n">
        <f aca="false">IF(AND(A2033&gt;=Inputs!$B$13,OR(A2033&lt;Inputs!$B$19,Inputs!$B$20=1)),D2033*Inputs!$B$11/C2033,0)</f>
        <v>40.1639344262295</v>
      </c>
      <c r="I2033" s="37" t="n">
        <f aca="false">Inputs!$C$9-SUMIFS(Cash_Events!$G$6:$G$20,Cash_Events!$C$6:$C$20,"FHL",Cash_Events!$B$6:$B$20,"&lt;="&amp;A2033)</f>
        <v>735000</v>
      </c>
      <c r="J2033" s="38" t="n">
        <f aca="false">VLOOKUP(A2033,Inputs!$F$40:$G$48,2,TRUE())</f>
        <v>0.0364054</v>
      </c>
      <c r="K2033" s="38" t="n">
        <f aca="false">J2033+Inputs!$C$10</f>
        <v>0.1039054</v>
      </c>
      <c r="L2033" s="37" t="n">
        <f aca="false">I2033*K2033/C2033</f>
        <v>208.662483606557</v>
      </c>
      <c r="M2033" s="37" t="n">
        <f aca="false">IF(AND(A2033&gt;=Inputs!$C$13,OR(A2033&lt;Inputs!$B$19,Inputs!$B$20=1)),I2033*Inputs!$C$11/C2033,0)</f>
        <v>40.1639344262295</v>
      </c>
    </row>
    <row r="2034" customFormat="false" ht="15" hidden="false" customHeight="false" outlineLevel="0" collapsed="false">
      <c r="A2034" s="35" t="n">
        <f aca="false">A2033+1</f>
        <v>46841</v>
      </c>
      <c r="B2034" s="35" t="n">
        <f aca="false">EOMONTH(A2034+1,0)</f>
        <v>46843</v>
      </c>
      <c r="C2034" s="36" t="n">
        <f aca="false">IF(MOD(YEAR(A2034),4)=0,366,365)</f>
        <v>366</v>
      </c>
      <c r="D2034" s="37" t="n">
        <f aca="false">Inputs!$B$9-SUMIFS(Cash_Events!$G$6:$G$20,Cash_Events!$C$6:$C$20,"rAGMF",Cash_Events!$B$6:$B$20,"&lt;="&amp;A2034)</f>
        <v>735000</v>
      </c>
      <c r="E2034" s="38" t="n">
        <f aca="false">VLOOKUP(A2034,Inputs!$A$40:$B$48,2,TRUE())</f>
        <v>0.0363225</v>
      </c>
      <c r="F2034" s="38" t="n">
        <f aca="false">E2034+Inputs!$B$10</f>
        <v>0.1038225</v>
      </c>
      <c r="G2034" s="37" t="n">
        <f aca="false">D2034*F2034/C2034</f>
        <v>208.496004098361</v>
      </c>
      <c r="H2034" s="37" t="n">
        <f aca="false">IF(AND(A2034&gt;=Inputs!$B$13,OR(A2034&lt;Inputs!$B$19,Inputs!$B$20=1)),D2034*Inputs!$B$11/C2034,0)</f>
        <v>40.1639344262295</v>
      </c>
      <c r="I2034" s="37" t="n">
        <f aca="false">Inputs!$C$9-SUMIFS(Cash_Events!$G$6:$G$20,Cash_Events!$C$6:$C$20,"FHL",Cash_Events!$B$6:$B$20,"&lt;="&amp;A2034)</f>
        <v>735000</v>
      </c>
      <c r="J2034" s="38" t="n">
        <f aca="false">VLOOKUP(A2034,Inputs!$F$40:$G$48,2,TRUE())</f>
        <v>0.0364054</v>
      </c>
      <c r="K2034" s="38" t="n">
        <f aca="false">J2034+Inputs!$C$10</f>
        <v>0.1039054</v>
      </c>
      <c r="L2034" s="37" t="n">
        <f aca="false">I2034*K2034/C2034</f>
        <v>208.662483606557</v>
      </c>
      <c r="M2034" s="37" t="n">
        <f aca="false">IF(AND(A2034&gt;=Inputs!$C$13,OR(A2034&lt;Inputs!$B$19,Inputs!$B$20=1)),I2034*Inputs!$C$11/C2034,0)</f>
        <v>40.1639344262295</v>
      </c>
    </row>
    <row r="2035" customFormat="false" ht="15" hidden="false" customHeight="false" outlineLevel="0" collapsed="false">
      <c r="A2035" s="35" t="n">
        <f aca="false">A2034+1</f>
        <v>46842</v>
      </c>
      <c r="B2035" s="35" t="n">
        <f aca="false">EOMONTH(A2035+1,0)</f>
        <v>46843</v>
      </c>
      <c r="C2035" s="36" t="n">
        <f aca="false">IF(MOD(YEAR(A2035),4)=0,366,365)</f>
        <v>366</v>
      </c>
      <c r="D2035" s="37" t="n">
        <f aca="false">Inputs!$B$9-SUMIFS(Cash_Events!$G$6:$G$20,Cash_Events!$C$6:$C$20,"rAGMF",Cash_Events!$B$6:$B$20,"&lt;="&amp;A2035)</f>
        <v>735000</v>
      </c>
      <c r="E2035" s="38" t="n">
        <f aca="false">VLOOKUP(A2035,Inputs!$A$40:$B$48,2,TRUE())</f>
        <v>0.0363225</v>
      </c>
      <c r="F2035" s="38" t="n">
        <f aca="false">E2035+Inputs!$B$10</f>
        <v>0.1038225</v>
      </c>
      <c r="G2035" s="37" t="n">
        <f aca="false">D2035*F2035/C2035</f>
        <v>208.496004098361</v>
      </c>
      <c r="H2035" s="37" t="n">
        <f aca="false">IF(AND(A2035&gt;=Inputs!$B$13,OR(A2035&lt;Inputs!$B$19,Inputs!$B$20=1)),D2035*Inputs!$B$11/C2035,0)</f>
        <v>40.1639344262295</v>
      </c>
      <c r="I2035" s="37" t="n">
        <f aca="false">Inputs!$C$9-SUMIFS(Cash_Events!$G$6:$G$20,Cash_Events!$C$6:$C$20,"FHL",Cash_Events!$B$6:$B$20,"&lt;="&amp;A2035)</f>
        <v>735000</v>
      </c>
      <c r="J2035" s="38" t="n">
        <f aca="false">VLOOKUP(A2035,Inputs!$F$40:$G$48,2,TRUE())</f>
        <v>0.0364054</v>
      </c>
      <c r="K2035" s="38" t="n">
        <f aca="false">J2035+Inputs!$C$10</f>
        <v>0.1039054</v>
      </c>
      <c r="L2035" s="37" t="n">
        <f aca="false">I2035*K2035/C2035</f>
        <v>208.662483606557</v>
      </c>
      <c r="M2035" s="37" t="n">
        <f aca="false">IF(AND(A2035&gt;=Inputs!$C$13,OR(A2035&lt;Inputs!$B$19,Inputs!$B$20=1)),I2035*Inputs!$C$11/C2035,0)</f>
        <v>40.1639344262295</v>
      </c>
    </row>
    <row r="2036" customFormat="false" ht="15" hidden="false" customHeight="false" outlineLevel="0" collapsed="false">
      <c r="A2036" s="35" t="n">
        <f aca="false">A2035+1</f>
        <v>46843</v>
      </c>
      <c r="B2036" s="35" t="n">
        <f aca="false">EOMONTH(A2036+1,0)</f>
        <v>46873</v>
      </c>
      <c r="C2036" s="36" t="n">
        <f aca="false">IF(MOD(YEAR(A2036),4)=0,366,365)</f>
        <v>366</v>
      </c>
      <c r="D2036" s="37" t="n">
        <f aca="false">Inputs!$B$9-SUMIFS(Cash_Events!$G$6:$G$20,Cash_Events!$C$6:$C$20,"rAGMF",Cash_Events!$B$6:$B$20,"&lt;="&amp;A2036)</f>
        <v>735000</v>
      </c>
      <c r="E2036" s="38" t="n">
        <f aca="false">VLOOKUP(A2036,Inputs!$A$40:$B$48,2,TRUE())</f>
        <v>0.0363225</v>
      </c>
      <c r="F2036" s="38" t="n">
        <f aca="false">E2036+Inputs!$B$10</f>
        <v>0.1038225</v>
      </c>
      <c r="G2036" s="37" t="n">
        <f aca="false">D2036*F2036/C2036</f>
        <v>208.496004098361</v>
      </c>
      <c r="H2036" s="37" t="n">
        <f aca="false">IF(AND(A2036&gt;=Inputs!$B$13,OR(A2036&lt;Inputs!$B$19,Inputs!$B$20=1)),D2036*Inputs!$B$11/C2036,0)</f>
        <v>40.1639344262295</v>
      </c>
      <c r="I2036" s="37" t="n">
        <f aca="false">Inputs!$C$9-SUMIFS(Cash_Events!$G$6:$G$20,Cash_Events!$C$6:$C$20,"FHL",Cash_Events!$B$6:$B$20,"&lt;="&amp;A2036)</f>
        <v>735000</v>
      </c>
      <c r="J2036" s="38" t="n">
        <f aca="false">VLOOKUP(A2036,Inputs!$F$40:$G$48,2,TRUE())</f>
        <v>0.0364054</v>
      </c>
      <c r="K2036" s="38" t="n">
        <f aca="false">J2036+Inputs!$C$10</f>
        <v>0.1039054</v>
      </c>
      <c r="L2036" s="37" t="n">
        <f aca="false">I2036*K2036/C2036</f>
        <v>208.662483606557</v>
      </c>
      <c r="M2036" s="37" t="n">
        <f aca="false">IF(AND(A2036&gt;=Inputs!$C$13,OR(A2036&lt;Inputs!$B$19,Inputs!$B$20=1)),I2036*Inputs!$C$11/C2036,0)</f>
        <v>40.1639344262295</v>
      </c>
    </row>
    <row r="2037" customFormat="false" ht="15" hidden="false" customHeight="false" outlineLevel="0" collapsed="false">
      <c r="A2037" s="35" t="n">
        <f aca="false">A2036+1</f>
        <v>46844</v>
      </c>
      <c r="B2037" s="35" t="n">
        <f aca="false">EOMONTH(A2037+1,0)</f>
        <v>46873</v>
      </c>
      <c r="C2037" s="36" t="n">
        <f aca="false">IF(MOD(YEAR(A2037),4)=0,366,365)</f>
        <v>366</v>
      </c>
      <c r="D2037" s="37" t="n">
        <f aca="false">Inputs!$B$9-SUMIFS(Cash_Events!$G$6:$G$20,Cash_Events!$C$6:$C$20,"rAGMF",Cash_Events!$B$6:$B$20,"&lt;="&amp;A2037)</f>
        <v>735000</v>
      </c>
      <c r="E2037" s="38" t="n">
        <f aca="false">VLOOKUP(A2037,Inputs!$A$40:$B$48,2,TRUE())</f>
        <v>0.0363225</v>
      </c>
      <c r="F2037" s="38" t="n">
        <f aca="false">E2037+Inputs!$B$10</f>
        <v>0.1038225</v>
      </c>
      <c r="G2037" s="37" t="n">
        <f aca="false">D2037*F2037/C2037</f>
        <v>208.496004098361</v>
      </c>
      <c r="H2037" s="37" t="n">
        <f aca="false">IF(AND(A2037&gt;=Inputs!$B$13,OR(A2037&lt;Inputs!$B$19,Inputs!$B$20=1)),D2037*Inputs!$B$11/C2037,0)</f>
        <v>40.1639344262295</v>
      </c>
      <c r="I2037" s="37" t="n">
        <f aca="false">Inputs!$C$9-SUMIFS(Cash_Events!$G$6:$G$20,Cash_Events!$C$6:$C$20,"FHL",Cash_Events!$B$6:$B$20,"&lt;="&amp;A2037)</f>
        <v>735000</v>
      </c>
      <c r="J2037" s="38" t="n">
        <f aca="false">VLOOKUP(A2037,Inputs!$F$40:$G$48,2,TRUE())</f>
        <v>0.0364054</v>
      </c>
      <c r="K2037" s="38" t="n">
        <f aca="false">J2037+Inputs!$C$10</f>
        <v>0.1039054</v>
      </c>
      <c r="L2037" s="37" t="n">
        <f aca="false">I2037*K2037/C2037</f>
        <v>208.662483606557</v>
      </c>
      <c r="M2037" s="37" t="n">
        <f aca="false">IF(AND(A2037&gt;=Inputs!$C$13,OR(A2037&lt;Inputs!$B$19,Inputs!$B$20=1)),I2037*Inputs!$C$11/C2037,0)</f>
        <v>40.1639344262295</v>
      </c>
    </row>
    <row r="2038" customFormat="false" ht="15" hidden="false" customHeight="false" outlineLevel="0" collapsed="false">
      <c r="A2038" s="35" t="n">
        <f aca="false">A2037+1</f>
        <v>46845</v>
      </c>
      <c r="B2038" s="35" t="n">
        <f aca="false">EOMONTH(A2038+1,0)</f>
        <v>46873</v>
      </c>
      <c r="C2038" s="36" t="n">
        <f aca="false">IF(MOD(YEAR(A2038),4)=0,366,365)</f>
        <v>366</v>
      </c>
      <c r="D2038" s="37" t="n">
        <f aca="false">Inputs!$B$9-SUMIFS(Cash_Events!$G$6:$G$20,Cash_Events!$C$6:$C$20,"rAGMF",Cash_Events!$B$6:$B$20,"&lt;="&amp;A2038)</f>
        <v>735000</v>
      </c>
      <c r="E2038" s="38" t="n">
        <f aca="false">VLOOKUP(A2038,Inputs!$A$40:$B$48,2,TRUE())</f>
        <v>0.0363225</v>
      </c>
      <c r="F2038" s="38" t="n">
        <f aca="false">E2038+Inputs!$B$10</f>
        <v>0.1038225</v>
      </c>
      <c r="G2038" s="37" t="n">
        <f aca="false">D2038*F2038/C2038</f>
        <v>208.496004098361</v>
      </c>
      <c r="H2038" s="37" t="n">
        <f aca="false">IF(AND(A2038&gt;=Inputs!$B$13,OR(A2038&lt;Inputs!$B$19,Inputs!$B$20=1)),D2038*Inputs!$B$11/C2038,0)</f>
        <v>40.1639344262295</v>
      </c>
      <c r="I2038" s="37" t="n">
        <f aca="false">Inputs!$C$9-SUMIFS(Cash_Events!$G$6:$G$20,Cash_Events!$C$6:$C$20,"FHL",Cash_Events!$B$6:$B$20,"&lt;="&amp;A2038)</f>
        <v>735000</v>
      </c>
      <c r="J2038" s="38" t="n">
        <f aca="false">VLOOKUP(A2038,Inputs!$F$40:$G$48,2,TRUE())</f>
        <v>0.0364054</v>
      </c>
      <c r="K2038" s="38" t="n">
        <f aca="false">J2038+Inputs!$C$10</f>
        <v>0.1039054</v>
      </c>
      <c r="L2038" s="37" t="n">
        <f aca="false">I2038*K2038/C2038</f>
        <v>208.662483606557</v>
      </c>
      <c r="M2038" s="37" t="n">
        <f aca="false">IF(AND(A2038&gt;=Inputs!$C$13,OR(A2038&lt;Inputs!$B$19,Inputs!$B$20=1)),I2038*Inputs!$C$11/C2038,0)</f>
        <v>40.1639344262295</v>
      </c>
    </row>
    <row r="2039" customFormat="false" ht="15" hidden="false" customHeight="false" outlineLevel="0" collapsed="false">
      <c r="A2039" s="35" t="n">
        <f aca="false">A2038+1</f>
        <v>46846</v>
      </c>
      <c r="B2039" s="35" t="n">
        <f aca="false">EOMONTH(A2039+1,0)</f>
        <v>46873</v>
      </c>
      <c r="C2039" s="36" t="n">
        <f aca="false">IF(MOD(YEAR(A2039),4)=0,366,365)</f>
        <v>366</v>
      </c>
      <c r="D2039" s="37" t="n">
        <f aca="false">Inputs!$B$9-SUMIFS(Cash_Events!$G$6:$G$20,Cash_Events!$C$6:$C$20,"rAGMF",Cash_Events!$B$6:$B$20,"&lt;="&amp;A2039)</f>
        <v>735000</v>
      </c>
      <c r="E2039" s="38" t="n">
        <f aca="false">VLOOKUP(A2039,Inputs!$A$40:$B$48,2,TRUE())</f>
        <v>0.0363225</v>
      </c>
      <c r="F2039" s="38" t="n">
        <f aca="false">E2039+Inputs!$B$10</f>
        <v>0.1038225</v>
      </c>
      <c r="G2039" s="37" t="n">
        <f aca="false">D2039*F2039/C2039</f>
        <v>208.496004098361</v>
      </c>
      <c r="H2039" s="37" t="n">
        <f aca="false">IF(AND(A2039&gt;=Inputs!$B$13,OR(A2039&lt;Inputs!$B$19,Inputs!$B$20=1)),D2039*Inputs!$B$11/C2039,0)</f>
        <v>40.1639344262295</v>
      </c>
      <c r="I2039" s="37" t="n">
        <f aca="false">Inputs!$C$9-SUMIFS(Cash_Events!$G$6:$G$20,Cash_Events!$C$6:$C$20,"FHL",Cash_Events!$B$6:$B$20,"&lt;="&amp;A2039)</f>
        <v>735000</v>
      </c>
      <c r="J2039" s="38" t="n">
        <f aca="false">VLOOKUP(A2039,Inputs!$F$40:$G$48,2,TRUE())</f>
        <v>0.0364054</v>
      </c>
      <c r="K2039" s="38" t="n">
        <f aca="false">J2039+Inputs!$C$10</f>
        <v>0.1039054</v>
      </c>
      <c r="L2039" s="37" t="n">
        <f aca="false">I2039*K2039/C2039</f>
        <v>208.662483606557</v>
      </c>
      <c r="M2039" s="37" t="n">
        <f aca="false">IF(AND(A2039&gt;=Inputs!$C$13,OR(A2039&lt;Inputs!$B$19,Inputs!$B$20=1)),I2039*Inputs!$C$11/C2039,0)</f>
        <v>40.1639344262295</v>
      </c>
    </row>
    <row r="2040" customFormat="false" ht="15" hidden="false" customHeight="false" outlineLevel="0" collapsed="false">
      <c r="A2040" s="35" t="n">
        <f aca="false">A2039+1</f>
        <v>46847</v>
      </c>
      <c r="B2040" s="35" t="n">
        <f aca="false">EOMONTH(A2040+1,0)</f>
        <v>46873</v>
      </c>
      <c r="C2040" s="36" t="n">
        <f aca="false">IF(MOD(YEAR(A2040),4)=0,366,365)</f>
        <v>366</v>
      </c>
      <c r="D2040" s="37" t="n">
        <f aca="false">Inputs!$B$9-SUMIFS(Cash_Events!$G$6:$G$20,Cash_Events!$C$6:$C$20,"rAGMF",Cash_Events!$B$6:$B$20,"&lt;="&amp;A2040)</f>
        <v>735000</v>
      </c>
      <c r="E2040" s="38" t="n">
        <f aca="false">VLOOKUP(A2040,Inputs!$A$40:$B$48,2,TRUE())</f>
        <v>0.0363225</v>
      </c>
      <c r="F2040" s="38" t="n">
        <f aca="false">E2040+Inputs!$B$10</f>
        <v>0.1038225</v>
      </c>
      <c r="G2040" s="37" t="n">
        <f aca="false">D2040*F2040/C2040</f>
        <v>208.496004098361</v>
      </c>
      <c r="H2040" s="37" t="n">
        <f aca="false">IF(AND(A2040&gt;=Inputs!$B$13,OR(A2040&lt;Inputs!$B$19,Inputs!$B$20=1)),D2040*Inputs!$B$11/C2040,0)</f>
        <v>40.1639344262295</v>
      </c>
      <c r="I2040" s="37" t="n">
        <f aca="false">Inputs!$C$9-SUMIFS(Cash_Events!$G$6:$G$20,Cash_Events!$C$6:$C$20,"FHL",Cash_Events!$B$6:$B$20,"&lt;="&amp;A2040)</f>
        <v>735000</v>
      </c>
      <c r="J2040" s="38" t="n">
        <f aca="false">VLOOKUP(A2040,Inputs!$F$40:$G$48,2,TRUE())</f>
        <v>0.0364054</v>
      </c>
      <c r="K2040" s="38" t="n">
        <f aca="false">J2040+Inputs!$C$10</f>
        <v>0.1039054</v>
      </c>
      <c r="L2040" s="37" t="n">
        <f aca="false">I2040*K2040/C2040</f>
        <v>208.662483606557</v>
      </c>
      <c r="M2040" s="37" t="n">
        <f aca="false">IF(AND(A2040&gt;=Inputs!$C$13,OR(A2040&lt;Inputs!$B$19,Inputs!$B$20=1)),I2040*Inputs!$C$11/C2040,0)</f>
        <v>40.1639344262295</v>
      </c>
    </row>
    <row r="2041" customFormat="false" ht="15" hidden="false" customHeight="false" outlineLevel="0" collapsed="false">
      <c r="A2041" s="35" t="n">
        <f aca="false">A2040+1</f>
        <v>46848</v>
      </c>
      <c r="B2041" s="35" t="n">
        <f aca="false">EOMONTH(A2041+1,0)</f>
        <v>46873</v>
      </c>
      <c r="C2041" s="36" t="n">
        <f aca="false">IF(MOD(YEAR(A2041),4)=0,366,365)</f>
        <v>366</v>
      </c>
      <c r="D2041" s="37" t="n">
        <f aca="false">Inputs!$B$9-SUMIFS(Cash_Events!$G$6:$G$20,Cash_Events!$C$6:$C$20,"rAGMF",Cash_Events!$B$6:$B$20,"&lt;="&amp;A2041)</f>
        <v>735000</v>
      </c>
      <c r="E2041" s="38" t="n">
        <f aca="false">VLOOKUP(A2041,Inputs!$A$40:$B$48,2,TRUE())</f>
        <v>0.0363225</v>
      </c>
      <c r="F2041" s="38" t="n">
        <f aca="false">E2041+Inputs!$B$10</f>
        <v>0.1038225</v>
      </c>
      <c r="G2041" s="37" t="n">
        <f aca="false">D2041*F2041/C2041</f>
        <v>208.496004098361</v>
      </c>
      <c r="H2041" s="37" t="n">
        <f aca="false">IF(AND(A2041&gt;=Inputs!$B$13,OR(A2041&lt;Inputs!$B$19,Inputs!$B$20=1)),D2041*Inputs!$B$11/C2041,0)</f>
        <v>40.1639344262295</v>
      </c>
      <c r="I2041" s="37" t="n">
        <f aca="false">Inputs!$C$9-SUMIFS(Cash_Events!$G$6:$G$20,Cash_Events!$C$6:$C$20,"FHL",Cash_Events!$B$6:$B$20,"&lt;="&amp;A2041)</f>
        <v>735000</v>
      </c>
      <c r="J2041" s="38" t="n">
        <f aca="false">VLOOKUP(A2041,Inputs!$F$40:$G$48,2,TRUE())</f>
        <v>0.0364054</v>
      </c>
      <c r="K2041" s="38" t="n">
        <f aca="false">J2041+Inputs!$C$10</f>
        <v>0.1039054</v>
      </c>
      <c r="L2041" s="37" t="n">
        <f aca="false">I2041*K2041/C2041</f>
        <v>208.662483606557</v>
      </c>
      <c r="M2041" s="37" t="n">
        <f aca="false">IF(AND(A2041&gt;=Inputs!$C$13,OR(A2041&lt;Inputs!$B$19,Inputs!$B$20=1)),I2041*Inputs!$C$11/C2041,0)</f>
        <v>40.1639344262295</v>
      </c>
    </row>
    <row r="2042" customFormat="false" ht="15" hidden="false" customHeight="false" outlineLevel="0" collapsed="false">
      <c r="A2042" s="35" t="n">
        <f aca="false">A2041+1</f>
        <v>46849</v>
      </c>
      <c r="B2042" s="35" t="n">
        <f aca="false">EOMONTH(A2042+1,0)</f>
        <v>46873</v>
      </c>
      <c r="C2042" s="36" t="n">
        <f aca="false">IF(MOD(YEAR(A2042),4)=0,366,365)</f>
        <v>366</v>
      </c>
      <c r="D2042" s="37" t="n">
        <f aca="false">Inputs!$B$9-SUMIFS(Cash_Events!$G$6:$G$20,Cash_Events!$C$6:$C$20,"rAGMF",Cash_Events!$B$6:$B$20,"&lt;="&amp;A2042)</f>
        <v>735000</v>
      </c>
      <c r="E2042" s="38" t="n">
        <f aca="false">VLOOKUP(A2042,Inputs!$A$40:$B$48,2,TRUE())</f>
        <v>0.0363225</v>
      </c>
      <c r="F2042" s="38" t="n">
        <f aca="false">E2042+Inputs!$B$10</f>
        <v>0.1038225</v>
      </c>
      <c r="G2042" s="37" t="n">
        <f aca="false">D2042*F2042/C2042</f>
        <v>208.496004098361</v>
      </c>
      <c r="H2042" s="37" t="n">
        <f aca="false">IF(AND(A2042&gt;=Inputs!$B$13,OR(A2042&lt;Inputs!$B$19,Inputs!$B$20=1)),D2042*Inputs!$B$11/C2042,0)</f>
        <v>40.1639344262295</v>
      </c>
      <c r="I2042" s="37" t="n">
        <f aca="false">Inputs!$C$9-SUMIFS(Cash_Events!$G$6:$G$20,Cash_Events!$C$6:$C$20,"FHL",Cash_Events!$B$6:$B$20,"&lt;="&amp;A2042)</f>
        <v>735000</v>
      </c>
      <c r="J2042" s="38" t="n">
        <f aca="false">VLOOKUP(A2042,Inputs!$F$40:$G$48,2,TRUE())</f>
        <v>0.0364054</v>
      </c>
      <c r="K2042" s="38" t="n">
        <f aca="false">J2042+Inputs!$C$10</f>
        <v>0.1039054</v>
      </c>
      <c r="L2042" s="37" t="n">
        <f aca="false">I2042*K2042/C2042</f>
        <v>208.662483606557</v>
      </c>
      <c r="M2042" s="37" t="n">
        <f aca="false">IF(AND(A2042&gt;=Inputs!$C$13,OR(A2042&lt;Inputs!$B$19,Inputs!$B$20=1)),I2042*Inputs!$C$11/C2042,0)</f>
        <v>40.1639344262295</v>
      </c>
    </row>
    <row r="2043" customFormat="false" ht="15" hidden="false" customHeight="false" outlineLevel="0" collapsed="false">
      <c r="A2043" s="35" t="n">
        <f aca="false">A2042+1</f>
        <v>46850</v>
      </c>
      <c r="B2043" s="35" t="n">
        <f aca="false">EOMONTH(A2043+1,0)</f>
        <v>46873</v>
      </c>
      <c r="C2043" s="36" t="n">
        <f aca="false">IF(MOD(YEAR(A2043),4)=0,366,365)</f>
        <v>366</v>
      </c>
      <c r="D2043" s="37" t="n">
        <f aca="false">Inputs!$B$9-SUMIFS(Cash_Events!$G$6:$G$20,Cash_Events!$C$6:$C$20,"rAGMF",Cash_Events!$B$6:$B$20,"&lt;="&amp;A2043)</f>
        <v>735000</v>
      </c>
      <c r="E2043" s="38" t="n">
        <f aca="false">VLOOKUP(A2043,Inputs!$A$40:$B$48,2,TRUE())</f>
        <v>0.0363225</v>
      </c>
      <c r="F2043" s="38" t="n">
        <f aca="false">E2043+Inputs!$B$10</f>
        <v>0.1038225</v>
      </c>
      <c r="G2043" s="37" t="n">
        <f aca="false">D2043*F2043/C2043</f>
        <v>208.496004098361</v>
      </c>
      <c r="H2043" s="37" t="n">
        <f aca="false">IF(AND(A2043&gt;=Inputs!$B$13,OR(A2043&lt;Inputs!$B$19,Inputs!$B$20=1)),D2043*Inputs!$B$11/C2043,0)</f>
        <v>40.1639344262295</v>
      </c>
      <c r="I2043" s="37" t="n">
        <f aca="false">Inputs!$C$9-SUMIFS(Cash_Events!$G$6:$G$20,Cash_Events!$C$6:$C$20,"FHL",Cash_Events!$B$6:$B$20,"&lt;="&amp;A2043)</f>
        <v>735000</v>
      </c>
      <c r="J2043" s="38" t="n">
        <f aca="false">VLOOKUP(A2043,Inputs!$F$40:$G$48,2,TRUE())</f>
        <v>0.0364054</v>
      </c>
      <c r="K2043" s="38" t="n">
        <f aca="false">J2043+Inputs!$C$10</f>
        <v>0.1039054</v>
      </c>
      <c r="L2043" s="37" t="n">
        <f aca="false">I2043*K2043/C2043</f>
        <v>208.662483606557</v>
      </c>
      <c r="M2043" s="37" t="n">
        <f aca="false">IF(AND(A2043&gt;=Inputs!$C$13,OR(A2043&lt;Inputs!$B$19,Inputs!$B$20=1)),I2043*Inputs!$C$11/C2043,0)</f>
        <v>40.1639344262295</v>
      </c>
    </row>
    <row r="2044" customFormat="false" ht="15" hidden="false" customHeight="false" outlineLevel="0" collapsed="false">
      <c r="A2044" s="35" t="n">
        <f aca="false">A2043+1</f>
        <v>46851</v>
      </c>
      <c r="B2044" s="35" t="n">
        <f aca="false">EOMONTH(A2044+1,0)</f>
        <v>46873</v>
      </c>
      <c r="C2044" s="36" t="n">
        <f aca="false">IF(MOD(YEAR(A2044),4)=0,366,365)</f>
        <v>366</v>
      </c>
      <c r="D2044" s="37" t="n">
        <f aca="false">Inputs!$B$9-SUMIFS(Cash_Events!$G$6:$G$20,Cash_Events!$C$6:$C$20,"rAGMF",Cash_Events!$B$6:$B$20,"&lt;="&amp;A2044)</f>
        <v>735000</v>
      </c>
      <c r="E2044" s="38" t="n">
        <f aca="false">VLOOKUP(A2044,Inputs!$A$40:$B$48,2,TRUE())</f>
        <v>0.0363225</v>
      </c>
      <c r="F2044" s="38" t="n">
        <f aca="false">E2044+Inputs!$B$10</f>
        <v>0.1038225</v>
      </c>
      <c r="G2044" s="37" t="n">
        <f aca="false">D2044*F2044/C2044</f>
        <v>208.496004098361</v>
      </c>
      <c r="H2044" s="37" t="n">
        <f aca="false">IF(AND(A2044&gt;=Inputs!$B$13,OR(A2044&lt;Inputs!$B$19,Inputs!$B$20=1)),D2044*Inputs!$B$11/C2044,0)</f>
        <v>40.1639344262295</v>
      </c>
      <c r="I2044" s="37" t="n">
        <f aca="false">Inputs!$C$9-SUMIFS(Cash_Events!$G$6:$G$20,Cash_Events!$C$6:$C$20,"FHL",Cash_Events!$B$6:$B$20,"&lt;="&amp;A2044)</f>
        <v>735000</v>
      </c>
      <c r="J2044" s="38" t="n">
        <f aca="false">VLOOKUP(A2044,Inputs!$F$40:$G$48,2,TRUE())</f>
        <v>0.0364054</v>
      </c>
      <c r="K2044" s="38" t="n">
        <f aca="false">J2044+Inputs!$C$10</f>
        <v>0.1039054</v>
      </c>
      <c r="L2044" s="37" t="n">
        <f aca="false">I2044*K2044/C2044</f>
        <v>208.662483606557</v>
      </c>
      <c r="M2044" s="37" t="n">
        <f aca="false">IF(AND(A2044&gt;=Inputs!$C$13,OR(A2044&lt;Inputs!$B$19,Inputs!$B$20=1)),I2044*Inputs!$C$11/C2044,0)</f>
        <v>40.1639344262295</v>
      </c>
    </row>
    <row r="2045" customFormat="false" ht="15" hidden="false" customHeight="false" outlineLevel="0" collapsed="false">
      <c r="A2045" s="35" t="n">
        <f aca="false">A2044+1</f>
        <v>46852</v>
      </c>
      <c r="B2045" s="35" t="n">
        <f aca="false">EOMONTH(A2045+1,0)</f>
        <v>46873</v>
      </c>
      <c r="C2045" s="36" t="n">
        <f aca="false">IF(MOD(YEAR(A2045),4)=0,366,365)</f>
        <v>366</v>
      </c>
      <c r="D2045" s="37" t="n">
        <f aca="false">Inputs!$B$9-SUMIFS(Cash_Events!$G$6:$G$20,Cash_Events!$C$6:$C$20,"rAGMF",Cash_Events!$B$6:$B$20,"&lt;="&amp;A2045)</f>
        <v>735000</v>
      </c>
      <c r="E2045" s="38" t="n">
        <f aca="false">VLOOKUP(A2045,Inputs!$A$40:$B$48,2,TRUE())</f>
        <v>0.0363225</v>
      </c>
      <c r="F2045" s="38" t="n">
        <f aca="false">E2045+Inputs!$B$10</f>
        <v>0.1038225</v>
      </c>
      <c r="G2045" s="37" t="n">
        <f aca="false">D2045*F2045/C2045</f>
        <v>208.496004098361</v>
      </c>
      <c r="H2045" s="37" t="n">
        <f aca="false">IF(AND(A2045&gt;=Inputs!$B$13,OR(A2045&lt;Inputs!$B$19,Inputs!$B$20=1)),D2045*Inputs!$B$11/C2045,0)</f>
        <v>40.1639344262295</v>
      </c>
      <c r="I2045" s="37" t="n">
        <f aca="false">Inputs!$C$9-SUMIFS(Cash_Events!$G$6:$G$20,Cash_Events!$C$6:$C$20,"FHL",Cash_Events!$B$6:$B$20,"&lt;="&amp;A2045)</f>
        <v>735000</v>
      </c>
      <c r="J2045" s="38" t="n">
        <f aca="false">VLOOKUP(A2045,Inputs!$F$40:$G$48,2,TRUE())</f>
        <v>0.0364054</v>
      </c>
      <c r="K2045" s="38" t="n">
        <f aca="false">J2045+Inputs!$C$10</f>
        <v>0.1039054</v>
      </c>
      <c r="L2045" s="37" t="n">
        <f aca="false">I2045*K2045/C2045</f>
        <v>208.662483606557</v>
      </c>
      <c r="M2045" s="37" t="n">
        <f aca="false">IF(AND(A2045&gt;=Inputs!$C$13,OR(A2045&lt;Inputs!$B$19,Inputs!$B$20=1)),I2045*Inputs!$C$11/C2045,0)</f>
        <v>40.1639344262295</v>
      </c>
    </row>
    <row r="2046" customFormat="false" ht="15" hidden="false" customHeight="false" outlineLevel="0" collapsed="false">
      <c r="A2046" s="35" t="n">
        <f aca="false">A2045+1</f>
        <v>46853</v>
      </c>
      <c r="B2046" s="35" t="n">
        <f aca="false">EOMONTH(A2046+1,0)</f>
        <v>46873</v>
      </c>
      <c r="C2046" s="36" t="n">
        <f aca="false">IF(MOD(YEAR(A2046),4)=0,366,365)</f>
        <v>366</v>
      </c>
      <c r="D2046" s="37" t="n">
        <f aca="false">Inputs!$B$9-SUMIFS(Cash_Events!$G$6:$G$20,Cash_Events!$C$6:$C$20,"rAGMF",Cash_Events!$B$6:$B$20,"&lt;="&amp;A2046)</f>
        <v>735000</v>
      </c>
      <c r="E2046" s="38" t="n">
        <f aca="false">VLOOKUP(A2046,Inputs!$A$40:$B$48,2,TRUE())</f>
        <v>0.0363225</v>
      </c>
      <c r="F2046" s="38" t="n">
        <f aca="false">E2046+Inputs!$B$10</f>
        <v>0.1038225</v>
      </c>
      <c r="G2046" s="37" t="n">
        <f aca="false">D2046*F2046/C2046</f>
        <v>208.496004098361</v>
      </c>
      <c r="H2046" s="37" t="n">
        <f aca="false">IF(AND(A2046&gt;=Inputs!$B$13,OR(A2046&lt;Inputs!$B$19,Inputs!$B$20=1)),D2046*Inputs!$B$11/C2046,0)</f>
        <v>40.1639344262295</v>
      </c>
      <c r="I2046" s="37" t="n">
        <f aca="false">Inputs!$C$9-SUMIFS(Cash_Events!$G$6:$G$20,Cash_Events!$C$6:$C$20,"FHL",Cash_Events!$B$6:$B$20,"&lt;="&amp;A2046)</f>
        <v>735000</v>
      </c>
      <c r="J2046" s="38" t="n">
        <f aca="false">VLOOKUP(A2046,Inputs!$F$40:$G$48,2,TRUE())</f>
        <v>0.0364054</v>
      </c>
      <c r="K2046" s="38" t="n">
        <f aca="false">J2046+Inputs!$C$10</f>
        <v>0.1039054</v>
      </c>
      <c r="L2046" s="37" t="n">
        <f aca="false">I2046*K2046/C2046</f>
        <v>208.662483606557</v>
      </c>
      <c r="M2046" s="37" t="n">
        <f aca="false">IF(AND(A2046&gt;=Inputs!$C$13,OR(A2046&lt;Inputs!$B$19,Inputs!$B$20=1)),I2046*Inputs!$C$11/C2046,0)</f>
        <v>40.1639344262295</v>
      </c>
    </row>
    <row r="2047" customFormat="false" ht="15" hidden="false" customHeight="false" outlineLevel="0" collapsed="false">
      <c r="A2047" s="35" t="n">
        <f aca="false">A2046+1</f>
        <v>46854</v>
      </c>
      <c r="B2047" s="35" t="n">
        <f aca="false">EOMONTH(A2047+1,0)</f>
        <v>46873</v>
      </c>
      <c r="C2047" s="36" t="n">
        <f aca="false">IF(MOD(YEAR(A2047),4)=0,366,365)</f>
        <v>366</v>
      </c>
      <c r="D2047" s="37" t="n">
        <f aca="false">Inputs!$B$9-SUMIFS(Cash_Events!$G$6:$G$20,Cash_Events!$C$6:$C$20,"rAGMF",Cash_Events!$B$6:$B$20,"&lt;="&amp;A2047)</f>
        <v>735000</v>
      </c>
      <c r="E2047" s="38" t="n">
        <f aca="false">VLOOKUP(A2047,Inputs!$A$40:$B$48,2,TRUE())</f>
        <v>0.0363225</v>
      </c>
      <c r="F2047" s="38" t="n">
        <f aca="false">E2047+Inputs!$B$10</f>
        <v>0.1038225</v>
      </c>
      <c r="G2047" s="37" t="n">
        <f aca="false">D2047*F2047/C2047</f>
        <v>208.496004098361</v>
      </c>
      <c r="H2047" s="37" t="n">
        <f aca="false">IF(AND(A2047&gt;=Inputs!$B$13,OR(A2047&lt;Inputs!$B$19,Inputs!$B$20=1)),D2047*Inputs!$B$11/C2047,0)</f>
        <v>40.1639344262295</v>
      </c>
      <c r="I2047" s="37" t="n">
        <f aca="false">Inputs!$C$9-SUMIFS(Cash_Events!$G$6:$G$20,Cash_Events!$C$6:$C$20,"FHL",Cash_Events!$B$6:$B$20,"&lt;="&amp;A2047)</f>
        <v>735000</v>
      </c>
      <c r="J2047" s="38" t="n">
        <f aca="false">VLOOKUP(A2047,Inputs!$F$40:$G$48,2,TRUE())</f>
        <v>0.0364054</v>
      </c>
      <c r="K2047" s="38" t="n">
        <f aca="false">J2047+Inputs!$C$10</f>
        <v>0.1039054</v>
      </c>
      <c r="L2047" s="37" t="n">
        <f aca="false">I2047*K2047/C2047</f>
        <v>208.662483606557</v>
      </c>
      <c r="M2047" s="37" t="n">
        <f aca="false">IF(AND(A2047&gt;=Inputs!$C$13,OR(A2047&lt;Inputs!$B$19,Inputs!$B$20=1)),I2047*Inputs!$C$11/C2047,0)</f>
        <v>40.1639344262295</v>
      </c>
    </row>
    <row r="2048" customFormat="false" ht="15" hidden="false" customHeight="false" outlineLevel="0" collapsed="false">
      <c r="A2048" s="35" t="n">
        <f aca="false">A2047+1</f>
        <v>46855</v>
      </c>
      <c r="B2048" s="35" t="n">
        <f aca="false">EOMONTH(A2048+1,0)</f>
        <v>46873</v>
      </c>
      <c r="C2048" s="36" t="n">
        <f aca="false">IF(MOD(YEAR(A2048),4)=0,366,365)</f>
        <v>366</v>
      </c>
      <c r="D2048" s="37" t="n">
        <f aca="false">Inputs!$B$9-SUMIFS(Cash_Events!$G$6:$G$20,Cash_Events!$C$6:$C$20,"rAGMF",Cash_Events!$B$6:$B$20,"&lt;="&amp;A2048)</f>
        <v>735000</v>
      </c>
      <c r="E2048" s="38" t="n">
        <f aca="false">VLOOKUP(A2048,Inputs!$A$40:$B$48,2,TRUE())</f>
        <v>0.0363225</v>
      </c>
      <c r="F2048" s="38" t="n">
        <f aca="false">E2048+Inputs!$B$10</f>
        <v>0.1038225</v>
      </c>
      <c r="G2048" s="37" t="n">
        <f aca="false">D2048*F2048/C2048</f>
        <v>208.496004098361</v>
      </c>
      <c r="H2048" s="37" t="n">
        <f aca="false">IF(AND(A2048&gt;=Inputs!$B$13,OR(A2048&lt;Inputs!$B$19,Inputs!$B$20=1)),D2048*Inputs!$B$11/C2048,0)</f>
        <v>40.1639344262295</v>
      </c>
      <c r="I2048" s="37" t="n">
        <f aca="false">Inputs!$C$9-SUMIFS(Cash_Events!$G$6:$G$20,Cash_Events!$C$6:$C$20,"FHL",Cash_Events!$B$6:$B$20,"&lt;="&amp;A2048)</f>
        <v>735000</v>
      </c>
      <c r="J2048" s="38" t="n">
        <f aca="false">VLOOKUP(A2048,Inputs!$F$40:$G$48,2,TRUE())</f>
        <v>0.0364054</v>
      </c>
      <c r="K2048" s="38" t="n">
        <f aca="false">J2048+Inputs!$C$10</f>
        <v>0.1039054</v>
      </c>
      <c r="L2048" s="37" t="n">
        <f aca="false">I2048*K2048/C2048</f>
        <v>208.662483606557</v>
      </c>
      <c r="M2048" s="37" t="n">
        <f aca="false">IF(AND(A2048&gt;=Inputs!$C$13,OR(A2048&lt;Inputs!$B$19,Inputs!$B$20=1)),I2048*Inputs!$C$11/C2048,0)</f>
        <v>40.1639344262295</v>
      </c>
    </row>
    <row r="2049" customFormat="false" ht="15" hidden="false" customHeight="false" outlineLevel="0" collapsed="false">
      <c r="A2049" s="35" t="n">
        <f aca="false">A2048+1</f>
        <v>46856</v>
      </c>
      <c r="B2049" s="35" t="n">
        <f aca="false">EOMONTH(A2049+1,0)</f>
        <v>46873</v>
      </c>
      <c r="C2049" s="36" t="n">
        <f aca="false">IF(MOD(YEAR(A2049),4)=0,366,365)</f>
        <v>366</v>
      </c>
      <c r="D2049" s="37" t="n">
        <f aca="false">Inputs!$B$9-SUMIFS(Cash_Events!$G$6:$G$20,Cash_Events!$C$6:$C$20,"rAGMF",Cash_Events!$B$6:$B$20,"&lt;="&amp;A2049)</f>
        <v>735000</v>
      </c>
      <c r="E2049" s="38" t="n">
        <f aca="false">VLOOKUP(A2049,Inputs!$A$40:$B$48,2,TRUE())</f>
        <v>0.0363225</v>
      </c>
      <c r="F2049" s="38" t="n">
        <f aca="false">E2049+Inputs!$B$10</f>
        <v>0.1038225</v>
      </c>
      <c r="G2049" s="37" t="n">
        <f aca="false">D2049*F2049/C2049</f>
        <v>208.496004098361</v>
      </c>
      <c r="H2049" s="37" t="n">
        <f aca="false">IF(AND(A2049&gt;=Inputs!$B$13,OR(A2049&lt;Inputs!$B$19,Inputs!$B$20=1)),D2049*Inputs!$B$11/C2049,0)</f>
        <v>40.1639344262295</v>
      </c>
      <c r="I2049" s="37" t="n">
        <f aca="false">Inputs!$C$9-SUMIFS(Cash_Events!$G$6:$G$20,Cash_Events!$C$6:$C$20,"FHL",Cash_Events!$B$6:$B$20,"&lt;="&amp;A2049)</f>
        <v>735000</v>
      </c>
      <c r="J2049" s="38" t="n">
        <f aca="false">VLOOKUP(A2049,Inputs!$F$40:$G$48,2,TRUE())</f>
        <v>0.0364054</v>
      </c>
      <c r="K2049" s="38" t="n">
        <f aca="false">J2049+Inputs!$C$10</f>
        <v>0.1039054</v>
      </c>
      <c r="L2049" s="37" t="n">
        <f aca="false">I2049*K2049/C2049</f>
        <v>208.662483606557</v>
      </c>
      <c r="M2049" s="37" t="n">
        <f aca="false">IF(AND(A2049&gt;=Inputs!$C$13,OR(A2049&lt;Inputs!$B$19,Inputs!$B$20=1)),I2049*Inputs!$C$11/C2049,0)</f>
        <v>40.1639344262295</v>
      </c>
    </row>
    <row r="2050" customFormat="false" ht="15" hidden="false" customHeight="false" outlineLevel="0" collapsed="false">
      <c r="A2050" s="35" t="n">
        <f aca="false">A2049+1</f>
        <v>46857</v>
      </c>
      <c r="B2050" s="35" t="n">
        <f aca="false">EOMONTH(A2050+1,0)</f>
        <v>46873</v>
      </c>
      <c r="C2050" s="36" t="n">
        <f aca="false">IF(MOD(YEAR(A2050),4)=0,366,365)</f>
        <v>366</v>
      </c>
      <c r="D2050" s="37" t="n">
        <f aca="false">Inputs!$B$9-SUMIFS(Cash_Events!$G$6:$G$20,Cash_Events!$C$6:$C$20,"rAGMF",Cash_Events!$B$6:$B$20,"&lt;="&amp;A2050)</f>
        <v>735000</v>
      </c>
      <c r="E2050" s="38" t="n">
        <f aca="false">VLOOKUP(A2050,Inputs!$A$40:$B$48,2,TRUE())</f>
        <v>0.0363225</v>
      </c>
      <c r="F2050" s="38" t="n">
        <f aca="false">E2050+Inputs!$B$10</f>
        <v>0.1038225</v>
      </c>
      <c r="G2050" s="37" t="n">
        <f aca="false">D2050*F2050/C2050</f>
        <v>208.496004098361</v>
      </c>
      <c r="H2050" s="37" t="n">
        <f aca="false">IF(AND(A2050&gt;=Inputs!$B$13,OR(A2050&lt;Inputs!$B$19,Inputs!$B$20=1)),D2050*Inputs!$B$11/C2050,0)</f>
        <v>40.1639344262295</v>
      </c>
      <c r="I2050" s="37" t="n">
        <f aca="false">Inputs!$C$9-SUMIFS(Cash_Events!$G$6:$G$20,Cash_Events!$C$6:$C$20,"FHL",Cash_Events!$B$6:$B$20,"&lt;="&amp;A2050)</f>
        <v>735000</v>
      </c>
      <c r="J2050" s="38" t="n">
        <f aca="false">VLOOKUP(A2050,Inputs!$F$40:$G$48,2,TRUE())</f>
        <v>0.0364054</v>
      </c>
      <c r="K2050" s="38" t="n">
        <f aca="false">J2050+Inputs!$C$10</f>
        <v>0.1039054</v>
      </c>
      <c r="L2050" s="37" t="n">
        <f aca="false">I2050*K2050/C2050</f>
        <v>208.662483606557</v>
      </c>
      <c r="M2050" s="37" t="n">
        <f aca="false">IF(AND(A2050&gt;=Inputs!$C$13,OR(A2050&lt;Inputs!$B$19,Inputs!$B$20=1)),I2050*Inputs!$C$11/C2050,0)</f>
        <v>40.1639344262295</v>
      </c>
    </row>
    <row r="2051" customFormat="false" ht="15" hidden="false" customHeight="false" outlineLevel="0" collapsed="false">
      <c r="A2051" s="35" t="n">
        <f aca="false">A2050+1</f>
        <v>46858</v>
      </c>
      <c r="B2051" s="35" t="n">
        <f aca="false">EOMONTH(A2051+1,0)</f>
        <v>46873</v>
      </c>
      <c r="C2051" s="36" t="n">
        <f aca="false">IF(MOD(YEAR(A2051),4)=0,366,365)</f>
        <v>366</v>
      </c>
      <c r="D2051" s="37" t="n">
        <f aca="false">Inputs!$B$9-SUMIFS(Cash_Events!$G$6:$G$20,Cash_Events!$C$6:$C$20,"rAGMF",Cash_Events!$B$6:$B$20,"&lt;="&amp;A2051)</f>
        <v>735000</v>
      </c>
      <c r="E2051" s="38" t="n">
        <f aca="false">VLOOKUP(A2051,Inputs!$A$40:$B$48,2,TRUE())</f>
        <v>0.0363225</v>
      </c>
      <c r="F2051" s="38" t="n">
        <f aca="false">E2051+Inputs!$B$10</f>
        <v>0.1038225</v>
      </c>
      <c r="G2051" s="37" t="n">
        <f aca="false">D2051*F2051/C2051</f>
        <v>208.496004098361</v>
      </c>
      <c r="H2051" s="37" t="n">
        <f aca="false">IF(AND(A2051&gt;=Inputs!$B$13,OR(A2051&lt;Inputs!$B$19,Inputs!$B$20=1)),D2051*Inputs!$B$11/C2051,0)</f>
        <v>40.1639344262295</v>
      </c>
      <c r="I2051" s="37" t="n">
        <f aca="false">Inputs!$C$9-SUMIFS(Cash_Events!$G$6:$G$20,Cash_Events!$C$6:$C$20,"FHL",Cash_Events!$B$6:$B$20,"&lt;="&amp;A2051)</f>
        <v>735000</v>
      </c>
      <c r="J2051" s="38" t="n">
        <f aca="false">VLOOKUP(A2051,Inputs!$F$40:$G$48,2,TRUE())</f>
        <v>0.0364054</v>
      </c>
      <c r="K2051" s="38" t="n">
        <f aca="false">J2051+Inputs!$C$10</f>
        <v>0.1039054</v>
      </c>
      <c r="L2051" s="37" t="n">
        <f aca="false">I2051*K2051/C2051</f>
        <v>208.662483606557</v>
      </c>
      <c r="M2051" s="37" t="n">
        <f aca="false">IF(AND(A2051&gt;=Inputs!$C$13,OR(A2051&lt;Inputs!$B$19,Inputs!$B$20=1)),I2051*Inputs!$C$11/C2051,0)</f>
        <v>40.1639344262295</v>
      </c>
    </row>
    <row r="2052" customFormat="false" ht="15" hidden="false" customHeight="false" outlineLevel="0" collapsed="false">
      <c r="A2052" s="35" t="n">
        <f aca="false">A2051+1</f>
        <v>46859</v>
      </c>
      <c r="B2052" s="35" t="n">
        <f aca="false">EOMONTH(A2052+1,0)</f>
        <v>46873</v>
      </c>
      <c r="C2052" s="36" t="n">
        <f aca="false">IF(MOD(YEAR(A2052),4)=0,366,365)</f>
        <v>366</v>
      </c>
      <c r="D2052" s="37" t="n">
        <f aca="false">Inputs!$B$9-SUMIFS(Cash_Events!$G$6:$G$20,Cash_Events!$C$6:$C$20,"rAGMF",Cash_Events!$B$6:$B$20,"&lt;="&amp;A2052)</f>
        <v>735000</v>
      </c>
      <c r="E2052" s="38" t="n">
        <f aca="false">VLOOKUP(A2052,Inputs!$A$40:$B$48,2,TRUE())</f>
        <v>0.0363225</v>
      </c>
      <c r="F2052" s="38" t="n">
        <f aca="false">E2052+Inputs!$B$10</f>
        <v>0.1038225</v>
      </c>
      <c r="G2052" s="37" t="n">
        <f aca="false">D2052*F2052/C2052</f>
        <v>208.496004098361</v>
      </c>
      <c r="H2052" s="37" t="n">
        <f aca="false">IF(AND(A2052&gt;=Inputs!$B$13,OR(A2052&lt;Inputs!$B$19,Inputs!$B$20=1)),D2052*Inputs!$B$11/C2052,0)</f>
        <v>40.1639344262295</v>
      </c>
      <c r="I2052" s="37" t="n">
        <f aca="false">Inputs!$C$9-SUMIFS(Cash_Events!$G$6:$G$20,Cash_Events!$C$6:$C$20,"FHL",Cash_Events!$B$6:$B$20,"&lt;="&amp;A2052)</f>
        <v>735000</v>
      </c>
      <c r="J2052" s="38" t="n">
        <f aca="false">VLOOKUP(A2052,Inputs!$F$40:$G$48,2,TRUE())</f>
        <v>0.0364054</v>
      </c>
      <c r="K2052" s="38" t="n">
        <f aca="false">J2052+Inputs!$C$10</f>
        <v>0.1039054</v>
      </c>
      <c r="L2052" s="37" t="n">
        <f aca="false">I2052*K2052/C2052</f>
        <v>208.662483606557</v>
      </c>
      <c r="M2052" s="37" t="n">
        <f aca="false">IF(AND(A2052&gt;=Inputs!$C$13,OR(A2052&lt;Inputs!$B$19,Inputs!$B$20=1)),I2052*Inputs!$C$11/C2052,0)</f>
        <v>40.1639344262295</v>
      </c>
    </row>
    <row r="2053" customFormat="false" ht="15" hidden="false" customHeight="false" outlineLevel="0" collapsed="false">
      <c r="A2053" s="35" t="n">
        <f aca="false">A2052+1</f>
        <v>46860</v>
      </c>
      <c r="B2053" s="35" t="n">
        <f aca="false">EOMONTH(A2053+1,0)</f>
        <v>46873</v>
      </c>
      <c r="C2053" s="36" t="n">
        <f aca="false">IF(MOD(YEAR(A2053),4)=0,366,365)</f>
        <v>366</v>
      </c>
      <c r="D2053" s="37" t="n">
        <f aca="false">Inputs!$B$9-SUMIFS(Cash_Events!$G$6:$G$20,Cash_Events!$C$6:$C$20,"rAGMF",Cash_Events!$B$6:$B$20,"&lt;="&amp;A2053)</f>
        <v>735000</v>
      </c>
      <c r="E2053" s="38" t="n">
        <f aca="false">VLOOKUP(A2053,Inputs!$A$40:$B$48,2,TRUE())</f>
        <v>0.0363225</v>
      </c>
      <c r="F2053" s="38" t="n">
        <f aca="false">E2053+Inputs!$B$10</f>
        <v>0.1038225</v>
      </c>
      <c r="G2053" s="37" t="n">
        <f aca="false">D2053*F2053/C2053</f>
        <v>208.496004098361</v>
      </c>
      <c r="H2053" s="37" t="n">
        <f aca="false">IF(AND(A2053&gt;=Inputs!$B$13,OR(A2053&lt;Inputs!$B$19,Inputs!$B$20=1)),D2053*Inputs!$B$11/C2053,0)</f>
        <v>40.1639344262295</v>
      </c>
      <c r="I2053" s="37" t="n">
        <f aca="false">Inputs!$C$9-SUMIFS(Cash_Events!$G$6:$G$20,Cash_Events!$C$6:$C$20,"FHL",Cash_Events!$B$6:$B$20,"&lt;="&amp;A2053)</f>
        <v>735000</v>
      </c>
      <c r="J2053" s="38" t="n">
        <f aca="false">VLOOKUP(A2053,Inputs!$F$40:$G$48,2,TRUE())</f>
        <v>0.0364054</v>
      </c>
      <c r="K2053" s="38" t="n">
        <f aca="false">J2053+Inputs!$C$10</f>
        <v>0.1039054</v>
      </c>
      <c r="L2053" s="37" t="n">
        <f aca="false">I2053*K2053/C2053</f>
        <v>208.662483606557</v>
      </c>
      <c r="M2053" s="37" t="n">
        <f aca="false">IF(AND(A2053&gt;=Inputs!$C$13,OR(A2053&lt;Inputs!$B$19,Inputs!$B$20=1)),I2053*Inputs!$C$11/C2053,0)</f>
        <v>40.1639344262295</v>
      </c>
    </row>
    <row r="2054" customFormat="false" ht="15" hidden="false" customHeight="false" outlineLevel="0" collapsed="false">
      <c r="A2054" s="35" t="n">
        <f aca="false">A2053+1</f>
        <v>46861</v>
      </c>
      <c r="B2054" s="35" t="n">
        <f aca="false">EOMONTH(A2054+1,0)</f>
        <v>46873</v>
      </c>
      <c r="C2054" s="36" t="n">
        <f aca="false">IF(MOD(YEAR(A2054),4)=0,366,365)</f>
        <v>366</v>
      </c>
      <c r="D2054" s="37" t="n">
        <f aca="false">Inputs!$B$9-SUMIFS(Cash_Events!$G$6:$G$20,Cash_Events!$C$6:$C$20,"rAGMF",Cash_Events!$B$6:$B$20,"&lt;="&amp;A2054)</f>
        <v>735000</v>
      </c>
      <c r="E2054" s="38" t="n">
        <f aca="false">VLOOKUP(A2054,Inputs!$A$40:$B$48,2,TRUE())</f>
        <v>0.0363225</v>
      </c>
      <c r="F2054" s="38" t="n">
        <f aca="false">E2054+Inputs!$B$10</f>
        <v>0.1038225</v>
      </c>
      <c r="G2054" s="37" t="n">
        <f aca="false">D2054*F2054/C2054</f>
        <v>208.496004098361</v>
      </c>
      <c r="H2054" s="37" t="n">
        <f aca="false">IF(AND(A2054&gt;=Inputs!$B$13,OR(A2054&lt;Inputs!$B$19,Inputs!$B$20=1)),D2054*Inputs!$B$11/C2054,0)</f>
        <v>40.1639344262295</v>
      </c>
      <c r="I2054" s="37" t="n">
        <f aca="false">Inputs!$C$9-SUMIFS(Cash_Events!$G$6:$G$20,Cash_Events!$C$6:$C$20,"FHL",Cash_Events!$B$6:$B$20,"&lt;="&amp;A2054)</f>
        <v>735000</v>
      </c>
      <c r="J2054" s="38" t="n">
        <f aca="false">VLOOKUP(A2054,Inputs!$F$40:$G$48,2,TRUE())</f>
        <v>0.0364054</v>
      </c>
      <c r="K2054" s="38" t="n">
        <f aca="false">J2054+Inputs!$C$10</f>
        <v>0.1039054</v>
      </c>
      <c r="L2054" s="37" t="n">
        <f aca="false">I2054*K2054/C2054</f>
        <v>208.662483606557</v>
      </c>
      <c r="M2054" s="37" t="n">
        <f aca="false">IF(AND(A2054&gt;=Inputs!$C$13,OR(A2054&lt;Inputs!$B$19,Inputs!$B$20=1)),I2054*Inputs!$C$11/C2054,0)</f>
        <v>40.1639344262295</v>
      </c>
    </row>
    <row r="2055" customFormat="false" ht="15" hidden="false" customHeight="false" outlineLevel="0" collapsed="false">
      <c r="A2055" s="35" t="n">
        <f aca="false">A2054+1</f>
        <v>46862</v>
      </c>
      <c r="B2055" s="35" t="n">
        <f aca="false">EOMONTH(A2055+1,0)</f>
        <v>46873</v>
      </c>
      <c r="C2055" s="36" t="n">
        <f aca="false">IF(MOD(YEAR(A2055),4)=0,366,365)</f>
        <v>366</v>
      </c>
      <c r="D2055" s="37" t="n">
        <f aca="false">Inputs!$B$9-SUMIFS(Cash_Events!$G$6:$G$20,Cash_Events!$C$6:$C$20,"rAGMF",Cash_Events!$B$6:$B$20,"&lt;="&amp;A2055)</f>
        <v>735000</v>
      </c>
      <c r="E2055" s="38" t="n">
        <f aca="false">VLOOKUP(A2055,Inputs!$A$40:$B$48,2,TRUE())</f>
        <v>0.0363225</v>
      </c>
      <c r="F2055" s="38" t="n">
        <f aca="false">E2055+Inputs!$B$10</f>
        <v>0.1038225</v>
      </c>
      <c r="G2055" s="37" t="n">
        <f aca="false">D2055*F2055/C2055</f>
        <v>208.496004098361</v>
      </c>
      <c r="H2055" s="37" t="n">
        <f aca="false">IF(AND(A2055&gt;=Inputs!$B$13,OR(A2055&lt;Inputs!$B$19,Inputs!$B$20=1)),D2055*Inputs!$B$11/C2055,0)</f>
        <v>40.1639344262295</v>
      </c>
      <c r="I2055" s="37" t="n">
        <f aca="false">Inputs!$C$9-SUMIFS(Cash_Events!$G$6:$G$20,Cash_Events!$C$6:$C$20,"FHL",Cash_Events!$B$6:$B$20,"&lt;="&amp;A2055)</f>
        <v>735000</v>
      </c>
      <c r="J2055" s="38" t="n">
        <f aca="false">VLOOKUP(A2055,Inputs!$F$40:$G$48,2,TRUE())</f>
        <v>0.0364054</v>
      </c>
      <c r="K2055" s="38" t="n">
        <f aca="false">J2055+Inputs!$C$10</f>
        <v>0.1039054</v>
      </c>
      <c r="L2055" s="37" t="n">
        <f aca="false">I2055*K2055/C2055</f>
        <v>208.662483606557</v>
      </c>
      <c r="M2055" s="37" t="n">
        <f aca="false">IF(AND(A2055&gt;=Inputs!$C$13,OR(A2055&lt;Inputs!$B$19,Inputs!$B$20=1)),I2055*Inputs!$C$11/C2055,0)</f>
        <v>40.1639344262295</v>
      </c>
    </row>
    <row r="2056" customFormat="false" ht="15" hidden="false" customHeight="false" outlineLevel="0" collapsed="false">
      <c r="A2056" s="35" t="n">
        <f aca="false">A2055+1</f>
        <v>46863</v>
      </c>
      <c r="B2056" s="35" t="n">
        <f aca="false">EOMONTH(A2056+1,0)</f>
        <v>46873</v>
      </c>
      <c r="C2056" s="36" t="n">
        <f aca="false">IF(MOD(YEAR(A2056),4)=0,366,365)</f>
        <v>366</v>
      </c>
      <c r="D2056" s="37" t="n">
        <f aca="false">Inputs!$B$9-SUMIFS(Cash_Events!$G$6:$G$20,Cash_Events!$C$6:$C$20,"rAGMF",Cash_Events!$B$6:$B$20,"&lt;="&amp;A2056)</f>
        <v>735000</v>
      </c>
      <c r="E2056" s="38" t="n">
        <f aca="false">VLOOKUP(A2056,Inputs!$A$40:$B$48,2,TRUE())</f>
        <v>0.0363225</v>
      </c>
      <c r="F2056" s="38" t="n">
        <f aca="false">E2056+Inputs!$B$10</f>
        <v>0.1038225</v>
      </c>
      <c r="G2056" s="37" t="n">
        <f aca="false">D2056*F2056/C2056</f>
        <v>208.496004098361</v>
      </c>
      <c r="H2056" s="37" t="n">
        <f aca="false">IF(AND(A2056&gt;=Inputs!$B$13,OR(A2056&lt;Inputs!$B$19,Inputs!$B$20=1)),D2056*Inputs!$B$11/C2056,0)</f>
        <v>40.1639344262295</v>
      </c>
      <c r="I2056" s="37" t="n">
        <f aca="false">Inputs!$C$9-SUMIFS(Cash_Events!$G$6:$G$20,Cash_Events!$C$6:$C$20,"FHL",Cash_Events!$B$6:$B$20,"&lt;="&amp;A2056)</f>
        <v>735000</v>
      </c>
      <c r="J2056" s="38" t="n">
        <f aca="false">VLOOKUP(A2056,Inputs!$F$40:$G$48,2,TRUE())</f>
        <v>0.0364054</v>
      </c>
      <c r="K2056" s="38" t="n">
        <f aca="false">J2056+Inputs!$C$10</f>
        <v>0.1039054</v>
      </c>
      <c r="L2056" s="37" t="n">
        <f aca="false">I2056*K2056/C2056</f>
        <v>208.662483606557</v>
      </c>
      <c r="M2056" s="37" t="n">
        <f aca="false">IF(AND(A2056&gt;=Inputs!$C$13,OR(A2056&lt;Inputs!$B$19,Inputs!$B$20=1)),I2056*Inputs!$C$11/C2056,0)</f>
        <v>40.1639344262295</v>
      </c>
    </row>
    <row r="2057" customFormat="false" ht="15" hidden="false" customHeight="false" outlineLevel="0" collapsed="false">
      <c r="A2057" s="35" t="n">
        <f aca="false">A2056+1</f>
        <v>46864</v>
      </c>
      <c r="B2057" s="35" t="n">
        <f aca="false">EOMONTH(A2057+1,0)</f>
        <v>46873</v>
      </c>
      <c r="C2057" s="36" t="n">
        <f aca="false">IF(MOD(YEAR(A2057),4)=0,366,365)</f>
        <v>366</v>
      </c>
      <c r="D2057" s="37" t="n">
        <f aca="false">Inputs!$B$9-SUMIFS(Cash_Events!$G$6:$G$20,Cash_Events!$C$6:$C$20,"rAGMF",Cash_Events!$B$6:$B$20,"&lt;="&amp;A2057)</f>
        <v>735000</v>
      </c>
      <c r="E2057" s="38" t="n">
        <f aca="false">VLOOKUP(A2057,Inputs!$A$40:$B$48,2,TRUE())</f>
        <v>0.0363225</v>
      </c>
      <c r="F2057" s="38" t="n">
        <f aca="false">E2057+Inputs!$B$10</f>
        <v>0.1038225</v>
      </c>
      <c r="G2057" s="37" t="n">
        <f aca="false">D2057*F2057/C2057</f>
        <v>208.496004098361</v>
      </c>
      <c r="H2057" s="37" t="n">
        <f aca="false">IF(AND(A2057&gt;=Inputs!$B$13,OR(A2057&lt;Inputs!$B$19,Inputs!$B$20=1)),D2057*Inputs!$B$11/C2057,0)</f>
        <v>40.1639344262295</v>
      </c>
      <c r="I2057" s="37" t="n">
        <f aca="false">Inputs!$C$9-SUMIFS(Cash_Events!$G$6:$G$20,Cash_Events!$C$6:$C$20,"FHL",Cash_Events!$B$6:$B$20,"&lt;="&amp;A2057)</f>
        <v>735000</v>
      </c>
      <c r="J2057" s="38" t="n">
        <f aca="false">VLOOKUP(A2057,Inputs!$F$40:$G$48,2,TRUE())</f>
        <v>0.0364054</v>
      </c>
      <c r="K2057" s="38" t="n">
        <f aca="false">J2057+Inputs!$C$10</f>
        <v>0.1039054</v>
      </c>
      <c r="L2057" s="37" t="n">
        <f aca="false">I2057*K2057/C2057</f>
        <v>208.662483606557</v>
      </c>
      <c r="M2057" s="37" t="n">
        <f aca="false">IF(AND(A2057&gt;=Inputs!$C$13,OR(A2057&lt;Inputs!$B$19,Inputs!$B$20=1)),I2057*Inputs!$C$11/C2057,0)</f>
        <v>40.1639344262295</v>
      </c>
    </row>
    <row r="2058" customFormat="false" ht="15" hidden="false" customHeight="false" outlineLevel="0" collapsed="false">
      <c r="A2058" s="35" t="n">
        <f aca="false">A2057+1</f>
        <v>46865</v>
      </c>
      <c r="B2058" s="35" t="n">
        <f aca="false">EOMONTH(A2058+1,0)</f>
        <v>46873</v>
      </c>
      <c r="C2058" s="36" t="n">
        <f aca="false">IF(MOD(YEAR(A2058),4)=0,366,365)</f>
        <v>366</v>
      </c>
      <c r="D2058" s="37" t="n">
        <f aca="false">Inputs!$B$9-SUMIFS(Cash_Events!$G$6:$G$20,Cash_Events!$C$6:$C$20,"rAGMF",Cash_Events!$B$6:$B$20,"&lt;="&amp;A2058)</f>
        <v>735000</v>
      </c>
      <c r="E2058" s="38" t="n">
        <f aca="false">VLOOKUP(A2058,Inputs!$A$40:$B$48,2,TRUE())</f>
        <v>0.0363225</v>
      </c>
      <c r="F2058" s="38" t="n">
        <f aca="false">E2058+Inputs!$B$10</f>
        <v>0.1038225</v>
      </c>
      <c r="G2058" s="37" t="n">
        <f aca="false">D2058*F2058/C2058</f>
        <v>208.496004098361</v>
      </c>
      <c r="H2058" s="37" t="n">
        <f aca="false">IF(AND(A2058&gt;=Inputs!$B$13,OR(A2058&lt;Inputs!$B$19,Inputs!$B$20=1)),D2058*Inputs!$B$11/C2058,0)</f>
        <v>40.1639344262295</v>
      </c>
      <c r="I2058" s="37" t="n">
        <f aca="false">Inputs!$C$9-SUMIFS(Cash_Events!$G$6:$G$20,Cash_Events!$C$6:$C$20,"FHL",Cash_Events!$B$6:$B$20,"&lt;="&amp;A2058)</f>
        <v>735000</v>
      </c>
      <c r="J2058" s="38" t="n">
        <f aca="false">VLOOKUP(A2058,Inputs!$F$40:$G$48,2,TRUE())</f>
        <v>0.0364054</v>
      </c>
      <c r="K2058" s="38" t="n">
        <f aca="false">J2058+Inputs!$C$10</f>
        <v>0.1039054</v>
      </c>
      <c r="L2058" s="37" t="n">
        <f aca="false">I2058*K2058/C2058</f>
        <v>208.662483606557</v>
      </c>
      <c r="M2058" s="37" t="n">
        <f aca="false">IF(AND(A2058&gt;=Inputs!$C$13,OR(A2058&lt;Inputs!$B$19,Inputs!$B$20=1)),I2058*Inputs!$C$11/C2058,0)</f>
        <v>40.1639344262295</v>
      </c>
    </row>
    <row r="2059" customFormat="false" ht="15" hidden="false" customHeight="false" outlineLevel="0" collapsed="false">
      <c r="A2059" s="35" t="n">
        <f aca="false">A2058+1</f>
        <v>46866</v>
      </c>
      <c r="B2059" s="35" t="n">
        <f aca="false">EOMONTH(A2059+1,0)</f>
        <v>46873</v>
      </c>
      <c r="C2059" s="36" t="n">
        <f aca="false">IF(MOD(YEAR(A2059),4)=0,366,365)</f>
        <v>366</v>
      </c>
      <c r="D2059" s="37" t="n">
        <f aca="false">Inputs!$B$9-SUMIFS(Cash_Events!$G$6:$G$20,Cash_Events!$C$6:$C$20,"rAGMF",Cash_Events!$B$6:$B$20,"&lt;="&amp;A2059)</f>
        <v>735000</v>
      </c>
      <c r="E2059" s="38" t="n">
        <f aca="false">VLOOKUP(A2059,Inputs!$A$40:$B$48,2,TRUE())</f>
        <v>0.0363225</v>
      </c>
      <c r="F2059" s="38" t="n">
        <f aca="false">E2059+Inputs!$B$10</f>
        <v>0.1038225</v>
      </c>
      <c r="G2059" s="37" t="n">
        <f aca="false">D2059*F2059/C2059</f>
        <v>208.496004098361</v>
      </c>
      <c r="H2059" s="37" t="n">
        <f aca="false">IF(AND(A2059&gt;=Inputs!$B$13,OR(A2059&lt;Inputs!$B$19,Inputs!$B$20=1)),D2059*Inputs!$B$11/C2059,0)</f>
        <v>40.1639344262295</v>
      </c>
      <c r="I2059" s="37" t="n">
        <f aca="false">Inputs!$C$9-SUMIFS(Cash_Events!$G$6:$G$20,Cash_Events!$C$6:$C$20,"FHL",Cash_Events!$B$6:$B$20,"&lt;="&amp;A2059)</f>
        <v>735000</v>
      </c>
      <c r="J2059" s="38" t="n">
        <f aca="false">VLOOKUP(A2059,Inputs!$F$40:$G$48,2,TRUE())</f>
        <v>0.0364054</v>
      </c>
      <c r="K2059" s="38" t="n">
        <f aca="false">J2059+Inputs!$C$10</f>
        <v>0.1039054</v>
      </c>
      <c r="L2059" s="37" t="n">
        <f aca="false">I2059*K2059/C2059</f>
        <v>208.662483606557</v>
      </c>
      <c r="M2059" s="37" t="n">
        <f aca="false">IF(AND(A2059&gt;=Inputs!$C$13,OR(A2059&lt;Inputs!$B$19,Inputs!$B$20=1)),I2059*Inputs!$C$11/C2059,0)</f>
        <v>40.1639344262295</v>
      </c>
    </row>
    <row r="2060" customFormat="false" ht="15" hidden="false" customHeight="false" outlineLevel="0" collapsed="false">
      <c r="A2060" s="35" t="n">
        <f aca="false">A2059+1</f>
        <v>46867</v>
      </c>
      <c r="B2060" s="35" t="n">
        <f aca="false">EOMONTH(A2060+1,0)</f>
        <v>46873</v>
      </c>
      <c r="C2060" s="36" t="n">
        <f aca="false">IF(MOD(YEAR(A2060),4)=0,366,365)</f>
        <v>366</v>
      </c>
      <c r="D2060" s="37" t="n">
        <f aca="false">Inputs!$B$9-SUMIFS(Cash_Events!$G$6:$G$20,Cash_Events!$C$6:$C$20,"rAGMF",Cash_Events!$B$6:$B$20,"&lt;="&amp;A2060)</f>
        <v>735000</v>
      </c>
      <c r="E2060" s="38" t="n">
        <f aca="false">VLOOKUP(A2060,Inputs!$A$40:$B$48,2,TRUE())</f>
        <v>0.0363225</v>
      </c>
      <c r="F2060" s="38" t="n">
        <f aca="false">E2060+Inputs!$B$10</f>
        <v>0.1038225</v>
      </c>
      <c r="G2060" s="37" t="n">
        <f aca="false">D2060*F2060/C2060</f>
        <v>208.496004098361</v>
      </c>
      <c r="H2060" s="37" t="n">
        <f aca="false">IF(AND(A2060&gt;=Inputs!$B$13,OR(A2060&lt;Inputs!$B$19,Inputs!$B$20=1)),D2060*Inputs!$B$11/C2060,0)</f>
        <v>40.1639344262295</v>
      </c>
      <c r="I2060" s="37" t="n">
        <f aca="false">Inputs!$C$9-SUMIFS(Cash_Events!$G$6:$G$20,Cash_Events!$C$6:$C$20,"FHL",Cash_Events!$B$6:$B$20,"&lt;="&amp;A2060)</f>
        <v>735000</v>
      </c>
      <c r="J2060" s="38" t="n">
        <f aca="false">VLOOKUP(A2060,Inputs!$F$40:$G$48,2,TRUE())</f>
        <v>0.0364054</v>
      </c>
      <c r="K2060" s="38" t="n">
        <f aca="false">J2060+Inputs!$C$10</f>
        <v>0.1039054</v>
      </c>
      <c r="L2060" s="37" t="n">
        <f aca="false">I2060*K2060/C2060</f>
        <v>208.662483606557</v>
      </c>
      <c r="M2060" s="37" t="n">
        <f aca="false">IF(AND(A2060&gt;=Inputs!$C$13,OR(A2060&lt;Inputs!$B$19,Inputs!$B$20=1)),I2060*Inputs!$C$11/C2060,0)</f>
        <v>40.1639344262295</v>
      </c>
    </row>
    <row r="2061" customFormat="false" ht="15" hidden="false" customHeight="false" outlineLevel="0" collapsed="false">
      <c r="A2061" s="35" t="n">
        <f aca="false">A2060+1</f>
        <v>46868</v>
      </c>
      <c r="B2061" s="35" t="n">
        <f aca="false">EOMONTH(A2061+1,0)</f>
        <v>46873</v>
      </c>
      <c r="C2061" s="36" t="n">
        <f aca="false">IF(MOD(YEAR(A2061),4)=0,366,365)</f>
        <v>366</v>
      </c>
      <c r="D2061" s="37" t="n">
        <f aca="false">Inputs!$B$9-SUMIFS(Cash_Events!$G$6:$G$20,Cash_Events!$C$6:$C$20,"rAGMF",Cash_Events!$B$6:$B$20,"&lt;="&amp;A2061)</f>
        <v>735000</v>
      </c>
      <c r="E2061" s="38" t="n">
        <f aca="false">VLOOKUP(A2061,Inputs!$A$40:$B$48,2,TRUE())</f>
        <v>0.0363225</v>
      </c>
      <c r="F2061" s="38" t="n">
        <f aca="false">E2061+Inputs!$B$10</f>
        <v>0.1038225</v>
      </c>
      <c r="G2061" s="37" t="n">
        <f aca="false">D2061*F2061/C2061</f>
        <v>208.496004098361</v>
      </c>
      <c r="H2061" s="37" t="n">
        <f aca="false">IF(AND(A2061&gt;=Inputs!$B$13,OR(A2061&lt;Inputs!$B$19,Inputs!$B$20=1)),D2061*Inputs!$B$11/C2061,0)</f>
        <v>40.1639344262295</v>
      </c>
      <c r="I2061" s="37" t="n">
        <f aca="false">Inputs!$C$9-SUMIFS(Cash_Events!$G$6:$G$20,Cash_Events!$C$6:$C$20,"FHL",Cash_Events!$B$6:$B$20,"&lt;="&amp;A2061)</f>
        <v>735000</v>
      </c>
      <c r="J2061" s="38" t="n">
        <f aca="false">VLOOKUP(A2061,Inputs!$F$40:$G$48,2,TRUE())</f>
        <v>0.0364054</v>
      </c>
      <c r="K2061" s="38" t="n">
        <f aca="false">J2061+Inputs!$C$10</f>
        <v>0.1039054</v>
      </c>
      <c r="L2061" s="37" t="n">
        <f aca="false">I2061*K2061/C2061</f>
        <v>208.662483606557</v>
      </c>
      <c r="M2061" s="37" t="n">
        <f aca="false">IF(AND(A2061&gt;=Inputs!$C$13,OR(A2061&lt;Inputs!$B$19,Inputs!$B$20=1)),I2061*Inputs!$C$11/C2061,0)</f>
        <v>40.1639344262295</v>
      </c>
    </row>
    <row r="2062" customFormat="false" ht="15" hidden="false" customHeight="false" outlineLevel="0" collapsed="false">
      <c r="A2062" s="35" t="n">
        <f aca="false">A2061+1</f>
        <v>46869</v>
      </c>
      <c r="B2062" s="35" t="n">
        <f aca="false">EOMONTH(A2062+1,0)</f>
        <v>46873</v>
      </c>
      <c r="C2062" s="36" t="n">
        <f aca="false">IF(MOD(YEAR(A2062),4)=0,366,365)</f>
        <v>366</v>
      </c>
      <c r="D2062" s="37" t="n">
        <f aca="false">Inputs!$B$9-SUMIFS(Cash_Events!$G$6:$G$20,Cash_Events!$C$6:$C$20,"rAGMF",Cash_Events!$B$6:$B$20,"&lt;="&amp;A2062)</f>
        <v>735000</v>
      </c>
      <c r="E2062" s="38" t="n">
        <f aca="false">VLOOKUP(A2062,Inputs!$A$40:$B$48,2,TRUE())</f>
        <v>0.0363225</v>
      </c>
      <c r="F2062" s="38" t="n">
        <f aca="false">E2062+Inputs!$B$10</f>
        <v>0.1038225</v>
      </c>
      <c r="G2062" s="37" t="n">
        <f aca="false">D2062*F2062/C2062</f>
        <v>208.496004098361</v>
      </c>
      <c r="H2062" s="37" t="n">
        <f aca="false">IF(AND(A2062&gt;=Inputs!$B$13,OR(A2062&lt;Inputs!$B$19,Inputs!$B$20=1)),D2062*Inputs!$B$11/C2062,0)</f>
        <v>40.1639344262295</v>
      </c>
      <c r="I2062" s="37" t="n">
        <f aca="false">Inputs!$C$9-SUMIFS(Cash_Events!$G$6:$G$20,Cash_Events!$C$6:$C$20,"FHL",Cash_Events!$B$6:$B$20,"&lt;="&amp;A2062)</f>
        <v>735000</v>
      </c>
      <c r="J2062" s="38" t="n">
        <f aca="false">VLOOKUP(A2062,Inputs!$F$40:$G$48,2,TRUE())</f>
        <v>0.0364054</v>
      </c>
      <c r="K2062" s="38" t="n">
        <f aca="false">J2062+Inputs!$C$10</f>
        <v>0.1039054</v>
      </c>
      <c r="L2062" s="37" t="n">
        <f aca="false">I2062*K2062/C2062</f>
        <v>208.662483606557</v>
      </c>
      <c r="M2062" s="37" t="n">
        <f aca="false">IF(AND(A2062&gt;=Inputs!$C$13,OR(A2062&lt;Inputs!$B$19,Inputs!$B$20=1)),I2062*Inputs!$C$11/C2062,0)</f>
        <v>40.1639344262295</v>
      </c>
    </row>
    <row r="2063" customFormat="false" ht="15" hidden="false" customHeight="false" outlineLevel="0" collapsed="false">
      <c r="A2063" s="35" t="n">
        <f aca="false">A2062+1</f>
        <v>46870</v>
      </c>
      <c r="B2063" s="35" t="n">
        <f aca="false">EOMONTH(A2063+1,0)</f>
        <v>46873</v>
      </c>
      <c r="C2063" s="36" t="n">
        <f aca="false">IF(MOD(YEAR(A2063),4)=0,366,365)</f>
        <v>366</v>
      </c>
      <c r="D2063" s="37" t="n">
        <f aca="false">Inputs!$B$9-SUMIFS(Cash_Events!$G$6:$G$20,Cash_Events!$C$6:$C$20,"rAGMF",Cash_Events!$B$6:$B$20,"&lt;="&amp;A2063)</f>
        <v>735000</v>
      </c>
      <c r="E2063" s="38" t="n">
        <f aca="false">VLOOKUP(A2063,Inputs!$A$40:$B$48,2,TRUE())</f>
        <v>0.0363225</v>
      </c>
      <c r="F2063" s="38" t="n">
        <f aca="false">E2063+Inputs!$B$10</f>
        <v>0.1038225</v>
      </c>
      <c r="G2063" s="37" t="n">
        <f aca="false">D2063*F2063/C2063</f>
        <v>208.496004098361</v>
      </c>
      <c r="H2063" s="37" t="n">
        <f aca="false">IF(AND(A2063&gt;=Inputs!$B$13,OR(A2063&lt;Inputs!$B$19,Inputs!$B$20=1)),D2063*Inputs!$B$11/C2063,0)</f>
        <v>40.1639344262295</v>
      </c>
      <c r="I2063" s="37" t="n">
        <f aca="false">Inputs!$C$9-SUMIFS(Cash_Events!$G$6:$G$20,Cash_Events!$C$6:$C$20,"FHL",Cash_Events!$B$6:$B$20,"&lt;="&amp;A2063)</f>
        <v>735000</v>
      </c>
      <c r="J2063" s="38" t="n">
        <f aca="false">VLOOKUP(A2063,Inputs!$F$40:$G$48,2,TRUE())</f>
        <v>0.0364054</v>
      </c>
      <c r="K2063" s="38" t="n">
        <f aca="false">J2063+Inputs!$C$10</f>
        <v>0.1039054</v>
      </c>
      <c r="L2063" s="37" t="n">
        <f aca="false">I2063*K2063/C2063</f>
        <v>208.662483606557</v>
      </c>
      <c r="M2063" s="37" t="n">
        <f aca="false">IF(AND(A2063&gt;=Inputs!$C$13,OR(A2063&lt;Inputs!$B$19,Inputs!$B$20=1)),I2063*Inputs!$C$11/C2063,0)</f>
        <v>40.1639344262295</v>
      </c>
    </row>
    <row r="2064" customFormat="false" ht="15" hidden="false" customHeight="false" outlineLevel="0" collapsed="false">
      <c r="A2064" s="35" t="n">
        <f aca="false">A2063+1</f>
        <v>46871</v>
      </c>
      <c r="B2064" s="35" t="n">
        <f aca="false">EOMONTH(A2064+1,0)</f>
        <v>46873</v>
      </c>
      <c r="C2064" s="36" t="n">
        <f aca="false">IF(MOD(YEAR(A2064),4)=0,366,365)</f>
        <v>366</v>
      </c>
      <c r="D2064" s="37" t="n">
        <f aca="false">Inputs!$B$9-SUMIFS(Cash_Events!$G$6:$G$20,Cash_Events!$C$6:$C$20,"rAGMF",Cash_Events!$B$6:$B$20,"&lt;="&amp;A2064)</f>
        <v>735000</v>
      </c>
      <c r="E2064" s="38" t="n">
        <f aca="false">VLOOKUP(A2064,Inputs!$A$40:$B$48,2,TRUE())</f>
        <v>0.0363225</v>
      </c>
      <c r="F2064" s="38" t="n">
        <f aca="false">E2064+Inputs!$B$10</f>
        <v>0.1038225</v>
      </c>
      <c r="G2064" s="37" t="n">
        <f aca="false">D2064*F2064/C2064</f>
        <v>208.496004098361</v>
      </c>
      <c r="H2064" s="37" t="n">
        <f aca="false">IF(AND(A2064&gt;=Inputs!$B$13,OR(A2064&lt;Inputs!$B$19,Inputs!$B$20=1)),D2064*Inputs!$B$11/C2064,0)</f>
        <v>40.1639344262295</v>
      </c>
      <c r="I2064" s="37" t="n">
        <f aca="false">Inputs!$C$9-SUMIFS(Cash_Events!$G$6:$G$20,Cash_Events!$C$6:$C$20,"FHL",Cash_Events!$B$6:$B$20,"&lt;="&amp;A2064)</f>
        <v>735000</v>
      </c>
      <c r="J2064" s="38" t="n">
        <f aca="false">VLOOKUP(A2064,Inputs!$F$40:$G$48,2,TRUE())</f>
        <v>0.0364054</v>
      </c>
      <c r="K2064" s="38" t="n">
        <f aca="false">J2064+Inputs!$C$10</f>
        <v>0.1039054</v>
      </c>
      <c r="L2064" s="37" t="n">
        <f aca="false">I2064*K2064/C2064</f>
        <v>208.662483606557</v>
      </c>
      <c r="M2064" s="37" t="n">
        <f aca="false">IF(AND(A2064&gt;=Inputs!$C$13,OR(A2064&lt;Inputs!$B$19,Inputs!$B$20=1)),I2064*Inputs!$C$11/C2064,0)</f>
        <v>40.1639344262295</v>
      </c>
    </row>
    <row r="2065" customFormat="false" ht="15" hidden="false" customHeight="false" outlineLevel="0" collapsed="false">
      <c r="A2065" s="35" t="n">
        <f aca="false">A2064+1</f>
        <v>46872</v>
      </c>
      <c r="B2065" s="35" t="n">
        <f aca="false">EOMONTH(A2065+1,0)</f>
        <v>46873</v>
      </c>
      <c r="C2065" s="36" t="n">
        <f aca="false">IF(MOD(YEAR(A2065),4)=0,366,365)</f>
        <v>366</v>
      </c>
      <c r="D2065" s="37" t="n">
        <f aca="false">Inputs!$B$9-SUMIFS(Cash_Events!$G$6:$G$20,Cash_Events!$C$6:$C$20,"rAGMF",Cash_Events!$B$6:$B$20,"&lt;="&amp;A2065)</f>
        <v>735000</v>
      </c>
      <c r="E2065" s="38" t="n">
        <f aca="false">VLOOKUP(A2065,Inputs!$A$40:$B$48,2,TRUE())</f>
        <v>0.0363225</v>
      </c>
      <c r="F2065" s="38" t="n">
        <f aca="false">E2065+Inputs!$B$10</f>
        <v>0.1038225</v>
      </c>
      <c r="G2065" s="37" t="n">
        <f aca="false">D2065*F2065/C2065</f>
        <v>208.496004098361</v>
      </c>
      <c r="H2065" s="37" t="n">
        <f aca="false">IF(AND(A2065&gt;=Inputs!$B$13,OR(A2065&lt;Inputs!$B$19,Inputs!$B$20=1)),D2065*Inputs!$B$11/C2065,0)</f>
        <v>40.1639344262295</v>
      </c>
      <c r="I2065" s="37" t="n">
        <f aca="false">Inputs!$C$9-SUMIFS(Cash_Events!$G$6:$G$20,Cash_Events!$C$6:$C$20,"FHL",Cash_Events!$B$6:$B$20,"&lt;="&amp;A2065)</f>
        <v>735000</v>
      </c>
      <c r="J2065" s="38" t="n">
        <f aca="false">VLOOKUP(A2065,Inputs!$F$40:$G$48,2,TRUE())</f>
        <v>0.0364054</v>
      </c>
      <c r="K2065" s="38" t="n">
        <f aca="false">J2065+Inputs!$C$10</f>
        <v>0.1039054</v>
      </c>
      <c r="L2065" s="37" t="n">
        <f aca="false">I2065*K2065/C2065</f>
        <v>208.662483606557</v>
      </c>
      <c r="M2065" s="37" t="n">
        <f aca="false">IF(AND(A2065&gt;=Inputs!$C$13,OR(A2065&lt;Inputs!$B$19,Inputs!$B$20=1)),I2065*Inputs!$C$11/C2065,0)</f>
        <v>40.1639344262295</v>
      </c>
    </row>
    <row r="2066" customFormat="false" ht="15" hidden="false" customHeight="false" outlineLevel="0" collapsed="false">
      <c r="A2066" s="35" t="n">
        <f aca="false">A2065+1</f>
        <v>46873</v>
      </c>
      <c r="B2066" s="35" t="n">
        <f aca="false">EOMONTH(A2066+1,0)</f>
        <v>46904</v>
      </c>
      <c r="C2066" s="36" t="n">
        <f aca="false">IF(MOD(YEAR(A2066),4)=0,366,365)</f>
        <v>366</v>
      </c>
      <c r="D2066" s="37" t="n">
        <f aca="false">Inputs!$B$9-SUMIFS(Cash_Events!$G$6:$G$20,Cash_Events!$C$6:$C$20,"rAGMF",Cash_Events!$B$6:$B$20,"&lt;="&amp;A2066)</f>
        <v>735000</v>
      </c>
      <c r="E2066" s="38" t="n">
        <f aca="false">VLOOKUP(A2066,Inputs!$A$40:$B$48,2,TRUE())</f>
        <v>0.0363225</v>
      </c>
      <c r="F2066" s="38" t="n">
        <f aca="false">E2066+Inputs!$B$10</f>
        <v>0.1038225</v>
      </c>
      <c r="G2066" s="37" t="n">
        <f aca="false">D2066*F2066/C2066</f>
        <v>208.496004098361</v>
      </c>
      <c r="H2066" s="37" t="n">
        <f aca="false">IF(AND(A2066&gt;=Inputs!$B$13,OR(A2066&lt;Inputs!$B$19,Inputs!$B$20=1)),D2066*Inputs!$B$11/C2066,0)</f>
        <v>40.1639344262295</v>
      </c>
      <c r="I2066" s="37" t="n">
        <f aca="false">Inputs!$C$9-SUMIFS(Cash_Events!$G$6:$G$20,Cash_Events!$C$6:$C$20,"FHL",Cash_Events!$B$6:$B$20,"&lt;="&amp;A2066)</f>
        <v>735000</v>
      </c>
      <c r="J2066" s="38" t="n">
        <f aca="false">VLOOKUP(A2066,Inputs!$F$40:$G$48,2,TRUE())</f>
        <v>0.0364054</v>
      </c>
      <c r="K2066" s="38" t="n">
        <f aca="false">J2066+Inputs!$C$10</f>
        <v>0.1039054</v>
      </c>
      <c r="L2066" s="37" t="n">
        <f aca="false">I2066*K2066/C2066</f>
        <v>208.662483606557</v>
      </c>
      <c r="M2066" s="37" t="n">
        <f aca="false">IF(AND(A2066&gt;=Inputs!$C$13,OR(A2066&lt;Inputs!$B$19,Inputs!$B$20=1)),I2066*Inputs!$C$11/C2066,0)</f>
        <v>40.1639344262295</v>
      </c>
    </row>
    <row r="2067" customFormat="false" ht="15" hidden="false" customHeight="false" outlineLevel="0" collapsed="false">
      <c r="A2067" s="35" t="n">
        <f aca="false">A2066+1</f>
        <v>46874</v>
      </c>
      <c r="B2067" s="35" t="n">
        <f aca="false">EOMONTH(A2067+1,0)</f>
        <v>46904</v>
      </c>
      <c r="C2067" s="36" t="n">
        <f aca="false">IF(MOD(YEAR(A2067),4)=0,366,365)</f>
        <v>366</v>
      </c>
      <c r="D2067" s="37" t="n">
        <f aca="false">Inputs!$B$9-SUMIFS(Cash_Events!$G$6:$G$20,Cash_Events!$C$6:$C$20,"rAGMF",Cash_Events!$B$6:$B$20,"&lt;="&amp;A2067)</f>
        <v>735000</v>
      </c>
      <c r="E2067" s="38" t="n">
        <f aca="false">VLOOKUP(A2067,Inputs!$A$40:$B$48,2,TRUE())</f>
        <v>0.0363225</v>
      </c>
      <c r="F2067" s="38" t="n">
        <f aca="false">E2067+Inputs!$B$10</f>
        <v>0.1038225</v>
      </c>
      <c r="G2067" s="37" t="n">
        <f aca="false">D2067*F2067/C2067</f>
        <v>208.496004098361</v>
      </c>
      <c r="H2067" s="37" t="n">
        <f aca="false">IF(AND(A2067&gt;=Inputs!$B$13,OR(A2067&lt;Inputs!$B$19,Inputs!$B$20=1)),D2067*Inputs!$B$11/C2067,0)</f>
        <v>40.1639344262295</v>
      </c>
      <c r="I2067" s="37" t="n">
        <f aca="false">Inputs!$C$9-SUMIFS(Cash_Events!$G$6:$G$20,Cash_Events!$C$6:$C$20,"FHL",Cash_Events!$B$6:$B$20,"&lt;="&amp;A2067)</f>
        <v>735000</v>
      </c>
      <c r="J2067" s="38" t="n">
        <f aca="false">VLOOKUP(A2067,Inputs!$F$40:$G$48,2,TRUE())</f>
        <v>0.0364054</v>
      </c>
      <c r="K2067" s="38" t="n">
        <f aca="false">J2067+Inputs!$C$10</f>
        <v>0.1039054</v>
      </c>
      <c r="L2067" s="37" t="n">
        <f aca="false">I2067*K2067/C2067</f>
        <v>208.662483606557</v>
      </c>
      <c r="M2067" s="37" t="n">
        <f aca="false">IF(AND(A2067&gt;=Inputs!$C$13,OR(A2067&lt;Inputs!$B$19,Inputs!$B$20=1)),I2067*Inputs!$C$11/C2067,0)</f>
        <v>40.1639344262295</v>
      </c>
    </row>
    <row r="2068" customFormat="false" ht="15" hidden="false" customHeight="false" outlineLevel="0" collapsed="false">
      <c r="A2068" s="35" t="n">
        <f aca="false">A2067+1</f>
        <v>46875</v>
      </c>
      <c r="B2068" s="35" t="n">
        <f aca="false">EOMONTH(A2068+1,0)</f>
        <v>46904</v>
      </c>
      <c r="C2068" s="36" t="n">
        <f aca="false">IF(MOD(YEAR(A2068),4)=0,366,365)</f>
        <v>366</v>
      </c>
      <c r="D2068" s="37" t="n">
        <f aca="false">Inputs!$B$9-SUMIFS(Cash_Events!$G$6:$G$20,Cash_Events!$C$6:$C$20,"rAGMF",Cash_Events!$B$6:$B$20,"&lt;="&amp;A2068)</f>
        <v>735000</v>
      </c>
      <c r="E2068" s="38" t="n">
        <f aca="false">VLOOKUP(A2068,Inputs!$A$40:$B$48,2,TRUE())</f>
        <v>0.0363225</v>
      </c>
      <c r="F2068" s="38" t="n">
        <f aca="false">E2068+Inputs!$B$10</f>
        <v>0.1038225</v>
      </c>
      <c r="G2068" s="37" t="n">
        <f aca="false">D2068*F2068/C2068</f>
        <v>208.496004098361</v>
      </c>
      <c r="H2068" s="37" t="n">
        <f aca="false">IF(AND(A2068&gt;=Inputs!$B$13,OR(A2068&lt;Inputs!$B$19,Inputs!$B$20=1)),D2068*Inputs!$B$11/C2068,0)</f>
        <v>40.1639344262295</v>
      </c>
      <c r="I2068" s="37" t="n">
        <f aca="false">Inputs!$C$9-SUMIFS(Cash_Events!$G$6:$G$20,Cash_Events!$C$6:$C$20,"FHL",Cash_Events!$B$6:$B$20,"&lt;="&amp;A2068)</f>
        <v>735000</v>
      </c>
      <c r="J2068" s="38" t="n">
        <f aca="false">VLOOKUP(A2068,Inputs!$F$40:$G$48,2,TRUE())</f>
        <v>0.0364054</v>
      </c>
      <c r="K2068" s="38" t="n">
        <f aca="false">J2068+Inputs!$C$10</f>
        <v>0.1039054</v>
      </c>
      <c r="L2068" s="37" t="n">
        <f aca="false">I2068*K2068/C2068</f>
        <v>208.662483606557</v>
      </c>
      <c r="M2068" s="37" t="n">
        <f aca="false">IF(AND(A2068&gt;=Inputs!$C$13,OR(A2068&lt;Inputs!$B$19,Inputs!$B$20=1)),I2068*Inputs!$C$11/C2068,0)</f>
        <v>40.1639344262295</v>
      </c>
    </row>
    <row r="2069" customFormat="false" ht="15" hidden="false" customHeight="false" outlineLevel="0" collapsed="false">
      <c r="A2069" s="35" t="n">
        <f aca="false">A2068+1</f>
        <v>46876</v>
      </c>
      <c r="B2069" s="35" t="n">
        <f aca="false">EOMONTH(A2069+1,0)</f>
        <v>46904</v>
      </c>
      <c r="C2069" s="36" t="n">
        <f aca="false">IF(MOD(YEAR(A2069),4)=0,366,365)</f>
        <v>366</v>
      </c>
      <c r="D2069" s="37" t="n">
        <f aca="false">Inputs!$B$9-SUMIFS(Cash_Events!$G$6:$G$20,Cash_Events!$C$6:$C$20,"rAGMF",Cash_Events!$B$6:$B$20,"&lt;="&amp;A2069)</f>
        <v>735000</v>
      </c>
      <c r="E2069" s="38" t="n">
        <f aca="false">VLOOKUP(A2069,Inputs!$A$40:$B$48,2,TRUE())</f>
        <v>0.0363225</v>
      </c>
      <c r="F2069" s="38" t="n">
        <f aca="false">E2069+Inputs!$B$10</f>
        <v>0.1038225</v>
      </c>
      <c r="G2069" s="37" t="n">
        <f aca="false">D2069*F2069/C2069</f>
        <v>208.496004098361</v>
      </c>
      <c r="H2069" s="37" t="n">
        <f aca="false">IF(AND(A2069&gt;=Inputs!$B$13,OR(A2069&lt;Inputs!$B$19,Inputs!$B$20=1)),D2069*Inputs!$B$11/C2069,0)</f>
        <v>40.1639344262295</v>
      </c>
      <c r="I2069" s="37" t="n">
        <f aca="false">Inputs!$C$9-SUMIFS(Cash_Events!$G$6:$G$20,Cash_Events!$C$6:$C$20,"FHL",Cash_Events!$B$6:$B$20,"&lt;="&amp;A2069)</f>
        <v>735000</v>
      </c>
      <c r="J2069" s="38" t="n">
        <f aca="false">VLOOKUP(A2069,Inputs!$F$40:$G$48,2,TRUE())</f>
        <v>0.0364054</v>
      </c>
      <c r="K2069" s="38" t="n">
        <f aca="false">J2069+Inputs!$C$10</f>
        <v>0.1039054</v>
      </c>
      <c r="L2069" s="37" t="n">
        <f aca="false">I2069*K2069/C2069</f>
        <v>208.662483606557</v>
      </c>
      <c r="M2069" s="37" t="n">
        <f aca="false">IF(AND(A2069&gt;=Inputs!$C$13,OR(A2069&lt;Inputs!$B$19,Inputs!$B$20=1)),I2069*Inputs!$C$11/C2069,0)</f>
        <v>40.1639344262295</v>
      </c>
    </row>
    <row r="2070" customFormat="false" ht="15" hidden="false" customHeight="false" outlineLevel="0" collapsed="false">
      <c r="A2070" s="35" t="n">
        <f aca="false">A2069+1</f>
        <v>46877</v>
      </c>
      <c r="B2070" s="35" t="n">
        <f aca="false">EOMONTH(A2070+1,0)</f>
        <v>46904</v>
      </c>
      <c r="C2070" s="36" t="n">
        <f aca="false">IF(MOD(YEAR(A2070),4)=0,366,365)</f>
        <v>366</v>
      </c>
      <c r="D2070" s="37" t="n">
        <f aca="false">Inputs!$B$9-SUMIFS(Cash_Events!$G$6:$G$20,Cash_Events!$C$6:$C$20,"rAGMF",Cash_Events!$B$6:$B$20,"&lt;="&amp;A2070)</f>
        <v>735000</v>
      </c>
      <c r="E2070" s="38" t="n">
        <f aca="false">VLOOKUP(A2070,Inputs!$A$40:$B$48,2,TRUE())</f>
        <v>0.0363225</v>
      </c>
      <c r="F2070" s="38" t="n">
        <f aca="false">E2070+Inputs!$B$10</f>
        <v>0.1038225</v>
      </c>
      <c r="G2070" s="37" t="n">
        <f aca="false">D2070*F2070/C2070</f>
        <v>208.496004098361</v>
      </c>
      <c r="H2070" s="37" t="n">
        <f aca="false">IF(AND(A2070&gt;=Inputs!$B$13,OR(A2070&lt;Inputs!$B$19,Inputs!$B$20=1)),D2070*Inputs!$B$11/C2070,0)</f>
        <v>40.1639344262295</v>
      </c>
      <c r="I2070" s="37" t="n">
        <f aca="false">Inputs!$C$9-SUMIFS(Cash_Events!$G$6:$G$20,Cash_Events!$C$6:$C$20,"FHL",Cash_Events!$B$6:$B$20,"&lt;="&amp;A2070)</f>
        <v>735000</v>
      </c>
      <c r="J2070" s="38" t="n">
        <f aca="false">VLOOKUP(A2070,Inputs!$F$40:$G$48,2,TRUE())</f>
        <v>0.0364054</v>
      </c>
      <c r="K2070" s="38" t="n">
        <f aca="false">J2070+Inputs!$C$10</f>
        <v>0.1039054</v>
      </c>
      <c r="L2070" s="37" t="n">
        <f aca="false">I2070*K2070/C2070</f>
        <v>208.662483606557</v>
      </c>
      <c r="M2070" s="37" t="n">
        <f aca="false">IF(AND(A2070&gt;=Inputs!$C$13,OR(A2070&lt;Inputs!$B$19,Inputs!$B$20=1)),I2070*Inputs!$C$11/C2070,0)</f>
        <v>40.1639344262295</v>
      </c>
    </row>
    <row r="2071" customFormat="false" ht="15" hidden="false" customHeight="false" outlineLevel="0" collapsed="false">
      <c r="A2071" s="35" t="n">
        <f aca="false">A2070+1</f>
        <v>46878</v>
      </c>
      <c r="B2071" s="35" t="n">
        <f aca="false">EOMONTH(A2071+1,0)</f>
        <v>46904</v>
      </c>
      <c r="C2071" s="36" t="n">
        <f aca="false">IF(MOD(YEAR(A2071),4)=0,366,365)</f>
        <v>366</v>
      </c>
      <c r="D2071" s="37" t="n">
        <f aca="false">Inputs!$B$9-SUMIFS(Cash_Events!$G$6:$G$20,Cash_Events!$C$6:$C$20,"rAGMF",Cash_Events!$B$6:$B$20,"&lt;="&amp;A2071)</f>
        <v>735000</v>
      </c>
      <c r="E2071" s="38" t="n">
        <f aca="false">VLOOKUP(A2071,Inputs!$A$40:$B$48,2,TRUE())</f>
        <v>0.0363225</v>
      </c>
      <c r="F2071" s="38" t="n">
        <f aca="false">E2071+Inputs!$B$10</f>
        <v>0.1038225</v>
      </c>
      <c r="G2071" s="37" t="n">
        <f aca="false">D2071*F2071/C2071</f>
        <v>208.496004098361</v>
      </c>
      <c r="H2071" s="37" t="n">
        <f aca="false">IF(AND(A2071&gt;=Inputs!$B$13,OR(A2071&lt;Inputs!$B$19,Inputs!$B$20=1)),D2071*Inputs!$B$11/C2071,0)</f>
        <v>40.1639344262295</v>
      </c>
      <c r="I2071" s="37" t="n">
        <f aca="false">Inputs!$C$9-SUMIFS(Cash_Events!$G$6:$G$20,Cash_Events!$C$6:$C$20,"FHL",Cash_Events!$B$6:$B$20,"&lt;="&amp;A2071)</f>
        <v>735000</v>
      </c>
      <c r="J2071" s="38" t="n">
        <f aca="false">VLOOKUP(A2071,Inputs!$F$40:$G$48,2,TRUE())</f>
        <v>0.0364054</v>
      </c>
      <c r="K2071" s="38" t="n">
        <f aca="false">J2071+Inputs!$C$10</f>
        <v>0.1039054</v>
      </c>
      <c r="L2071" s="37" t="n">
        <f aca="false">I2071*K2071/C2071</f>
        <v>208.662483606557</v>
      </c>
      <c r="M2071" s="37" t="n">
        <f aca="false">IF(AND(A2071&gt;=Inputs!$C$13,OR(A2071&lt;Inputs!$B$19,Inputs!$B$20=1)),I2071*Inputs!$C$11/C2071,0)</f>
        <v>40.1639344262295</v>
      </c>
    </row>
    <row r="2072" customFormat="false" ht="15" hidden="false" customHeight="false" outlineLevel="0" collapsed="false">
      <c r="A2072" s="35" t="n">
        <f aca="false">A2071+1</f>
        <v>46879</v>
      </c>
      <c r="B2072" s="35" t="n">
        <f aca="false">EOMONTH(A2072+1,0)</f>
        <v>46904</v>
      </c>
      <c r="C2072" s="36" t="n">
        <f aca="false">IF(MOD(YEAR(A2072),4)=0,366,365)</f>
        <v>366</v>
      </c>
      <c r="D2072" s="37" t="n">
        <f aca="false">Inputs!$B$9-SUMIFS(Cash_Events!$G$6:$G$20,Cash_Events!$C$6:$C$20,"rAGMF",Cash_Events!$B$6:$B$20,"&lt;="&amp;A2072)</f>
        <v>735000</v>
      </c>
      <c r="E2072" s="38" t="n">
        <f aca="false">VLOOKUP(A2072,Inputs!$A$40:$B$48,2,TRUE())</f>
        <v>0.0363225</v>
      </c>
      <c r="F2072" s="38" t="n">
        <f aca="false">E2072+Inputs!$B$10</f>
        <v>0.1038225</v>
      </c>
      <c r="G2072" s="37" t="n">
        <f aca="false">D2072*F2072/C2072</f>
        <v>208.496004098361</v>
      </c>
      <c r="H2072" s="37" t="n">
        <f aca="false">IF(AND(A2072&gt;=Inputs!$B$13,OR(A2072&lt;Inputs!$B$19,Inputs!$B$20=1)),D2072*Inputs!$B$11/C2072,0)</f>
        <v>40.1639344262295</v>
      </c>
      <c r="I2072" s="37" t="n">
        <f aca="false">Inputs!$C$9-SUMIFS(Cash_Events!$G$6:$G$20,Cash_Events!$C$6:$C$20,"FHL",Cash_Events!$B$6:$B$20,"&lt;="&amp;A2072)</f>
        <v>735000</v>
      </c>
      <c r="J2072" s="38" t="n">
        <f aca="false">VLOOKUP(A2072,Inputs!$F$40:$G$48,2,TRUE())</f>
        <v>0.0364054</v>
      </c>
      <c r="K2072" s="38" t="n">
        <f aca="false">J2072+Inputs!$C$10</f>
        <v>0.1039054</v>
      </c>
      <c r="L2072" s="37" t="n">
        <f aca="false">I2072*K2072/C2072</f>
        <v>208.662483606557</v>
      </c>
      <c r="M2072" s="37" t="n">
        <f aca="false">IF(AND(A2072&gt;=Inputs!$C$13,OR(A2072&lt;Inputs!$B$19,Inputs!$B$20=1)),I2072*Inputs!$C$11/C2072,0)</f>
        <v>40.1639344262295</v>
      </c>
    </row>
    <row r="2073" customFormat="false" ht="15" hidden="false" customHeight="false" outlineLevel="0" collapsed="false">
      <c r="A2073" s="35" t="n">
        <f aca="false">A2072+1</f>
        <v>46880</v>
      </c>
      <c r="B2073" s="35" t="n">
        <f aca="false">EOMONTH(A2073+1,0)</f>
        <v>46904</v>
      </c>
      <c r="C2073" s="36" t="n">
        <f aca="false">IF(MOD(YEAR(A2073),4)=0,366,365)</f>
        <v>366</v>
      </c>
      <c r="D2073" s="37" t="n">
        <f aca="false">Inputs!$B$9-SUMIFS(Cash_Events!$G$6:$G$20,Cash_Events!$C$6:$C$20,"rAGMF",Cash_Events!$B$6:$B$20,"&lt;="&amp;A2073)</f>
        <v>735000</v>
      </c>
      <c r="E2073" s="38" t="n">
        <f aca="false">VLOOKUP(A2073,Inputs!$A$40:$B$48,2,TRUE())</f>
        <v>0.0363225</v>
      </c>
      <c r="F2073" s="38" t="n">
        <f aca="false">E2073+Inputs!$B$10</f>
        <v>0.1038225</v>
      </c>
      <c r="G2073" s="37" t="n">
        <f aca="false">D2073*F2073/C2073</f>
        <v>208.496004098361</v>
      </c>
      <c r="H2073" s="37" t="n">
        <f aca="false">IF(AND(A2073&gt;=Inputs!$B$13,OR(A2073&lt;Inputs!$B$19,Inputs!$B$20=1)),D2073*Inputs!$B$11/C2073,0)</f>
        <v>40.1639344262295</v>
      </c>
      <c r="I2073" s="37" t="n">
        <f aca="false">Inputs!$C$9-SUMIFS(Cash_Events!$G$6:$G$20,Cash_Events!$C$6:$C$20,"FHL",Cash_Events!$B$6:$B$20,"&lt;="&amp;A2073)</f>
        <v>735000</v>
      </c>
      <c r="J2073" s="38" t="n">
        <f aca="false">VLOOKUP(A2073,Inputs!$F$40:$G$48,2,TRUE())</f>
        <v>0.0364054</v>
      </c>
      <c r="K2073" s="38" t="n">
        <f aca="false">J2073+Inputs!$C$10</f>
        <v>0.1039054</v>
      </c>
      <c r="L2073" s="37" t="n">
        <f aca="false">I2073*K2073/C2073</f>
        <v>208.662483606557</v>
      </c>
      <c r="M2073" s="37" t="n">
        <f aca="false">IF(AND(A2073&gt;=Inputs!$C$13,OR(A2073&lt;Inputs!$B$19,Inputs!$B$20=1)),I2073*Inputs!$C$11/C2073,0)</f>
        <v>40.1639344262295</v>
      </c>
    </row>
    <row r="2074" customFormat="false" ht="15" hidden="false" customHeight="false" outlineLevel="0" collapsed="false">
      <c r="A2074" s="35" t="n">
        <f aca="false">A2073+1</f>
        <v>46881</v>
      </c>
      <c r="B2074" s="35" t="n">
        <f aca="false">EOMONTH(A2074+1,0)</f>
        <v>46904</v>
      </c>
      <c r="C2074" s="36" t="n">
        <f aca="false">IF(MOD(YEAR(A2074),4)=0,366,365)</f>
        <v>366</v>
      </c>
      <c r="D2074" s="37" t="n">
        <f aca="false">Inputs!$B$9-SUMIFS(Cash_Events!$G$6:$G$20,Cash_Events!$C$6:$C$20,"rAGMF",Cash_Events!$B$6:$B$20,"&lt;="&amp;A2074)</f>
        <v>735000</v>
      </c>
      <c r="E2074" s="38" t="n">
        <f aca="false">VLOOKUP(A2074,Inputs!$A$40:$B$48,2,TRUE())</f>
        <v>0.0363225</v>
      </c>
      <c r="F2074" s="38" t="n">
        <f aca="false">E2074+Inputs!$B$10</f>
        <v>0.1038225</v>
      </c>
      <c r="G2074" s="37" t="n">
        <f aca="false">D2074*F2074/C2074</f>
        <v>208.496004098361</v>
      </c>
      <c r="H2074" s="37" t="n">
        <f aca="false">IF(AND(A2074&gt;=Inputs!$B$13,OR(A2074&lt;Inputs!$B$19,Inputs!$B$20=1)),D2074*Inputs!$B$11/C2074,0)</f>
        <v>40.1639344262295</v>
      </c>
      <c r="I2074" s="37" t="n">
        <f aca="false">Inputs!$C$9-SUMIFS(Cash_Events!$G$6:$G$20,Cash_Events!$C$6:$C$20,"FHL",Cash_Events!$B$6:$B$20,"&lt;="&amp;A2074)</f>
        <v>735000</v>
      </c>
      <c r="J2074" s="38" t="n">
        <f aca="false">VLOOKUP(A2074,Inputs!$F$40:$G$48,2,TRUE())</f>
        <v>0.0364054</v>
      </c>
      <c r="K2074" s="38" t="n">
        <f aca="false">J2074+Inputs!$C$10</f>
        <v>0.1039054</v>
      </c>
      <c r="L2074" s="37" t="n">
        <f aca="false">I2074*K2074/C2074</f>
        <v>208.662483606557</v>
      </c>
      <c r="M2074" s="37" t="n">
        <f aca="false">IF(AND(A2074&gt;=Inputs!$C$13,OR(A2074&lt;Inputs!$B$19,Inputs!$B$20=1)),I2074*Inputs!$C$11/C2074,0)</f>
        <v>40.1639344262295</v>
      </c>
    </row>
    <row r="2075" customFormat="false" ht="15" hidden="false" customHeight="false" outlineLevel="0" collapsed="false">
      <c r="A2075" s="35" t="n">
        <f aca="false">A2074+1</f>
        <v>46882</v>
      </c>
      <c r="B2075" s="35" t="n">
        <f aca="false">EOMONTH(A2075+1,0)</f>
        <v>46904</v>
      </c>
      <c r="C2075" s="36" t="n">
        <f aca="false">IF(MOD(YEAR(A2075),4)=0,366,365)</f>
        <v>366</v>
      </c>
      <c r="D2075" s="37" t="n">
        <f aca="false">Inputs!$B$9-SUMIFS(Cash_Events!$G$6:$G$20,Cash_Events!$C$6:$C$20,"rAGMF",Cash_Events!$B$6:$B$20,"&lt;="&amp;A2075)</f>
        <v>735000</v>
      </c>
      <c r="E2075" s="38" t="n">
        <f aca="false">VLOOKUP(A2075,Inputs!$A$40:$B$48,2,TRUE())</f>
        <v>0.0363225</v>
      </c>
      <c r="F2075" s="38" t="n">
        <f aca="false">E2075+Inputs!$B$10</f>
        <v>0.1038225</v>
      </c>
      <c r="G2075" s="37" t="n">
        <f aca="false">D2075*F2075/C2075</f>
        <v>208.496004098361</v>
      </c>
      <c r="H2075" s="37" t="n">
        <f aca="false">IF(AND(A2075&gt;=Inputs!$B$13,OR(A2075&lt;Inputs!$B$19,Inputs!$B$20=1)),D2075*Inputs!$B$11/C2075,0)</f>
        <v>40.1639344262295</v>
      </c>
      <c r="I2075" s="37" t="n">
        <f aca="false">Inputs!$C$9-SUMIFS(Cash_Events!$G$6:$G$20,Cash_Events!$C$6:$C$20,"FHL",Cash_Events!$B$6:$B$20,"&lt;="&amp;A2075)</f>
        <v>735000</v>
      </c>
      <c r="J2075" s="38" t="n">
        <f aca="false">VLOOKUP(A2075,Inputs!$F$40:$G$48,2,TRUE())</f>
        <v>0.0364054</v>
      </c>
      <c r="K2075" s="38" t="n">
        <f aca="false">J2075+Inputs!$C$10</f>
        <v>0.1039054</v>
      </c>
      <c r="L2075" s="37" t="n">
        <f aca="false">I2075*K2075/C2075</f>
        <v>208.662483606557</v>
      </c>
      <c r="M2075" s="37" t="n">
        <f aca="false">IF(AND(A2075&gt;=Inputs!$C$13,OR(A2075&lt;Inputs!$B$19,Inputs!$B$20=1)),I2075*Inputs!$C$11/C2075,0)</f>
        <v>40.1639344262295</v>
      </c>
    </row>
    <row r="2076" customFormat="false" ht="15" hidden="false" customHeight="false" outlineLevel="0" collapsed="false">
      <c r="A2076" s="35" t="n">
        <f aca="false">A2075+1</f>
        <v>46883</v>
      </c>
      <c r="B2076" s="35" t="n">
        <f aca="false">EOMONTH(A2076+1,0)</f>
        <v>46904</v>
      </c>
      <c r="C2076" s="36" t="n">
        <f aca="false">IF(MOD(YEAR(A2076),4)=0,366,365)</f>
        <v>366</v>
      </c>
      <c r="D2076" s="37" t="n">
        <f aca="false">Inputs!$B$9-SUMIFS(Cash_Events!$G$6:$G$20,Cash_Events!$C$6:$C$20,"rAGMF",Cash_Events!$B$6:$B$20,"&lt;="&amp;A2076)</f>
        <v>735000</v>
      </c>
      <c r="E2076" s="38" t="n">
        <f aca="false">VLOOKUP(A2076,Inputs!$A$40:$B$48,2,TRUE())</f>
        <v>0.0363225</v>
      </c>
      <c r="F2076" s="38" t="n">
        <f aca="false">E2076+Inputs!$B$10</f>
        <v>0.1038225</v>
      </c>
      <c r="G2076" s="37" t="n">
        <f aca="false">D2076*F2076/C2076</f>
        <v>208.496004098361</v>
      </c>
      <c r="H2076" s="37" t="n">
        <f aca="false">IF(AND(A2076&gt;=Inputs!$B$13,OR(A2076&lt;Inputs!$B$19,Inputs!$B$20=1)),D2076*Inputs!$B$11/C2076,0)</f>
        <v>40.1639344262295</v>
      </c>
      <c r="I2076" s="37" t="n">
        <f aca="false">Inputs!$C$9-SUMIFS(Cash_Events!$G$6:$G$20,Cash_Events!$C$6:$C$20,"FHL",Cash_Events!$B$6:$B$20,"&lt;="&amp;A2076)</f>
        <v>735000</v>
      </c>
      <c r="J2076" s="38" t="n">
        <f aca="false">VLOOKUP(A2076,Inputs!$F$40:$G$48,2,TRUE())</f>
        <v>0.0364054</v>
      </c>
      <c r="K2076" s="38" t="n">
        <f aca="false">J2076+Inputs!$C$10</f>
        <v>0.1039054</v>
      </c>
      <c r="L2076" s="37" t="n">
        <f aca="false">I2076*K2076/C2076</f>
        <v>208.662483606557</v>
      </c>
      <c r="M2076" s="37" t="n">
        <f aca="false">IF(AND(A2076&gt;=Inputs!$C$13,OR(A2076&lt;Inputs!$B$19,Inputs!$B$20=1)),I2076*Inputs!$C$11/C2076,0)</f>
        <v>40.1639344262295</v>
      </c>
    </row>
    <row r="2077" customFormat="false" ht="15" hidden="false" customHeight="false" outlineLevel="0" collapsed="false">
      <c r="A2077" s="35" t="n">
        <f aca="false">A2076+1</f>
        <v>46884</v>
      </c>
      <c r="B2077" s="35" t="n">
        <f aca="false">EOMONTH(A2077+1,0)</f>
        <v>46904</v>
      </c>
      <c r="C2077" s="36" t="n">
        <f aca="false">IF(MOD(YEAR(A2077),4)=0,366,365)</f>
        <v>366</v>
      </c>
      <c r="D2077" s="37" t="n">
        <f aca="false">Inputs!$B$9-SUMIFS(Cash_Events!$G$6:$G$20,Cash_Events!$C$6:$C$20,"rAGMF",Cash_Events!$B$6:$B$20,"&lt;="&amp;A2077)</f>
        <v>735000</v>
      </c>
      <c r="E2077" s="38" t="n">
        <f aca="false">VLOOKUP(A2077,Inputs!$A$40:$B$48,2,TRUE())</f>
        <v>0.0363225</v>
      </c>
      <c r="F2077" s="38" t="n">
        <f aca="false">E2077+Inputs!$B$10</f>
        <v>0.1038225</v>
      </c>
      <c r="G2077" s="37" t="n">
        <f aca="false">D2077*F2077/C2077</f>
        <v>208.496004098361</v>
      </c>
      <c r="H2077" s="37" t="n">
        <f aca="false">IF(AND(A2077&gt;=Inputs!$B$13,OR(A2077&lt;Inputs!$B$19,Inputs!$B$20=1)),D2077*Inputs!$B$11/C2077,0)</f>
        <v>40.1639344262295</v>
      </c>
      <c r="I2077" s="37" t="n">
        <f aca="false">Inputs!$C$9-SUMIFS(Cash_Events!$G$6:$G$20,Cash_Events!$C$6:$C$20,"FHL",Cash_Events!$B$6:$B$20,"&lt;="&amp;A2077)</f>
        <v>735000</v>
      </c>
      <c r="J2077" s="38" t="n">
        <f aca="false">VLOOKUP(A2077,Inputs!$F$40:$G$48,2,TRUE())</f>
        <v>0.0364054</v>
      </c>
      <c r="K2077" s="38" t="n">
        <f aca="false">J2077+Inputs!$C$10</f>
        <v>0.1039054</v>
      </c>
      <c r="L2077" s="37" t="n">
        <f aca="false">I2077*K2077/C2077</f>
        <v>208.662483606557</v>
      </c>
      <c r="M2077" s="37" t="n">
        <f aca="false">IF(AND(A2077&gt;=Inputs!$C$13,OR(A2077&lt;Inputs!$B$19,Inputs!$B$20=1)),I2077*Inputs!$C$11/C2077,0)</f>
        <v>40.1639344262295</v>
      </c>
    </row>
    <row r="2078" customFormat="false" ht="15" hidden="false" customHeight="false" outlineLevel="0" collapsed="false">
      <c r="A2078" s="35" t="n">
        <f aca="false">A2077+1</f>
        <v>46885</v>
      </c>
      <c r="B2078" s="35" t="n">
        <f aca="false">EOMONTH(A2078+1,0)</f>
        <v>46904</v>
      </c>
      <c r="C2078" s="36" t="n">
        <f aca="false">IF(MOD(YEAR(A2078),4)=0,366,365)</f>
        <v>366</v>
      </c>
      <c r="D2078" s="37" t="n">
        <f aca="false">Inputs!$B$9-SUMIFS(Cash_Events!$G$6:$G$20,Cash_Events!$C$6:$C$20,"rAGMF",Cash_Events!$B$6:$B$20,"&lt;="&amp;A2078)</f>
        <v>735000</v>
      </c>
      <c r="E2078" s="38" t="n">
        <f aca="false">VLOOKUP(A2078,Inputs!$A$40:$B$48,2,TRUE())</f>
        <v>0.0363225</v>
      </c>
      <c r="F2078" s="38" t="n">
        <f aca="false">E2078+Inputs!$B$10</f>
        <v>0.1038225</v>
      </c>
      <c r="G2078" s="37" t="n">
        <f aca="false">D2078*F2078/C2078</f>
        <v>208.496004098361</v>
      </c>
      <c r="H2078" s="37" t="n">
        <f aca="false">IF(AND(A2078&gt;=Inputs!$B$13,OR(A2078&lt;Inputs!$B$19,Inputs!$B$20=1)),D2078*Inputs!$B$11/C2078,0)</f>
        <v>40.1639344262295</v>
      </c>
      <c r="I2078" s="37" t="n">
        <f aca="false">Inputs!$C$9-SUMIFS(Cash_Events!$G$6:$G$20,Cash_Events!$C$6:$C$20,"FHL",Cash_Events!$B$6:$B$20,"&lt;="&amp;A2078)</f>
        <v>735000</v>
      </c>
      <c r="J2078" s="38" t="n">
        <f aca="false">VLOOKUP(A2078,Inputs!$F$40:$G$48,2,TRUE())</f>
        <v>0.0364054</v>
      </c>
      <c r="K2078" s="38" t="n">
        <f aca="false">J2078+Inputs!$C$10</f>
        <v>0.1039054</v>
      </c>
      <c r="L2078" s="37" t="n">
        <f aca="false">I2078*K2078/C2078</f>
        <v>208.662483606557</v>
      </c>
      <c r="M2078" s="37" t="n">
        <f aca="false">IF(AND(A2078&gt;=Inputs!$C$13,OR(A2078&lt;Inputs!$B$19,Inputs!$B$20=1)),I2078*Inputs!$C$11/C2078,0)</f>
        <v>40.1639344262295</v>
      </c>
    </row>
    <row r="2079" customFormat="false" ht="15" hidden="false" customHeight="false" outlineLevel="0" collapsed="false">
      <c r="A2079" s="35" t="n">
        <f aca="false">A2078+1</f>
        <v>46886</v>
      </c>
      <c r="B2079" s="35" t="n">
        <f aca="false">EOMONTH(A2079+1,0)</f>
        <v>46904</v>
      </c>
      <c r="C2079" s="36" t="n">
        <f aca="false">IF(MOD(YEAR(A2079),4)=0,366,365)</f>
        <v>366</v>
      </c>
      <c r="D2079" s="37" t="n">
        <f aca="false">Inputs!$B$9-SUMIFS(Cash_Events!$G$6:$G$20,Cash_Events!$C$6:$C$20,"rAGMF",Cash_Events!$B$6:$B$20,"&lt;="&amp;A2079)</f>
        <v>735000</v>
      </c>
      <c r="E2079" s="38" t="n">
        <f aca="false">VLOOKUP(A2079,Inputs!$A$40:$B$48,2,TRUE())</f>
        <v>0.0363225</v>
      </c>
      <c r="F2079" s="38" t="n">
        <f aca="false">E2079+Inputs!$B$10</f>
        <v>0.1038225</v>
      </c>
      <c r="G2079" s="37" t="n">
        <f aca="false">D2079*F2079/C2079</f>
        <v>208.496004098361</v>
      </c>
      <c r="H2079" s="37" t="n">
        <f aca="false">IF(AND(A2079&gt;=Inputs!$B$13,OR(A2079&lt;Inputs!$B$19,Inputs!$B$20=1)),D2079*Inputs!$B$11/C2079,0)</f>
        <v>40.1639344262295</v>
      </c>
      <c r="I2079" s="37" t="n">
        <f aca="false">Inputs!$C$9-SUMIFS(Cash_Events!$G$6:$G$20,Cash_Events!$C$6:$C$20,"FHL",Cash_Events!$B$6:$B$20,"&lt;="&amp;A2079)</f>
        <v>735000</v>
      </c>
      <c r="J2079" s="38" t="n">
        <f aca="false">VLOOKUP(A2079,Inputs!$F$40:$G$48,2,TRUE())</f>
        <v>0.0364054</v>
      </c>
      <c r="K2079" s="38" t="n">
        <f aca="false">J2079+Inputs!$C$10</f>
        <v>0.1039054</v>
      </c>
      <c r="L2079" s="37" t="n">
        <f aca="false">I2079*K2079/C2079</f>
        <v>208.662483606557</v>
      </c>
      <c r="M2079" s="37" t="n">
        <f aca="false">IF(AND(A2079&gt;=Inputs!$C$13,OR(A2079&lt;Inputs!$B$19,Inputs!$B$20=1)),I2079*Inputs!$C$11/C2079,0)</f>
        <v>40.1639344262295</v>
      </c>
    </row>
    <row r="2080" customFormat="false" ht="15" hidden="false" customHeight="false" outlineLevel="0" collapsed="false">
      <c r="A2080" s="35" t="n">
        <f aca="false">A2079+1</f>
        <v>46887</v>
      </c>
      <c r="B2080" s="35" t="n">
        <f aca="false">EOMONTH(A2080+1,0)</f>
        <v>46904</v>
      </c>
      <c r="C2080" s="36" t="n">
        <f aca="false">IF(MOD(YEAR(A2080),4)=0,366,365)</f>
        <v>366</v>
      </c>
      <c r="D2080" s="37" t="n">
        <f aca="false">Inputs!$B$9-SUMIFS(Cash_Events!$G$6:$G$20,Cash_Events!$C$6:$C$20,"rAGMF",Cash_Events!$B$6:$B$20,"&lt;="&amp;A2080)</f>
        <v>735000</v>
      </c>
      <c r="E2080" s="38" t="n">
        <f aca="false">VLOOKUP(A2080,Inputs!$A$40:$B$48,2,TRUE())</f>
        <v>0.0363225</v>
      </c>
      <c r="F2080" s="38" t="n">
        <f aca="false">E2080+Inputs!$B$10</f>
        <v>0.1038225</v>
      </c>
      <c r="G2080" s="37" t="n">
        <f aca="false">D2080*F2080/C2080</f>
        <v>208.496004098361</v>
      </c>
      <c r="H2080" s="37" t="n">
        <f aca="false">IF(AND(A2080&gt;=Inputs!$B$13,OR(A2080&lt;Inputs!$B$19,Inputs!$B$20=1)),D2080*Inputs!$B$11/C2080,0)</f>
        <v>40.1639344262295</v>
      </c>
      <c r="I2080" s="37" t="n">
        <f aca="false">Inputs!$C$9-SUMIFS(Cash_Events!$G$6:$G$20,Cash_Events!$C$6:$C$20,"FHL",Cash_Events!$B$6:$B$20,"&lt;="&amp;A2080)</f>
        <v>735000</v>
      </c>
      <c r="J2080" s="38" t="n">
        <f aca="false">VLOOKUP(A2080,Inputs!$F$40:$G$48,2,TRUE())</f>
        <v>0.0364054</v>
      </c>
      <c r="K2080" s="38" t="n">
        <f aca="false">J2080+Inputs!$C$10</f>
        <v>0.1039054</v>
      </c>
      <c r="L2080" s="37" t="n">
        <f aca="false">I2080*K2080/C2080</f>
        <v>208.662483606557</v>
      </c>
      <c r="M2080" s="37" t="n">
        <f aca="false">IF(AND(A2080&gt;=Inputs!$C$13,OR(A2080&lt;Inputs!$B$19,Inputs!$B$20=1)),I2080*Inputs!$C$11/C2080,0)</f>
        <v>40.1639344262295</v>
      </c>
    </row>
    <row r="2081" customFormat="false" ht="15" hidden="false" customHeight="false" outlineLevel="0" collapsed="false">
      <c r="A2081" s="35" t="n">
        <f aca="false">A2080+1</f>
        <v>46888</v>
      </c>
      <c r="B2081" s="35" t="n">
        <f aca="false">EOMONTH(A2081+1,0)</f>
        <v>46904</v>
      </c>
      <c r="C2081" s="36" t="n">
        <f aca="false">IF(MOD(YEAR(A2081),4)=0,366,365)</f>
        <v>366</v>
      </c>
      <c r="D2081" s="37" t="n">
        <f aca="false">Inputs!$B$9-SUMIFS(Cash_Events!$G$6:$G$20,Cash_Events!$C$6:$C$20,"rAGMF",Cash_Events!$B$6:$B$20,"&lt;="&amp;A2081)</f>
        <v>735000</v>
      </c>
      <c r="E2081" s="38" t="n">
        <f aca="false">VLOOKUP(A2081,Inputs!$A$40:$B$48,2,TRUE())</f>
        <v>0.0363225</v>
      </c>
      <c r="F2081" s="38" t="n">
        <f aca="false">E2081+Inputs!$B$10</f>
        <v>0.1038225</v>
      </c>
      <c r="G2081" s="37" t="n">
        <f aca="false">D2081*F2081/C2081</f>
        <v>208.496004098361</v>
      </c>
      <c r="H2081" s="37" t="n">
        <f aca="false">IF(AND(A2081&gt;=Inputs!$B$13,OR(A2081&lt;Inputs!$B$19,Inputs!$B$20=1)),D2081*Inputs!$B$11/C2081,0)</f>
        <v>40.1639344262295</v>
      </c>
      <c r="I2081" s="37" t="n">
        <f aca="false">Inputs!$C$9-SUMIFS(Cash_Events!$G$6:$G$20,Cash_Events!$C$6:$C$20,"FHL",Cash_Events!$B$6:$B$20,"&lt;="&amp;A2081)</f>
        <v>735000</v>
      </c>
      <c r="J2081" s="38" t="n">
        <f aca="false">VLOOKUP(A2081,Inputs!$F$40:$G$48,2,TRUE())</f>
        <v>0.0364054</v>
      </c>
      <c r="K2081" s="38" t="n">
        <f aca="false">J2081+Inputs!$C$10</f>
        <v>0.1039054</v>
      </c>
      <c r="L2081" s="37" t="n">
        <f aca="false">I2081*K2081/C2081</f>
        <v>208.662483606557</v>
      </c>
      <c r="M2081" s="37" t="n">
        <f aca="false">IF(AND(A2081&gt;=Inputs!$C$13,OR(A2081&lt;Inputs!$B$19,Inputs!$B$20=1)),I2081*Inputs!$C$11/C2081,0)</f>
        <v>40.1639344262295</v>
      </c>
    </row>
    <row r="2082" customFormat="false" ht="15" hidden="false" customHeight="false" outlineLevel="0" collapsed="false">
      <c r="A2082" s="35" t="n">
        <f aca="false">A2081+1</f>
        <v>46889</v>
      </c>
      <c r="B2082" s="35" t="n">
        <f aca="false">EOMONTH(A2082+1,0)</f>
        <v>46904</v>
      </c>
      <c r="C2082" s="36" t="n">
        <f aca="false">IF(MOD(YEAR(A2082),4)=0,366,365)</f>
        <v>366</v>
      </c>
      <c r="D2082" s="37" t="n">
        <f aca="false">Inputs!$B$9-SUMIFS(Cash_Events!$G$6:$G$20,Cash_Events!$C$6:$C$20,"rAGMF",Cash_Events!$B$6:$B$20,"&lt;="&amp;A2082)</f>
        <v>735000</v>
      </c>
      <c r="E2082" s="38" t="n">
        <f aca="false">VLOOKUP(A2082,Inputs!$A$40:$B$48,2,TRUE())</f>
        <v>0.0363225</v>
      </c>
      <c r="F2082" s="38" t="n">
        <f aca="false">E2082+Inputs!$B$10</f>
        <v>0.1038225</v>
      </c>
      <c r="G2082" s="37" t="n">
        <f aca="false">D2082*F2082/C2082</f>
        <v>208.496004098361</v>
      </c>
      <c r="H2082" s="37" t="n">
        <f aca="false">IF(AND(A2082&gt;=Inputs!$B$13,OR(A2082&lt;Inputs!$B$19,Inputs!$B$20=1)),D2082*Inputs!$B$11/C2082,0)</f>
        <v>40.1639344262295</v>
      </c>
      <c r="I2082" s="37" t="n">
        <f aca="false">Inputs!$C$9-SUMIFS(Cash_Events!$G$6:$G$20,Cash_Events!$C$6:$C$20,"FHL",Cash_Events!$B$6:$B$20,"&lt;="&amp;A2082)</f>
        <v>735000</v>
      </c>
      <c r="J2082" s="38" t="n">
        <f aca="false">VLOOKUP(A2082,Inputs!$F$40:$G$48,2,TRUE())</f>
        <v>0.0364054</v>
      </c>
      <c r="K2082" s="38" t="n">
        <f aca="false">J2082+Inputs!$C$10</f>
        <v>0.1039054</v>
      </c>
      <c r="L2082" s="37" t="n">
        <f aca="false">I2082*K2082/C2082</f>
        <v>208.662483606557</v>
      </c>
      <c r="M2082" s="37" t="n">
        <f aca="false">IF(AND(A2082&gt;=Inputs!$C$13,OR(A2082&lt;Inputs!$B$19,Inputs!$B$20=1)),I2082*Inputs!$C$11/C2082,0)</f>
        <v>40.1639344262295</v>
      </c>
    </row>
    <row r="2083" customFormat="false" ht="15" hidden="false" customHeight="false" outlineLevel="0" collapsed="false">
      <c r="A2083" s="35" t="n">
        <f aca="false">A2082+1</f>
        <v>46890</v>
      </c>
      <c r="B2083" s="35" t="n">
        <f aca="false">EOMONTH(A2083+1,0)</f>
        <v>46904</v>
      </c>
      <c r="C2083" s="36" t="n">
        <f aca="false">IF(MOD(YEAR(A2083),4)=0,366,365)</f>
        <v>366</v>
      </c>
      <c r="D2083" s="37" t="n">
        <f aca="false">Inputs!$B$9-SUMIFS(Cash_Events!$G$6:$G$20,Cash_Events!$C$6:$C$20,"rAGMF",Cash_Events!$B$6:$B$20,"&lt;="&amp;A2083)</f>
        <v>735000</v>
      </c>
      <c r="E2083" s="38" t="n">
        <f aca="false">VLOOKUP(A2083,Inputs!$A$40:$B$48,2,TRUE())</f>
        <v>0.0363225</v>
      </c>
      <c r="F2083" s="38" t="n">
        <f aca="false">E2083+Inputs!$B$10</f>
        <v>0.1038225</v>
      </c>
      <c r="G2083" s="37" t="n">
        <f aca="false">D2083*F2083/C2083</f>
        <v>208.496004098361</v>
      </c>
      <c r="H2083" s="37" t="n">
        <f aca="false">IF(AND(A2083&gt;=Inputs!$B$13,OR(A2083&lt;Inputs!$B$19,Inputs!$B$20=1)),D2083*Inputs!$B$11/C2083,0)</f>
        <v>40.1639344262295</v>
      </c>
      <c r="I2083" s="37" t="n">
        <f aca="false">Inputs!$C$9-SUMIFS(Cash_Events!$G$6:$G$20,Cash_Events!$C$6:$C$20,"FHL",Cash_Events!$B$6:$B$20,"&lt;="&amp;A2083)</f>
        <v>735000</v>
      </c>
      <c r="J2083" s="38" t="n">
        <f aca="false">VLOOKUP(A2083,Inputs!$F$40:$G$48,2,TRUE())</f>
        <v>0.0364054</v>
      </c>
      <c r="K2083" s="38" t="n">
        <f aca="false">J2083+Inputs!$C$10</f>
        <v>0.1039054</v>
      </c>
      <c r="L2083" s="37" t="n">
        <f aca="false">I2083*K2083/C2083</f>
        <v>208.662483606557</v>
      </c>
      <c r="M2083" s="37" t="n">
        <f aca="false">IF(AND(A2083&gt;=Inputs!$C$13,OR(A2083&lt;Inputs!$B$19,Inputs!$B$20=1)),I2083*Inputs!$C$11/C2083,0)</f>
        <v>40.1639344262295</v>
      </c>
    </row>
    <row r="2084" customFormat="false" ht="15" hidden="false" customHeight="false" outlineLevel="0" collapsed="false">
      <c r="A2084" s="35" t="n">
        <f aca="false">A2083+1</f>
        <v>46891</v>
      </c>
      <c r="B2084" s="35" t="n">
        <f aca="false">EOMONTH(A2084+1,0)</f>
        <v>46904</v>
      </c>
      <c r="C2084" s="36" t="n">
        <f aca="false">IF(MOD(YEAR(A2084),4)=0,366,365)</f>
        <v>366</v>
      </c>
      <c r="D2084" s="37" t="n">
        <f aca="false">Inputs!$B$9-SUMIFS(Cash_Events!$G$6:$G$20,Cash_Events!$C$6:$C$20,"rAGMF",Cash_Events!$B$6:$B$20,"&lt;="&amp;A2084)</f>
        <v>735000</v>
      </c>
      <c r="E2084" s="38" t="n">
        <f aca="false">VLOOKUP(A2084,Inputs!$A$40:$B$48,2,TRUE())</f>
        <v>0.0363225</v>
      </c>
      <c r="F2084" s="38" t="n">
        <f aca="false">E2084+Inputs!$B$10</f>
        <v>0.1038225</v>
      </c>
      <c r="G2084" s="37" t="n">
        <f aca="false">D2084*F2084/C2084</f>
        <v>208.496004098361</v>
      </c>
      <c r="H2084" s="37" t="n">
        <f aca="false">IF(AND(A2084&gt;=Inputs!$B$13,OR(A2084&lt;Inputs!$B$19,Inputs!$B$20=1)),D2084*Inputs!$B$11/C2084,0)</f>
        <v>40.1639344262295</v>
      </c>
      <c r="I2084" s="37" t="n">
        <f aca="false">Inputs!$C$9-SUMIFS(Cash_Events!$G$6:$G$20,Cash_Events!$C$6:$C$20,"FHL",Cash_Events!$B$6:$B$20,"&lt;="&amp;A2084)</f>
        <v>735000</v>
      </c>
      <c r="J2084" s="38" t="n">
        <f aca="false">VLOOKUP(A2084,Inputs!$F$40:$G$48,2,TRUE())</f>
        <v>0.0364054</v>
      </c>
      <c r="K2084" s="38" t="n">
        <f aca="false">J2084+Inputs!$C$10</f>
        <v>0.1039054</v>
      </c>
      <c r="L2084" s="37" t="n">
        <f aca="false">I2084*K2084/C2084</f>
        <v>208.662483606557</v>
      </c>
      <c r="M2084" s="37" t="n">
        <f aca="false">IF(AND(A2084&gt;=Inputs!$C$13,OR(A2084&lt;Inputs!$B$19,Inputs!$B$20=1)),I2084*Inputs!$C$11/C2084,0)</f>
        <v>40.1639344262295</v>
      </c>
    </row>
    <row r="2085" customFormat="false" ht="15" hidden="false" customHeight="false" outlineLevel="0" collapsed="false">
      <c r="A2085" s="35" t="n">
        <f aca="false">A2084+1</f>
        <v>46892</v>
      </c>
      <c r="B2085" s="35" t="n">
        <f aca="false">EOMONTH(A2085+1,0)</f>
        <v>46904</v>
      </c>
      <c r="C2085" s="36" t="n">
        <f aca="false">IF(MOD(YEAR(A2085),4)=0,366,365)</f>
        <v>366</v>
      </c>
      <c r="D2085" s="37" t="n">
        <f aca="false">Inputs!$B$9-SUMIFS(Cash_Events!$G$6:$G$20,Cash_Events!$C$6:$C$20,"rAGMF",Cash_Events!$B$6:$B$20,"&lt;="&amp;A2085)</f>
        <v>735000</v>
      </c>
      <c r="E2085" s="38" t="n">
        <f aca="false">VLOOKUP(A2085,Inputs!$A$40:$B$48,2,TRUE())</f>
        <v>0.0363225</v>
      </c>
      <c r="F2085" s="38" t="n">
        <f aca="false">E2085+Inputs!$B$10</f>
        <v>0.1038225</v>
      </c>
      <c r="G2085" s="37" t="n">
        <f aca="false">D2085*F2085/C2085</f>
        <v>208.496004098361</v>
      </c>
      <c r="H2085" s="37" t="n">
        <f aca="false">IF(AND(A2085&gt;=Inputs!$B$13,OR(A2085&lt;Inputs!$B$19,Inputs!$B$20=1)),D2085*Inputs!$B$11/C2085,0)</f>
        <v>40.1639344262295</v>
      </c>
      <c r="I2085" s="37" t="n">
        <f aca="false">Inputs!$C$9-SUMIFS(Cash_Events!$G$6:$G$20,Cash_Events!$C$6:$C$20,"FHL",Cash_Events!$B$6:$B$20,"&lt;="&amp;A2085)</f>
        <v>735000</v>
      </c>
      <c r="J2085" s="38" t="n">
        <f aca="false">VLOOKUP(A2085,Inputs!$F$40:$G$48,2,TRUE())</f>
        <v>0.0364054</v>
      </c>
      <c r="K2085" s="38" t="n">
        <f aca="false">J2085+Inputs!$C$10</f>
        <v>0.1039054</v>
      </c>
      <c r="L2085" s="37" t="n">
        <f aca="false">I2085*K2085/C2085</f>
        <v>208.662483606557</v>
      </c>
      <c r="M2085" s="37" t="n">
        <f aca="false">IF(AND(A2085&gt;=Inputs!$C$13,OR(A2085&lt;Inputs!$B$19,Inputs!$B$20=1)),I2085*Inputs!$C$11/C2085,0)</f>
        <v>40.1639344262295</v>
      </c>
    </row>
    <row r="2086" customFormat="false" ht="15" hidden="false" customHeight="false" outlineLevel="0" collapsed="false">
      <c r="A2086" s="35" t="n">
        <f aca="false">A2085+1</f>
        <v>46893</v>
      </c>
      <c r="B2086" s="35" t="n">
        <f aca="false">EOMONTH(A2086+1,0)</f>
        <v>46904</v>
      </c>
      <c r="C2086" s="36" t="n">
        <f aca="false">IF(MOD(YEAR(A2086),4)=0,366,365)</f>
        <v>366</v>
      </c>
      <c r="D2086" s="37" t="n">
        <f aca="false">Inputs!$B$9-SUMIFS(Cash_Events!$G$6:$G$20,Cash_Events!$C$6:$C$20,"rAGMF",Cash_Events!$B$6:$B$20,"&lt;="&amp;A2086)</f>
        <v>735000</v>
      </c>
      <c r="E2086" s="38" t="n">
        <f aca="false">VLOOKUP(A2086,Inputs!$A$40:$B$48,2,TRUE())</f>
        <v>0.0363225</v>
      </c>
      <c r="F2086" s="38" t="n">
        <f aca="false">E2086+Inputs!$B$10</f>
        <v>0.1038225</v>
      </c>
      <c r="G2086" s="37" t="n">
        <f aca="false">D2086*F2086/C2086</f>
        <v>208.496004098361</v>
      </c>
      <c r="H2086" s="37" t="n">
        <f aca="false">IF(AND(A2086&gt;=Inputs!$B$13,OR(A2086&lt;Inputs!$B$19,Inputs!$B$20=1)),D2086*Inputs!$B$11/C2086,0)</f>
        <v>40.1639344262295</v>
      </c>
      <c r="I2086" s="37" t="n">
        <f aca="false">Inputs!$C$9-SUMIFS(Cash_Events!$G$6:$G$20,Cash_Events!$C$6:$C$20,"FHL",Cash_Events!$B$6:$B$20,"&lt;="&amp;A2086)</f>
        <v>735000</v>
      </c>
      <c r="J2086" s="38" t="n">
        <f aca="false">VLOOKUP(A2086,Inputs!$F$40:$G$48,2,TRUE())</f>
        <v>0.0364054</v>
      </c>
      <c r="K2086" s="38" t="n">
        <f aca="false">J2086+Inputs!$C$10</f>
        <v>0.1039054</v>
      </c>
      <c r="L2086" s="37" t="n">
        <f aca="false">I2086*K2086/C2086</f>
        <v>208.662483606557</v>
      </c>
      <c r="M2086" s="37" t="n">
        <f aca="false">IF(AND(A2086&gt;=Inputs!$C$13,OR(A2086&lt;Inputs!$B$19,Inputs!$B$20=1)),I2086*Inputs!$C$11/C2086,0)</f>
        <v>40.1639344262295</v>
      </c>
    </row>
    <row r="2087" customFormat="false" ht="15" hidden="false" customHeight="false" outlineLevel="0" collapsed="false">
      <c r="A2087" s="35" t="n">
        <f aca="false">A2086+1</f>
        <v>46894</v>
      </c>
      <c r="B2087" s="35" t="n">
        <f aca="false">EOMONTH(A2087+1,0)</f>
        <v>46904</v>
      </c>
      <c r="C2087" s="36" t="n">
        <f aca="false">IF(MOD(YEAR(A2087),4)=0,366,365)</f>
        <v>366</v>
      </c>
      <c r="D2087" s="37" t="n">
        <f aca="false">Inputs!$B$9-SUMIFS(Cash_Events!$G$6:$G$20,Cash_Events!$C$6:$C$20,"rAGMF",Cash_Events!$B$6:$B$20,"&lt;="&amp;A2087)</f>
        <v>735000</v>
      </c>
      <c r="E2087" s="38" t="n">
        <f aca="false">VLOOKUP(A2087,Inputs!$A$40:$B$48,2,TRUE())</f>
        <v>0.0363225</v>
      </c>
      <c r="F2087" s="38" t="n">
        <f aca="false">E2087+Inputs!$B$10</f>
        <v>0.1038225</v>
      </c>
      <c r="G2087" s="37" t="n">
        <f aca="false">D2087*F2087/C2087</f>
        <v>208.496004098361</v>
      </c>
      <c r="H2087" s="37" t="n">
        <f aca="false">IF(AND(A2087&gt;=Inputs!$B$13,OR(A2087&lt;Inputs!$B$19,Inputs!$B$20=1)),D2087*Inputs!$B$11/C2087,0)</f>
        <v>40.1639344262295</v>
      </c>
      <c r="I2087" s="37" t="n">
        <f aca="false">Inputs!$C$9-SUMIFS(Cash_Events!$G$6:$G$20,Cash_Events!$C$6:$C$20,"FHL",Cash_Events!$B$6:$B$20,"&lt;="&amp;A2087)</f>
        <v>735000</v>
      </c>
      <c r="J2087" s="38" t="n">
        <f aca="false">VLOOKUP(A2087,Inputs!$F$40:$G$48,2,TRUE())</f>
        <v>0.0364054</v>
      </c>
      <c r="K2087" s="38" t="n">
        <f aca="false">J2087+Inputs!$C$10</f>
        <v>0.1039054</v>
      </c>
      <c r="L2087" s="37" t="n">
        <f aca="false">I2087*K2087/C2087</f>
        <v>208.662483606557</v>
      </c>
      <c r="M2087" s="37" t="n">
        <f aca="false">IF(AND(A2087&gt;=Inputs!$C$13,OR(A2087&lt;Inputs!$B$19,Inputs!$B$20=1)),I2087*Inputs!$C$11/C2087,0)</f>
        <v>40.1639344262295</v>
      </c>
    </row>
    <row r="2088" customFormat="false" ht="15" hidden="false" customHeight="false" outlineLevel="0" collapsed="false">
      <c r="A2088" s="35" t="n">
        <f aca="false">A2087+1</f>
        <v>46895</v>
      </c>
      <c r="B2088" s="35" t="n">
        <f aca="false">EOMONTH(A2088+1,0)</f>
        <v>46904</v>
      </c>
      <c r="C2088" s="36" t="n">
        <f aca="false">IF(MOD(YEAR(A2088),4)=0,366,365)</f>
        <v>366</v>
      </c>
      <c r="D2088" s="37" t="n">
        <f aca="false">Inputs!$B$9-SUMIFS(Cash_Events!$G$6:$G$20,Cash_Events!$C$6:$C$20,"rAGMF",Cash_Events!$B$6:$B$20,"&lt;="&amp;A2088)</f>
        <v>735000</v>
      </c>
      <c r="E2088" s="38" t="n">
        <f aca="false">VLOOKUP(A2088,Inputs!$A$40:$B$48,2,TRUE())</f>
        <v>0.0363225</v>
      </c>
      <c r="F2088" s="38" t="n">
        <f aca="false">E2088+Inputs!$B$10</f>
        <v>0.1038225</v>
      </c>
      <c r="G2088" s="37" t="n">
        <f aca="false">D2088*F2088/C2088</f>
        <v>208.496004098361</v>
      </c>
      <c r="H2088" s="37" t="n">
        <f aca="false">IF(AND(A2088&gt;=Inputs!$B$13,OR(A2088&lt;Inputs!$B$19,Inputs!$B$20=1)),D2088*Inputs!$B$11/C2088,0)</f>
        <v>40.1639344262295</v>
      </c>
      <c r="I2088" s="37" t="n">
        <f aca="false">Inputs!$C$9-SUMIFS(Cash_Events!$G$6:$G$20,Cash_Events!$C$6:$C$20,"FHL",Cash_Events!$B$6:$B$20,"&lt;="&amp;A2088)</f>
        <v>735000</v>
      </c>
      <c r="J2088" s="38" t="n">
        <f aca="false">VLOOKUP(A2088,Inputs!$F$40:$G$48,2,TRUE())</f>
        <v>0.0364054</v>
      </c>
      <c r="K2088" s="38" t="n">
        <f aca="false">J2088+Inputs!$C$10</f>
        <v>0.1039054</v>
      </c>
      <c r="L2088" s="37" t="n">
        <f aca="false">I2088*K2088/C2088</f>
        <v>208.662483606557</v>
      </c>
      <c r="M2088" s="37" t="n">
        <f aca="false">IF(AND(A2088&gt;=Inputs!$C$13,OR(A2088&lt;Inputs!$B$19,Inputs!$B$20=1)),I2088*Inputs!$C$11/C2088,0)</f>
        <v>40.1639344262295</v>
      </c>
    </row>
    <row r="2089" customFormat="false" ht="15" hidden="false" customHeight="false" outlineLevel="0" collapsed="false">
      <c r="A2089" s="35" t="n">
        <f aca="false">A2088+1</f>
        <v>46896</v>
      </c>
      <c r="B2089" s="35" t="n">
        <f aca="false">EOMONTH(A2089+1,0)</f>
        <v>46904</v>
      </c>
      <c r="C2089" s="36" t="n">
        <f aca="false">IF(MOD(YEAR(A2089),4)=0,366,365)</f>
        <v>366</v>
      </c>
      <c r="D2089" s="37" t="n">
        <f aca="false">Inputs!$B$9-SUMIFS(Cash_Events!$G$6:$G$20,Cash_Events!$C$6:$C$20,"rAGMF",Cash_Events!$B$6:$B$20,"&lt;="&amp;A2089)</f>
        <v>735000</v>
      </c>
      <c r="E2089" s="38" t="n">
        <f aca="false">VLOOKUP(A2089,Inputs!$A$40:$B$48,2,TRUE())</f>
        <v>0.0363225</v>
      </c>
      <c r="F2089" s="38" t="n">
        <f aca="false">E2089+Inputs!$B$10</f>
        <v>0.1038225</v>
      </c>
      <c r="G2089" s="37" t="n">
        <f aca="false">D2089*F2089/C2089</f>
        <v>208.496004098361</v>
      </c>
      <c r="H2089" s="37" t="n">
        <f aca="false">IF(AND(A2089&gt;=Inputs!$B$13,OR(A2089&lt;Inputs!$B$19,Inputs!$B$20=1)),D2089*Inputs!$B$11/C2089,0)</f>
        <v>40.1639344262295</v>
      </c>
      <c r="I2089" s="37" t="n">
        <f aca="false">Inputs!$C$9-SUMIFS(Cash_Events!$G$6:$G$20,Cash_Events!$C$6:$C$20,"FHL",Cash_Events!$B$6:$B$20,"&lt;="&amp;A2089)</f>
        <v>735000</v>
      </c>
      <c r="J2089" s="38" t="n">
        <f aca="false">VLOOKUP(A2089,Inputs!$F$40:$G$48,2,TRUE())</f>
        <v>0.0364054</v>
      </c>
      <c r="K2089" s="38" t="n">
        <f aca="false">J2089+Inputs!$C$10</f>
        <v>0.1039054</v>
      </c>
      <c r="L2089" s="37" t="n">
        <f aca="false">I2089*K2089/C2089</f>
        <v>208.662483606557</v>
      </c>
      <c r="M2089" s="37" t="n">
        <f aca="false">IF(AND(A2089&gt;=Inputs!$C$13,OR(A2089&lt;Inputs!$B$19,Inputs!$B$20=1)),I2089*Inputs!$C$11/C2089,0)</f>
        <v>40.1639344262295</v>
      </c>
    </row>
    <row r="2090" customFormat="false" ht="15" hidden="false" customHeight="false" outlineLevel="0" collapsed="false">
      <c r="A2090" s="35" t="n">
        <f aca="false">A2089+1</f>
        <v>46897</v>
      </c>
      <c r="B2090" s="35" t="n">
        <f aca="false">EOMONTH(A2090+1,0)</f>
        <v>46904</v>
      </c>
      <c r="C2090" s="36" t="n">
        <f aca="false">IF(MOD(YEAR(A2090),4)=0,366,365)</f>
        <v>366</v>
      </c>
      <c r="D2090" s="37" t="n">
        <f aca="false">Inputs!$B$9-SUMIFS(Cash_Events!$G$6:$G$20,Cash_Events!$C$6:$C$20,"rAGMF",Cash_Events!$B$6:$B$20,"&lt;="&amp;A2090)</f>
        <v>735000</v>
      </c>
      <c r="E2090" s="38" t="n">
        <f aca="false">VLOOKUP(A2090,Inputs!$A$40:$B$48,2,TRUE())</f>
        <v>0.0363225</v>
      </c>
      <c r="F2090" s="38" t="n">
        <f aca="false">E2090+Inputs!$B$10</f>
        <v>0.1038225</v>
      </c>
      <c r="G2090" s="37" t="n">
        <f aca="false">D2090*F2090/C2090</f>
        <v>208.496004098361</v>
      </c>
      <c r="H2090" s="37" t="n">
        <f aca="false">IF(AND(A2090&gt;=Inputs!$B$13,OR(A2090&lt;Inputs!$B$19,Inputs!$B$20=1)),D2090*Inputs!$B$11/C2090,0)</f>
        <v>40.1639344262295</v>
      </c>
      <c r="I2090" s="37" t="n">
        <f aca="false">Inputs!$C$9-SUMIFS(Cash_Events!$G$6:$G$20,Cash_Events!$C$6:$C$20,"FHL",Cash_Events!$B$6:$B$20,"&lt;="&amp;A2090)</f>
        <v>735000</v>
      </c>
      <c r="J2090" s="38" t="n">
        <f aca="false">VLOOKUP(A2090,Inputs!$F$40:$G$48,2,TRUE())</f>
        <v>0.0364054</v>
      </c>
      <c r="K2090" s="38" t="n">
        <f aca="false">J2090+Inputs!$C$10</f>
        <v>0.1039054</v>
      </c>
      <c r="L2090" s="37" t="n">
        <f aca="false">I2090*K2090/C2090</f>
        <v>208.662483606557</v>
      </c>
      <c r="M2090" s="37" t="n">
        <f aca="false">IF(AND(A2090&gt;=Inputs!$C$13,OR(A2090&lt;Inputs!$B$19,Inputs!$B$20=1)),I2090*Inputs!$C$11/C2090,0)</f>
        <v>40.1639344262295</v>
      </c>
    </row>
    <row r="2091" customFormat="false" ht="15" hidden="false" customHeight="false" outlineLevel="0" collapsed="false">
      <c r="A2091" s="35" t="n">
        <f aca="false">A2090+1</f>
        <v>46898</v>
      </c>
      <c r="B2091" s="35" t="n">
        <f aca="false">EOMONTH(A2091+1,0)</f>
        <v>46904</v>
      </c>
      <c r="C2091" s="36" t="n">
        <f aca="false">IF(MOD(YEAR(A2091),4)=0,366,365)</f>
        <v>366</v>
      </c>
      <c r="D2091" s="37" t="n">
        <f aca="false">Inputs!$B$9-SUMIFS(Cash_Events!$G$6:$G$20,Cash_Events!$C$6:$C$20,"rAGMF",Cash_Events!$B$6:$B$20,"&lt;="&amp;A2091)</f>
        <v>735000</v>
      </c>
      <c r="E2091" s="38" t="n">
        <f aca="false">VLOOKUP(A2091,Inputs!$A$40:$B$48,2,TRUE())</f>
        <v>0.0363225</v>
      </c>
      <c r="F2091" s="38" t="n">
        <f aca="false">E2091+Inputs!$B$10</f>
        <v>0.1038225</v>
      </c>
      <c r="G2091" s="37" t="n">
        <f aca="false">D2091*F2091/C2091</f>
        <v>208.496004098361</v>
      </c>
      <c r="H2091" s="37" t="n">
        <f aca="false">IF(AND(A2091&gt;=Inputs!$B$13,OR(A2091&lt;Inputs!$B$19,Inputs!$B$20=1)),D2091*Inputs!$B$11/C2091,0)</f>
        <v>40.1639344262295</v>
      </c>
      <c r="I2091" s="37" t="n">
        <f aca="false">Inputs!$C$9-SUMIFS(Cash_Events!$G$6:$G$20,Cash_Events!$C$6:$C$20,"FHL",Cash_Events!$B$6:$B$20,"&lt;="&amp;A2091)</f>
        <v>735000</v>
      </c>
      <c r="J2091" s="38" t="n">
        <f aca="false">VLOOKUP(A2091,Inputs!$F$40:$G$48,2,TRUE())</f>
        <v>0.0364054</v>
      </c>
      <c r="K2091" s="38" t="n">
        <f aca="false">J2091+Inputs!$C$10</f>
        <v>0.1039054</v>
      </c>
      <c r="L2091" s="37" t="n">
        <f aca="false">I2091*K2091/C2091</f>
        <v>208.662483606557</v>
      </c>
      <c r="M2091" s="37" t="n">
        <f aca="false">IF(AND(A2091&gt;=Inputs!$C$13,OR(A2091&lt;Inputs!$B$19,Inputs!$B$20=1)),I2091*Inputs!$C$11/C2091,0)</f>
        <v>40.1639344262295</v>
      </c>
    </row>
    <row r="2092" customFormat="false" ht="15" hidden="false" customHeight="false" outlineLevel="0" collapsed="false">
      <c r="A2092" s="35" t="n">
        <f aca="false">A2091+1</f>
        <v>46899</v>
      </c>
      <c r="B2092" s="35" t="n">
        <f aca="false">EOMONTH(A2092+1,0)</f>
        <v>46904</v>
      </c>
      <c r="C2092" s="36" t="n">
        <f aca="false">IF(MOD(YEAR(A2092),4)=0,366,365)</f>
        <v>366</v>
      </c>
      <c r="D2092" s="37" t="n">
        <f aca="false">Inputs!$B$9-SUMIFS(Cash_Events!$G$6:$G$20,Cash_Events!$C$6:$C$20,"rAGMF",Cash_Events!$B$6:$B$20,"&lt;="&amp;A2092)</f>
        <v>735000</v>
      </c>
      <c r="E2092" s="38" t="n">
        <f aca="false">VLOOKUP(A2092,Inputs!$A$40:$B$48,2,TRUE())</f>
        <v>0.0363225</v>
      </c>
      <c r="F2092" s="38" t="n">
        <f aca="false">E2092+Inputs!$B$10</f>
        <v>0.1038225</v>
      </c>
      <c r="G2092" s="37" t="n">
        <f aca="false">D2092*F2092/C2092</f>
        <v>208.496004098361</v>
      </c>
      <c r="H2092" s="37" t="n">
        <f aca="false">IF(AND(A2092&gt;=Inputs!$B$13,OR(A2092&lt;Inputs!$B$19,Inputs!$B$20=1)),D2092*Inputs!$B$11/C2092,0)</f>
        <v>40.1639344262295</v>
      </c>
      <c r="I2092" s="37" t="n">
        <f aca="false">Inputs!$C$9-SUMIFS(Cash_Events!$G$6:$G$20,Cash_Events!$C$6:$C$20,"FHL",Cash_Events!$B$6:$B$20,"&lt;="&amp;A2092)</f>
        <v>735000</v>
      </c>
      <c r="J2092" s="38" t="n">
        <f aca="false">VLOOKUP(A2092,Inputs!$F$40:$G$48,2,TRUE())</f>
        <v>0.0364054</v>
      </c>
      <c r="K2092" s="38" t="n">
        <f aca="false">J2092+Inputs!$C$10</f>
        <v>0.1039054</v>
      </c>
      <c r="L2092" s="37" t="n">
        <f aca="false">I2092*K2092/C2092</f>
        <v>208.662483606557</v>
      </c>
      <c r="M2092" s="37" t="n">
        <f aca="false">IF(AND(A2092&gt;=Inputs!$C$13,OR(A2092&lt;Inputs!$B$19,Inputs!$B$20=1)),I2092*Inputs!$C$11/C2092,0)</f>
        <v>40.1639344262295</v>
      </c>
    </row>
    <row r="2093" customFormat="false" ht="15" hidden="false" customHeight="false" outlineLevel="0" collapsed="false">
      <c r="A2093" s="35" t="n">
        <f aca="false">A2092+1</f>
        <v>46900</v>
      </c>
      <c r="B2093" s="35" t="n">
        <f aca="false">EOMONTH(A2093+1,0)</f>
        <v>46904</v>
      </c>
      <c r="C2093" s="36" t="n">
        <f aca="false">IF(MOD(YEAR(A2093),4)=0,366,365)</f>
        <v>366</v>
      </c>
      <c r="D2093" s="37" t="n">
        <f aca="false">Inputs!$B$9-SUMIFS(Cash_Events!$G$6:$G$20,Cash_Events!$C$6:$C$20,"rAGMF",Cash_Events!$B$6:$B$20,"&lt;="&amp;A2093)</f>
        <v>735000</v>
      </c>
      <c r="E2093" s="38" t="n">
        <f aca="false">VLOOKUP(A2093,Inputs!$A$40:$B$48,2,TRUE())</f>
        <v>0.0363225</v>
      </c>
      <c r="F2093" s="38" t="n">
        <f aca="false">E2093+Inputs!$B$10</f>
        <v>0.1038225</v>
      </c>
      <c r="G2093" s="37" t="n">
        <f aca="false">D2093*F2093/C2093</f>
        <v>208.496004098361</v>
      </c>
      <c r="H2093" s="37" t="n">
        <f aca="false">IF(AND(A2093&gt;=Inputs!$B$13,OR(A2093&lt;Inputs!$B$19,Inputs!$B$20=1)),D2093*Inputs!$B$11/C2093,0)</f>
        <v>40.1639344262295</v>
      </c>
      <c r="I2093" s="37" t="n">
        <f aca="false">Inputs!$C$9-SUMIFS(Cash_Events!$G$6:$G$20,Cash_Events!$C$6:$C$20,"FHL",Cash_Events!$B$6:$B$20,"&lt;="&amp;A2093)</f>
        <v>735000</v>
      </c>
      <c r="J2093" s="38" t="n">
        <f aca="false">VLOOKUP(A2093,Inputs!$F$40:$G$48,2,TRUE())</f>
        <v>0.0364054</v>
      </c>
      <c r="K2093" s="38" t="n">
        <f aca="false">J2093+Inputs!$C$10</f>
        <v>0.1039054</v>
      </c>
      <c r="L2093" s="37" t="n">
        <f aca="false">I2093*K2093/C2093</f>
        <v>208.662483606557</v>
      </c>
      <c r="M2093" s="37" t="n">
        <f aca="false">IF(AND(A2093&gt;=Inputs!$C$13,OR(A2093&lt;Inputs!$B$19,Inputs!$B$20=1)),I2093*Inputs!$C$11/C2093,0)</f>
        <v>40.1639344262295</v>
      </c>
    </row>
    <row r="2094" customFormat="false" ht="15" hidden="false" customHeight="false" outlineLevel="0" collapsed="false">
      <c r="A2094" s="35" t="n">
        <f aca="false">A2093+1</f>
        <v>46901</v>
      </c>
      <c r="B2094" s="35" t="n">
        <f aca="false">EOMONTH(A2094+1,0)</f>
        <v>46904</v>
      </c>
      <c r="C2094" s="36" t="n">
        <f aca="false">IF(MOD(YEAR(A2094),4)=0,366,365)</f>
        <v>366</v>
      </c>
      <c r="D2094" s="37" t="n">
        <f aca="false">Inputs!$B$9-SUMIFS(Cash_Events!$G$6:$G$20,Cash_Events!$C$6:$C$20,"rAGMF",Cash_Events!$B$6:$B$20,"&lt;="&amp;A2094)</f>
        <v>735000</v>
      </c>
      <c r="E2094" s="38" t="n">
        <f aca="false">VLOOKUP(A2094,Inputs!$A$40:$B$48,2,TRUE())</f>
        <v>0.0363225</v>
      </c>
      <c r="F2094" s="38" t="n">
        <f aca="false">E2094+Inputs!$B$10</f>
        <v>0.1038225</v>
      </c>
      <c r="G2094" s="37" t="n">
        <f aca="false">D2094*F2094/C2094</f>
        <v>208.496004098361</v>
      </c>
      <c r="H2094" s="37" t="n">
        <f aca="false">IF(AND(A2094&gt;=Inputs!$B$13,OR(A2094&lt;Inputs!$B$19,Inputs!$B$20=1)),D2094*Inputs!$B$11/C2094,0)</f>
        <v>40.1639344262295</v>
      </c>
      <c r="I2094" s="37" t="n">
        <f aca="false">Inputs!$C$9-SUMIFS(Cash_Events!$G$6:$G$20,Cash_Events!$C$6:$C$20,"FHL",Cash_Events!$B$6:$B$20,"&lt;="&amp;A2094)</f>
        <v>735000</v>
      </c>
      <c r="J2094" s="38" t="n">
        <f aca="false">VLOOKUP(A2094,Inputs!$F$40:$G$48,2,TRUE())</f>
        <v>0.0364054</v>
      </c>
      <c r="K2094" s="38" t="n">
        <f aca="false">J2094+Inputs!$C$10</f>
        <v>0.1039054</v>
      </c>
      <c r="L2094" s="37" t="n">
        <f aca="false">I2094*K2094/C2094</f>
        <v>208.662483606557</v>
      </c>
      <c r="M2094" s="37" t="n">
        <f aca="false">IF(AND(A2094&gt;=Inputs!$C$13,OR(A2094&lt;Inputs!$B$19,Inputs!$B$20=1)),I2094*Inputs!$C$11/C2094,0)</f>
        <v>40.1639344262295</v>
      </c>
    </row>
    <row r="2095" customFormat="false" ht="15" hidden="false" customHeight="false" outlineLevel="0" collapsed="false">
      <c r="A2095" s="35" t="n">
        <f aca="false">A2094+1</f>
        <v>46902</v>
      </c>
      <c r="B2095" s="35" t="n">
        <f aca="false">EOMONTH(A2095+1,0)</f>
        <v>46904</v>
      </c>
      <c r="C2095" s="36" t="n">
        <f aca="false">IF(MOD(YEAR(A2095),4)=0,366,365)</f>
        <v>366</v>
      </c>
      <c r="D2095" s="37" t="n">
        <f aca="false">Inputs!$B$9-SUMIFS(Cash_Events!$G$6:$G$20,Cash_Events!$C$6:$C$20,"rAGMF",Cash_Events!$B$6:$B$20,"&lt;="&amp;A2095)</f>
        <v>735000</v>
      </c>
      <c r="E2095" s="38" t="n">
        <f aca="false">VLOOKUP(A2095,Inputs!$A$40:$B$48,2,TRUE())</f>
        <v>0.0363225</v>
      </c>
      <c r="F2095" s="38" t="n">
        <f aca="false">E2095+Inputs!$B$10</f>
        <v>0.1038225</v>
      </c>
      <c r="G2095" s="37" t="n">
        <f aca="false">D2095*F2095/C2095</f>
        <v>208.496004098361</v>
      </c>
      <c r="H2095" s="37" t="n">
        <f aca="false">IF(AND(A2095&gt;=Inputs!$B$13,OR(A2095&lt;Inputs!$B$19,Inputs!$B$20=1)),D2095*Inputs!$B$11/C2095,0)</f>
        <v>40.1639344262295</v>
      </c>
      <c r="I2095" s="37" t="n">
        <f aca="false">Inputs!$C$9-SUMIFS(Cash_Events!$G$6:$G$20,Cash_Events!$C$6:$C$20,"FHL",Cash_Events!$B$6:$B$20,"&lt;="&amp;A2095)</f>
        <v>735000</v>
      </c>
      <c r="J2095" s="38" t="n">
        <f aca="false">VLOOKUP(A2095,Inputs!$F$40:$G$48,2,TRUE())</f>
        <v>0.0364054</v>
      </c>
      <c r="K2095" s="38" t="n">
        <f aca="false">J2095+Inputs!$C$10</f>
        <v>0.1039054</v>
      </c>
      <c r="L2095" s="37" t="n">
        <f aca="false">I2095*K2095/C2095</f>
        <v>208.662483606557</v>
      </c>
      <c r="M2095" s="37" t="n">
        <f aca="false">IF(AND(A2095&gt;=Inputs!$C$13,OR(A2095&lt;Inputs!$B$19,Inputs!$B$20=1)),I2095*Inputs!$C$11/C2095,0)</f>
        <v>40.1639344262295</v>
      </c>
    </row>
    <row r="2096" customFormat="false" ht="15" hidden="false" customHeight="false" outlineLevel="0" collapsed="false">
      <c r="A2096" s="35" t="n">
        <f aca="false">A2095+1</f>
        <v>46903</v>
      </c>
      <c r="B2096" s="35" t="n">
        <f aca="false">EOMONTH(A2096+1,0)</f>
        <v>46904</v>
      </c>
      <c r="C2096" s="36" t="n">
        <f aca="false">IF(MOD(YEAR(A2096),4)=0,366,365)</f>
        <v>366</v>
      </c>
      <c r="D2096" s="37" t="n">
        <f aca="false">Inputs!$B$9-SUMIFS(Cash_Events!$G$6:$G$20,Cash_Events!$C$6:$C$20,"rAGMF",Cash_Events!$B$6:$B$20,"&lt;="&amp;A2096)</f>
        <v>735000</v>
      </c>
      <c r="E2096" s="38" t="n">
        <f aca="false">VLOOKUP(A2096,Inputs!$A$40:$B$48,2,TRUE())</f>
        <v>0.0363225</v>
      </c>
      <c r="F2096" s="38" t="n">
        <f aca="false">E2096+Inputs!$B$10</f>
        <v>0.1038225</v>
      </c>
      <c r="G2096" s="37" t="n">
        <f aca="false">D2096*F2096/C2096</f>
        <v>208.496004098361</v>
      </c>
      <c r="H2096" s="37" t="n">
        <f aca="false">IF(AND(A2096&gt;=Inputs!$B$13,OR(A2096&lt;Inputs!$B$19,Inputs!$B$20=1)),D2096*Inputs!$B$11/C2096,0)</f>
        <v>40.1639344262295</v>
      </c>
      <c r="I2096" s="37" t="n">
        <f aca="false">Inputs!$C$9-SUMIFS(Cash_Events!$G$6:$G$20,Cash_Events!$C$6:$C$20,"FHL",Cash_Events!$B$6:$B$20,"&lt;="&amp;A2096)</f>
        <v>735000</v>
      </c>
      <c r="J2096" s="38" t="n">
        <f aca="false">VLOOKUP(A2096,Inputs!$F$40:$G$48,2,TRUE())</f>
        <v>0.0364054</v>
      </c>
      <c r="K2096" s="38" t="n">
        <f aca="false">J2096+Inputs!$C$10</f>
        <v>0.1039054</v>
      </c>
      <c r="L2096" s="37" t="n">
        <f aca="false">I2096*K2096/C2096</f>
        <v>208.662483606557</v>
      </c>
      <c r="M2096" s="37" t="n">
        <f aca="false">IF(AND(A2096&gt;=Inputs!$C$13,OR(A2096&lt;Inputs!$B$19,Inputs!$B$20=1)),I2096*Inputs!$C$11/C2096,0)</f>
        <v>40.1639344262295</v>
      </c>
    </row>
    <row r="2097" customFormat="false" ht="15" hidden="false" customHeight="false" outlineLevel="0" collapsed="false">
      <c r="A2097" s="35" t="n">
        <f aca="false">A2096+1</f>
        <v>46904</v>
      </c>
      <c r="B2097" s="35" t="n">
        <f aca="false">EOMONTH(A2097+1,0)</f>
        <v>46934</v>
      </c>
      <c r="C2097" s="36" t="n">
        <f aca="false">IF(MOD(YEAR(A2097),4)=0,366,365)</f>
        <v>366</v>
      </c>
      <c r="D2097" s="37" t="n">
        <f aca="false">Inputs!$B$9-SUMIFS(Cash_Events!$G$6:$G$20,Cash_Events!$C$6:$C$20,"rAGMF",Cash_Events!$B$6:$B$20,"&lt;="&amp;A2097)</f>
        <v>735000</v>
      </c>
      <c r="E2097" s="38" t="n">
        <f aca="false">VLOOKUP(A2097,Inputs!$A$40:$B$48,2,TRUE())</f>
        <v>0.0363225</v>
      </c>
      <c r="F2097" s="38" t="n">
        <f aca="false">E2097+Inputs!$B$10</f>
        <v>0.1038225</v>
      </c>
      <c r="G2097" s="37" t="n">
        <f aca="false">D2097*F2097/C2097</f>
        <v>208.496004098361</v>
      </c>
      <c r="H2097" s="37" t="n">
        <f aca="false">IF(AND(A2097&gt;=Inputs!$B$13,OR(A2097&lt;Inputs!$B$19,Inputs!$B$20=1)),D2097*Inputs!$B$11/C2097,0)</f>
        <v>40.1639344262295</v>
      </c>
      <c r="I2097" s="37" t="n">
        <f aca="false">Inputs!$C$9-SUMIFS(Cash_Events!$G$6:$G$20,Cash_Events!$C$6:$C$20,"FHL",Cash_Events!$B$6:$B$20,"&lt;="&amp;A2097)</f>
        <v>735000</v>
      </c>
      <c r="J2097" s="38" t="n">
        <f aca="false">VLOOKUP(A2097,Inputs!$F$40:$G$48,2,TRUE())</f>
        <v>0.0364054</v>
      </c>
      <c r="K2097" s="38" t="n">
        <f aca="false">J2097+Inputs!$C$10</f>
        <v>0.1039054</v>
      </c>
      <c r="L2097" s="37" t="n">
        <f aca="false">I2097*K2097/C2097</f>
        <v>208.662483606557</v>
      </c>
      <c r="M2097" s="37" t="n">
        <f aca="false">IF(AND(A2097&gt;=Inputs!$C$13,OR(A2097&lt;Inputs!$B$19,Inputs!$B$20=1)),I2097*Inputs!$C$11/C2097,0)</f>
        <v>40.1639344262295</v>
      </c>
    </row>
    <row r="2098" customFormat="false" ht="15" hidden="false" customHeight="false" outlineLevel="0" collapsed="false">
      <c r="A2098" s="35" t="n">
        <f aca="false">A2097+1</f>
        <v>46905</v>
      </c>
      <c r="B2098" s="35" t="n">
        <f aca="false">EOMONTH(A2098+1,0)</f>
        <v>46934</v>
      </c>
      <c r="C2098" s="36" t="n">
        <f aca="false">IF(MOD(YEAR(A2098),4)=0,366,365)</f>
        <v>366</v>
      </c>
      <c r="D2098" s="37" t="n">
        <f aca="false">Inputs!$B$9-SUMIFS(Cash_Events!$G$6:$G$20,Cash_Events!$C$6:$C$20,"rAGMF",Cash_Events!$B$6:$B$20,"&lt;="&amp;A2098)</f>
        <v>735000</v>
      </c>
      <c r="E2098" s="38" t="n">
        <f aca="false">VLOOKUP(A2098,Inputs!$A$40:$B$48,2,TRUE())</f>
        <v>0.0363225</v>
      </c>
      <c r="F2098" s="38" t="n">
        <f aca="false">E2098+Inputs!$B$10</f>
        <v>0.1038225</v>
      </c>
      <c r="G2098" s="37" t="n">
        <f aca="false">D2098*F2098/C2098</f>
        <v>208.496004098361</v>
      </c>
      <c r="H2098" s="37" t="n">
        <f aca="false">IF(AND(A2098&gt;=Inputs!$B$13,OR(A2098&lt;Inputs!$B$19,Inputs!$B$20=1)),D2098*Inputs!$B$11/C2098,0)</f>
        <v>40.1639344262295</v>
      </c>
      <c r="I2098" s="37" t="n">
        <f aca="false">Inputs!$C$9-SUMIFS(Cash_Events!$G$6:$G$20,Cash_Events!$C$6:$C$20,"FHL",Cash_Events!$B$6:$B$20,"&lt;="&amp;A2098)</f>
        <v>735000</v>
      </c>
      <c r="J2098" s="38" t="n">
        <f aca="false">VLOOKUP(A2098,Inputs!$F$40:$G$48,2,TRUE())</f>
        <v>0.0364054</v>
      </c>
      <c r="K2098" s="38" t="n">
        <f aca="false">J2098+Inputs!$C$10</f>
        <v>0.1039054</v>
      </c>
      <c r="L2098" s="37" t="n">
        <f aca="false">I2098*K2098/C2098</f>
        <v>208.662483606557</v>
      </c>
      <c r="M2098" s="37" t="n">
        <f aca="false">IF(AND(A2098&gt;=Inputs!$C$13,OR(A2098&lt;Inputs!$B$19,Inputs!$B$20=1)),I2098*Inputs!$C$11/C2098,0)</f>
        <v>40.1639344262295</v>
      </c>
    </row>
    <row r="2099" customFormat="false" ht="15" hidden="false" customHeight="false" outlineLevel="0" collapsed="false">
      <c r="A2099" s="35" t="n">
        <f aca="false">A2098+1</f>
        <v>46906</v>
      </c>
      <c r="B2099" s="35" t="n">
        <f aca="false">EOMONTH(A2099+1,0)</f>
        <v>46934</v>
      </c>
      <c r="C2099" s="36" t="n">
        <f aca="false">IF(MOD(YEAR(A2099),4)=0,366,365)</f>
        <v>366</v>
      </c>
      <c r="D2099" s="37" t="n">
        <f aca="false">Inputs!$B$9-SUMIFS(Cash_Events!$G$6:$G$20,Cash_Events!$C$6:$C$20,"rAGMF",Cash_Events!$B$6:$B$20,"&lt;="&amp;A2099)</f>
        <v>735000</v>
      </c>
      <c r="E2099" s="38" t="n">
        <f aca="false">VLOOKUP(A2099,Inputs!$A$40:$B$48,2,TRUE())</f>
        <v>0.0363225</v>
      </c>
      <c r="F2099" s="38" t="n">
        <f aca="false">E2099+Inputs!$B$10</f>
        <v>0.1038225</v>
      </c>
      <c r="G2099" s="37" t="n">
        <f aca="false">D2099*F2099/C2099</f>
        <v>208.496004098361</v>
      </c>
      <c r="H2099" s="37" t="n">
        <f aca="false">IF(AND(A2099&gt;=Inputs!$B$13,OR(A2099&lt;Inputs!$B$19,Inputs!$B$20=1)),D2099*Inputs!$B$11/C2099,0)</f>
        <v>40.1639344262295</v>
      </c>
      <c r="I2099" s="37" t="n">
        <f aca="false">Inputs!$C$9-SUMIFS(Cash_Events!$G$6:$G$20,Cash_Events!$C$6:$C$20,"FHL",Cash_Events!$B$6:$B$20,"&lt;="&amp;A2099)</f>
        <v>735000</v>
      </c>
      <c r="J2099" s="38" t="n">
        <f aca="false">VLOOKUP(A2099,Inputs!$F$40:$G$48,2,TRUE())</f>
        <v>0.0364054</v>
      </c>
      <c r="K2099" s="38" t="n">
        <f aca="false">J2099+Inputs!$C$10</f>
        <v>0.1039054</v>
      </c>
      <c r="L2099" s="37" t="n">
        <f aca="false">I2099*K2099/C2099</f>
        <v>208.662483606557</v>
      </c>
      <c r="M2099" s="37" t="n">
        <f aca="false">IF(AND(A2099&gt;=Inputs!$C$13,OR(A2099&lt;Inputs!$B$19,Inputs!$B$20=1)),I2099*Inputs!$C$11/C2099,0)</f>
        <v>40.1639344262295</v>
      </c>
    </row>
    <row r="2100" customFormat="false" ht="15" hidden="false" customHeight="false" outlineLevel="0" collapsed="false">
      <c r="A2100" s="35" t="n">
        <f aca="false">A2099+1</f>
        <v>46907</v>
      </c>
      <c r="B2100" s="35" t="n">
        <f aca="false">EOMONTH(A2100+1,0)</f>
        <v>46934</v>
      </c>
      <c r="C2100" s="36" t="n">
        <f aca="false">IF(MOD(YEAR(A2100),4)=0,366,365)</f>
        <v>366</v>
      </c>
      <c r="D2100" s="37" t="n">
        <f aca="false">Inputs!$B$9-SUMIFS(Cash_Events!$G$6:$G$20,Cash_Events!$C$6:$C$20,"rAGMF",Cash_Events!$B$6:$B$20,"&lt;="&amp;A2100)</f>
        <v>735000</v>
      </c>
      <c r="E2100" s="38" t="n">
        <f aca="false">VLOOKUP(A2100,Inputs!$A$40:$B$48,2,TRUE())</f>
        <v>0.0363225</v>
      </c>
      <c r="F2100" s="38" t="n">
        <f aca="false">E2100+Inputs!$B$10</f>
        <v>0.1038225</v>
      </c>
      <c r="G2100" s="37" t="n">
        <f aca="false">D2100*F2100/C2100</f>
        <v>208.496004098361</v>
      </c>
      <c r="H2100" s="37" t="n">
        <f aca="false">IF(AND(A2100&gt;=Inputs!$B$13,OR(A2100&lt;Inputs!$B$19,Inputs!$B$20=1)),D2100*Inputs!$B$11/C2100,0)</f>
        <v>40.1639344262295</v>
      </c>
      <c r="I2100" s="37" t="n">
        <f aca="false">Inputs!$C$9-SUMIFS(Cash_Events!$G$6:$G$20,Cash_Events!$C$6:$C$20,"FHL",Cash_Events!$B$6:$B$20,"&lt;="&amp;A2100)</f>
        <v>735000</v>
      </c>
      <c r="J2100" s="38" t="n">
        <f aca="false">VLOOKUP(A2100,Inputs!$F$40:$G$48,2,TRUE())</f>
        <v>0.0364054</v>
      </c>
      <c r="K2100" s="38" t="n">
        <f aca="false">J2100+Inputs!$C$10</f>
        <v>0.1039054</v>
      </c>
      <c r="L2100" s="37" t="n">
        <f aca="false">I2100*K2100/C2100</f>
        <v>208.662483606557</v>
      </c>
      <c r="M2100" s="37" t="n">
        <f aca="false">IF(AND(A2100&gt;=Inputs!$C$13,OR(A2100&lt;Inputs!$B$19,Inputs!$B$20=1)),I2100*Inputs!$C$11/C2100,0)</f>
        <v>40.1639344262295</v>
      </c>
    </row>
    <row r="2101" customFormat="false" ht="15" hidden="false" customHeight="false" outlineLevel="0" collapsed="false">
      <c r="A2101" s="35" t="n">
        <f aca="false">A2100+1</f>
        <v>46908</v>
      </c>
      <c r="B2101" s="35" t="n">
        <f aca="false">EOMONTH(A2101+1,0)</f>
        <v>46934</v>
      </c>
      <c r="C2101" s="36" t="n">
        <f aca="false">IF(MOD(YEAR(A2101),4)=0,366,365)</f>
        <v>366</v>
      </c>
      <c r="D2101" s="37" t="n">
        <f aca="false">Inputs!$B$9-SUMIFS(Cash_Events!$G$6:$G$20,Cash_Events!$C$6:$C$20,"rAGMF",Cash_Events!$B$6:$B$20,"&lt;="&amp;A2101)</f>
        <v>735000</v>
      </c>
      <c r="E2101" s="38" t="n">
        <f aca="false">VLOOKUP(A2101,Inputs!$A$40:$B$48,2,TRUE())</f>
        <v>0.0363225</v>
      </c>
      <c r="F2101" s="38" t="n">
        <f aca="false">E2101+Inputs!$B$10</f>
        <v>0.1038225</v>
      </c>
      <c r="G2101" s="37" t="n">
        <f aca="false">D2101*F2101/C2101</f>
        <v>208.496004098361</v>
      </c>
      <c r="H2101" s="37" t="n">
        <f aca="false">IF(AND(A2101&gt;=Inputs!$B$13,OR(A2101&lt;Inputs!$B$19,Inputs!$B$20=1)),D2101*Inputs!$B$11/C2101,0)</f>
        <v>40.1639344262295</v>
      </c>
      <c r="I2101" s="37" t="n">
        <f aca="false">Inputs!$C$9-SUMIFS(Cash_Events!$G$6:$G$20,Cash_Events!$C$6:$C$20,"FHL",Cash_Events!$B$6:$B$20,"&lt;="&amp;A2101)</f>
        <v>735000</v>
      </c>
      <c r="J2101" s="38" t="n">
        <f aca="false">VLOOKUP(A2101,Inputs!$F$40:$G$48,2,TRUE())</f>
        <v>0.0364054</v>
      </c>
      <c r="K2101" s="38" t="n">
        <f aca="false">J2101+Inputs!$C$10</f>
        <v>0.1039054</v>
      </c>
      <c r="L2101" s="37" t="n">
        <f aca="false">I2101*K2101/C2101</f>
        <v>208.662483606557</v>
      </c>
      <c r="M2101" s="37" t="n">
        <f aca="false">IF(AND(A2101&gt;=Inputs!$C$13,OR(A2101&lt;Inputs!$B$19,Inputs!$B$20=1)),I2101*Inputs!$C$11/C2101,0)</f>
        <v>40.1639344262295</v>
      </c>
    </row>
    <row r="2102" customFormat="false" ht="15" hidden="false" customHeight="false" outlineLevel="0" collapsed="false">
      <c r="A2102" s="35" t="n">
        <f aca="false">A2101+1</f>
        <v>46909</v>
      </c>
      <c r="B2102" s="35" t="n">
        <f aca="false">EOMONTH(A2102+1,0)</f>
        <v>46934</v>
      </c>
      <c r="C2102" s="36" t="n">
        <f aca="false">IF(MOD(YEAR(A2102),4)=0,366,365)</f>
        <v>366</v>
      </c>
      <c r="D2102" s="37" t="n">
        <f aca="false">Inputs!$B$9-SUMIFS(Cash_Events!$G$6:$G$20,Cash_Events!$C$6:$C$20,"rAGMF",Cash_Events!$B$6:$B$20,"&lt;="&amp;A2102)</f>
        <v>735000</v>
      </c>
      <c r="E2102" s="38" t="n">
        <f aca="false">VLOOKUP(A2102,Inputs!$A$40:$B$48,2,TRUE())</f>
        <v>0.0363225</v>
      </c>
      <c r="F2102" s="38" t="n">
        <f aca="false">E2102+Inputs!$B$10</f>
        <v>0.1038225</v>
      </c>
      <c r="G2102" s="37" t="n">
        <f aca="false">D2102*F2102/C2102</f>
        <v>208.496004098361</v>
      </c>
      <c r="H2102" s="37" t="n">
        <f aca="false">IF(AND(A2102&gt;=Inputs!$B$13,OR(A2102&lt;Inputs!$B$19,Inputs!$B$20=1)),D2102*Inputs!$B$11/C2102,0)</f>
        <v>40.1639344262295</v>
      </c>
      <c r="I2102" s="37" t="n">
        <f aca="false">Inputs!$C$9-SUMIFS(Cash_Events!$G$6:$G$20,Cash_Events!$C$6:$C$20,"FHL",Cash_Events!$B$6:$B$20,"&lt;="&amp;A2102)</f>
        <v>735000</v>
      </c>
      <c r="J2102" s="38" t="n">
        <f aca="false">VLOOKUP(A2102,Inputs!$F$40:$G$48,2,TRUE())</f>
        <v>0.0364054</v>
      </c>
      <c r="K2102" s="38" t="n">
        <f aca="false">J2102+Inputs!$C$10</f>
        <v>0.1039054</v>
      </c>
      <c r="L2102" s="37" t="n">
        <f aca="false">I2102*K2102/C2102</f>
        <v>208.662483606557</v>
      </c>
      <c r="M2102" s="37" t="n">
        <f aca="false">IF(AND(A2102&gt;=Inputs!$C$13,OR(A2102&lt;Inputs!$B$19,Inputs!$B$20=1)),I2102*Inputs!$C$11/C2102,0)</f>
        <v>40.1639344262295</v>
      </c>
    </row>
    <row r="2103" customFormat="false" ht="15" hidden="false" customHeight="false" outlineLevel="0" collapsed="false">
      <c r="A2103" s="35" t="n">
        <f aca="false">A2102+1</f>
        <v>46910</v>
      </c>
      <c r="B2103" s="35" t="n">
        <f aca="false">EOMONTH(A2103+1,0)</f>
        <v>46934</v>
      </c>
      <c r="C2103" s="36" t="n">
        <f aca="false">IF(MOD(YEAR(A2103),4)=0,366,365)</f>
        <v>366</v>
      </c>
      <c r="D2103" s="37" t="n">
        <f aca="false">Inputs!$B$9-SUMIFS(Cash_Events!$G$6:$G$20,Cash_Events!$C$6:$C$20,"rAGMF",Cash_Events!$B$6:$B$20,"&lt;="&amp;A2103)</f>
        <v>735000</v>
      </c>
      <c r="E2103" s="38" t="n">
        <f aca="false">VLOOKUP(A2103,Inputs!$A$40:$B$48,2,TRUE())</f>
        <v>0.0363225</v>
      </c>
      <c r="F2103" s="38" t="n">
        <f aca="false">E2103+Inputs!$B$10</f>
        <v>0.1038225</v>
      </c>
      <c r="G2103" s="37" t="n">
        <f aca="false">D2103*F2103/C2103</f>
        <v>208.496004098361</v>
      </c>
      <c r="H2103" s="37" t="n">
        <f aca="false">IF(AND(A2103&gt;=Inputs!$B$13,OR(A2103&lt;Inputs!$B$19,Inputs!$B$20=1)),D2103*Inputs!$B$11/C2103,0)</f>
        <v>40.1639344262295</v>
      </c>
      <c r="I2103" s="37" t="n">
        <f aca="false">Inputs!$C$9-SUMIFS(Cash_Events!$G$6:$G$20,Cash_Events!$C$6:$C$20,"FHL",Cash_Events!$B$6:$B$20,"&lt;="&amp;A2103)</f>
        <v>735000</v>
      </c>
      <c r="J2103" s="38" t="n">
        <f aca="false">VLOOKUP(A2103,Inputs!$F$40:$G$48,2,TRUE())</f>
        <v>0.0364054</v>
      </c>
      <c r="K2103" s="38" t="n">
        <f aca="false">J2103+Inputs!$C$10</f>
        <v>0.1039054</v>
      </c>
      <c r="L2103" s="37" t="n">
        <f aca="false">I2103*K2103/C2103</f>
        <v>208.662483606557</v>
      </c>
      <c r="M2103" s="37" t="n">
        <f aca="false">IF(AND(A2103&gt;=Inputs!$C$13,OR(A2103&lt;Inputs!$B$19,Inputs!$B$20=1)),I2103*Inputs!$C$11/C2103,0)</f>
        <v>40.1639344262295</v>
      </c>
    </row>
    <row r="2104" customFormat="false" ht="15" hidden="false" customHeight="false" outlineLevel="0" collapsed="false">
      <c r="A2104" s="35" t="n">
        <f aca="false">A2103+1</f>
        <v>46911</v>
      </c>
      <c r="B2104" s="35" t="n">
        <f aca="false">EOMONTH(A2104+1,0)</f>
        <v>46934</v>
      </c>
      <c r="C2104" s="36" t="n">
        <f aca="false">IF(MOD(YEAR(A2104),4)=0,366,365)</f>
        <v>366</v>
      </c>
      <c r="D2104" s="37" t="n">
        <f aca="false">Inputs!$B$9-SUMIFS(Cash_Events!$G$6:$G$20,Cash_Events!$C$6:$C$20,"rAGMF",Cash_Events!$B$6:$B$20,"&lt;="&amp;A2104)</f>
        <v>735000</v>
      </c>
      <c r="E2104" s="38" t="n">
        <f aca="false">VLOOKUP(A2104,Inputs!$A$40:$B$48,2,TRUE())</f>
        <v>0.0363225</v>
      </c>
      <c r="F2104" s="38" t="n">
        <f aca="false">E2104+Inputs!$B$10</f>
        <v>0.1038225</v>
      </c>
      <c r="G2104" s="37" t="n">
        <f aca="false">D2104*F2104/C2104</f>
        <v>208.496004098361</v>
      </c>
      <c r="H2104" s="37" t="n">
        <f aca="false">IF(AND(A2104&gt;=Inputs!$B$13,OR(A2104&lt;Inputs!$B$19,Inputs!$B$20=1)),D2104*Inputs!$B$11/C2104,0)</f>
        <v>40.1639344262295</v>
      </c>
      <c r="I2104" s="37" t="n">
        <f aca="false">Inputs!$C$9-SUMIFS(Cash_Events!$G$6:$G$20,Cash_Events!$C$6:$C$20,"FHL",Cash_Events!$B$6:$B$20,"&lt;="&amp;A2104)</f>
        <v>735000</v>
      </c>
      <c r="J2104" s="38" t="n">
        <f aca="false">VLOOKUP(A2104,Inputs!$F$40:$G$48,2,TRUE())</f>
        <v>0.0364054</v>
      </c>
      <c r="K2104" s="38" t="n">
        <f aca="false">J2104+Inputs!$C$10</f>
        <v>0.1039054</v>
      </c>
      <c r="L2104" s="37" t="n">
        <f aca="false">I2104*K2104/C2104</f>
        <v>208.662483606557</v>
      </c>
      <c r="M2104" s="37" t="n">
        <f aca="false">IF(AND(A2104&gt;=Inputs!$C$13,OR(A2104&lt;Inputs!$B$19,Inputs!$B$20=1)),I2104*Inputs!$C$11/C2104,0)</f>
        <v>40.1639344262295</v>
      </c>
    </row>
    <row r="2105" customFormat="false" ht="15" hidden="false" customHeight="false" outlineLevel="0" collapsed="false">
      <c r="A2105" s="35" t="n">
        <f aca="false">A2104+1</f>
        <v>46912</v>
      </c>
      <c r="B2105" s="35" t="n">
        <f aca="false">EOMONTH(A2105+1,0)</f>
        <v>46934</v>
      </c>
      <c r="C2105" s="36" t="n">
        <f aca="false">IF(MOD(YEAR(A2105),4)=0,366,365)</f>
        <v>366</v>
      </c>
      <c r="D2105" s="37" t="n">
        <f aca="false">Inputs!$B$9-SUMIFS(Cash_Events!$G$6:$G$20,Cash_Events!$C$6:$C$20,"rAGMF",Cash_Events!$B$6:$B$20,"&lt;="&amp;A2105)</f>
        <v>735000</v>
      </c>
      <c r="E2105" s="38" t="n">
        <f aca="false">VLOOKUP(A2105,Inputs!$A$40:$B$48,2,TRUE())</f>
        <v>0.0363225</v>
      </c>
      <c r="F2105" s="38" t="n">
        <f aca="false">E2105+Inputs!$B$10</f>
        <v>0.1038225</v>
      </c>
      <c r="G2105" s="37" t="n">
        <f aca="false">D2105*F2105/C2105</f>
        <v>208.496004098361</v>
      </c>
      <c r="H2105" s="37" t="n">
        <f aca="false">IF(AND(A2105&gt;=Inputs!$B$13,OR(A2105&lt;Inputs!$B$19,Inputs!$B$20=1)),D2105*Inputs!$B$11/C2105,0)</f>
        <v>40.1639344262295</v>
      </c>
      <c r="I2105" s="37" t="n">
        <f aca="false">Inputs!$C$9-SUMIFS(Cash_Events!$G$6:$G$20,Cash_Events!$C$6:$C$20,"FHL",Cash_Events!$B$6:$B$20,"&lt;="&amp;A2105)</f>
        <v>735000</v>
      </c>
      <c r="J2105" s="38" t="n">
        <f aca="false">VLOOKUP(A2105,Inputs!$F$40:$G$48,2,TRUE())</f>
        <v>0.0364054</v>
      </c>
      <c r="K2105" s="38" t="n">
        <f aca="false">J2105+Inputs!$C$10</f>
        <v>0.1039054</v>
      </c>
      <c r="L2105" s="37" t="n">
        <f aca="false">I2105*K2105/C2105</f>
        <v>208.662483606557</v>
      </c>
      <c r="M2105" s="37" t="n">
        <f aca="false">IF(AND(A2105&gt;=Inputs!$C$13,OR(A2105&lt;Inputs!$B$19,Inputs!$B$20=1)),I2105*Inputs!$C$11/C2105,0)</f>
        <v>40.1639344262295</v>
      </c>
    </row>
    <row r="2106" customFormat="false" ht="15" hidden="false" customHeight="false" outlineLevel="0" collapsed="false">
      <c r="A2106" s="35" t="n">
        <f aca="false">A2105+1</f>
        <v>46913</v>
      </c>
      <c r="B2106" s="35" t="n">
        <f aca="false">EOMONTH(A2106+1,0)</f>
        <v>46934</v>
      </c>
      <c r="C2106" s="36" t="n">
        <f aca="false">IF(MOD(YEAR(A2106),4)=0,366,365)</f>
        <v>366</v>
      </c>
      <c r="D2106" s="37" t="n">
        <f aca="false">Inputs!$B$9-SUMIFS(Cash_Events!$G$6:$G$20,Cash_Events!$C$6:$C$20,"rAGMF",Cash_Events!$B$6:$B$20,"&lt;="&amp;A2106)</f>
        <v>735000</v>
      </c>
      <c r="E2106" s="38" t="n">
        <f aca="false">VLOOKUP(A2106,Inputs!$A$40:$B$48,2,TRUE())</f>
        <v>0.0363225</v>
      </c>
      <c r="F2106" s="38" t="n">
        <f aca="false">E2106+Inputs!$B$10</f>
        <v>0.1038225</v>
      </c>
      <c r="G2106" s="37" t="n">
        <f aca="false">D2106*F2106/C2106</f>
        <v>208.496004098361</v>
      </c>
      <c r="H2106" s="37" t="n">
        <f aca="false">IF(AND(A2106&gt;=Inputs!$B$13,OR(A2106&lt;Inputs!$B$19,Inputs!$B$20=1)),D2106*Inputs!$B$11/C2106,0)</f>
        <v>40.1639344262295</v>
      </c>
      <c r="I2106" s="37" t="n">
        <f aca="false">Inputs!$C$9-SUMIFS(Cash_Events!$G$6:$G$20,Cash_Events!$C$6:$C$20,"FHL",Cash_Events!$B$6:$B$20,"&lt;="&amp;A2106)</f>
        <v>735000</v>
      </c>
      <c r="J2106" s="38" t="n">
        <f aca="false">VLOOKUP(A2106,Inputs!$F$40:$G$48,2,TRUE())</f>
        <v>0.0364054</v>
      </c>
      <c r="K2106" s="38" t="n">
        <f aca="false">J2106+Inputs!$C$10</f>
        <v>0.1039054</v>
      </c>
      <c r="L2106" s="37" t="n">
        <f aca="false">I2106*K2106/C2106</f>
        <v>208.662483606557</v>
      </c>
      <c r="M2106" s="37" t="n">
        <f aca="false">IF(AND(A2106&gt;=Inputs!$C$13,OR(A2106&lt;Inputs!$B$19,Inputs!$B$20=1)),I2106*Inputs!$C$11/C2106,0)</f>
        <v>40.1639344262295</v>
      </c>
    </row>
    <row r="2107" customFormat="false" ht="15" hidden="false" customHeight="false" outlineLevel="0" collapsed="false">
      <c r="A2107" s="35" t="n">
        <f aca="false">A2106+1</f>
        <v>46914</v>
      </c>
      <c r="B2107" s="35" t="n">
        <f aca="false">EOMONTH(A2107+1,0)</f>
        <v>46934</v>
      </c>
      <c r="C2107" s="36" t="n">
        <f aca="false">IF(MOD(YEAR(A2107),4)=0,366,365)</f>
        <v>366</v>
      </c>
      <c r="D2107" s="37" t="n">
        <f aca="false">Inputs!$B$9-SUMIFS(Cash_Events!$G$6:$G$20,Cash_Events!$C$6:$C$20,"rAGMF",Cash_Events!$B$6:$B$20,"&lt;="&amp;A2107)</f>
        <v>735000</v>
      </c>
      <c r="E2107" s="38" t="n">
        <f aca="false">VLOOKUP(A2107,Inputs!$A$40:$B$48,2,TRUE())</f>
        <v>0.0363225</v>
      </c>
      <c r="F2107" s="38" t="n">
        <f aca="false">E2107+Inputs!$B$10</f>
        <v>0.1038225</v>
      </c>
      <c r="G2107" s="37" t="n">
        <f aca="false">D2107*F2107/C2107</f>
        <v>208.496004098361</v>
      </c>
      <c r="H2107" s="37" t="n">
        <f aca="false">IF(AND(A2107&gt;=Inputs!$B$13,OR(A2107&lt;Inputs!$B$19,Inputs!$B$20=1)),D2107*Inputs!$B$11/C2107,0)</f>
        <v>40.1639344262295</v>
      </c>
      <c r="I2107" s="37" t="n">
        <f aca="false">Inputs!$C$9-SUMIFS(Cash_Events!$G$6:$G$20,Cash_Events!$C$6:$C$20,"FHL",Cash_Events!$B$6:$B$20,"&lt;="&amp;A2107)</f>
        <v>735000</v>
      </c>
      <c r="J2107" s="38" t="n">
        <f aca="false">VLOOKUP(A2107,Inputs!$F$40:$G$48,2,TRUE())</f>
        <v>0.0364054</v>
      </c>
      <c r="K2107" s="38" t="n">
        <f aca="false">J2107+Inputs!$C$10</f>
        <v>0.1039054</v>
      </c>
      <c r="L2107" s="37" t="n">
        <f aca="false">I2107*K2107/C2107</f>
        <v>208.662483606557</v>
      </c>
      <c r="M2107" s="37" t="n">
        <f aca="false">IF(AND(A2107&gt;=Inputs!$C$13,OR(A2107&lt;Inputs!$B$19,Inputs!$B$20=1)),I2107*Inputs!$C$11/C2107,0)</f>
        <v>40.1639344262295</v>
      </c>
    </row>
    <row r="2108" customFormat="false" ht="15" hidden="false" customHeight="false" outlineLevel="0" collapsed="false">
      <c r="A2108" s="35" t="n">
        <f aca="false">A2107+1</f>
        <v>46915</v>
      </c>
      <c r="B2108" s="35" t="n">
        <f aca="false">EOMONTH(A2108+1,0)</f>
        <v>46934</v>
      </c>
      <c r="C2108" s="36" t="n">
        <f aca="false">IF(MOD(YEAR(A2108),4)=0,366,365)</f>
        <v>366</v>
      </c>
      <c r="D2108" s="37" t="n">
        <f aca="false">Inputs!$B$9-SUMIFS(Cash_Events!$G$6:$G$20,Cash_Events!$C$6:$C$20,"rAGMF",Cash_Events!$B$6:$B$20,"&lt;="&amp;A2108)</f>
        <v>735000</v>
      </c>
      <c r="E2108" s="38" t="n">
        <f aca="false">VLOOKUP(A2108,Inputs!$A$40:$B$48,2,TRUE())</f>
        <v>0.0363225</v>
      </c>
      <c r="F2108" s="38" t="n">
        <f aca="false">E2108+Inputs!$B$10</f>
        <v>0.1038225</v>
      </c>
      <c r="G2108" s="37" t="n">
        <f aca="false">D2108*F2108/C2108</f>
        <v>208.496004098361</v>
      </c>
      <c r="H2108" s="37" t="n">
        <f aca="false">IF(AND(A2108&gt;=Inputs!$B$13,OR(A2108&lt;Inputs!$B$19,Inputs!$B$20=1)),D2108*Inputs!$B$11/C2108,0)</f>
        <v>40.1639344262295</v>
      </c>
      <c r="I2108" s="37" t="n">
        <f aca="false">Inputs!$C$9-SUMIFS(Cash_Events!$G$6:$G$20,Cash_Events!$C$6:$C$20,"FHL",Cash_Events!$B$6:$B$20,"&lt;="&amp;A2108)</f>
        <v>735000</v>
      </c>
      <c r="J2108" s="38" t="n">
        <f aca="false">VLOOKUP(A2108,Inputs!$F$40:$G$48,2,TRUE())</f>
        <v>0.0364054</v>
      </c>
      <c r="K2108" s="38" t="n">
        <f aca="false">J2108+Inputs!$C$10</f>
        <v>0.1039054</v>
      </c>
      <c r="L2108" s="37" t="n">
        <f aca="false">I2108*K2108/C2108</f>
        <v>208.662483606557</v>
      </c>
      <c r="M2108" s="37" t="n">
        <f aca="false">IF(AND(A2108&gt;=Inputs!$C$13,OR(A2108&lt;Inputs!$B$19,Inputs!$B$20=1)),I2108*Inputs!$C$11/C2108,0)</f>
        <v>40.1639344262295</v>
      </c>
    </row>
    <row r="2109" customFormat="false" ht="15" hidden="false" customHeight="false" outlineLevel="0" collapsed="false">
      <c r="A2109" s="35" t="n">
        <f aca="false">A2108+1</f>
        <v>46916</v>
      </c>
      <c r="B2109" s="35" t="n">
        <f aca="false">EOMONTH(A2109+1,0)</f>
        <v>46934</v>
      </c>
      <c r="C2109" s="36" t="n">
        <f aca="false">IF(MOD(YEAR(A2109),4)=0,366,365)</f>
        <v>366</v>
      </c>
      <c r="D2109" s="37" t="n">
        <f aca="false">Inputs!$B$9-SUMIFS(Cash_Events!$G$6:$G$20,Cash_Events!$C$6:$C$20,"rAGMF",Cash_Events!$B$6:$B$20,"&lt;="&amp;A2109)</f>
        <v>735000</v>
      </c>
      <c r="E2109" s="38" t="n">
        <f aca="false">VLOOKUP(A2109,Inputs!$A$40:$B$48,2,TRUE())</f>
        <v>0.0363225</v>
      </c>
      <c r="F2109" s="38" t="n">
        <f aca="false">E2109+Inputs!$B$10</f>
        <v>0.1038225</v>
      </c>
      <c r="G2109" s="37" t="n">
        <f aca="false">D2109*F2109/C2109</f>
        <v>208.496004098361</v>
      </c>
      <c r="H2109" s="37" t="n">
        <f aca="false">IF(AND(A2109&gt;=Inputs!$B$13,OR(A2109&lt;Inputs!$B$19,Inputs!$B$20=1)),D2109*Inputs!$B$11/C2109,0)</f>
        <v>40.1639344262295</v>
      </c>
      <c r="I2109" s="37" t="n">
        <f aca="false">Inputs!$C$9-SUMIFS(Cash_Events!$G$6:$G$20,Cash_Events!$C$6:$C$20,"FHL",Cash_Events!$B$6:$B$20,"&lt;="&amp;A2109)</f>
        <v>735000</v>
      </c>
      <c r="J2109" s="38" t="n">
        <f aca="false">VLOOKUP(A2109,Inputs!$F$40:$G$48,2,TRUE())</f>
        <v>0.0364054</v>
      </c>
      <c r="K2109" s="38" t="n">
        <f aca="false">J2109+Inputs!$C$10</f>
        <v>0.1039054</v>
      </c>
      <c r="L2109" s="37" t="n">
        <f aca="false">I2109*K2109/C2109</f>
        <v>208.662483606557</v>
      </c>
      <c r="M2109" s="37" t="n">
        <f aca="false">IF(AND(A2109&gt;=Inputs!$C$13,OR(A2109&lt;Inputs!$B$19,Inputs!$B$20=1)),I2109*Inputs!$C$11/C2109,0)</f>
        <v>40.1639344262295</v>
      </c>
    </row>
    <row r="2110" customFormat="false" ht="15" hidden="false" customHeight="false" outlineLevel="0" collapsed="false">
      <c r="A2110" s="35" t="n">
        <f aca="false">A2109+1</f>
        <v>46917</v>
      </c>
      <c r="B2110" s="35" t="n">
        <f aca="false">EOMONTH(A2110+1,0)</f>
        <v>46934</v>
      </c>
      <c r="C2110" s="36" t="n">
        <f aca="false">IF(MOD(YEAR(A2110),4)=0,366,365)</f>
        <v>366</v>
      </c>
      <c r="D2110" s="37" t="n">
        <f aca="false">Inputs!$B$9-SUMIFS(Cash_Events!$G$6:$G$20,Cash_Events!$C$6:$C$20,"rAGMF",Cash_Events!$B$6:$B$20,"&lt;="&amp;A2110)</f>
        <v>735000</v>
      </c>
      <c r="E2110" s="38" t="n">
        <f aca="false">VLOOKUP(A2110,Inputs!$A$40:$B$48,2,TRUE())</f>
        <v>0.0363225</v>
      </c>
      <c r="F2110" s="38" t="n">
        <f aca="false">E2110+Inputs!$B$10</f>
        <v>0.1038225</v>
      </c>
      <c r="G2110" s="37" t="n">
        <f aca="false">D2110*F2110/C2110</f>
        <v>208.496004098361</v>
      </c>
      <c r="H2110" s="37" t="n">
        <f aca="false">IF(AND(A2110&gt;=Inputs!$B$13,OR(A2110&lt;Inputs!$B$19,Inputs!$B$20=1)),D2110*Inputs!$B$11/C2110,0)</f>
        <v>40.1639344262295</v>
      </c>
      <c r="I2110" s="37" t="n">
        <f aca="false">Inputs!$C$9-SUMIFS(Cash_Events!$G$6:$G$20,Cash_Events!$C$6:$C$20,"FHL",Cash_Events!$B$6:$B$20,"&lt;="&amp;A2110)</f>
        <v>735000</v>
      </c>
      <c r="J2110" s="38" t="n">
        <f aca="false">VLOOKUP(A2110,Inputs!$F$40:$G$48,2,TRUE())</f>
        <v>0.0364054</v>
      </c>
      <c r="K2110" s="38" t="n">
        <f aca="false">J2110+Inputs!$C$10</f>
        <v>0.1039054</v>
      </c>
      <c r="L2110" s="37" t="n">
        <f aca="false">I2110*K2110/C2110</f>
        <v>208.662483606557</v>
      </c>
      <c r="M2110" s="37" t="n">
        <f aca="false">IF(AND(A2110&gt;=Inputs!$C$13,OR(A2110&lt;Inputs!$B$19,Inputs!$B$20=1)),I2110*Inputs!$C$11/C2110,0)</f>
        <v>40.1639344262295</v>
      </c>
    </row>
    <row r="2111" customFormat="false" ht="15" hidden="false" customHeight="false" outlineLevel="0" collapsed="false">
      <c r="A2111" s="35" t="n">
        <f aca="false">A2110+1</f>
        <v>46918</v>
      </c>
      <c r="B2111" s="35" t="n">
        <f aca="false">EOMONTH(A2111+1,0)</f>
        <v>46934</v>
      </c>
      <c r="C2111" s="36" t="n">
        <f aca="false">IF(MOD(YEAR(A2111),4)=0,366,365)</f>
        <v>366</v>
      </c>
      <c r="D2111" s="37" t="n">
        <f aca="false">Inputs!$B$9-SUMIFS(Cash_Events!$G$6:$G$20,Cash_Events!$C$6:$C$20,"rAGMF",Cash_Events!$B$6:$B$20,"&lt;="&amp;A2111)</f>
        <v>735000</v>
      </c>
      <c r="E2111" s="38" t="n">
        <f aca="false">VLOOKUP(A2111,Inputs!$A$40:$B$48,2,TRUE())</f>
        <v>0.0363225</v>
      </c>
      <c r="F2111" s="38" t="n">
        <f aca="false">E2111+Inputs!$B$10</f>
        <v>0.1038225</v>
      </c>
      <c r="G2111" s="37" t="n">
        <f aca="false">D2111*F2111/C2111</f>
        <v>208.496004098361</v>
      </c>
      <c r="H2111" s="37" t="n">
        <f aca="false">IF(AND(A2111&gt;=Inputs!$B$13,OR(A2111&lt;Inputs!$B$19,Inputs!$B$20=1)),D2111*Inputs!$B$11/C2111,0)</f>
        <v>40.1639344262295</v>
      </c>
      <c r="I2111" s="37" t="n">
        <f aca="false">Inputs!$C$9-SUMIFS(Cash_Events!$G$6:$G$20,Cash_Events!$C$6:$C$20,"FHL",Cash_Events!$B$6:$B$20,"&lt;="&amp;A2111)</f>
        <v>735000</v>
      </c>
      <c r="J2111" s="38" t="n">
        <f aca="false">VLOOKUP(A2111,Inputs!$F$40:$G$48,2,TRUE())</f>
        <v>0.0364054</v>
      </c>
      <c r="K2111" s="38" t="n">
        <f aca="false">J2111+Inputs!$C$10</f>
        <v>0.1039054</v>
      </c>
      <c r="L2111" s="37" t="n">
        <f aca="false">I2111*K2111/C2111</f>
        <v>208.662483606557</v>
      </c>
      <c r="M2111" s="37" t="n">
        <f aca="false">IF(AND(A2111&gt;=Inputs!$C$13,OR(A2111&lt;Inputs!$B$19,Inputs!$B$20=1)),I2111*Inputs!$C$11/C2111,0)</f>
        <v>40.1639344262295</v>
      </c>
    </row>
    <row r="2112" customFormat="false" ht="15" hidden="false" customHeight="false" outlineLevel="0" collapsed="false">
      <c r="A2112" s="35" t="n">
        <f aca="false">A2111+1</f>
        <v>46919</v>
      </c>
      <c r="B2112" s="35" t="n">
        <f aca="false">EOMONTH(A2112+1,0)</f>
        <v>46934</v>
      </c>
      <c r="C2112" s="36" t="n">
        <f aca="false">IF(MOD(YEAR(A2112),4)=0,366,365)</f>
        <v>366</v>
      </c>
      <c r="D2112" s="37" t="n">
        <f aca="false">Inputs!$B$9-SUMIFS(Cash_Events!$G$6:$G$20,Cash_Events!$C$6:$C$20,"rAGMF",Cash_Events!$B$6:$B$20,"&lt;="&amp;A2112)</f>
        <v>735000</v>
      </c>
      <c r="E2112" s="38" t="n">
        <f aca="false">VLOOKUP(A2112,Inputs!$A$40:$B$48,2,TRUE())</f>
        <v>0.0363225</v>
      </c>
      <c r="F2112" s="38" t="n">
        <f aca="false">E2112+Inputs!$B$10</f>
        <v>0.1038225</v>
      </c>
      <c r="G2112" s="37" t="n">
        <f aca="false">D2112*F2112/C2112</f>
        <v>208.496004098361</v>
      </c>
      <c r="H2112" s="37" t="n">
        <f aca="false">IF(AND(A2112&gt;=Inputs!$B$13,OR(A2112&lt;Inputs!$B$19,Inputs!$B$20=1)),D2112*Inputs!$B$11/C2112,0)</f>
        <v>40.1639344262295</v>
      </c>
      <c r="I2112" s="37" t="n">
        <f aca="false">Inputs!$C$9-SUMIFS(Cash_Events!$G$6:$G$20,Cash_Events!$C$6:$C$20,"FHL",Cash_Events!$B$6:$B$20,"&lt;="&amp;A2112)</f>
        <v>735000</v>
      </c>
      <c r="J2112" s="38" t="n">
        <f aca="false">VLOOKUP(A2112,Inputs!$F$40:$G$48,2,TRUE())</f>
        <v>0.0364054</v>
      </c>
      <c r="K2112" s="38" t="n">
        <f aca="false">J2112+Inputs!$C$10</f>
        <v>0.1039054</v>
      </c>
      <c r="L2112" s="37" t="n">
        <f aca="false">I2112*K2112/C2112</f>
        <v>208.662483606557</v>
      </c>
      <c r="M2112" s="37" t="n">
        <f aca="false">IF(AND(A2112&gt;=Inputs!$C$13,OR(A2112&lt;Inputs!$B$19,Inputs!$B$20=1)),I2112*Inputs!$C$11/C2112,0)</f>
        <v>40.1639344262295</v>
      </c>
    </row>
    <row r="2113" customFormat="false" ht="15" hidden="false" customHeight="false" outlineLevel="0" collapsed="false">
      <c r="A2113" s="35" t="n">
        <f aca="false">A2112+1</f>
        <v>46920</v>
      </c>
      <c r="B2113" s="35" t="n">
        <f aca="false">EOMONTH(A2113+1,0)</f>
        <v>46934</v>
      </c>
      <c r="C2113" s="36" t="n">
        <f aca="false">IF(MOD(YEAR(A2113),4)=0,366,365)</f>
        <v>366</v>
      </c>
      <c r="D2113" s="37" t="n">
        <f aca="false">Inputs!$B$9-SUMIFS(Cash_Events!$G$6:$G$20,Cash_Events!$C$6:$C$20,"rAGMF",Cash_Events!$B$6:$B$20,"&lt;="&amp;A2113)</f>
        <v>735000</v>
      </c>
      <c r="E2113" s="38" t="n">
        <f aca="false">VLOOKUP(A2113,Inputs!$A$40:$B$48,2,TRUE())</f>
        <v>0.0363225</v>
      </c>
      <c r="F2113" s="38" t="n">
        <f aca="false">E2113+Inputs!$B$10</f>
        <v>0.1038225</v>
      </c>
      <c r="G2113" s="37" t="n">
        <f aca="false">D2113*F2113/C2113</f>
        <v>208.496004098361</v>
      </c>
      <c r="H2113" s="37" t="n">
        <f aca="false">IF(AND(A2113&gt;=Inputs!$B$13,OR(A2113&lt;Inputs!$B$19,Inputs!$B$20=1)),D2113*Inputs!$B$11/C2113,0)</f>
        <v>40.1639344262295</v>
      </c>
      <c r="I2113" s="37" t="n">
        <f aca="false">Inputs!$C$9-SUMIFS(Cash_Events!$G$6:$G$20,Cash_Events!$C$6:$C$20,"FHL",Cash_Events!$B$6:$B$20,"&lt;="&amp;A2113)</f>
        <v>735000</v>
      </c>
      <c r="J2113" s="38" t="n">
        <f aca="false">VLOOKUP(A2113,Inputs!$F$40:$G$48,2,TRUE())</f>
        <v>0.0364054</v>
      </c>
      <c r="K2113" s="38" t="n">
        <f aca="false">J2113+Inputs!$C$10</f>
        <v>0.1039054</v>
      </c>
      <c r="L2113" s="37" t="n">
        <f aca="false">I2113*K2113/C2113</f>
        <v>208.662483606557</v>
      </c>
      <c r="M2113" s="37" t="n">
        <f aca="false">IF(AND(A2113&gt;=Inputs!$C$13,OR(A2113&lt;Inputs!$B$19,Inputs!$B$20=1)),I2113*Inputs!$C$11/C2113,0)</f>
        <v>40.1639344262295</v>
      </c>
    </row>
    <row r="2114" customFormat="false" ht="15" hidden="false" customHeight="false" outlineLevel="0" collapsed="false">
      <c r="A2114" s="35" t="n">
        <f aca="false">A2113+1</f>
        <v>46921</v>
      </c>
      <c r="B2114" s="35" t="n">
        <f aca="false">EOMONTH(A2114+1,0)</f>
        <v>46934</v>
      </c>
      <c r="C2114" s="36" t="n">
        <f aca="false">IF(MOD(YEAR(A2114),4)=0,366,365)</f>
        <v>366</v>
      </c>
      <c r="D2114" s="37" t="n">
        <f aca="false">Inputs!$B$9-SUMIFS(Cash_Events!$G$6:$G$20,Cash_Events!$C$6:$C$20,"rAGMF",Cash_Events!$B$6:$B$20,"&lt;="&amp;A2114)</f>
        <v>735000</v>
      </c>
      <c r="E2114" s="38" t="n">
        <f aca="false">VLOOKUP(A2114,Inputs!$A$40:$B$48,2,TRUE())</f>
        <v>0.0363225</v>
      </c>
      <c r="F2114" s="38" t="n">
        <f aca="false">E2114+Inputs!$B$10</f>
        <v>0.1038225</v>
      </c>
      <c r="G2114" s="37" t="n">
        <f aca="false">D2114*F2114/C2114</f>
        <v>208.496004098361</v>
      </c>
      <c r="H2114" s="37" t="n">
        <f aca="false">IF(AND(A2114&gt;=Inputs!$B$13,OR(A2114&lt;Inputs!$B$19,Inputs!$B$20=1)),D2114*Inputs!$B$11/C2114,0)</f>
        <v>40.1639344262295</v>
      </c>
      <c r="I2114" s="37" t="n">
        <f aca="false">Inputs!$C$9-SUMIFS(Cash_Events!$G$6:$G$20,Cash_Events!$C$6:$C$20,"FHL",Cash_Events!$B$6:$B$20,"&lt;="&amp;A2114)</f>
        <v>735000</v>
      </c>
      <c r="J2114" s="38" t="n">
        <f aca="false">VLOOKUP(A2114,Inputs!$F$40:$G$48,2,TRUE())</f>
        <v>0.0364054</v>
      </c>
      <c r="K2114" s="38" t="n">
        <f aca="false">J2114+Inputs!$C$10</f>
        <v>0.1039054</v>
      </c>
      <c r="L2114" s="37" t="n">
        <f aca="false">I2114*K2114/C2114</f>
        <v>208.662483606557</v>
      </c>
      <c r="M2114" s="37" t="n">
        <f aca="false">IF(AND(A2114&gt;=Inputs!$C$13,OR(A2114&lt;Inputs!$B$19,Inputs!$B$20=1)),I2114*Inputs!$C$11/C2114,0)</f>
        <v>40.1639344262295</v>
      </c>
    </row>
    <row r="2115" customFormat="false" ht="15" hidden="false" customHeight="false" outlineLevel="0" collapsed="false">
      <c r="A2115" s="35" t="n">
        <f aca="false">A2114+1</f>
        <v>46922</v>
      </c>
      <c r="B2115" s="35" t="n">
        <f aca="false">EOMONTH(A2115+1,0)</f>
        <v>46934</v>
      </c>
      <c r="C2115" s="36" t="n">
        <f aca="false">IF(MOD(YEAR(A2115),4)=0,366,365)</f>
        <v>366</v>
      </c>
      <c r="D2115" s="37" t="n">
        <f aca="false">Inputs!$B$9-SUMIFS(Cash_Events!$G$6:$G$20,Cash_Events!$C$6:$C$20,"rAGMF",Cash_Events!$B$6:$B$20,"&lt;="&amp;A2115)</f>
        <v>735000</v>
      </c>
      <c r="E2115" s="38" t="n">
        <f aca="false">VLOOKUP(A2115,Inputs!$A$40:$B$48,2,TRUE())</f>
        <v>0.0363225</v>
      </c>
      <c r="F2115" s="38" t="n">
        <f aca="false">E2115+Inputs!$B$10</f>
        <v>0.1038225</v>
      </c>
      <c r="G2115" s="37" t="n">
        <f aca="false">D2115*F2115/C2115</f>
        <v>208.496004098361</v>
      </c>
      <c r="H2115" s="37" t="n">
        <f aca="false">IF(AND(A2115&gt;=Inputs!$B$13,OR(A2115&lt;Inputs!$B$19,Inputs!$B$20=1)),D2115*Inputs!$B$11/C2115,0)</f>
        <v>40.1639344262295</v>
      </c>
      <c r="I2115" s="37" t="n">
        <f aca="false">Inputs!$C$9-SUMIFS(Cash_Events!$G$6:$G$20,Cash_Events!$C$6:$C$20,"FHL",Cash_Events!$B$6:$B$20,"&lt;="&amp;A2115)</f>
        <v>735000</v>
      </c>
      <c r="J2115" s="38" t="n">
        <f aca="false">VLOOKUP(A2115,Inputs!$F$40:$G$48,2,TRUE())</f>
        <v>0.0364054</v>
      </c>
      <c r="K2115" s="38" t="n">
        <f aca="false">J2115+Inputs!$C$10</f>
        <v>0.1039054</v>
      </c>
      <c r="L2115" s="37" t="n">
        <f aca="false">I2115*K2115/C2115</f>
        <v>208.662483606557</v>
      </c>
      <c r="M2115" s="37" t="n">
        <f aca="false">IF(AND(A2115&gt;=Inputs!$C$13,OR(A2115&lt;Inputs!$B$19,Inputs!$B$20=1)),I2115*Inputs!$C$11/C2115,0)</f>
        <v>40.1639344262295</v>
      </c>
    </row>
    <row r="2116" customFormat="false" ht="15" hidden="false" customHeight="false" outlineLevel="0" collapsed="false">
      <c r="A2116" s="35" t="n">
        <f aca="false">A2115+1</f>
        <v>46923</v>
      </c>
      <c r="B2116" s="35" t="n">
        <f aca="false">EOMONTH(A2116+1,0)</f>
        <v>46934</v>
      </c>
      <c r="C2116" s="36" t="n">
        <f aca="false">IF(MOD(YEAR(A2116),4)=0,366,365)</f>
        <v>366</v>
      </c>
      <c r="D2116" s="37" t="n">
        <f aca="false">Inputs!$B$9-SUMIFS(Cash_Events!$G$6:$G$20,Cash_Events!$C$6:$C$20,"rAGMF",Cash_Events!$B$6:$B$20,"&lt;="&amp;A2116)</f>
        <v>735000</v>
      </c>
      <c r="E2116" s="38" t="n">
        <f aca="false">VLOOKUP(A2116,Inputs!$A$40:$B$48,2,TRUE())</f>
        <v>0.0363225</v>
      </c>
      <c r="F2116" s="38" t="n">
        <f aca="false">E2116+Inputs!$B$10</f>
        <v>0.1038225</v>
      </c>
      <c r="G2116" s="37" t="n">
        <f aca="false">D2116*F2116/C2116</f>
        <v>208.496004098361</v>
      </c>
      <c r="H2116" s="37" t="n">
        <f aca="false">IF(AND(A2116&gt;=Inputs!$B$13,OR(A2116&lt;Inputs!$B$19,Inputs!$B$20=1)),D2116*Inputs!$B$11/C2116,0)</f>
        <v>40.1639344262295</v>
      </c>
      <c r="I2116" s="37" t="n">
        <f aca="false">Inputs!$C$9-SUMIFS(Cash_Events!$G$6:$G$20,Cash_Events!$C$6:$C$20,"FHL",Cash_Events!$B$6:$B$20,"&lt;="&amp;A2116)</f>
        <v>735000</v>
      </c>
      <c r="J2116" s="38" t="n">
        <f aca="false">VLOOKUP(A2116,Inputs!$F$40:$G$48,2,TRUE())</f>
        <v>0.0364054</v>
      </c>
      <c r="K2116" s="38" t="n">
        <f aca="false">J2116+Inputs!$C$10</f>
        <v>0.1039054</v>
      </c>
      <c r="L2116" s="37" t="n">
        <f aca="false">I2116*K2116/C2116</f>
        <v>208.662483606557</v>
      </c>
      <c r="M2116" s="37" t="n">
        <f aca="false">IF(AND(A2116&gt;=Inputs!$C$13,OR(A2116&lt;Inputs!$B$19,Inputs!$B$20=1)),I2116*Inputs!$C$11/C2116,0)</f>
        <v>40.1639344262295</v>
      </c>
    </row>
    <row r="2117" customFormat="false" ht="15" hidden="false" customHeight="false" outlineLevel="0" collapsed="false">
      <c r="A2117" s="35" t="n">
        <f aca="false">A2116+1</f>
        <v>46924</v>
      </c>
      <c r="B2117" s="35" t="n">
        <f aca="false">EOMONTH(A2117+1,0)</f>
        <v>46934</v>
      </c>
      <c r="C2117" s="36" t="n">
        <f aca="false">IF(MOD(YEAR(A2117),4)=0,366,365)</f>
        <v>366</v>
      </c>
      <c r="D2117" s="37" t="n">
        <f aca="false">Inputs!$B$9-SUMIFS(Cash_Events!$G$6:$G$20,Cash_Events!$C$6:$C$20,"rAGMF",Cash_Events!$B$6:$B$20,"&lt;="&amp;A2117)</f>
        <v>735000</v>
      </c>
      <c r="E2117" s="38" t="n">
        <f aca="false">VLOOKUP(A2117,Inputs!$A$40:$B$48,2,TRUE())</f>
        <v>0.0363225</v>
      </c>
      <c r="F2117" s="38" t="n">
        <f aca="false">E2117+Inputs!$B$10</f>
        <v>0.1038225</v>
      </c>
      <c r="G2117" s="37" t="n">
        <f aca="false">D2117*F2117/C2117</f>
        <v>208.496004098361</v>
      </c>
      <c r="H2117" s="37" t="n">
        <f aca="false">IF(AND(A2117&gt;=Inputs!$B$13,OR(A2117&lt;Inputs!$B$19,Inputs!$B$20=1)),D2117*Inputs!$B$11/C2117,0)</f>
        <v>40.1639344262295</v>
      </c>
      <c r="I2117" s="37" t="n">
        <f aca="false">Inputs!$C$9-SUMIFS(Cash_Events!$G$6:$G$20,Cash_Events!$C$6:$C$20,"FHL",Cash_Events!$B$6:$B$20,"&lt;="&amp;A2117)</f>
        <v>735000</v>
      </c>
      <c r="J2117" s="38" t="n">
        <f aca="false">VLOOKUP(A2117,Inputs!$F$40:$G$48,2,TRUE())</f>
        <v>0.0364054</v>
      </c>
      <c r="K2117" s="38" t="n">
        <f aca="false">J2117+Inputs!$C$10</f>
        <v>0.1039054</v>
      </c>
      <c r="L2117" s="37" t="n">
        <f aca="false">I2117*K2117/C2117</f>
        <v>208.662483606557</v>
      </c>
      <c r="M2117" s="37" t="n">
        <f aca="false">IF(AND(A2117&gt;=Inputs!$C$13,OR(A2117&lt;Inputs!$B$19,Inputs!$B$20=1)),I2117*Inputs!$C$11/C2117,0)</f>
        <v>40.1639344262295</v>
      </c>
    </row>
    <row r="2118" customFormat="false" ht="15" hidden="false" customHeight="false" outlineLevel="0" collapsed="false">
      <c r="A2118" s="35" t="n">
        <f aca="false">A2117+1</f>
        <v>46925</v>
      </c>
      <c r="B2118" s="35" t="n">
        <f aca="false">EOMONTH(A2118+1,0)</f>
        <v>46934</v>
      </c>
      <c r="C2118" s="36" t="n">
        <f aca="false">IF(MOD(YEAR(A2118),4)=0,366,365)</f>
        <v>366</v>
      </c>
      <c r="D2118" s="37" t="n">
        <f aca="false">Inputs!$B$9-SUMIFS(Cash_Events!$G$6:$G$20,Cash_Events!$C$6:$C$20,"rAGMF",Cash_Events!$B$6:$B$20,"&lt;="&amp;A2118)</f>
        <v>735000</v>
      </c>
      <c r="E2118" s="38" t="n">
        <f aca="false">VLOOKUP(A2118,Inputs!$A$40:$B$48,2,TRUE())</f>
        <v>0.0363225</v>
      </c>
      <c r="F2118" s="38" t="n">
        <f aca="false">E2118+Inputs!$B$10</f>
        <v>0.1038225</v>
      </c>
      <c r="G2118" s="37" t="n">
        <f aca="false">D2118*F2118/C2118</f>
        <v>208.496004098361</v>
      </c>
      <c r="H2118" s="37" t="n">
        <f aca="false">IF(AND(A2118&gt;=Inputs!$B$13,OR(A2118&lt;Inputs!$B$19,Inputs!$B$20=1)),D2118*Inputs!$B$11/C2118,0)</f>
        <v>40.1639344262295</v>
      </c>
      <c r="I2118" s="37" t="n">
        <f aca="false">Inputs!$C$9-SUMIFS(Cash_Events!$G$6:$G$20,Cash_Events!$C$6:$C$20,"FHL",Cash_Events!$B$6:$B$20,"&lt;="&amp;A2118)</f>
        <v>735000</v>
      </c>
      <c r="J2118" s="38" t="n">
        <f aca="false">VLOOKUP(A2118,Inputs!$F$40:$G$48,2,TRUE())</f>
        <v>0.0364054</v>
      </c>
      <c r="K2118" s="38" t="n">
        <f aca="false">J2118+Inputs!$C$10</f>
        <v>0.1039054</v>
      </c>
      <c r="L2118" s="37" t="n">
        <f aca="false">I2118*K2118/C2118</f>
        <v>208.662483606557</v>
      </c>
      <c r="M2118" s="37" t="n">
        <f aca="false">IF(AND(A2118&gt;=Inputs!$C$13,OR(A2118&lt;Inputs!$B$19,Inputs!$B$20=1)),I2118*Inputs!$C$11/C2118,0)</f>
        <v>40.1639344262295</v>
      </c>
    </row>
    <row r="2119" customFormat="false" ht="15" hidden="false" customHeight="false" outlineLevel="0" collapsed="false">
      <c r="A2119" s="35" t="n">
        <f aca="false">A2118+1</f>
        <v>46926</v>
      </c>
      <c r="B2119" s="35" t="n">
        <f aca="false">EOMONTH(A2119+1,0)</f>
        <v>46934</v>
      </c>
      <c r="C2119" s="36" t="n">
        <f aca="false">IF(MOD(YEAR(A2119),4)=0,366,365)</f>
        <v>366</v>
      </c>
      <c r="D2119" s="37" t="n">
        <f aca="false">Inputs!$B$9-SUMIFS(Cash_Events!$G$6:$G$20,Cash_Events!$C$6:$C$20,"rAGMF",Cash_Events!$B$6:$B$20,"&lt;="&amp;A2119)</f>
        <v>735000</v>
      </c>
      <c r="E2119" s="38" t="n">
        <f aca="false">VLOOKUP(A2119,Inputs!$A$40:$B$48,2,TRUE())</f>
        <v>0.0363225</v>
      </c>
      <c r="F2119" s="38" t="n">
        <f aca="false">E2119+Inputs!$B$10</f>
        <v>0.1038225</v>
      </c>
      <c r="G2119" s="37" t="n">
        <f aca="false">D2119*F2119/C2119</f>
        <v>208.496004098361</v>
      </c>
      <c r="H2119" s="37" t="n">
        <f aca="false">IF(AND(A2119&gt;=Inputs!$B$13,OR(A2119&lt;Inputs!$B$19,Inputs!$B$20=1)),D2119*Inputs!$B$11/C2119,0)</f>
        <v>40.1639344262295</v>
      </c>
      <c r="I2119" s="37" t="n">
        <f aca="false">Inputs!$C$9-SUMIFS(Cash_Events!$G$6:$G$20,Cash_Events!$C$6:$C$20,"FHL",Cash_Events!$B$6:$B$20,"&lt;="&amp;A2119)</f>
        <v>735000</v>
      </c>
      <c r="J2119" s="38" t="n">
        <f aca="false">VLOOKUP(A2119,Inputs!$F$40:$G$48,2,TRUE())</f>
        <v>0.0364054</v>
      </c>
      <c r="K2119" s="38" t="n">
        <f aca="false">J2119+Inputs!$C$10</f>
        <v>0.1039054</v>
      </c>
      <c r="L2119" s="37" t="n">
        <f aca="false">I2119*K2119/C2119</f>
        <v>208.662483606557</v>
      </c>
      <c r="M2119" s="37" t="n">
        <f aca="false">IF(AND(A2119&gt;=Inputs!$C$13,OR(A2119&lt;Inputs!$B$19,Inputs!$B$20=1)),I2119*Inputs!$C$11/C2119,0)</f>
        <v>40.1639344262295</v>
      </c>
    </row>
    <row r="2120" customFormat="false" ht="15" hidden="false" customHeight="false" outlineLevel="0" collapsed="false">
      <c r="A2120" s="35" t="n">
        <f aca="false">A2119+1</f>
        <v>46927</v>
      </c>
      <c r="B2120" s="35" t="n">
        <f aca="false">EOMONTH(A2120+1,0)</f>
        <v>46934</v>
      </c>
      <c r="C2120" s="36" t="n">
        <f aca="false">IF(MOD(YEAR(A2120),4)=0,366,365)</f>
        <v>366</v>
      </c>
      <c r="D2120" s="37" t="n">
        <f aca="false">Inputs!$B$9-SUMIFS(Cash_Events!$G$6:$G$20,Cash_Events!$C$6:$C$20,"rAGMF",Cash_Events!$B$6:$B$20,"&lt;="&amp;A2120)</f>
        <v>735000</v>
      </c>
      <c r="E2120" s="38" t="n">
        <f aca="false">VLOOKUP(A2120,Inputs!$A$40:$B$48,2,TRUE())</f>
        <v>0.0363225</v>
      </c>
      <c r="F2120" s="38" t="n">
        <f aca="false">E2120+Inputs!$B$10</f>
        <v>0.1038225</v>
      </c>
      <c r="G2120" s="37" t="n">
        <f aca="false">D2120*F2120/C2120</f>
        <v>208.496004098361</v>
      </c>
      <c r="H2120" s="37" t="n">
        <f aca="false">IF(AND(A2120&gt;=Inputs!$B$13,OR(A2120&lt;Inputs!$B$19,Inputs!$B$20=1)),D2120*Inputs!$B$11/C2120,0)</f>
        <v>40.1639344262295</v>
      </c>
      <c r="I2120" s="37" t="n">
        <f aca="false">Inputs!$C$9-SUMIFS(Cash_Events!$G$6:$G$20,Cash_Events!$C$6:$C$20,"FHL",Cash_Events!$B$6:$B$20,"&lt;="&amp;A2120)</f>
        <v>735000</v>
      </c>
      <c r="J2120" s="38" t="n">
        <f aca="false">VLOOKUP(A2120,Inputs!$F$40:$G$48,2,TRUE())</f>
        <v>0.0364054</v>
      </c>
      <c r="K2120" s="38" t="n">
        <f aca="false">J2120+Inputs!$C$10</f>
        <v>0.1039054</v>
      </c>
      <c r="L2120" s="37" t="n">
        <f aca="false">I2120*K2120/C2120</f>
        <v>208.662483606557</v>
      </c>
      <c r="M2120" s="37" t="n">
        <f aca="false">IF(AND(A2120&gt;=Inputs!$C$13,OR(A2120&lt;Inputs!$B$19,Inputs!$B$20=1)),I2120*Inputs!$C$11/C2120,0)</f>
        <v>40.1639344262295</v>
      </c>
    </row>
    <row r="2121" customFormat="false" ht="15" hidden="false" customHeight="false" outlineLevel="0" collapsed="false">
      <c r="A2121" s="35" t="n">
        <f aca="false">A2120+1</f>
        <v>46928</v>
      </c>
      <c r="B2121" s="35" t="n">
        <f aca="false">EOMONTH(A2121+1,0)</f>
        <v>46934</v>
      </c>
      <c r="C2121" s="36" t="n">
        <f aca="false">IF(MOD(YEAR(A2121),4)=0,366,365)</f>
        <v>366</v>
      </c>
      <c r="D2121" s="37" t="n">
        <f aca="false">Inputs!$B$9-SUMIFS(Cash_Events!$G$6:$G$20,Cash_Events!$C$6:$C$20,"rAGMF",Cash_Events!$B$6:$B$20,"&lt;="&amp;A2121)</f>
        <v>735000</v>
      </c>
      <c r="E2121" s="38" t="n">
        <f aca="false">VLOOKUP(A2121,Inputs!$A$40:$B$48,2,TRUE())</f>
        <v>0.0363225</v>
      </c>
      <c r="F2121" s="38" t="n">
        <f aca="false">E2121+Inputs!$B$10</f>
        <v>0.1038225</v>
      </c>
      <c r="G2121" s="37" t="n">
        <f aca="false">D2121*F2121/C2121</f>
        <v>208.496004098361</v>
      </c>
      <c r="H2121" s="37" t="n">
        <f aca="false">IF(AND(A2121&gt;=Inputs!$B$13,OR(A2121&lt;Inputs!$B$19,Inputs!$B$20=1)),D2121*Inputs!$B$11/C2121,0)</f>
        <v>40.1639344262295</v>
      </c>
      <c r="I2121" s="37" t="n">
        <f aca="false">Inputs!$C$9-SUMIFS(Cash_Events!$G$6:$G$20,Cash_Events!$C$6:$C$20,"FHL",Cash_Events!$B$6:$B$20,"&lt;="&amp;A2121)</f>
        <v>735000</v>
      </c>
      <c r="J2121" s="38" t="n">
        <f aca="false">VLOOKUP(A2121,Inputs!$F$40:$G$48,2,TRUE())</f>
        <v>0.0364054</v>
      </c>
      <c r="K2121" s="38" t="n">
        <f aca="false">J2121+Inputs!$C$10</f>
        <v>0.1039054</v>
      </c>
      <c r="L2121" s="37" t="n">
        <f aca="false">I2121*K2121/C2121</f>
        <v>208.662483606557</v>
      </c>
      <c r="M2121" s="37" t="n">
        <f aca="false">IF(AND(A2121&gt;=Inputs!$C$13,OR(A2121&lt;Inputs!$B$19,Inputs!$B$20=1)),I2121*Inputs!$C$11/C2121,0)</f>
        <v>40.1639344262295</v>
      </c>
    </row>
    <row r="2122" customFormat="false" ht="15" hidden="false" customHeight="false" outlineLevel="0" collapsed="false">
      <c r="A2122" s="35" t="n">
        <f aca="false">A2121+1</f>
        <v>46929</v>
      </c>
      <c r="B2122" s="35" t="n">
        <f aca="false">EOMONTH(A2122+1,0)</f>
        <v>46934</v>
      </c>
      <c r="C2122" s="36" t="n">
        <f aca="false">IF(MOD(YEAR(A2122),4)=0,366,365)</f>
        <v>366</v>
      </c>
      <c r="D2122" s="37" t="n">
        <f aca="false">Inputs!$B$9-SUMIFS(Cash_Events!$G$6:$G$20,Cash_Events!$C$6:$C$20,"rAGMF",Cash_Events!$B$6:$B$20,"&lt;="&amp;A2122)</f>
        <v>735000</v>
      </c>
      <c r="E2122" s="38" t="n">
        <f aca="false">VLOOKUP(A2122,Inputs!$A$40:$B$48,2,TRUE())</f>
        <v>0.0363225</v>
      </c>
      <c r="F2122" s="38" t="n">
        <f aca="false">E2122+Inputs!$B$10</f>
        <v>0.1038225</v>
      </c>
      <c r="G2122" s="37" t="n">
        <f aca="false">D2122*F2122/C2122</f>
        <v>208.496004098361</v>
      </c>
      <c r="H2122" s="37" t="n">
        <f aca="false">IF(AND(A2122&gt;=Inputs!$B$13,OR(A2122&lt;Inputs!$B$19,Inputs!$B$20=1)),D2122*Inputs!$B$11/C2122,0)</f>
        <v>40.1639344262295</v>
      </c>
      <c r="I2122" s="37" t="n">
        <f aca="false">Inputs!$C$9-SUMIFS(Cash_Events!$G$6:$G$20,Cash_Events!$C$6:$C$20,"FHL",Cash_Events!$B$6:$B$20,"&lt;="&amp;A2122)</f>
        <v>735000</v>
      </c>
      <c r="J2122" s="38" t="n">
        <f aca="false">VLOOKUP(A2122,Inputs!$F$40:$G$48,2,TRUE())</f>
        <v>0.0364054</v>
      </c>
      <c r="K2122" s="38" t="n">
        <f aca="false">J2122+Inputs!$C$10</f>
        <v>0.1039054</v>
      </c>
      <c r="L2122" s="37" t="n">
        <f aca="false">I2122*K2122/C2122</f>
        <v>208.662483606557</v>
      </c>
      <c r="M2122" s="37" t="n">
        <f aca="false">IF(AND(A2122&gt;=Inputs!$C$13,OR(A2122&lt;Inputs!$B$19,Inputs!$B$20=1)),I2122*Inputs!$C$11/C2122,0)</f>
        <v>40.1639344262295</v>
      </c>
    </row>
    <row r="2123" customFormat="false" ht="15" hidden="false" customHeight="false" outlineLevel="0" collapsed="false">
      <c r="A2123" s="35" t="n">
        <f aca="false">A2122+1</f>
        <v>46930</v>
      </c>
      <c r="B2123" s="35" t="n">
        <f aca="false">EOMONTH(A2123+1,0)</f>
        <v>46934</v>
      </c>
      <c r="C2123" s="36" t="n">
        <f aca="false">IF(MOD(YEAR(A2123),4)=0,366,365)</f>
        <v>366</v>
      </c>
      <c r="D2123" s="37" t="n">
        <f aca="false">Inputs!$B$9-SUMIFS(Cash_Events!$G$6:$G$20,Cash_Events!$C$6:$C$20,"rAGMF",Cash_Events!$B$6:$B$20,"&lt;="&amp;A2123)</f>
        <v>735000</v>
      </c>
      <c r="E2123" s="38" t="n">
        <f aca="false">VLOOKUP(A2123,Inputs!$A$40:$B$48,2,TRUE())</f>
        <v>0.0363225</v>
      </c>
      <c r="F2123" s="38" t="n">
        <f aca="false">E2123+Inputs!$B$10</f>
        <v>0.1038225</v>
      </c>
      <c r="G2123" s="37" t="n">
        <f aca="false">D2123*F2123/C2123</f>
        <v>208.496004098361</v>
      </c>
      <c r="H2123" s="37" t="n">
        <f aca="false">IF(AND(A2123&gt;=Inputs!$B$13,OR(A2123&lt;Inputs!$B$19,Inputs!$B$20=1)),D2123*Inputs!$B$11/C2123,0)</f>
        <v>40.1639344262295</v>
      </c>
      <c r="I2123" s="37" t="n">
        <f aca="false">Inputs!$C$9-SUMIFS(Cash_Events!$G$6:$G$20,Cash_Events!$C$6:$C$20,"FHL",Cash_Events!$B$6:$B$20,"&lt;="&amp;A2123)</f>
        <v>735000</v>
      </c>
      <c r="J2123" s="38" t="n">
        <f aca="false">VLOOKUP(A2123,Inputs!$F$40:$G$48,2,TRUE())</f>
        <v>0.0364054</v>
      </c>
      <c r="K2123" s="38" t="n">
        <f aca="false">J2123+Inputs!$C$10</f>
        <v>0.1039054</v>
      </c>
      <c r="L2123" s="37" t="n">
        <f aca="false">I2123*K2123/C2123</f>
        <v>208.662483606557</v>
      </c>
      <c r="M2123" s="37" t="n">
        <f aca="false">IF(AND(A2123&gt;=Inputs!$C$13,OR(A2123&lt;Inputs!$B$19,Inputs!$B$20=1)),I2123*Inputs!$C$11/C2123,0)</f>
        <v>40.1639344262295</v>
      </c>
    </row>
    <row r="2124" customFormat="false" ht="15" hidden="false" customHeight="false" outlineLevel="0" collapsed="false">
      <c r="A2124" s="35" t="n">
        <f aca="false">A2123+1</f>
        <v>46931</v>
      </c>
      <c r="B2124" s="35" t="n">
        <f aca="false">EOMONTH(A2124+1,0)</f>
        <v>46934</v>
      </c>
      <c r="C2124" s="36" t="n">
        <f aca="false">IF(MOD(YEAR(A2124),4)=0,366,365)</f>
        <v>366</v>
      </c>
      <c r="D2124" s="37" t="n">
        <f aca="false">Inputs!$B$9-SUMIFS(Cash_Events!$G$6:$G$20,Cash_Events!$C$6:$C$20,"rAGMF",Cash_Events!$B$6:$B$20,"&lt;="&amp;A2124)</f>
        <v>735000</v>
      </c>
      <c r="E2124" s="38" t="n">
        <f aca="false">VLOOKUP(A2124,Inputs!$A$40:$B$48,2,TRUE())</f>
        <v>0.0363225</v>
      </c>
      <c r="F2124" s="38" t="n">
        <f aca="false">E2124+Inputs!$B$10</f>
        <v>0.1038225</v>
      </c>
      <c r="G2124" s="37" t="n">
        <f aca="false">D2124*F2124/C2124</f>
        <v>208.496004098361</v>
      </c>
      <c r="H2124" s="37" t="n">
        <f aca="false">IF(AND(A2124&gt;=Inputs!$B$13,OR(A2124&lt;Inputs!$B$19,Inputs!$B$20=1)),D2124*Inputs!$B$11/C2124,0)</f>
        <v>40.1639344262295</v>
      </c>
      <c r="I2124" s="37" t="n">
        <f aca="false">Inputs!$C$9-SUMIFS(Cash_Events!$G$6:$G$20,Cash_Events!$C$6:$C$20,"FHL",Cash_Events!$B$6:$B$20,"&lt;="&amp;A2124)</f>
        <v>735000</v>
      </c>
      <c r="J2124" s="38" t="n">
        <f aca="false">VLOOKUP(A2124,Inputs!$F$40:$G$48,2,TRUE())</f>
        <v>0.0364054</v>
      </c>
      <c r="K2124" s="38" t="n">
        <f aca="false">J2124+Inputs!$C$10</f>
        <v>0.1039054</v>
      </c>
      <c r="L2124" s="37" t="n">
        <f aca="false">I2124*K2124/C2124</f>
        <v>208.662483606557</v>
      </c>
      <c r="M2124" s="37" t="n">
        <f aca="false">IF(AND(A2124&gt;=Inputs!$C$13,OR(A2124&lt;Inputs!$B$19,Inputs!$B$20=1)),I2124*Inputs!$C$11/C2124,0)</f>
        <v>40.1639344262295</v>
      </c>
    </row>
    <row r="2125" customFormat="false" ht="15" hidden="false" customHeight="false" outlineLevel="0" collapsed="false">
      <c r="A2125" s="35" t="n">
        <f aca="false">A2124+1</f>
        <v>46932</v>
      </c>
      <c r="B2125" s="35" t="n">
        <f aca="false">EOMONTH(A2125+1,0)</f>
        <v>46934</v>
      </c>
      <c r="C2125" s="36" t="n">
        <f aca="false">IF(MOD(YEAR(A2125),4)=0,366,365)</f>
        <v>366</v>
      </c>
      <c r="D2125" s="37" t="n">
        <f aca="false">Inputs!$B$9-SUMIFS(Cash_Events!$G$6:$G$20,Cash_Events!$C$6:$C$20,"rAGMF",Cash_Events!$B$6:$B$20,"&lt;="&amp;A2125)</f>
        <v>735000</v>
      </c>
      <c r="E2125" s="38" t="n">
        <f aca="false">VLOOKUP(A2125,Inputs!$A$40:$B$48,2,TRUE())</f>
        <v>0.0363225</v>
      </c>
      <c r="F2125" s="38" t="n">
        <f aca="false">E2125+Inputs!$B$10</f>
        <v>0.1038225</v>
      </c>
      <c r="G2125" s="37" t="n">
        <f aca="false">D2125*F2125/C2125</f>
        <v>208.496004098361</v>
      </c>
      <c r="H2125" s="37" t="n">
        <f aca="false">IF(AND(A2125&gt;=Inputs!$B$13,OR(A2125&lt;Inputs!$B$19,Inputs!$B$20=1)),D2125*Inputs!$B$11/C2125,0)</f>
        <v>40.1639344262295</v>
      </c>
      <c r="I2125" s="37" t="n">
        <f aca="false">Inputs!$C$9-SUMIFS(Cash_Events!$G$6:$G$20,Cash_Events!$C$6:$C$20,"FHL",Cash_Events!$B$6:$B$20,"&lt;="&amp;A2125)</f>
        <v>735000</v>
      </c>
      <c r="J2125" s="38" t="n">
        <f aca="false">VLOOKUP(A2125,Inputs!$F$40:$G$48,2,TRUE())</f>
        <v>0.0364054</v>
      </c>
      <c r="K2125" s="38" t="n">
        <f aca="false">J2125+Inputs!$C$10</f>
        <v>0.1039054</v>
      </c>
      <c r="L2125" s="37" t="n">
        <f aca="false">I2125*K2125/C2125</f>
        <v>208.662483606557</v>
      </c>
      <c r="M2125" s="37" t="n">
        <f aca="false">IF(AND(A2125&gt;=Inputs!$C$13,OR(A2125&lt;Inputs!$B$19,Inputs!$B$20=1)),I2125*Inputs!$C$11/C2125,0)</f>
        <v>40.1639344262295</v>
      </c>
    </row>
    <row r="2126" customFormat="false" ht="15" hidden="false" customHeight="false" outlineLevel="0" collapsed="false">
      <c r="A2126" s="35" t="n">
        <f aca="false">A2125+1</f>
        <v>46933</v>
      </c>
      <c r="B2126" s="35" t="n">
        <f aca="false">EOMONTH(A2126+1,0)</f>
        <v>46934</v>
      </c>
      <c r="C2126" s="36" t="n">
        <f aca="false">IF(MOD(YEAR(A2126),4)=0,366,365)</f>
        <v>366</v>
      </c>
      <c r="D2126" s="37" t="n">
        <f aca="false">Inputs!$B$9-SUMIFS(Cash_Events!$G$6:$G$20,Cash_Events!$C$6:$C$20,"rAGMF",Cash_Events!$B$6:$B$20,"&lt;="&amp;A2126)</f>
        <v>735000</v>
      </c>
      <c r="E2126" s="38" t="n">
        <f aca="false">VLOOKUP(A2126,Inputs!$A$40:$B$48,2,TRUE())</f>
        <v>0.0363225</v>
      </c>
      <c r="F2126" s="38" t="n">
        <f aca="false">E2126+Inputs!$B$10</f>
        <v>0.1038225</v>
      </c>
      <c r="G2126" s="37" t="n">
        <f aca="false">D2126*F2126/C2126</f>
        <v>208.496004098361</v>
      </c>
      <c r="H2126" s="37" t="n">
        <f aca="false">IF(AND(A2126&gt;=Inputs!$B$13,OR(A2126&lt;Inputs!$B$19,Inputs!$B$20=1)),D2126*Inputs!$B$11/C2126,0)</f>
        <v>40.1639344262295</v>
      </c>
      <c r="I2126" s="37" t="n">
        <f aca="false">Inputs!$C$9-SUMIFS(Cash_Events!$G$6:$G$20,Cash_Events!$C$6:$C$20,"FHL",Cash_Events!$B$6:$B$20,"&lt;="&amp;A2126)</f>
        <v>735000</v>
      </c>
      <c r="J2126" s="38" t="n">
        <f aca="false">VLOOKUP(A2126,Inputs!$F$40:$G$48,2,TRUE())</f>
        <v>0.0364054</v>
      </c>
      <c r="K2126" s="38" t="n">
        <f aca="false">J2126+Inputs!$C$10</f>
        <v>0.1039054</v>
      </c>
      <c r="L2126" s="37" t="n">
        <f aca="false">I2126*K2126/C2126</f>
        <v>208.662483606557</v>
      </c>
      <c r="M2126" s="37" t="n">
        <f aca="false">IF(AND(A2126&gt;=Inputs!$C$13,OR(A2126&lt;Inputs!$B$19,Inputs!$B$20=1)),I2126*Inputs!$C$11/C2126,0)</f>
        <v>40.1639344262295</v>
      </c>
    </row>
    <row r="2127" customFormat="false" ht="15" hidden="false" customHeight="false" outlineLevel="0" collapsed="false">
      <c r="A2127" s="35" t="n">
        <f aca="false">A2126+1</f>
        <v>46934</v>
      </c>
      <c r="B2127" s="35" t="n">
        <f aca="false">EOMONTH(A2127+1,0)</f>
        <v>46965</v>
      </c>
      <c r="C2127" s="36" t="n">
        <f aca="false">IF(MOD(YEAR(A2127),4)=0,366,365)</f>
        <v>366</v>
      </c>
      <c r="D2127" s="37" t="n">
        <f aca="false">Inputs!$B$9-SUMIFS(Cash_Events!$G$6:$G$20,Cash_Events!$C$6:$C$20,"rAGMF",Cash_Events!$B$6:$B$20,"&lt;="&amp;A2127)</f>
        <v>735000</v>
      </c>
      <c r="E2127" s="38" t="n">
        <f aca="false">VLOOKUP(A2127,Inputs!$A$40:$B$48,2,TRUE())</f>
        <v>0.0363225</v>
      </c>
      <c r="F2127" s="38" t="n">
        <f aca="false">E2127+Inputs!$B$10</f>
        <v>0.1038225</v>
      </c>
      <c r="G2127" s="37" t="n">
        <f aca="false">D2127*F2127/C2127</f>
        <v>208.496004098361</v>
      </c>
      <c r="H2127" s="37" t="n">
        <f aca="false">IF(AND(A2127&gt;=Inputs!$B$13,OR(A2127&lt;Inputs!$B$19,Inputs!$B$20=1)),D2127*Inputs!$B$11/C2127,0)</f>
        <v>40.1639344262295</v>
      </c>
      <c r="I2127" s="37" t="n">
        <f aca="false">Inputs!$C$9-SUMIFS(Cash_Events!$G$6:$G$20,Cash_Events!$C$6:$C$20,"FHL",Cash_Events!$B$6:$B$20,"&lt;="&amp;A2127)</f>
        <v>735000</v>
      </c>
      <c r="J2127" s="38" t="n">
        <f aca="false">VLOOKUP(A2127,Inputs!$F$40:$G$48,2,TRUE())</f>
        <v>0.0364054</v>
      </c>
      <c r="K2127" s="38" t="n">
        <f aca="false">J2127+Inputs!$C$10</f>
        <v>0.1039054</v>
      </c>
      <c r="L2127" s="37" t="n">
        <f aca="false">I2127*K2127/C2127</f>
        <v>208.662483606557</v>
      </c>
      <c r="M2127" s="37" t="n">
        <f aca="false">IF(AND(A2127&gt;=Inputs!$C$13,OR(A2127&lt;Inputs!$B$19,Inputs!$B$20=1)),I2127*Inputs!$C$11/C2127,0)</f>
        <v>40.1639344262295</v>
      </c>
    </row>
    <row r="2128" customFormat="false" ht="15" hidden="false" customHeight="false" outlineLevel="0" collapsed="false">
      <c r="A2128" s="35" t="n">
        <f aca="false">A2127+1</f>
        <v>46935</v>
      </c>
      <c r="B2128" s="35" t="n">
        <f aca="false">EOMONTH(A2128+1,0)</f>
        <v>46965</v>
      </c>
      <c r="C2128" s="36" t="n">
        <f aca="false">IF(MOD(YEAR(A2128),4)=0,366,365)</f>
        <v>366</v>
      </c>
      <c r="D2128" s="37" t="n">
        <f aca="false">Inputs!$B$9-SUMIFS(Cash_Events!$G$6:$G$20,Cash_Events!$C$6:$C$20,"rAGMF",Cash_Events!$B$6:$B$20,"&lt;="&amp;A2128)</f>
        <v>735000</v>
      </c>
      <c r="E2128" s="38" t="n">
        <f aca="false">VLOOKUP(A2128,Inputs!$A$40:$B$48,2,TRUE())</f>
        <v>0.0363225</v>
      </c>
      <c r="F2128" s="38" t="n">
        <f aca="false">E2128+Inputs!$B$10</f>
        <v>0.1038225</v>
      </c>
      <c r="G2128" s="37" t="n">
        <f aca="false">D2128*F2128/C2128</f>
        <v>208.496004098361</v>
      </c>
      <c r="H2128" s="37" t="n">
        <f aca="false">IF(AND(A2128&gt;=Inputs!$B$13,OR(A2128&lt;Inputs!$B$19,Inputs!$B$20=1)),D2128*Inputs!$B$11/C2128,0)</f>
        <v>40.1639344262295</v>
      </c>
      <c r="I2128" s="37" t="n">
        <f aca="false">Inputs!$C$9-SUMIFS(Cash_Events!$G$6:$G$20,Cash_Events!$C$6:$C$20,"FHL",Cash_Events!$B$6:$B$20,"&lt;="&amp;A2128)</f>
        <v>735000</v>
      </c>
      <c r="J2128" s="38" t="n">
        <f aca="false">VLOOKUP(A2128,Inputs!$F$40:$G$48,2,TRUE())</f>
        <v>0.0364054</v>
      </c>
      <c r="K2128" s="38" t="n">
        <f aca="false">J2128+Inputs!$C$10</f>
        <v>0.1039054</v>
      </c>
      <c r="L2128" s="37" t="n">
        <f aca="false">I2128*K2128/C2128</f>
        <v>208.662483606557</v>
      </c>
      <c r="M2128" s="37" t="n">
        <f aca="false">IF(AND(A2128&gt;=Inputs!$C$13,OR(A2128&lt;Inputs!$B$19,Inputs!$B$20=1)),I2128*Inputs!$C$11/C2128,0)</f>
        <v>40.1639344262295</v>
      </c>
    </row>
    <row r="2129" customFormat="false" ht="15" hidden="false" customHeight="false" outlineLevel="0" collapsed="false">
      <c r="A2129" s="35" t="n">
        <f aca="false">A2128+1</f>
        <v>46936</v>
      </c>
      <c r="B2129" s="35" t="n">
        <f aca="false">EOMONTH(A2129+1,0)</f>
        <v>46965</v>
      </c>
      <c r="C2129" s="36" t="n">
        <f aca="false">IF(MOD(YEAR(A2129),4)=0,366,365)</f>
        <v>366</v>
      </c>
      <c r="D2129" s="37" t="n">
        <f aca="false">Inputs!$B$9-SUMIFS(Cash_Events!$G$6:$G$20,Cash_Events!$C$6:$C$20,"rAGMF",Cash_Events!$B$6:$B$20,"&lt;="&amp;A2129)</f>
        <v>735000</v>
      </c>
      <c r="E2129" s="38" t="n">
        <f aca="false">VLOOKUP(A2129,Inputs!$A$40:$B$48,2,TRUE())</f>
        <v>0.0363225</v>
      </c>
      <c r="F2129" s="38" t="n">
        <f aca="false">E2129+Inputs!$B$10</f>
        <v>0.1038225</v>
      </c>
      <c r="G2129" s="37" t="n">
        <f aca="false">D2129*F2129/C2129</f>
        <v>208.496004098361</v>
      </c>
      <c r="H2129" s="37" t="n">
        <f aca="false">IF(AND(A2129&gt;=Inputs!$B$13,OR(A2129&lt;Inputs!$B$19,Inputs!$B$20=1)),D2129*Inputs!$B$11/C2129,0)</f>
        <v>40.1639344262295</v>
      </c>
      <c r="I2129" s="37" t="n">
        <f aca="false">Inputs!$C$9-SUMIFS(Cash_Events!$G$6:$G$20,Cash_Events!$C$6:$C$20,"FHL",Cash_Events!$B$6:$B$20,"&lt;="&amp;A2129)</f>
        <v>735000</v>
      </c>
      <c r="J2129" s="38" t="n">
        <f aca="false">VLOOKUP(A2129,Inputs!$F$40:$G$48,2,TRUE())</f>
        <v>0.0364054</v>
      </c>
      <c r="K2129" s="38" t="n">
        <f aca="false">J2129+Inputs!$C$10</f>
        <v>0.1039054</v>
      </c>
      <c r="L2129" s="37" t="n">
        <f aca="false">I2129*K2129/C2129</f>
        <v>208.662483606557</v>
      </c>
      <c r="M2129" s="37" t="n">
        <f aca="false">IF(AND(A2129&gt;=Inputs!$C$13,OR(A2129&lt;Inputs!$B$19,Inputs!$B$20=1)),I2129*Inputs!$C$11/C2129,0)</f>
        <v>40.1639344262295</v>
      </c>
    </row>
    <row r="2130" customFormat="false" ht="15" hidden="false" customHeight="false" outlineLevel="0" collapsed="false">
      <c r="A2130" s="35" t="n">
        <f aca="false">A2129+1</f>
        <v>46937</v>
      </c>
      <c r="B2130" s="35" t="n">
        <f aca="false">EOMONTH(A2130+1,0)</f>
        <v>46965</v>
      </c>
      <c r="C2130" s="36" t="n">
        <f aca="false">IF(MOD(YEAR(A2130),4)=0,366,365)</f>
        <v>366</v>
      </c>
      <c r="D2130" s="37" t="n">
        <f aca="false">Inputs!$B$9-SUMIFS(Cash_Events!$G$6:$G$20,Cash_Events!$C$6:$C$20,"rAGMF",Cash_Events!$B$6:$B$20,"&lt;="&amp;A2130)</f>
        <v>735000</v>
      </c>
      <c r="E2130" s="38" t="n">
        <f aca="false">VLOOKUP(A2130,Inputs!$A$40:$B$48,2,TRUE())</f>
        <v>0.0363225</v>
      </c>
      <c r="F2130" s="38" t="n">
        <f aca="false">E2130+Inputs!$B$10</f>
        <v>0.1038225</v>
      </c>
      <c r="G2130" s="37" t="n">
        <f aca="false">D2130*F2130/C2130</f>
        <v>208.496004098361</v>
      </c>
      <c r="H2130" s="37" t="n">
        <f aca="false">IF(AND(A2130&gt;=Inputs!$B$13,OR(A2130&lt;Inputs!$B$19,Inputs!$B$20=1)),D2130*Inputs!$B$11/C2130,0)</f>
        <v>40.1639344262295</v>
      </c>
      <c r="I2130" s="37" t="n">
        <f aca="false">Inputs!$C$9-SUMIFS(Cash_Events!$G$6:$G$20,Cash_Events!$C$6:$C$20,"FHL",Cash_Events!$B$6:$B$20,"&lt;="&amp;A2130)</f>
        <v>735000</v>
      </c>
      <c r="J2130" s="38" t="n">
        <f aca="false">VLOOKUP(A2130,Inputs!$F$40:$G$48,2,TRUE())</f>
        <v>0.0364054</v>
      </c>
      <c r="K2130" s="38" t="n">
        <f aca="false">J2130+Inputs!$C$10</f>
        <v>0.1039054</v>
      </c>
      <c r="L2130" s="37" t="n">
        <f aca="false">I2130*K2130/C2130</f>
        <v>208.662483606557</v>
      </c>
      <c r="M2130" s="37" t="n">
        <f aca="false">IF(AND(A2130&gt;=Inputs!$C$13,OR(A2130&lt;Inputs!$B$19,Inputs!$B$20=1)),I2130*Inputs!$C$11/C2130,0)</f>
        <v>40.1639344262295</v>
      </c>
    </row>
    <row r="2131" customFormat="false" ht="15" hidden="false" customHeight="false" outlineLevel="0" collapsed="false">
      <c r="A2131" s="35" t="n">
        <f aca="false">A2130+1</f>
        <v>46938</v>
      </c>
      <c r="B2131" s="35" t="n">
        <f aca="false">EOMONTH(A2131+1,0)</f>
        <v>46965</v>
      </c>
      <c r="C2131" s="36" t="n">
        <f aca="false">IF(MOD(YEAR(A2131),4)=0,366,365)</f>
        <v>366</v>
      </c>
      <c r="D2131" s="37" t="n">
        <f aca="false">Inputs!$B$9-SUMIFS(Cash_Events!$G$6:$G$20,Cash_Events!$C$6:$C$20,"rAGMF",Cash_Events!$B$6:$B$20,"&lt;="&amp;A2131)</f>
        <v>735000</v>
      </c>
      <c r="E2131" s="38" t="n">
        <f aca="false">VLOOKUP(A2131,Inputs!$A$40:$B$48,2,TRUE())</f>
        <v>0.0363225</v>
      </c>
      <c r="F2131" s="38" t="n">
        <f aca="false">E2131+Inputs!$B$10</f>
        <v>0.1038225</v>
      </c>
      <c r="G2131" s="37" t="n">
        <f aca="false">D2131*F2131/C2131</f>
        <v>208.496004098361</v>
      </c>
      <c r="H2131" s="37" t="n">
        <f aca="false">IF(AND(A2131&gt;=Inputs!$B$13,OR(A2131&lt;Inputs!$B$19,Inputs!$B$20=1)),D2131*Inputs!$B$11/C2131,0)</f>
        <v>40.1639344262295</v>
      </c>
      <c r="I2131" s="37" t="n">
        <f aca="false">Inputs!$C$9-SUMIFS(Cash_Events!$G$6:$G$20,Cash_Events!$C$6:$C$20,"FHL",Cash_Events!$B$6:$B$20,"&lt;="&amp;A2131)</f>
        <v>735000</v>
      </c>
      <c r="J2131" s="38" t="n">
        <f aca="false">VLOOKUP(A2131,Inputs!$F$40:$G$48,2,TRUE())</f>
        <v>0.0364054</v>
      </c>
      <c r="K2131" s="38" t="n">
        <f aca="false">J2131+Inputs!$C$10</f>
        <v>0.1039054</v>
      </c>
      <c r="L2131" s="37" t="n">
        <f aca="false">I2131*K2131/C2131</f>
        <v>208.662483606557</v>
      </c>
      <c r="M2131" s="37" t="n">
        <f aca="false">IF(AND(A2131&gt;=Inputs!$C$13,OR(A2131&lt;Inputs!$B$19,Inputs!$B$20=1)),I2131*Inputs!$C$11/C2131,0)</f>
        <v>40.1639344262295</v>
      </c>
    </row>
    <row r="2132" customFormat="false" ht="15" hidden="false" customHeight="false" outlineLevel="0" collapsed="false">
      <c r="A2132" s="35" t="n">
        <f aca="false">A2131+1</f>
        <v>46939</v>
      </c>
      <c r="B2132" s="35" t="n">
        <f aca="false">EOMONTH(A2132+1,0)</f>
        <v>46965</v>
      </c>
      <c r="C2132" s="36" t="n">
        <f aca="false">IF(MOD(YEAR(A2132),4)=0,366,365)</f>
        <v>366</v>
      </c>
      <c r="D2132" s="37" t="n">
        <f aca="false">Inputs!$B$9-SUMIFS(Cash_Events!$G$6:$G$20,Cash_Events!$C$6:$C$20,"rAGMF",Cash_Events!$B$6:$B$20,"&lt;="&amp;A2132)</f>
        <v>735000</v>
      </c>
      <c r="E2132" s="38" t="n">
        <f aca="false">VLOOKUP(A2132,Inputs!$A$40:$B$48,2,TRUE())</f>
        <v>0.0363225</v>
      </c>
      <c r="F2132" s="38" t="n">
        <f aca="false">E2132+Inputs!$B$10</f>
        <v>0.1038225</v>
      </c>
      <c r="G2132" s="37" t="n">
        <f aca="false">D2132*F2132/C2132</f>
        <v>208.496004098361</v>
      </c>
      <c r="H2132" s="37" t="n">
        <f aca="false">IF(AND(A2132&gt;=Inputs!$B$13,OR(A2132&lt;Inputs!$B$19,Inputs!$B$20=1)),D2132*Inputs!$B$11/C2132,0)</f>
        <v>40.1639344262295</v>
      </c>
      <c r="I2132" s="37" t="n">
        <f aca="false">Inputs!$C$9-SUMIFS(Cash_Events!$G$6:$G$20,Cash_Events!$C$6:$C$20,"FHL",Cash_Events!$B$6:$B$20,"&lt;="&amp;A2132)</f>
        <v>735000</v>
      </c>
      <c r="J2132" s="38" t="n">
        <f aca="false">VLOOKUP(A2132,Inputs!$F$40:$G$48,2,TRUE())</f>
        <v>0.0364054</v>
      </c>
      <c r="K2132" s="38" t="n">
        <f aca="false">J2132+Inputs!$C$10</f>
        <v>0.1039054</v>
      </c>
      <c r="L2132" s="37" t="n">
        <f aca="false">I2132*K2132/C2132</f>
        <v>208.662483606557</v>
      </c>
      <c r="M2132" s="37" t="n">
        <f aca="false">IF(AND(A2132&gt;=Inputs!$C$13,OR(A2132&lt;Inputs!$B$19,Inputs!$B$20=1)),I2132*Inputs!$C$11/C2132,0)</f>
        <v>40.1639344262295</v>
      </c>
    </row>
    <row r="2133" customFormat="false" ht="15" hidden="false" customHeight="false" outlineLevel="0" collapsed="false">
      <c r="A2133" s="35" t="n">
        <f aca="false">A2132+1</f>
        <v>46940</v>
      </c>
      <c r="B2133" s="35" t="n">
        <f aca="false">EOMONTH(A2133+1,0)</f>
        <v>46965</v>
      </c>
      <c r="C2133" s="36" t="n">
        <f aca="false">IF(MOD(YEAR(A2133),4)=0,366,365)</f>
        <v>366</v>
      </c>
      <c r="D2133" s="37" t="n">
        <f aca="false">Inputs!$B$9-SUMIFS(Cash_Events!$G$6:$G$20,Cash_Events!$C$6:$C$20,"rAGMF",Cash_Events!$B$6:$B$20,"&lt;="&amp;A2133)</f>
        <v>735000</v>
      </c>
      <c r="E2133" s="38" t="n">
        <f aca="false">VLOOKUP(A2133,Inputs!$A$40:$B$48,2,TRUE())</f>
        <v>0.0363225</v>
      </c>
      <c r="F2133" s="38" t="n">
        <f aca="false">E2133+Inputs!$B$10</f>
        <v>0.1038225</v>
      </c>
      <c r="G2133" s="37" t="n">
        <f aca="false">D2133*F2133/C2133</f>
        <v>208.496004098361</v>
      </c>
      <c r="H2133" s="37" t="n">
        <f aca="false">IF(AND(A2133&gt;=Inputs!$B$13,OR(A2133&lt;Inputs!$B$19,Inputs!$B$20=1)),D2133*Inputs!$B$11/C2133,0)</f>
        <v>40.1639344262295</v>
      </c>
      <c r="I2133" s="37" t="n">
        <f aca="false">Inputs!$C$9-SUMIFS(Cash_Events!$G$6:$G$20,Cash_Events!$C$6:$C$20,"FHL",Cash_Events!$B$6:$B$20,"&lt;="&amp;A2133)</f>
        <v>735000</v>
      </c>
      <c r="J2133" s="38" t="n">
        <f aca="false">VLOOKUP(A2133,Inputs!$F$40:$G$48,2,TRUE())</f>
        <v>0.0364054</v>
      </c>
      <c r="K2133" s="38" t="n">
        <f aca="false">J2133+Inputs!$C$10</f>
        <v>0.1039054</v>
      </c>
      <c r="L2133" s="37" t="n">
        <f aca="false">I2133*K2133/C2133</f>
        <v>208.662483606557</v>
      </c>
      <c r="M2133" s="37" t="n">
        <f aca="false">IF(AND(A2133&gt;=Inputs!$C$13,OR(A2133&lt;Inputs!$B$19,Inputs!$B$20=1)),I2133*Inputs!$C$11/C2133,0)</f>
        <v>40.1639344262295</v>
      </c>
    </row>
    <row r="2134" customFormat="false" ht="15" hidden="false" customHeight="false" outlineLevel="0" collapsed="false">
      <c r="A2134" s="35" t="n">
        <f aca="false">A2133+1</f>
        <v>46941</v>
      </c>
      <c r="B2134" s="35" t="n">
        <f aca="false">EOMONTH(A2134+1,0)</f>
        <v>46965</v>
      </c>
      <c r="C2134" s="36" t="n">
        <f aca="false">IF(MOD(YEAR(A2134),4)=0,366,365)</f>
        <v>366</v>
      </c>
      <c r="D2134" s="37" t="n">
        <f aca="false">Inputs!$B$9-SUMIFS(Cash_Events!$G$6:$G$20,Cash_Events!$C$6:$C$20,"rAGMF",Cash_Events!$B$6:$B$20,"&lt;="&amp;A2134)</f>
        <v>735000</v>
      </c>
      <c r="E2134" s="38" t="n">
        <f aca="false">VLOOKUP(A2134,Inputs!$A$40:$B$48,2,TRUE())</f>
        <v>0.0363225</v>
      </c>
      <c r="F2134" s="38" t="n">
        <f aca="false">E2134+Inputs!$B$10</f>
        <v>0.1038225</v>
      </c>
      <c r="G2134" s="37" t="n">
        <f aca="false">D2134*F2134/C2134</f>
        <v>208.496004098361</v>
      </c>
      <c r="H2134" s="37" t="n">
        <f aca="false">IF(AND(A2134&gt;=Inputs!$B$13,OR(A2134&lt;Inputs!$B$19,Inputs!$B$20=1)),D2134*Inputs!$B$11/C2134,0)</f>
        <v>40.1639344262295</v>
      </c>
      <c r="I2134" s="37" t="n">
        <f aca="false">Inputs!$C$9-SUMIFS(Cash_Events!$G$6:$G$20,Cash_Events!$C$6:$C$20,"FHL",Cash_Events!$B$6:$B$20,"&lt;="&amp;A2134)</f>
        <v>735000</v>
      </c>
      <c r="J2134" s="38" t="n">
        <f aca="false">VLOOKUP(A2134,Inputs!$F$40:$G$48,2,TRUE())</f>
        <v>0.0364054</v>
      </c>
      <c r="K2134" s="38" t="n">
        <f aca="false">J2134+Inputs!$C$10</f>
        <v>0.1039054</v>
      </c>
      <c r="L2134" s="37" t="n">
        <f aca="false">I2134*K2134/C2134</f>
        <v>208.662483606557</v>
      </c>
      <c r="M2134" s="37" t="n">
        <f aca="false">IF(AND(A2134&gt;=Inputs!$C$13,OR(A2134&lt;Inputs!$B$19,Inputs!$B$20=1)),I2134*Inputs!$C$11/C2134,0)</f>
        <v>40.1639344262295</v>
      </c>
    </row>
    <row r="2135" customFormat="false" ht="15" hidden="false" customHeight="false" outlineLevel="0" collapsed="false">
      <c r="A2135" s="35" t="n">
        <f aca="false">A2134+1</f>
        <v>46942</v>
      </c>
      <c r="B2135" s="35" t="n">
        <f aca="false">EOMONTH(A2135+1,0)</f>
        <v>46965</v>
      </c>
      <c r="C2135" s="36" t="n">
        <f aca="false">IF(MOD(YEAR(A2135),4)=0,366,365)</f>
        <v>366</v>
      </c>
      <c r="D2135" s="37" t="n">
        <f aca="false">Inputs!$B$9-SUMIFS(Cash_Events!$G$6:$G$20,Cash_Events!$C$6:$C$20,"rAGMF",Cash_Events!$B$6:$B$20,"&lt;="&amp;A2135)</f>
        <v>735000</v>
      </c>
      <c r="E2135" s="38" t="n">
        <f aca="false">VLOOKUP(A2135,Inputs!$A$40:$B$48,2,TRUE())</f>
        <v>0.0363225</v>
      </c>
      <c r="F2135" s="38" t="n">
        <f aca="false">E2135+Inputs!$B$10</f>
        <v>0.1038225</v>
      </c>
      <c r="G2135" s="37" t="n">
        <f aca="false">D2135*F2135/C2135</f>
        <v>208.496004098361</v>
      </c>
      <c r="H2135" s="37" t="n">
        <f aca="false">IF(AND(A2135&gt;=Inputs!$B$13,OR(A2135&lt;Inputs!$B$19,Inputs!$B$20=1)),D2135*Inputs!$B$11/C2135,0)</f>
        <v>40.1639344262295</v>
      </c>
      <c r="I2135" s="37" t="n">
        <f aca="false">Inputs!$C$9-SUMIFS(Cash_Events!$G$6:$G$20,Cash_Events!$C$6:$C$20,"FHL",Cash_Events!$B$6:$B$20,"&lt;="&amp;A2135)</f>
        <v>735000</v>
      </c>
      <c r="J2135" s="38" t="n">
        <f aca="false">VLOOKUP(A2135,Inputs!$F$40:$G$48,2,TRUE())</f>
        <v>0.0364054</v>
      </c>
      <c r="K2135" s="38" t="n">
        <f aca="false">J2135+Inputs!$C$10</f>
        <v>0.1039054</v>
      </c>
      <c r="L2135" s="37" t="n">
        <f aca="false">I2135*K2135/C2135</f>
        <v>208.662483606557</v>
      </c>
      <c r="M2135" s="37" t="n">
        <f aca="false">IF(AND(A2135&gt;=Inputs!$C$13,OR(A2135&lt;Inputs!$B$19,Inputs!$B$20=1)),I2135*Inputs!$C$11/C2135,0)</f>
        <v>40.1639344262295</v>
      </c>
    </row>
    <row r="2136" customFormat="false" ht="15" hidden="false" customHeight="false" outlineLevel="0" collapsed="false">
      <c r="A2136" s="35" t="n">
        <f aca="false">A2135+1</f>
        <v>46943</v>
      </c>
      <c r="B2136" s="35" t="n">
        <f aca="false">EOMONTH(A2136+1,0)</f>
        <v>46965</v>
      </c>
      <c r="C2136" s="36" t="n">
        <f aca="false">IF(MOD(YEAR(A2136),4)=0,366,365)</f>
        <v>366</v>
      </c>
      <c r="D2136" s="37" t="n">
        <f aca="false">Inputs!$B$9-SUMIFS(Cash_Events!$G$6:$G$20,Cash_Events!$C$6:$C$20,"rAGMF",Cash_Events!$B$6:$B$20,"&lt;="&amp;A2136)</f>
        <v>735000</v>
      </c>
      <c r="E2136" s="38" t="n">
        <f aca="false">VLOOKUP(A2136,Inputs!$A$40:$B$48,2,TRUE())</f>
        <v>0.0363225</v>
      </c>
      <c r="F2136" s="38" t="n">
        <f aca="false">E2136+Inputs!$B$10</f>
        <v>0.1038225</v>
      </c>
      <c r="G2136" s="37" t="n">
        <f aca="false">D2136*F2136/C2136</f>
        <v>208.496004098361</v>
      </c>
      <c r="H2136" s="37" t="n">
        <f aca="false">IF(AND(A2136&gt;=Inputs!$B$13,OR(A2136&lt;Inputs!$B$19,Inputs!$B$20=1)),D2136*Inputs!$B$11/C2136,0)</f>
        <v>40.1639344262295</v>
      </c>
      <c r="I2136" s="37" t="n">
        <f aca="false">Inputs!$C$9-SUMIFS(Cash_Events!$G$6:$G$20,Cash_Events!$C$6:$C$20,"FHL",Cash_Events!$B$6:$B$20,"&lt;="&amp;A2136)</f>
        <v>735000</v>
      </c>
      <c r="J2136" s="38" t="n">
        <f aca="false">VLOOKUP(A2136,Inputs!$F$40:$G$48,2,TRUE())</f>
        <v>0.0364054</v>
      </c>
      <c r="K2136" s="38" t="n">
        <f aca="false">J2136+Inputs!$C$10</f>
        <v>0.1039054</v>
      </c>
      <c r="L2136" s="37" t="n">
        <f aca="false">I2136*K2136/C2136</f>
        <v>208.662483606557</v>
      </c>
      <c r="M2136" s="37" t="n">
        <f aca="false">IF(AND(A2136&gt;=Inputs!$C$13,OR(A2136&lt;Inputs!$B$19,Inputs!$B$20=1)),I2136*Inputs!$C$11/C2136,0)</f>
        <v>40.1639344262295</v>
      </c>
    </row>
    <row r="2137" customFormat="false" ht="15" hidden="false" customHeight="false" outlineLevel="0" collapsed="false">
      <c r="A2137" s="35" t="n">
        <f aca="false">A2136+1</f>
        <v>46944</v>
      </c>
      <c r="B2137" s="35" t="n">
        <f aca="false">EOMONTH(A2137+1,0)</f>
        <v>46965</v>
      </c>
      <c r="C2137" s="36" t="n">
        <f aca="false">IF(MOD(YEAR(A2137),4)=0,366,365)</f>
        <v>366</v>
      </c>
      <c r="D2137" s="37" t="n">
        <f aca="false">Inputs!$B$9-SUMIFS(Cash_Events!$G$6:$G$20,Cash_Events!$C$6:$C$20,"rAGMF",Cash_Events!$B$6:$B$20,"&lt;="&amp;A2137)</f>
        <v>735000</v>
      </c>
      <c r="E2137" s="38" t="n">
        <f aca="false">VLOOKUP(A2137,Inputs!$A$40:$B$48,2,TRUE())</f>
        <v>0.0363225</v>
      </c>
      <c r="F2137" s="38" t="n">
        <f aca="false">E2137+Inputs!$B$10</f>
        <v>0.1038225</v>
      </c>
      <c r="G2137" s="37" t="n">
        <f aca="false">D2137*F2137/C2137</f>
        <v>208.496004098361</v>
      </c>
      <c r="H2137" s="37" t="n">
        <f aca="false">IF(AND(A2137&gt;=Inputs!$B$13,OR(A2137&lt;Inputs!$B$19,Inputs!$B$20=1)),D2137*Inputs!$B$11/C2137,0)</f>
        <v>40.1639344262295</v>
      </c>
      <c r="I2137" s="37" t="n">
        <f aca="false">Inputs!$C$9-SUMIFS(Cash_Events!$G$6:$G$20,Cash_Events!$C$6:$C$20,"FHL",Cash_Events!$B$6:$B$20,"&lt;="&amp;A2137)</f>
        <v>735000</v>
      </c>
      <c r="J2137" s="38" t="n">
        <f aca="false">VLOOKUP(A2137,Inputs!$F$40:$G$48,2,TRUE())</f>
        <v>0.0364054</v>
      </c>
      <c r="K2137" s="38" t="n">
        <f aca="false">J2137+Inputs!$C$10</f>
        <v>0.1039054</v>
      </c>
      <c r="L2137" s="37" t="n">
        <f aca="false">I2137*K2137/C2137</f>
        <v>208.662483606557</v>
      </c>
      <c r="M2137" s="37" t="n">
        <f aca="false">IF(AND(A2137&gt;=Inputs!$C$13,OR(A2137&lt;Inputs!$B$19,Inputs!$B$20=1)),I2137*Inputs!$C$11/C2137,0)</f>
        <v>40.1639344262295</v>
      </c>
    </row>
    <row r="2138" customFormat="false" ht="15" hidden="false" customHeight="false" outlineLevel="0" collapsed="false">
      <c r="A2138" s="35" t="n">
        <f aca="false">A2137+1</f>
        <v>46945</v>
      </c>
      <c r="B2138" s="35" t="n">
        <f aca="false">EOMONTH(A2138+1,0)</f>
        <v>46965</v>
      </c>
      <c r="C2138" s="36" t="n">
        <f aca="false">IF(MOD(YEAR(A2138),4)=0,366,365)</f>
        <v>366</v>
      </c>
      <c r="D2138" s="37" t="n">
        <f aca="false">Inputs!$B$9-SUMIFS(Cash_Events!$G$6:$G$20,Cash_Events!$C$6:$C$20,"rAGMF",Cash_Events!$B$6:$B$20,"&lt;="&amp;A2138)</f>
        <v>735000</v>
      </c>
      <c r="E2138" s="38" t="n">
        <f aca="false">VLOOKUP(A2138,Inputs!$A$40:$B$48,2,TRUE())</f>
        <v>0.0363225</v>
      </c>
      <c r="F2138" s="38" t="n">
        <f aca="false">E2138+Inputs!$B$10</f>
        <v>0.1038225</v>
      </c>
      <c r="G2138" s="37" t="n">
        <f aca="false">D2138*F2138/C2138</f>
        <v>208.496004098361</v>
      </c>
      <c r="H2138" s="37" t="n">
        <f aca="false">IF(AND(A2138&gt;=Inputs!$B$13,OR(A2138&lt;Inputs!$B$19,Inputs!$B$20=1)),D2138*Inputs!$B$11/C2138,0)</f>
        <v>40.1639344262295</v>
      </c>
      <c r="I2138" s="37" t="n">
        <f aca="false">Inputs!$C$9-SUMIFS(Cash_Events!$G$6:$G$20,Cash_Events!$C$6:$C$20,"FHL",Cash_Events!$B$6:$B$20,"&lt;="&amp;A2138)</f>
        <v>735000</v>
      </c>
      <c r="J2138" s="38" t="n">
        <f aca="false">VLOOKUP(A2138,Inputs!$F$40:$G$48,2,TRUE())</f>
        <v>0.0364054</v>
      </c>
      <c r="K2138" s="38" t="n">
        <f aca="false">J2138+Inputs!$C$10</f>
        <v>0.1039054</v>
      </c>
      <c r="L2138" s="37" t="n">
        <f aca="false">I2138*K2138/C2138</f>
        <v>208.662483606557</v>
      </c>
      <c r="M2138" s="37" t="n">
        <f aca="false">IF(AND(A2138&gt;=Inputs!$C$13,OR(A2138&lt;Inputs!$B$19,Inputs!$B$20=1)),I2138*Inputs!$C$11/C2138,0)</f>
        <v>40.1639344262295</v>
      </c>
    </row>
    <row r="2139" customFormat="false" ht="15" hidden="false" customHeight="false" outlineLevel="0" collapsed="false">
      <c r="A2139" s="35" t="n">
        <f aca="false">A2138+1</f>
        <v>46946</v>
      </c>
      <c r="B2139" s="35" t="n">
        <f aca="false">EOMONTH(A2139+1,0)</f>
        <v>46965</v>
      </c>
      <c r="C2139" s="36" t="n">
        <f aca="false">IF(MOD(YEAR(A2139),4)=0,366,365)</f>
        <v>366</v>
      </c>
      <c r="D2139" s="37" t="n">
        <f aca="false">Inputs!$B$9-SUMIFS(Cash_Events!$G$6:$G$20,Cash_Events!$C$6:$C$20,"rAGMF",Cash_Events!$B$6:$B$20,"&lt;="&amp;A2139)</f>
        <v>735000</v>
      </c>
      <c r="E2139" s="38" t="n">
        <f aca="false">VLOOKUP(A2139,Inputs!$A$40:$B$48,2,TRUE())</f>
        <v>0.0363225</v>
      </c>
      <c r="F2139" s="38" t="n">
        <f aca="false">E2139+Inputs!$B$10</f>
        <v>0.1038225</v>
      </c>
      <c r="G2139" s="37" t="n">
        <f aca="false">D2139*F2139/C2139</f>
        <v>208.496004098361</v>
      </c>
      <c r="H2139" s="37" t="n">
        <f aca="false">IF(AND(A2139&gt;=Inputs!$B$13,OR(A2139&lt;Inputs!$B$19,Inputs!$B$20=1)),D2139*Inputs!$B$11/C2139,0)</f>
        <v>40.1639344262295</v>
      </c>
      <c r="I2139" s="37" t="n">
        <f aca="false">Inputs!$C$9-SUMIFS(Cash_Events!$G$6:$G$20,Cash_Events!$C$6:$C$20,"FHL",Cash_Events!$B$6:$B$20,"&lt;="&amp;A2139)</f>
        <v>735000</v>
      </c>
      <c r="J2139" s="38" t="n">
        <f aca="false">VLOOKUP(A2139,Inputs!$F$40:$G$48,2,TRUE())</f>
        <v>0.0364054</v>
      </c>
      <c r="K2139" s="38" t="n">
        <f aca="false">J2139+Inputs!$C$10</f>
        <v>0.1039054</v>
      </c>
      <c r="L2139" s="37" t="n">
        <f aca="false">I2139*K2139/C2139</f>
        <v>208.662483606557</v>
      </c>
      <c r="M2139" s="37" t="n">
        <f aca="false">IF(AND(A2139&gt;=Inputs!$C$13,OR(A2139&lt;Inputs!$B$19,Inputs!$B$20=1)),I2139*Inputs!$C$11/C2139,0)</f>
        <v>40.1639344262295</v>
      </c>
    </row>
    <row r="2140" customFormat="false" ht="15" hidden="false" customHeight="false" outlineLevel="0" collapsed="false">
      <c r="A2140" s="35" t="n">
        <f aca="false">A2139+1</f>
        <v>46947</v>
      </c>
      <c r="B2140" s="35" t="n">
        <f aca="false">EOMONTH(A2140+1,0)</f>
        <v>46965</v>
      </c>
      <c r="C2140" s="36" t="n">
        <f aca="false">IF(MOD(YEAR(A2140),4)=0,366,365)</f>
        <v>366</v>
      </c>
      <c r="D2140" s="37" t="n">
        <f aca="false">Inputs!$B$9-SUMIFS(Cash_Events!$G$6:$G$20,Cash_Events!$C$6:$C$20,"rAGMF",Cash_Events!$B$6:$B$20,"&lt;="&amp;A2140)</f>
        <v>735000</v>
      </c>
      <c r="E2140" s="38" t="n">
        <f aca="false">VLOOKUP(A2140,Inputs!$A$40:$B$48,2,TRUE())</f>
        <v>0.0363225</v>
      </c>
      <c r="F2140" s="38" t="n">
        <f aca="false">E2140+Inputs!$B$10</f>
        <v>0.1038225</v>
      </c>
      <c r="G2140" s="37" t="n">
        <f aca="false">D2140*F2140/C2140</f>
        <v>208.496004098361</v>
      </c>
      <c r="H2140" s="37" t="n">
        <f aca="false">IF(AND(A2140&gt;=Inputs!$B$13,OR(A2140&lt;Inputs!$B$19,Inputs!$B$20=1)),D2140*Inputs!$B$11/C2140,0)</f>
        <v>40.1639344262295</v>
      </c>
      <c r="I2140" s="37" t="n">
        <f aca="false">Inputs!$C$9-SUMIFS(Cash_Events!$G$6:$G$20,Cash_Events!$C$6:$C$20,"FHL",Cash_Events!$B$6:$B$20,"&lt;="&amp;A2140)</f>
        <v>735000</v>
      </c>
      <c r="J2140" s="38" t="n">
        <f aca="false">VLOOKUP(A2140,Inputs!$F$40:$G$48,2,TRUE())</f>
        <v>0.0364054</v>
      </c>
      <c r="K2140" s="38" t="n">
        <f aca="false">J2140+Inputs!$C$10</f>
        <v>0.1039054</v>
      </c>
      <c r="L2140" s="37" t="n">
        <f aca="false">I2140*K2140/C2140</f>
        <v>208.662483606557</v>
      </c>
      <c r="M2140" s="37" t="n">
        <f aca="false">IF(AND(A2140&gt;=Inputs!$C$13,OR(A2140&lt;Inputs!$B$19,Inputs!$B$20=1)),I2140*Inputs!$C$11/C2140,0)</f>
        <v>40.1639344262295</v>
      </c>
    </row>
    <row r="2141" customFormat="false" ht="15" hidden="false" customHeight="false" outlineLevel="0" collapsed="false">
      <c r="A2141" s="35" t="n">
        <f aca="false">A2140+1</f>
        <v>46948</v>
      </c>
      <c r="B2141" s="35" t="n">
        <f aca="false">EOMONTH(A2141+1,0)</f>
        <v>46965</v>
      </c>
      <c r="C2141" s="36" t="n">
        <f aca="false">IF(MOD(YEAR(A2141),4)=0,366,365)</f>
        <v>366</v>
      </c>
      <c r="D2141" s="37" t="n">
        <f aca="false">Inputs!$B$9-SUMIFS(Cash_Events!$G$6:$G$20,Cash_Events!$C$6:$C$20,"rAGMF",Cash_Events!$B$6:$B$20,"&lt;="&amp;A2141)</f>
        <v>735000</v>
      </c>
      <c r="E2141" s="38" t="n">
        <f aca="false">VLOOKUP(A2141,Inputs!$A$40:$B$48,2,TRUE())</f>
        <v>0.0363225</v>
      </c>
      <c r="F2141" s="38" t="n">
        <f aca="false">E2141+Inputs!$B$10</f>
        <v>0.1038225</v>
      </c>
      <c r="G2141" s="37" t="n">
        <f aca="false">D2141*F2141/C2141</f>
        <v>208.496004098361</v>
      </c>
      <c r="H2141" s="37" t="n">
        <f aca="false">IF(AND(A2141&gt;=Inputs!$B$13,OR(A2141&lt;Inputs!$B$19,Inputs!$B$20=1)),D2141*Inputs!$B$11/C2141,0)</f>
        <v>40.1639344262295</v>
      </c>
      <c r="I2141" s="37" t="n">
        <f aca="false">Inputs!$C$9-SUMIFS(Cash_Events!$G$6:$G$20,Cash_Events!$C$6:$C$20,"FHL",Cash_Events!$B$6:$B$20,"&lt;="&amp;A2141)</f>
        <v>735000</v>
      </c>
      <c r="J2141" s="38" t="n">
        <f aca="false">VLOOKUP(A2141,Inputs!$F$40:$G$48,2,TRUE())</f>
        <v>0.0364054</v>
      </c>
      <c r="K2141" s="38" t="n">
        <f aca="false">J2141+Inputs!$C$10</f>
        <v>0.1039054</v>
      </c>
      <c r="L2141" s="37" t="n">
        <f aca="false">I2141*K2141/C2141</f>
        <v>208.662483606557</v>
      </c>
      <c r="M2141" s="37" t="n">
        <f aca="false">IF(AND(A2141&gt;=Inputs!$C$13,OR(A2141&lt;Inputs!$B$19,Inputs!$B$20=1)),I2141*Inputs!$C$11/C2141,0)</f>
        <v>40.1639344262295</v>
      </c>
    </row>
    <row r="2142" customFormat="false" ht="15" hidden="false" customHeight="false" outlineLevel="0" collapsed="false">
      <c r="A2142" s="35" t="n">
        <f aca="false">A2141+1</f>
        <v>46949</v>
      </c>
      <c r="B2142" s="35" t="n">
        <f aca="false">EOMONTH(A2142+1,0)</f>
        <v>46965</v>
      </c>
      <c r="C2142" s="36" t="n">
        <f aca="false">IF(MOD(YEAR(A2142),4)=0,366,365)</f>
        <v>366</v>
      </c>
      <c r="D2142" s="37" t="n">
        <f aca="false">Inputs!$B$9-SUMIFS(Cash_Events!$G$6:$G$20,Cash_Events!$C$6:$C$20,"rAGMF",Cash_Events!$B$6:$B$20,"&lt;="&amp;A2142)</f>
        <v>735000</v>
      </c>
      <c r="E2142" s="38" t="n">
        <f aca="false">VLOOKUP(A2142,Inputs!$A$40:$B$48,2,TRUE())</f>
        <v>0.0363225</v>
      </c>
      <c r="F2142" s="38" t="n">
        <f aca="false">E2142+Inputs!$B$10</f>
        <v>0.1038225</v>
      </c>
      <c r="G2142" s="37" t="n">
        <f aca="false">D2142*F2142/C2142</f>
        <v>208.496004098361</v>
      </c>
      <c r="H2142" s="37" t="n">
        <f aca="false">IF(AND(A2142&gt;=Inputs!$B$13,OR(A2142&lt;Inputs!$B$19,Inputs!$B$20=1)),D2142*Inputs!$B$11/C2142,0)</f>
        <v>40.1639344262295</v>
      </c>
      <c r="I2142" s="37" t="n">
        <f aca="false">Inputs!$C$9-SUMIFS(Cash_Events!$G$6:$G$20,Cash_Events!$C$6:$C$20,"FHL",Cash_Events!$B$6:$B$20,"&lt;="&amp;A2142)</f>
        <v>735000</v>
      </c>
      <c r="J2142" s="38" t="n">
        <f aca="false">VLOOKUP(A2142,Inputs!$F$40:$G$48,2,TRUE())</f>
        <v>0.0364054</v>
      </c>
      <c r="K2142" s="38" t="n">
        <f aca="false">J2142+Inputs!$C$10</f>
        <v>0.1039054</v>
      </c>
      <c r="L2142" s="37" t="n">
        <f aca="false">I2142*K2142/C2142</f>
        <v>208.662483606557</v>
      </c>
      <c r="M2142" s="37" t="n">
        <f aca="false">IF(AND(A2142&gt;=Inputs!$C$13,OR(A2142&lt;Inputs!$B$19,Inputs!$B$20=1)),I2142*Inputs!$C$11/C2142,0)</f>
        <v>40.1639344262295</v>
      </c>
    </row>
    <row r="2143" customFormat="false" ht="15" hidden="false" customHeight="false" outlineLevel="0" collapsed="false">
      <c r="A2143" s="35" t="n">
        <f aca="false">A2142+1</f>
        <v>46950</v>
      </c>
      <c r="B2143" s="35" t="n">
        <f aca="false">EOMONTH(A2143+1,0)</f>
        <v>46965</v>
      </c>
      <c r="C2143" s="36" t="n">
        <f aca="false">IF(MOD(YEAR(A2143),4)=0,366,365)</f>
        <v>366</v>
      </c>
      <c r="D2143" s="37" t="n">
        <f aca="false">Inputs!$B$9-SUMIFS(Cash_Events!$G$6:$G$20,Cash_Events!$C$6:$C$20,"rAGMF",Cash_Events!$B$6:$B$20,"&lt;="&amp;A2143)</f>
        <v>735000</v>
      </c>
      <c r="E2143" s="38" t="n">
        <f aca="false">VLOOKUP(A2143,Inputs!$A$40:$B$48,2,TRUE())</f>
        <v>0.0363225</v>
      </c>
      <c r="F2143" s="38" t="n">
        <f aca="false">E2143+Inputs!$B$10</f>
        <v>0.1038225</v>
      </c>
      <c r="G2143" s="37" t="n">
        <f aca="false">D2143*F2143/C2143</f>
        <v>208.496004098361</v>
      </c>
      <c r="H2143" s="37" t="n">
        <f aca="false">IF(AND(A2143&gt;=Inputs!$B$13,OR(A2143&lt;Inputs!$B$19,Inputs!$B$20=1)),D2143*Inputs!$B$11/C2143,0)</f>
        <v>40.1639344262295</v>
      </c>
      <c r="I2143" s="37" t="n">
        <f aca="false">Inputs!$C$9-SUMIFS(Cash_Events!$G$6:$G$20,Cash_Events!$C$6:$C$20,"FHL",Cash_Events!$B$6:$B$20,"&lt;="&amp;A2143)</f>
        <v>735000</v>
      </c>
      <c r="J2143" s="38" t="n">
        <f aca="false">VLOOKUP(A2143,Inputs!$F$40:$G$48,2,TRUE())</f>
        <v>0.0364054</v>
      </c>
      <c r="K2143" s="38" t="n">
        <f aca="false">J2143+Inputs!$C$10</f>
        <v>0.1039054</v>
      </c>
      <c r="L2143" s="37" t="n">
        <f aca="false">I2143*K2143/C2143</f>
        <v>208.662483606557</v>
      </c>
      <c r="M2143" s="37" t="n">
        <f aca="false">IF(AND(A2143&gt;=Inputs!$C$13,OR(A2143&lt;Inputs!$B$19,Inputs!$B$20=1)),I2143*Inputs!$C$11/C2143,0)</f>
        <v>40.1639344262295</v>
      </c>
    </row>
    <row r="2144" customFormat="false" ht="15" hidden="false" customHeight="false" outlineLevel="0" collapsed="false">
      <c r="A2144" s="35" t="n">
        <f aca="false">A2143+1</f>
        <v>46951</v>
      </c>
      <c r="B2144" s="35" t="n">
        <f aca="false">EOMONTH(A2144+1,0)</f>
        <v>46965</v>
      </c>
      <c r="C2144" s="36" t="n">
        <f aca="false">IF(MOD(YEAR(A2144),4)=0,366,365)</f>
        <v>366</v>
      </c>
      <c r="D2144" s="37" t="n">
        <f aca="false">Inputs!$B$9-SUMIFS(Cash_Events!$G$6:$G$20,Cash_Events!$C$6:$C$20,"rAGMF",Cash_Events!$B$6:$B$20,"&lt;="&amp;A2144)</f>
        <v>735000</v>
      </c>
      <c r="E2144" s="38" t="n">
        <f aca="false">VLOOKUP(A2144,Inputs!$A$40:$B$48,2,TRUE())</f>
        <v>0.0363225</v>
      </c>
      <c r="F2144" s="38" t="n">
        <f aca="false">E2144+Inputs!$B$10</f>
        <v>0.1038225</v>
      </c>
      <c r="G2144" s="37" t="n">
        <f aca="false">D2144*F2144/C2144</f>
        <v>208.496004098361</v>
      </c>
      <c r="H2144" s="37" t="n">
        <f aca="false">IF(AND(A2144&gt;=Inputs!$B$13,OR(A2144&lt;Inputs!$B$19,Inputs!$B$20=1)),D2144*Inputs!$B$11/C2144,0)</f>
        <v>40.1639344262295</v>
      </c>
      <c r="I2144" s="37" t="n">
        <f aca="false">Inputs!$C$9-SUMIFS(Cash_Events!$G$6:$G$20,Cash_Events!$C$6:$C$20,"FHL",Cash_Events!$B$6:$B$20,"&lt;="&amp;A2144)</f>
        <v>735000</v>
      </c>
      <c r="J2144" s="38" t="n">
        <f aca="false">VLOOKUP(A2144,Inputs!$F$40:$G$48,2,TRUE())</f>
        <v>0.0364054</v>
      </c>
      <c r="K2144" s="38" t="n">
        <f aca="false">J2144+Inputs!$C$10</f>
        <v>0.1039054</v>
      </c>
      <c r="L2144" s="37" t="n">
        <f aca="false">I2144*K2144/C2144</f>
        <v>208.662483606557</v>
      </c>
      <c r="M2144" s="37" t="n">
        <f aca="false">IF(AND(A2144&gt;=Inputs!$C$13,OR(A2144&lt;Inputs!$B$19,Inputs!$B$20=1)),I2144*Inputs!$C$11/C2144,0)</f>
        <v>40.1639344262295</v>
      </c>
    </row>
    <row r="2145" customFormat="false" ht="15" hidden="false" customHeight="false" outlineLevel="0" collapsed="false">
      <c r="A2145" s="35" t="n">
        <f aca="false">A2144+1</f>
        <v>46952</v>
      </c>
      <c r="B2145" s="35" t="n">
        <f aca="false">EOMONTH(A2145+1,0)</f>
        <v>46965</v>
      </c>
      <c r="C2145" s="36" t="n">
        <f aca="false">IF(MOD(YEAR(A2145),4)=0,366,365)</f>
        <v>366</v>
      </c>
      <c r="D2145" s="37" t="n">
        <f aca="false">Inputs!$B$9-SUMIFS(Cash_Events!$G$6:$G$20,Cash_Events!$C$6:$C$20,"rAGMF",Cash_Events!$B$6:$B$20,"&lt;="&amp;A2145)</f>
        <v>735000</v>
      </c>
      <c r="E2145" s="38" t="n">
        <f aca="false">VLOOKUP(A2145,Inputs!$A$40:$B$48,2,TRUE())</f>
        <v>0.0363225</v>
      </c>
      <c r="F2145" s="38" t="n">
        <f aca="false">E2145+Inputs!$B$10</f>
        <v>0.1038225</v>
      </c>
      <c r="G2145" s="37" t="n">
        <f aca="false">D2145*F2145/C2145</f>
        <v>208.496004098361</v>
      </c>
      <c r="H2145" s="37" t="n">
        <f aca="false">IF(AND(A2145&gt;=Inputs!$B$13,OR(A2145&lt;Inputs!$B$19,Inputs!$B$20=1)),D2145*Inputs!$B$11/C2145,0)</f>
        <v>40.1639344262295</v>
      </c>
      <c r="I2145" s="37" t="n">
        <f aca="false">Inputs!$C$9-SUMIFS(Cash_Events!$G$6:$G$20,Cash_Events!$C$6:$C$20,"FHL",Cash_Events!$B$6:$B$20,"&lt;="&amp;A2145)</f>
        <v>735000</v>
      </c>
      <c r="J2145" s="38" t="n">
        <f aca="false">VLOOKUP(A2145,Inputs!$F$40:$G$48,2,TRUE())</f>
        <v>0.0364054</v>
      </c>
      <c r="K2145" s="38" t="n">
        <f aca="false">J2145+Inputs!$C$10</f>
        <v>0.1039054</v>
      </c>
      <c r="L2145" s="37" t="n">
        <f aca="false">I2145*K2145/C2145</f>
        <v>208.662483606557</v>
      </c>
      <c r="M2145" s="37" t="n">
        <f aca="false">IF(AND(A2145&gt;=Inputs!$C$13,OR(A2145&lt;Inputs!$B$19,Inputs!$B$20=1)),I2145*Inputs!$C$11/C2145,0)</f>
        <v>40.1639344262295</v>
      </c>
    </row>
    <row r="2146" customFormat="false" ht="15" hidden="false" customHeight="false" outlineLevel="0" collapsed="false">
      <c r="A2146" s="35" t="n">
        <f aca="false">A2145+1</f>
        <v>46953</v>
      </c>
      <c r="B2146" s="35" t="n">
        <f aca="false">EOMONTH(A2146+1,0)</f>
        <v>46965</v>
      </c>
      <c r="C2146" s="36" t="n">
        <f aca="false">IF(MOD(YEAR(A2146),4)=0,366,365)</f>
        <v>366</v>
      </c>
      <c r="D2146" s="37" t="n">
        <f aca="false">Inputs!$B$9-SUMIFS(Cash_Events!$G$6:$G$20,Cash_Events!$C$6:$C$20,"rAGMF",Cash_Events!$B$6:$B$20,"&lt;="&amp;A2146)</f>
        <v>735000</v>
      </c>
      <c r="E2146" s="38" t="n">
        <f aca="false">VLOOKUP(A2146,Inputs!$A$40:$B$48,2,TRUE())</f>
        <v>0.0363225</v>
      </c>
      <c r="F2146" s="38" t="n">
        <f aca="false">E2146+Inputs!$B$10</f>
        <v>0.1038225</v>
      </c>
      <c r="G2146" s="37" t="n">
        <f aca="false">D2146*F2146/C2146</f>
        <v>208.496004098361</v>
      </c>
      <c r="H2146" s="37" t="n">
        <f aca="false">IF(AND(A2146&gt;=Inputs!$B$13,OR(A2146&lt;Inputs!$B$19,Inputs!$B$20=1)),D2146*Inputs!$B$11/C2146,0)</f>
        <v>40.1639344262295</v>
      </c>
      <c r="I2146" s="37" t="n">
        <f aca="false">Inputs!$C$9-SUMIFS(Cash_Events!$G$6:$G$20,Cash_Events!$C$6:$C$20,"FHL",Cash_Events!$B$6:$B$20,"&lt;="&amp;A2146)</f>
        <v>735000</v>
      </c>
      <c r="J2146" s="38" t="n">
        <f aca="false">VLOOKUP(A2146,Inputs!$F$40:$G$48,2,TRUE())</f>
        <v>0.0364054</v>
      </c>
      <c r="K2146" s="38" t="n">
        <f aca="false">J2146+Inputs!$C$10</f>
        <v>0.1039054</v>
      </c>
      <c r="L2146" s="37" t="n">
        <f aca="false">I2146*K2146/C2146</f>
        <v>208.662483606557</v>
      </c>
      <c r="M2146" s="37" t="n">
        <f aca="false">IF(AND(A2146&gt;=Inputs!$C$13,OR(A2146&lt;Inputs!$B$19,Inputs!$B$20=1)),I2146*Inputs!$C$11/C2146,0)</f>
        <v>40.1639344262295</v>
      </c>
    </row>
    <row r="2147" customFormat="false" ht="15" hidden="false" customHeight="false" outlineLevel="0" collapsed="false">
      <c r="A2147" s="35" t="n">
        <f aca="false">A2146+1</f>
        <v>46954</v>
      </c>
      <c r="B2147" s="35" t="n">
        <f aca="false">EOMONTH(A2147+1,0)</f>
        <v>46965</v>
      </c>
      <c r="C2147" s="36" t="n">
        <f aca="false">IF(MOD(YEAR(A2147),4)=0,366,365)</f>
        <v>366</v>
      </c>
      <c r="D2147" s="37" t="n">
        <f aca="false">Inputs!$B$9-SUMIFS(Cash_Events!$G$6:$G$20,Cash_Events!$C$6:$C$20,"rAGMF",Cash_Events!$B$6:$B$20,"&lt;="&amp;A2147)</f>
        <v>735000</v>
      </c>
      <c r="E2147" s="38" t="n">
        <f aca="false">VLOOKUP(A2147,Inputs!$A$40:$B$48,2,TRUE())</f>
        <v>0.0363225</v>
      </c>
      <c r="F2147" s="38" t="n">
        <f aca="false">E2147+Inputs!$B$10</f>
        <v>0.1038225</v>
      </c>
      <c r="G2147" s="37" t="n">
        <f aca="false">D2147*F2147/C2147</f>
        <v>208.496004098361</v>
      </c>
      <c r="H2147" s="37" t="n">
        <f aca="false">IF(AND(A2147&gt;=Inputs!$B$13,OR(A2147&lt;Inputs!$B$19,Inputs!$B$20=1)),D2147*Inputs!$B$11/C2147,0)</f>
        <v>40.1639344262295</v>
      </c>
      <c r="I2147" s="37" t="n">
        <f aca="false">Inputs!$C$9-SUMIFS(Cash_Events!$G$6:$G$20,Cash_Events!$C$6:$C$20,"FHL",Cash_Events!$B$6:$B$20,"&lt;="&amp;A2147)</f>
        <v>735000</v>
      </c>
      <c r="J2147" s="38" t="n">
        <f aca="false">VLOOKUP(A2147,Inputs!$F$40:$G$48,2,TRUE())</f>
        <v>0.0364054</v>
      </c>
      <c r="K2147" s="38" t="n">
        <f aca="false">J2147+Inputs!$C$10</f>
        <v>0.1039054</v>
      </c>
      <c r="L2147" s="37" t="n">
        <f aca="false">I2147*K2147/C2147</f>
        <v>208.662483606557</v>
      </c>
      <c r="M2147" s="37" t="n">
        <f aca="false">IF(AND(A2147&gt;=Inputs!$C$13,OR(A2147&lt;Inputs!$B$19,Inputs!$B$20=1)),I2147*Inputs!$C$11/C2147,0)</f>
        <v>40.1639344262295</v>
      </c>
    </row>
    <row r="2148" customFormat="false" ht="15" hidden="false" customHeight="false" outlineLevel="0" collapsed="false">
      <c r="A2148" s="35" t="n">
        <f aca="false">A2147+1</f>
        <v>46955</v>
      </c>
      <c r="B2148" s="35" t="n">
        <f aca="false">EOMONTH(A2148+1,0)</f>
        <v>46965</v>
      </c>
      <c r="C2148" s="36" t="n">
        <f aca="false">IF(MOD(YEAR(A2148),4)=0,366,365)</f>
        <v>366</v>
      </c>
      <c r="D2148" s="37" t="n">
        <f aca="false">Inputs!$B$9-SUMIFS(Cash_Events!$G$6:$G$20,Cash_Events!$C$6:$C$20,"rAGMF",Cash_Events!$B$6:$B$20,"&lt;="&amp;A2148)</f>
        <v>735000</v>
      </c>
      <c r="E2148" s="38" t="n">
        <f aca="false">VLOOKUP(A2148,Inputs!$A$40:$B$48,2,TRUE())</f>
        <v>0.0363225</v>
      </c>
      <c r="F2148" s="38" t="n">
        <f aca="false">E2148+Inputs!$B$10</f>
        <v>0.1038225</v>
      </c>
      <c r="G2148" s="37" t="n">
        <f aca="false">D2148*F2148/C2148</f>
        <v>208.496004098361</v>
      </c>
      <c r="H2148" s="37" t="n">
        <f aca="false">IF(AND(A2148&gt;=Inputs!$B$13,OR(A2148&lt;Inputs!$B$19,Inputs!$B$20=1)),D2148*Inputs!$B$11/C2148,0)</f>
        <v>40.1639344262295</v>
      </c>
      <c r="I2148" s="37" t="n">
        <f aca="false">Inputs!$C$9-SUMIFS(Cash_Events!$G$6:$G$20,Cash_Events!$C$6:$C$20,"FHL",Cash_Events!$B$6:$B$20,"&lt;="&amp;A2148)</f>
        <v>735000</v>
      </c>
      <c r="J2148" s="38" t="n">
        <f aca="false">VLOOKUP(A2148,Inputs!$F$40:$G$48,2,TRUE())</f>
        <v>0.0364054</v>
      </c>
      <c r="K2148" s="38" t="n">
        <f aca="false">J2148+Inputs!$C$10</f>
        <v>0.1039054</v>
      </c>
      <c r="L2148" s="37" t="n">
        <f aca="false">I2148*K2148/C2148</f>
        <v>208.662483606557</v>
      </c>
      <c r="M2148" s="37" t="n">
        <f aca="false">IF(AND(A2148&gt;=Inputs!$C$13,OR(A2148&lt;Inputs!$B$19,Inputs!$B$20=1)),I2148*Inputs!$C$11/C2148,0)</f>
        <v>40.1639344262295</v>
      </c>
    </row>
    <row r="2149" customFormat="false" ht="15" hidden="false" customHeight="false" outlineLevel="0" collapsed="false">
      <c r="A2149" s="35" t="n">
        <f aca="false">A2148+1</f>
        <v>46956</v>
      </c>
      <c r="B2149" s="35" t="n">
        <f aca="false">EOMONTH(A2149+1,0)</f>
        <v>46965</v>
      </c>
      <c r="C2149" s="36" t="n">
        <f aca="false">IF(MOD(YEAR(A2149),4)=0,366,365)</f>
        <v>366</v>
      </c>
      <c r="D2149" s="37" t="n">
        <f aca="false">Inputs!$B$9-SUMIFS(Cash_Events!$G$6:$G$20,Cash_Events!$C$6:$C$20,"rAGMF",Cash_Events!$B$6:$B$20,"&lt;="&amp;A2149)</f>
        <v>735000</v>
      </c>
      <c r="E2149" s="38" t="n">
        <f aca="false">VLOOKUP(A2149,Inputs!$A$40:$B$48,2,TRUE())</f>
        <v>0.0363225</v>
      </c>
      <c r="F2149" s="38" t="n">
        <f aca="false">E2149+Inputs!$B$10</f>
        <v>0.1038225</v>
      </c>
      <c r="G2149" s="37" t="n">
        <f aca="false">D2149*F2149/C2149</f>
        <v>208.496004098361</v>
      </c>
      <c r="H2149" s="37" t="n">
        <f aca="false">IF(AND(A2149&gt;=Inputs!$B$13,OR(A2149&lt;Inputs!$B$19,Inputs!$B$20=1)),D2149*Inputs!$B$11/C2149,0)</f>
        <v>40.1639344262295</v>
      </c>
      <c r="I2149" s="37" t="n">
        <f aca="false">Inputs!$C$9-SUMIFS(Cash_Events!$G$6:$G$20,Cash_Events!$C$6:$C$20,"FHL",Cash_Events!$B$6:$B$20,"&lt;="&amp;A2149)</f>
        <v>735000</v>
      </c>
      <c r="J2149" s="38" t="n">
        <f aca="false">VLOOKUP(A2149,Inputs!$F$40:$G$48,2,TRUE())</f>
        <v>0.0364054</v>
      </c>
      <c r="K2149" s="38" t="n">
        <f aca="false">J2149+Inputs!$C$10</f>
        <v>0.1039054</v>
      </c>
      <c r="L2149" s="37" t="n">
        <f aca="false">I2149*K2149/C2149</f>
        <v>208.662483606557</v>
      </c>
      <c r="M2149" s="37" t="n">
        <f aca="false">IF(AND(A2149&gt;=Inputs!$C$13,OR(A2149&lt;Inputs!$B$19,Inputs!$B$20=1)),I2149*Inputs!$C$11/C2149,0)</f>
        <v>40.1639344262295</v>
      </c>
    </row>
    <row r="2150" customFormat="false" ht="15" hidden="false" customHeight="false" outlineLevel="0" collapsed="false">
      <c r="A2150" s="35" t="n">
        <f aca="false">A2149+1</f>
        <v>46957</v>
      </c>
      <c r="B2150" s="35" t="n">
        <f aca="false">EOMONTH(A2150+1,0)</f>
        <v>46965</v>
      </c>
      <c r="C2150" s="36" t="n">
        <f aca="false">IF(MOD(YEAR(A2150),4)=0,366,365)</f>
        <v>366</v>
      </c>
      <c r="D2150" s="37" t="n">
        <f aca="false">Inputs!$B$9-SUMIFS(Cash_Events!$G$6:$G$20,Cash_Events!$C$6:$C$20,"rAGMF",Cash_Events!$B$6:$B$20,"&lt;="&amp;A2150)</f>
        <v>735000</v>
      </c>
      <c r="E2150" s="38" t="n">
        <f aca="false">VLOOKUP(A2150,Inputs!$A$40:$B$48,2,TRUE())</f>
        <v>0.0363225</v>
      </c>
      <c r="F2150" s="38" t="n">
        <f aca="false">E2150+Inputs!$B$10</f>
        <v>0.1038225</v>
      </c>
      <c r="G2150" s="37" t="n">
        <f aca="false">D2150*F2150/C2150</f>
        <v>208.496004098361</v>
      </c>
      <c r="H2150" s="37" t="n">
        <f aca="false">IF(AND(A2150&gt;=Inputs!$B$13,OR(A2150&lt;Inputs!$B$19,Inputs!$B$20=1)),D2150*Inputs!$B$11/C2150,0)</f>
        <v>40.1639344262295</v>
      </c>
      <c r="I2150" s="37" t="n">
        <f aca="false">Inputs!$C$9-SUMIFS(Cash_Events!$G$6:$G$20,Cash_Events!$C$6:$C$20,"FHL",Cash_Events!$B$6:$B$20,"&lt;="&amp;A2150)</f>
        <v>735000</v>
      </c>
      <c r="J2150" s="38" t="n">
        <f aca="false">VLOOKUP(A2150,Inputs!$F$40:$G$48,2,TRUE())</f>
        <v>0.0364054</v>
      </c>
      <c r="K2150" s="38" t="n">
        <f aca="false">J2150+Inputs!$C$10</f>
        <v>0.1039054</v>
      </c>
      <c r="L2150" s="37" t="n">
        <f aca="false">I2150*K2150/C2150</f>
        <v>208.662483606557</v>
      </c>
      <c r="M2150" s="37" t="n">
        <f aca="false">IF(AND(A2150&gt;=Inputs!$C$13,OR(A2150&lt;Inputs!$B$19,Inputs!$B$20=1)),I2150*Inputs!$C$11/C2150,0)</f>
        <v>40.1639344262295</v>
      </c>
    </row>
    <row r="2151" customFormat="false" ht="15" hidden="false" customHeight="false" outlineLevel="0" collapsed="false">
      <c r="A2151" s="35" t="n">
        <f aca="false">A2150+1</f>
        <v>46958</v>
      </c>
      <c r="B2151" s="35" t="n">
        <f aca="false">EOMONTH(A2151+1,0)</f>
        <v>46965</v>
      </c>
      <c r="C2151" s="36" t="n">
        <f aca="false">IF(MOD(YEAR(A2151),4)=0,366,365)</f>
        <v>366</v>
      </c>
      <c r="D2151" s="37" t="n">
        <f aca="false">Inputs!$B$9-SUMIFS(Cash_Events!$G$6:$G$20,Cash_Events!$C$6:$C$20,"rAGMF",Cash_Events!$B$6:$B$20,"&lt;="&amp;A2151)</f>
        <v>735000</v>
      </c>
      <c r="E2151" s="38" t="n">
        <f aca="false">VLOOKUP(A2151,Inputs!$A$40:$B$48,2,TRUE())</f>
        <v>0.0363225</v>
      </c>
      <c r="F2151" s="38" t="n">
        <f aca="false">E2151+Inputs!$B$10</f>
        <v>0.1038225</v>
      </c>
      <c r="G2151" s="37" t="n">
        <f aca="false">D2151*F2151/C2151</f>
        <v>208.496004098361</v>
      </c>
      <c r="H2151" s="37" t="n">
        <f aca="false">IF(AND(A2151&gt;=Inputs!$B$13,OR(A2151&lt;Inputs!$B$19,Inputs!$B$20=1)),D2151*Inputs!$B$11/C2151,0)</f>
        <v>40.1639344262295</v>
      </c>
      <c r="I2151" s="37" t="n">
        <f aca="false">Inputs!$C$9-SUMIFS(Cash_Events!$G$6:$G$20,Cash_Events!$C$6:$C$20,"FHL",Cash_Events!$B$6:$B$20,"&lt;="&amp;A2151)</f>
        <v>735000</v>
      </c>
      <c r="J2151" s="38" t="n">
        <f aca="false">VLOOKUP(A2151,Inputs!$F$40:$G$48,2,TRUE())</f>
        <v>0.0364054</v>
      </c>
      <c r="K2151" s="38" t="n">
        <f aca="false">J2151+Inputs!$C$10</f>
        <v>0.1039054</v>
      </c>
      <c r="L2151" s="37" t="n">
        <f aca="false">I2151*K2151/C2151</f>
        <v>208.662483606557</v>
      </c>
      <c r="M2151" s="37" t="n">
        <f aca="false">IF(AND(A2151&gt;=Inputs!$C$13,OR(A2151&lt;Inputs!$B$19,Inputs!$B$20=1)),I2151*Inputs!$C$11/C2151,0)</f>
        <v>40.1639344262295</v>
      </c>
    </row>
    <row r="2152" customFormat="false" ht="15" hidden="false" customHeight="false" outlineLevel="0" collapsed="false">
      <c r="A2152" s="35" t="n">
        <f aca="false">A2151+1</f>
        <v>46959</v>
      </c>
      <c r="B2152" s="35" t="n">
        <f aca="false">EOMONTH(A2152+1,0)</f>
        <v>46965</v>
      </c>
      <c r="C2152" s="36" t="n">
        <f aca="false">IF(MOD(YEAR(A2152),4)=0,366,365)</f>
        <v>366</v>
      </c>
      <c r="D2152" s="37" t="n">
        <f aca="false">Inputs!$B$9-SUMIFS(Cash_Events!$G$6:$G$20,Cash_Events!$C$6:$C$20,"rAGMF",Cash_Events!$B$6:$B$20,"&lt;="&amp;A2152)</f>
        <v>735000</v>
      </c>
      <c r="E2152" s="38" t="n">
        <f aca="false">VLOOKUP(A2152,Inputs!$A$40:$B$48,2,TRUE())</f>
        <v>0.0363225</v>
      </c>
      <c r="F2152" s="38" t="n">
        <f aca="false">E2152+Inputs!$B$10</f>
        <v>0.1038225</v>
      </c>
      <c r="G2152" s="37" t="n">
        <f aca="false">D2152*F2152/C2152</f>
        <v>208.496004098361</v>
      </c>
      <c r="H2152" s="37" t="n">
        <f aca="false">IF(AND(A2152&gt;=Inputs!$B$13,OR(A2152&lt;Inputs!$B$19,Inputs!$B$20=1)),D2152*Inputs!$B$11/C2152,0)</f>
        <v>40.1639344262295</v>
      </c>
      <c r="I2152" s="37" t="n">
        <f aca="false">Inputs!$C$9-SUMIFS(Cash_Events!$G$6:$G$20,Cash_Events!$C$6:$C$20,"FHL",Cash_Events!$B$6:$B$20,"&lt;="&amp;A2152)</f>
        <v>735000</v>
      </c>
      <c r="J2152" s="38" t="n">
        <f aca="false">VLOOKUP(A2152,Inputs!$F$40:$G$48,2,TRUE())</f>
        <v>0.0364054</v>
      </c>
      <c r="K2152" s="38" t="n">
        <f aca="false">J2152+Inputs!$C$10</f>
        <v>0.1039054</v>
      </c>
      <c r="L2152" s="37" t="n">
        <f aca="false">I2152*K2152/C2152</f>
        <v>208.662483606557</v>
      </c>
      <c r="M2152" s="37" t="n">
        <f aca="false">IF(AND(A2152&gt;=Inputs!$C$13,OR(A2152&lt;Inputs!$B$19,Inputs!$B$20=1)),I2152*Inputs!$C$11/C2152,0)</f>
        <v>40.1639344262295</v>
      </c>
    </row>
    <row r="2153" customFormat="false" ht="15" hidden="false" customHeight="false" outlineLevel="0" collapsed="false">
      <c r="A2153" s="35" t="n">
        <f aca="false">A2152+1</f>
        <v>46960</v>
      </c>
      <c r="B2153" s="35" t="n">
        <f aca="false">EOMONTH(A2153+1,0)</f>
        <v>46965</v>
      </c>
      <c r="C2153" s="36" t="n">
        <f aca="false">IF(MOD(YEAR(A2153),4)=0,366,365)</f>
        <v>366</v>
      </c>
      <c r="D2153" s="37" t="n">
        <f aca="false">Inputs!$B$9-SUMIFS(Cash_Events!$G$6:$G$20,Cash_Events!$C$6:$C$20,"rAGMF",Cash_Events!$B$6:$B$20,"&lt;="&amp;A2153)</f>
        <v>735000</v>
      </c>
      <c r="E2153" s="38" t="n">
        <f aca="false">VLOOKUP(A2153,Inputs!$A$40:$B$48,2,TRUE())</f>
        <v>0.0363225</v>
      </c>
      <c r="F2153" s="38" t="n">
        <f aca="false">E2153+Inputs!$B$10</f>
        <v>0.1038225</v>
      </c>
      <c r="G2153" s="37" t="n">
        <f aca="false">D2153*F2153/C2153</f>
        <v>208.496004098361</v>
      </c>
      <c r="H2153" s="37" t="n">
        <f aca="false">IF(AND(A2153&gt;=Inputs!$B$13,OR(A2153&lt;Inputs!$B$19,Inputs!$B$20=1)),D2153*Inputs!$B$11/C2153,0)</f>
        <v>40.1639344262295</v>
      </c>
      <c r="I2153" s="37" t="n">
        <f aca="false">Inputs!$C$9-SUMIFS(Cash_Events!$G$6:$G$20,Cash_Events!$C$6:$C$20,"FHL",Cash_Events!$B$6:$B$20,"&lt;="&amp;A2153)</f>
        <v>735000</v>
      </c>
      <c r="J2153" s="38" t="n">
        <f aca="false">VLOOKUP(A2153,Inputs!$F$40:$G$48,2,TRUE())</f>
        <v>0.0364054</v>
      </c>
      <c r="K2153" s="38" t="n">
        <f aca="false">J2153+Inputs!$C$10</f>
        <v>0.1039054</v>
      </c>
      <c r="L2153" s="37" t="n">
        <f aca="false">I2153*K2153/C2153</f>
        <v>208.662483606557</v>
      </c>
      <c r="M2153" s="37" t="n">
        <f aca="false">IF(AND(A2153&gt;=Inputs!$C$13,OR(A2153&lt;Inputs!$B$19,Inputs!$B$20=1)),I2153*Inputs!$C$11/C2153,0)</f>
        <v>40.1639344262295</v>
      </c>
    </row>
    <row r="2154" customFormat="false" ht="15" hidden="false" customHeight="false" outlineLevel="0" collapsed="false">
      <c r="A2154" s="35" t="n">
        <f aca="false">A2153+1</f>
        <v>46961</v>
      </c>
      <c r="B2154" s="35" t="n">
        <f aca="false">EOMONTH(A2154+1,0)</f>
        <v>46965</v>
      </c>
      <c r="C2154" s="36" t="n">
        <f aca="false">IF(MOD(YEAR(A2154),4)=0,366,365)</f>
        <v>366</v>
      </c>
      <c r="D2154" s="37" t="n">
        <f aca="false">Inputs!$B$9-SUMIFS(Cash_Events!$G$6:$G$20,Cash_Events!$C$6:$C$20,"rAGMF",Cash_Events!$B$6:$B$20,"&lt;="&amp;A2154)</f>
        <v>735000</v>
      </c>
      <c r="E2154" s="38" t="n">
        <f aca="false">VLOOKUP(A2154,Inputs!$A$40:$B$48,2,TRUE())</f>
        <v>0.0363225</v>
      </c>
      <c r="F2154" s="38" t="n">
        <f aca="false">E2154+Inputs!$B$10</f>
        <v>0.1038225</v>
      </c>
      <c r="G2154" s="37" t="n">
        <f aca="false">D2154*F2154/C2154</f>
        <v>208.496004098361</v>
      </c>
      <c r="H2154" s="37" t="n">
        <f aca="false">IF(AND(A2154&gt;=Inputs!$B$13,OR(A2154&lt;Inputs!$B$19,Inputs!$B$20=1)),D2154*Inputs!$B$11/C2154,0)</f>
        <v>40.1639344262295</v>
      </c>
      <c r="I2154" s="37" t="n">
        <f aca="false">Inputs!$C$9-SUMIFS(Cash_Events!$G$6:$G$20,Cash_Events!$C$6:$C$20,"FHL",Cash_Events!$B$6:$B$20,"&lt;="&amp;A2154)</f>
        <v>735000</v>
      </c>
      <c r="J2154" s="38" t="n">
        <f aca="false">VLOOKUP(A2154,Inputs!$F$40:$G$48,2,TRUE())</f>
        <v>0.0364054</v>
      </c>
      <c r="K2154" s="38" t="n">
        <f aca="false">J2154+Inputs!$C$10</f>
        <v>0.1039054</v>
      </c>
      <c r="L2154" s="37" t="n">
        <f aca="false">I2154*K2154/C2154</f>
        <v>208.662483606557</v>
      </c>
      <c r="M2154" s="37" t="n">
        <f aca="false">IF(AND(A2154&gt;=Inputs!$C$13,OR(A2154&lt;Inputs!$B$19,Inputs!$B$20=1)),I2154*Inputs!$C$11/C2154,0)</f>
        <v>40.1639344262295</v>
      </c>
    </row>
    <row r="2155" customFormat="false" ht="15" hidden="false" customHeight="false" outlineLevel="0" collapsed="false">
      <c r="A2155" s="35" t="n">
        <f aca="false">A2154+1</f>
        <v>46962</v>
      </c>
      <c r="B2155" s="35" t="n">
        <f aca="false">EOMONTH(A2155+1,0)</f>
        <v>46965</v>
      </c>
      <c r="C2155" s="36" t="n">
        <f aca="false">IF(MOD(YEAR(A2155),4)=0,366,365)</f>
        <v>366</v>
      </c>
      <c r="D2155" s="37" t="n">
        <f aca="false">Inputs!$B$9-SUMIFS(Cash_Events!$G$6:$G$20,Cash_Events!$C$6:$C$20,"rAGMF",Cash_Events!$B$6:$B$20,"&lt;="&amp;A2155)</f>
        <v>735000</v>
      </c>
      <c r="E2155" s="38" t="n">
        <f aca="false">VLOOKUP(A2155,Inputs!$A$40:$B$48,2,TRUE())</f>
        <v>0.0363225</v>
      </c>
      <c r="F2155" s="38" t="n">
        <f aca="false">E2155+Inputs!$B$10</f>
        <v>0.1038225</v>
      </c>
      <c r="G2155" s="37" t="n">
        <f aca="false">D2155*F2155/C2155</f>
        <v>208.496004098361</v>
      </c>
      <c r="H2155" s="37" t="n">
        <f aca="false">IF(AND(A2155&gt;=Inputs!$B$13,OR(A2155&lt;Inputs!$B$19,Inputs!$B$20=1)),D2155*Inputs!$B$11/C2155,0)</f>
        <v>40.1639344262295</v>
      </c>
      <c r="I2155" s="37" t="n">
        <f aca="false">Inputs!$C$9-SUMIFS(Cash_Events!$G$6:$G$20,Cash_Events!$C$6:$C$20,"FHL",Cash_Events!$B$6:$B$20,"&lt;="&amp;A2155)</f>
        <v>735000</v>
      </c>
      <c r="J2155" s="38" t="n">
        <f aca="false">VLOOKUP(A2155,Inputs!$F$40:$G$48,2,TRUE())</f>
        <v>0.0364054</v>
      </c>
      <c r="K2155" s="38" t="n">
        <f aca="false">J2155+Inputs!$C$10</f>
        <v>0.1039054</v>
      </c>
      <c r="L2155" s="37" t="n">
        <f aca="false">I2155*K2155/C2155</f>
        <v>208.662483606557</v>
      </c>
      <c r="M2155" s="37" t="n">
        <f aca="false">IF(AND(A2155&gt;=Inputs!$C$13,OR(A2155&lt;Inputs!$B$19,Inputs!$B$20=1)),I2155*Inputs!$C$11/C2155,0)</f>
        <v>40.1639344262295</v>
      </c>
    </row>
    <row r="2156" customFormat="false" ht="15" hidden="false" customHeight="false" outlineLevel="0" collapsed="false">
      <c r="A2156" s="35" t="n">
        <f aca="false">A2155+1</f>
        <v>46963</v>
      </c>
      <c r="B2156" s="35" t="n">
        <f aca="false">EOMONTH(A2156+1,0)</f>
        <v>46965</v>
      </c>
      <c r="C2156" s="36" t="n">
        <f aca="false">IF(MOD(YEAR(A2156),4)=0,366,365)</f>
        <v>366</v>
      </c>
      <c r="D2156" s="37" t="n">
        <f aca="false">Inputs!$B$9-SUMIFS(Cash_Events!$G$6:$G$20,Cash_Events!$C$6:$C$20,"rAGMF",Cash_Events!$B$6:$B$20,"&lt;="&amp;A2156)</f>
        <v>735000</v>
      </c>
      <c r="E2156" s="38" t="n">
        <f aca="false">VLOOKUP(A2156,Inputs!$A$40:$B$48,2,TRUE())</f>
        <v>0.0363225</v>
      </c>
      <c r="F2156" s="38" t="n">
        <f aca="false">E2156+Inputs!$B$10</f>
        <v>0.1038225</v>
      </c>
      <c r="G2156" s="37" t="n">
        <f aca="false">D2156*F2156/C2156</f>
        <v>208.496004098361</v>
      </c>
      <c r="H2156" s="37" t="n">
        <f aca="false">IF(AND(A2156&gt;=Inputs!$B$13,OR(A2156&lt;Inputs!$B$19,Inputs!$B$20=1)),D2156*Inputs!$B$11/C2156,0)</f>
        <v>40.1639344262295</v>
      </c>
      <c r="I2156" s="37" t="n">
        <f aca="false">Inputs!$C$9-SUMIFS(Cash_Events!$G$6:$G$20,Cash_Events!$C$6:$C$20,"FHL",Cash_Events!$B$6:$B$20,"&lt;="&amp;A2156)</f>
        <v>735000</v>
      </c>
      <c r="J2156" s="38" t="n">
        <f aca="false">VLOOKUP(A2156,Inputs!$F$40:$G$48,2,TRUE())</f>
        <v>0.0364054</v>
      </c>
      <c r="K2156" s="38" t="n">
        <f aca="false">J2156+Inputs!$C$10</f>
        <v>0.1039054</v>
      </c>
      <c r="L2156" s="37" t="n">
        <f aca="false">I2156*K2156/C2156</f>
        <v>208.662483606557</v>
      </c>
      <c r="M2156" s="37" t="n">
        <f aca="false">IF(AND(A2156&gt;=Inputs!$C$13,OR(A2156&lt;Inputs!$B$19,Inputs!$B$20=1)),I2156*Inputs!$C$11/C2156,0)</f>
        <v>40.1639344262295</v>
      </c>
    </row>
    <row r="2157" customFormat="false" ht="15" hidden="false" customHeight="false" outlineLevel="0" collapsed="false">
      <c r="A2157" s="35" t="n">
        <f aca="false">A2156+1</f>
        <v>46964</v>
      </c>
      <c r="B2157" s="35" t="n">
        <f aca="false">EOMONTH(A2157+1,0)</f>
        <v>46965</v>
      </c>
      <c r="C2157" s="36" t="n">
        <f aca="false">IF(MOD(YEAR(A2157),4)=0,366,365)</f>
        <v>366</v>
      </c>
      <c r="D2157" s="37" t="n">
        <f aca="false">Inputs!$B$9-SUMIFS(Cash_Events!$G$6:$G$20,Cash_Events!$C$6:$C$20,"rAGMF",Cash_Events!$B$6:$B$20,"&lt;="&amp;A2157)</f>
        <v>735000</v>
      </c>
      <c r="E2157" s="38" t="n">
        <f aca="false">VLOOKUP(A2157,Inputs!$A$40:$B$48,2,TRUE())</f>
        <v>0.0363225</v>
      </c>
      <c r="F2157" s="38" t="n">
        <f aca="false">E2157+Inputs!$B$10</f>
        <v>0.1038225</v>
      </c>
      <c r="G2157" s="37" t="n">
        <f aca="false">D2157*F2157/C2157</f>
        <v>208.496004098361</v>
      </c>
      <c r="H2157" s="37" t="n">
        <f aca="false">IF(AND(A2157&gt;=Inputs!$B$13,OR(A2157&lt;Inputs!$B$19,Inputs!$B$20=1)),D2157*Inputs!$B$11/C2157,0)</f>
        <v>40.1639344262295</v>
      </c>
      <c r="I2157" s="37" t="n">
        <f aca="false">Inputs!$C$9-SUMIFS(Cash_Events!$G$6:$G$20,Cash_Events!$C$6:$C$20,"FHL",Cash_Events!$B$6:$B$20,"&lt;="&amp;A2157)</f>
        <v>735000</v>
      </c>
      <c r="J2157" s="38" t="n">
        <f aca="false">VLOOKUP(A2157,Inputs!$F$40:$G$48,2,TRUE())</f>
        <v>0.0364054</v>
      </c>
      <c r="K2157" s="38" t="n">
        <f aca="false">J2157+Inputs!$C$10</f>
        <v>0.1039054</v>
      </c>
      <c r="L2157" s="37" t="n">
        <f aca="false">I2157*K2157/C2157</f>
        <v>208.662483606557</v>
      </c>
      <c r="M2157" s="37" t="n">
        <f aca="false">IF(AND(A2157&gt;=Inputs!$C$13,OR(A2157&lt;Inputs!$B$19,Inputs!$B$20=1)),I2157*Inputs!$C$11/C2157,0)</f>
        <v>40.1639344262295</v>
      </c>
    </row>
    <row r="2158" customFormat="false" ht="15" hidden="false" customHeight="false" outlineLevel="0" collapsed="false">
      <c r="A2158" s="35" t="n">
        <f aca="false">A2157+1</f>
        <v>46965</v>
      </c>
      <c r="B2158" s="35" t="n">
        <f aca="false">EOMONTH(A2158+1,0)</f>
        <v>46996</v>
      </c>
      <c r="C2158" s="36" t="n">
        <f aca="false">IF(MOD(YEAR(A2158),4)=0,366,365)</f>
        <v>366</v>
      </c>
      <c r="D2158" s="37" t="n">
        <f aca="false">Inputs!$B$9-SUMIFS(Cash_Events!$G$6:$G$20,Cash_Events!$C$6:$C$20,"rAGMF",Cash_Events!$B$6:$B$20,"&lt;="&amp;A2158)</f>
        <v>735000</v>
      </c>
      <c r="E2158" s="38" t="n">
        <f aca="false">VLOOKUP(A2158,Inputs!$A$40:$B$48,2,TRUE())</f>
        <v>0.0363225</v>
      </c>
      <c r="F2158" s="38" t="n">
        <f aca="false">E2158+Inputs!$B$10</f>
        <v>0.1038225</v>
      </c>
      <c r="G2158" s="37" t="n">
        <f aca="false">D2158*F2158/C2158</f>
        <v>208.496004098361</v>
      </c>
      <c r="H2158" s="37" t="n">
        <f aca="false">IF(AND(A2158&gt;=Inputs!$B$13,OR(A2158&lt;Inputs!$B$19,Inputs!$B$20=1)),D2158*Inputs!$B$11/C2158,0)</f>
        <v>40.1639344262295</v>
      </c>
      <c r="I2158" s="37" t="n">
        <f aca="false">Inputs!$C$9-SUMIFS(Cash_Events!$G$6:$G$20,Cash_Events!$C$6:$C$20,"FHL",Cash_Events!$B$6:$B$20,"&lt;="&amp;A2158)</f>
        <v>735000</v>
      </c>
      <c r="J2158" s="38" t="n">
        <f aca="false">VLOOKUP(A2158,Inputs!$F$40:$G$48,2,TRUE())</f>
        <v>0.0364054</v>
      </c>
      <c r="K2158" s="38" t="n">
        <f aca="false">J2158+Inputs!$C$10</f>
        <v>0.1039054</v>
      </c>
      <c r="L2158" s="37" t="n">
        <f aca="false">I2158*K2158/C2158</f>
        <v>208.662483606557</v>
      </c>
      <c r="M2158" s="37" t="n">
        <f aca="false">IF(AND(A2158&gt;=Inputs!$C$13,OR(A2158&lt;Inputs!$B$19,Inputs!$B$20=1)),I2158*Inputs!$C$11/C2158,0)</f>
        <v>40.1639344262295</v>
      </c>
    </row>
    <row r="2159" customFormat="false" ht="15" hidden="false" customHeight="false" outlineLevel="0" collapsed="false">
      <c r="A2159" s="35" t="n">
        <f aca="false">A2158+1</f>
        <v>46966</v>
      </c>
      <c r="B2159" s="35" t="n">
        <f aca="false">EOMONTH(A2159+1,0)</f>
        <v>46996</v>
      </c>
      <c r="C2159" s="36" t="n">
        <f aca="false">IF(MOD(YEAR(A2159),4)=0,366,365)</f>
        <v>366</v>
      </c>
      <c r="D2159" s="37" t="n">
        <f aca="false">Inputs!$B$9-SUMIFS(Cash_Events!$G$6:$G$20,Cash_Events!$C$6:$C$20,"rAGMF",Cash_Events!$B$6:$B$20,"&lt;="&amp;A2159)</f>
        <v>735000</v>
      </c>
      <c r="E2159" s="38" t="n">
        <f aca="false">VLOOKUP(A2159,Inputs!$A$40:$B$48,2,TRUE())</f>
        <v>0.0363225</v>
      </c>
      <c r="F2159" s="38" t="n">
        <f aca="false">E2159+Inputs!$B$10</f>
        <v>0.1038225</v>
      </c>
      <c r="G2159" s="37" t="n">
        <f aca="false">D2159*F2159/C2159</f>
        <v>208.496004098361</v>
      </c>
      <c r="H2159" s="37" t="n">
        <f aca="false">IF(AND(A2159&gt;=Inputs!$B$13,OR(A2159&lt;Inputs!$B$19,Inputs!$B$20=1)),D2159*Inputs!$B$11/C2159,0)</f>
        <v>40.1639344262295</v>
      </c>
      <c r="I2159" s="37" t="n">
        <f aca="false">Inputs!$C$9-SUMIFS(Cash_Events!$G$6:$G$20,Cash_Events!$C$6:$C$20,"FHL",Cash_Events!$B$6:$B$20,"&lt;="&amp;A2159)</f>
        <v>735000</v>
      </c>
      <c r="J2159" s="38" t="n">
        <f aca="false">VLOOKUP(A2159,Inputs!$F$40:$G$48,2,TRUE())</f>
        <v>0.0364054</v>
      </c>
      <c r="K2159" s="38" t="n">
        <f aca="false">J2159+Inputs!$C$10</f>
        <v>0.1039054</v>
      </c>
      <c r="L2159" s="37" t="n">
        <f aca="false">I2159*K2159/C2159</f>
        <v>208.662483606557</v>
      </c>
      <c r="M2159" s="37" t="n">
        <f aca="false">IF(AND(A2159&gt;=Inputs!$C$13,OR(A2159&lt;Inputs!$B$19,Inputs!$B$20=1)),I2159*Inputs!$C$11/C2159,0)</f>
        <v>40.1639344262295</v>
      </c>
    </row>
    <row r="2160" customFormat="false" ht="15" hidden="false" customHeight="false" outlineLevel="0" collapsed="false">
      <c r="A2160" s="35" t="n">
        <f aca="false">A2159+1</f>
        <v>46967</v>
      </c>
      <c r="B2160" s="35" t="n">
        <f aca="false">EOMONTH(A2160+1,0)</f>
        <v>46996</v>
      </c>
      <c r="C2160" s="36" t="n">
        <f aca="false">IF(MOD(YEAR(A2160),4)=0,366,365)</f>
        <v>366</v>
      </c>
      <c r="D2160" s="37" t="n">
        <f aca="false">Inputs!$B$9-SUMIFS(Cash_Events!$G$6:$G$20,Cash_Events!$C$6:$C$20,"rAGMF",Cash_Events!$B$6:$B$20,"&lt;="&amp;A2160)</f>
        <v>735000</v>
      </c>
      <c r="E2160" s="38" t="n">
        <f aca="false">VLOOKUP(A2160,Inputs!$A$40:$B$48,2,TRUE())</f>
        <v>0.0363225</v>
      </c>
      <c r="F2160" s="38" t="n">
        <f aca="false">E2160+Inputs!$B$10</f>
        <v>0.1038225</v>
      </c>
      <c r="G2160" s="37" t="n">
        <f aca="false">D2160*F2160/C2160</f>
        <v>208.496004098361</v>
      </c>
      <c r="H2160" s="37" t="n">
        <f aca="false">IF(AND(A2160&gt;=Inputs!$B$13,OR(A2160&lt;Inputs!$B$19,Inputs!$B$20=1)),D2160*Inputs!$B$11/C2160,0)</f>
        <v>40.1639344262295</v>
      </c>
      <c r="I2160" s="37" t="n">
        <f aca="false">Inputs!$C$9-SUMIFS(Cash_Events!$G$6:$G$20,Cash_Events!$C$6:$C$20,"FHL",Cash_Events!$B$6:$B$20,"&lt;="&amp;A2160)</f>
        <v>735000</v>
      </c>
      <c r="J2160" s="38" t="n">
        <f aca="false">VLOOKUP(A2160,Inputs!$F$40:$G$48,2,TRUE())</f>
        <v>0.0364054</v>
      </c>
      <c r="K2160" s="38" t="n">
        <f aca="false">J2160+Inputs!$C$10</f>
        <v>0.1039054</v>
      </c>
      <c r="L2160" s="37" t="n">
        <f aca="false">I2160*K2160/C2160</f>
        <v>208.662483606557</v>
      </c>
      <c r="M2160" s="37" t="n">
        <f aca="false">IF(AND(A2160&gt;=Inputs!$C$13,OR(A2160&lt;Inputs!$B$19,Inputs!$B$20=1)),I2160*Inputs!$C$11/C2160,0)</f>
        <v>40.1639344262295</v>
      </c>
    </row>
    <row r="2161" customFormat="false" ht="15" hidden="false" customHeight="false" outlineLevel="0" collapsed="false">
      <c r="A2161" s="35" t="n">
        <f aca="false">A2160+1</f>
        <v>46968</v>
      </c>
      <c r="B2161" s="35" t="n">
        <f aca="false">EOMONTH(A2161+1,0)</f>
        <v>46996</v>
      </c>
      <c r="C2161" s="36" t="n">
        <f aca="false">IF(MOD(YEAR(A2161),4)=0,366,365)</f>
        <v>366</v>
      </c>
      <c r="D2161" s="37" t="n">
        <f aca="false">Inputs!$B$9-SUMIFS(Cash_Events!$G$6:$G$20,Cash_Events!$C$6:$C$20,"rAGMF",Cash_Events!$B$6:$B$20,"&lt;="&amp;A2161)</f>
        <v>735000</v>
      </c>
      <c r="E2161" s="38" t="n">
        <f aca="false">VLOOKUP(A2161,Inputs!$A$40:$B$48,2,TRUE())</f>
        <v>0.0363225</v>
      </c>
      <c r="F2161" s="38" t="n">
        <f aca="false">E2161+Inputs!$B$10</f>
        <v>0.1038225</v>
      </c>
      <c r="G2161" s="37" t="n">
        <f aca="false">D2161*F2161/C2161</f>
        <v>208.496004098361</v>
      </c>
      <c r="H2161" s="37" t="n">
        <f aca="false">IF(AND(A2161&gt;=Inputs!$B$13,OR(A2161&lt;Inputs!$B$19,Inputs!$B$20=1)),D2161*Inputs!$B$11/C2161,0)</f>
        <v>40.1639344262295</v>
      </c>
      <c r="I2161" s="37" t="n">
        <f aca="false">Inputs!$C$9-SUMIFS(Cash_Events!$G$6:$G$20,Cash_Events!$C$6:$C$20,"FHL",Cash_Events!$B$6:$B$20,"&lt;="&amp;A2161)</f>
        <v>735000</v>
      </c>
      <c r="J2161" s="38" t="n">
        <f aca="false">VLOOKUP(A2161,Inputs!$F$40:$G$48,2,TRUE())</f>
        <v>0.0364054</v>
      </c>
      <c r="K2161" s="38" t="n">
        <f aca="false">J2161+Inputs!$C$10</f>
        <v>0.1039054</v>
      </c>
      <c r="L2161" s="37" t="n">
        <f aca="false">I2161*K2161/C2161</f>
        <v>208.662483606557</v>
      </c>
      <c r="M2161" s="37" t="n">
        <f aca="false">IF(AND(A2161&gt;=Inputs!$C$13,OR(A2161&lt;Inputs!$B$19,Inputs!$B$20=1)),I2161*Inputs!$C$11/C2161,0)</f>
        <v>40.1639344262295</v>
      </c>
    </row>
    <row r="2162" customFormat="false" ht="15" hidden="false" customHeight="false" outlineLevel="0" collapsed="false">
      <c r="A2162" s="35" t="n">
        <f aca="false">A2161+1</f>
        <v>46969</v>
      </c>
      <c r="B2162" s="35" t="n">
        <f aca="false">EOMONTH(A2162+1,0)</f>
        <v>46996</v>
      </c>
      <c r="C2162" s="36" t="n">
        <f aca="false">IF(MOD(YEAR(A2162),4)=0,366,365)</f>
        <v>366</v>
      </c>
      <c r="D2162" s="37" t="n">
        <f aca="false">Inputs!$B$9-SUMIFS(Cash_Events!$G$6:$G$20,Cash_Events!$C$6:$C$20,"rAGMF",Cash_Events!$B$6:$B$20,"&lt;="&amp;A2162)</f>
        <v>735000</v>
      </c>
      <c r="E2162" s="38" t="n">
        <f aca="false">VLOOKUP(A2162,Inputs!$A$40:$B$48,2,TRUE())</f>
        <v>0.0363225</v>
      </c>
      <c r="F2162" s="38" t="n">
        <f aca="false">E2162+Inputs!$B$10</f>
        <v>0.1038225</v>
      </c>
      <c r="G2162" s="37" t="n">
        <f aca="false">D2162*F2162/C2162</f>
        <v>208.496004098361</v>
      </c>
      <c r="H2162" s="37" t="n">
        <f aca="false">IF(AND(A2162&gt;=Inputs!$B$13,OR(A2162&lt;Inputs!$B$19,Inputs!$B$20=1)),D2162*Inputs!$B$11/C2162,0)</f>
        <v>40.1639344262295</v>
      </c>
      <c r="I2162" s="37" t="n">
        <f aca="false">Inputs!$C$9-SUMIFS(Cash_Events!$G$6:$G$20,Cash_Events!$C$6:$C$20,"FHL",Cash_Events!$B$6:$B$20,"&lt;="&amp;A2162)</f>
        <v>735000</v>
      </c>
      <c r="J2162" s="38" t="n">
        <f aca="false">VLOOKUP(A2162,Inputs!$F$40:$G$48,2,TRUE())</f>
        <v>0.0364054</v>
      </c>
      <c r="K2162" s="38" t="n">
        <f aca="false">J2162+Inputs!$C$10</f>
        <v>0.1039054</v>
      </c>
      <c r="L2162" s="37" t="n">
        <f aca="false">I2162*K2162/C2162</f>
        <v>208.662483606557</v>
      </c>
      <c r="M2162" s="37" t="n">
        <f aca="false">IF(AND(A2162&gt;=Inputs!$C$13,OR(A2162&lt;Inputs!$B$19,Inputs!$B$20=1)),I2162*Inputs!$C$11/C2162,0)</f>
        <v>40.1639344262295</v>
      </c>
    </row>
    <row r="2163" customFormat="false" ht="15" hidden="false" customHeight="false" outlineLevel="0" collapsed="false">
      <c r="A2163" s="35" t="n">
        <f aca="false">A2162+1</f>
        <v>46970</v>
      </c>
      <c r="B2163" s="35" t="n">
        <f aca="false">EOMONTH(A2163+1,0)</f>
        <v>46996</v>
      </c>
      <c r="C2163" s="36" t="n">
        <f aca="false">IF(MOD(YEAR(A2163),4)=0,366,365)</f>
        <v>366</v>
      </c>
      <c r="D2163" s="37" t="n">
        <f aca="false">Inputs!$B$9-SUMIFS(Cash_Events!$G$6:$G$20,Cash_Events!$C$6:$C$20,"rAGMF",Cash_Events!$B$6:$B$20,"&lt;="&amp;A2163)</f>
        <v>735000</v>
      </c>
      <c r="E2163" s="38" t="n">
        <f aca="false">VLOOKUP(A2163,Inputs!$A$40:$B$48,2,TRUE())</f>
        <v>0.0363225</v>
      </c>
      <c r="F2163" s="38" t="n">
        <f aca="false">E2163+Inputs!$B$10</f>
        <v>0.1038225</v>
      </c>
      <c r="G2163" s="37" t="n">
        <f aca="false">D2163*F2163/C2163</f>
        <v>208.496004098361</v>
      </c>
      <c r="H2163" s="37" t="n">
        <f aca="false">IF(AND(A2163&gt;=Inputs!$B$13,OR(A2163&lt;Inputs!$B$19,Inputs!$B$20=1)),D2163*Inputs!$B$11/C2163,0)</f>
        <v>40.1639344262295</v>
      </c>
      <c r="I2163" s="37" t="n">
        <f aca="false">Inputs!$C$9-SUMIFS(Cash_Events!$G$6:$G$20,Cash_Events!$C$6:$C$20,"FHL",Cash_Events!$B$6:$B$20,"&lt;="&amp;A2163)</f>
        <v>735000</v>
      </c>
      <c r="J2163" s="38" t="n">
        <f aca="false">VLOOKUP(A2163,Inputs!$F$40:$G$48,2,TRUE())</f>
        <v>0.0364054</v>
      </c>
      <c r="K2163" s="38" t="n">
        <f aca="false">J2163+Inputs!$C$10</f>
        <v>0.1039054</v>
      </c>
      <c r="L2163" s="37" t="n">
        <f aca="false">I2163*K2163/C2163</f>
        <v>208.662483606557</v>
      </c>
      <c r="M2163" s="37" t="n">
        <f aca="false">IF(AND(A2163&gt;=Inputs!$C$13,OR(A2163&lt;Inputs!$B$19,Inputs!$B$20=1)),I2163*Inputs!$C$11/C2163,0)</f>
        <v>40.1639344262295</v>
      </c>
    </row>
    <row r="2164" customFormat="false" ht="15" hidden="false" customHeight="false" outlineLevel="0" collapsed="false">
      <c r="A2164" s="35" t="n">
        <f aca="false">A2163+1</f>
        <v>46971</v>
      </c>
      <c r="B2164" s="35" t="n">
        <f aca="false">EOMONTH(A2164+1,0)</f>
        <v>46996</v>
      </c>
      <c r="C2164" s="36" t="n">
        <f aca="false">IF(MOD(YEAR(A2164),4)=0,366,365)</f>
        <v>366</v>
      </c>
      <c r="D2164" s="37" t="n">
        <f aca="false">Inputs!$B$9-SUMIFS(Cash_Events!$G$6:$G$20,Cash_Events!$C$6:$C$20,"rAGMF",Cash_Events!$B$6:$B$20,"&lt;="&amp;A2164)</f>
        <v>735000</v>
      </c>
      <c r="E2164" s="38" t="n">
        <f aca="false">VLOOKUP(A2164,Inputs!$A$40:$B$48,2,TRUE())</f>
        <v>0.0363225</v>
      </c>
      <c r="F2164" s="38" t="n">
        <f aca="false">E2164+Inputs!$B$10</f>
        <v>0.1038225</v>
      </c>
      <c r="G2164" s="37" t="n">
        <f aca="false">D2164*F2164/C2164</f>
        <v>208.496004098361</v>
      </c>
      <c r="H2164" s="37" t="n">
        <f aca="false">IF(AND(A2164&gt;=Inputs!$B$13,OR(A2164&lt;Inputs!$B$19,Inputs!$B$20=1)),D2164*Inputs!$B$11/C2164,0)</f>
        <v>40.1639344262295</v>
      </c>
      <c r="I2164" s="37" t="n">
        <f aca="false">Inputs!$C$9-SUMIFS(Cash_Events!$G$6:$G$20,Cash_Events!$C$6:$C$20,"FHL",Cash_Events!$B$6:$B$20,"&lt;="&amp;A2164)</f>
        <v>735000</v>
      </c>
      <c r="J2164" s="38" t="n">
        <f aca="false">VLOOKUP(A2164,Inputs!$F$40:$G$48,2,TRUE())</f>
        <v>0.0364054</v>
      </c>
      <c r="K2164" s="38" t="n">
        <f aca="false">J2164+Inputs!$C$10</f>
        <v>0.1039054</v>
      </c>
      <c r="L2164" s="37" t="n">
        <f aca="false">I2164*K2164/C2164</f>
        <v>208.662483606557</v>
      </c>
      <c r="M2164" s="37" t="n">
        <f aca="false">IF(AND(A2164&gt;=Inputs!$C$13,OR(A2164&lt;Inputs!$B$19,Inputs!$B$20=1)),I2164*Inputs!$C$11/C2164,0)</f>
        <v>40.1639344262295</v>
      </c>
    </row>
    <row r="2165" customFormat="false" ht="15" hidden="false" customHeight="false" outlineLevel="0" collapsed="false">
      <c r="A2165" s="35" t="n">
        <f aca="false">A2164+1</f>
        <v>46972</v>
      </c>
      <c r="B2165" s="35" t="n">
        <f aca="false">EOMONTH(A2165+1,0)</f>
        <v>46996</v>
      </c>
      <c r="C2165" s="36" t="n">
        <f aca="false">IF(MOD(YEAR(A2165),4)=0,366,365)</f>
        <v>366</v>
      </c>
      <c r="D2165" s="37" t="n">
        <f aca="false">Inputs!$B$9-SUMIFS(Cash_Events!$G$6:$G$20,Cash_Events!$C$6:$C$20,"rAGMF",Cash_Events!$B$6:$B$20,"&lt;="&amp;A2165)</f>
        <v>735000</v>
      </c>
      <c r="E2165" s="38" t="n">
        <f aca="false">VLOOKUP(A2165,Inputs!$A$40:$B$48,2,TRUE())</f>
        <v>0.0363225</v>
      </c>
      <c r="F2165" s="38" t="n">
        <f aca="false">E2165+Inputs!$B$10</f>
        <v>0.1038225</v>
      </c>
      <c r="G2165" s="37" t="n">
        <f aca="false">D2165*F2165/C2165</f>
        <v>208.496004098361</v>
      </c>
      <c r="H2165" s="37" t="n">
        <f aca="false">IF(AND(A2165&gt;=Inputs!$B$13,OR(A2165&lt;Inputs!$B$19,Inputs!$B$20=1)),D2165*Inputs!$B$11/C2165,0)</f>
        <v>40.1639344262295</v>
      </c>
      <c r="I2165" s="37" t="n">
        <f aca="false">Inputs!$C$9-SUMIFS(Cash_Events!$G$6:$G$20,Cash_Events!$C$6:$C$20,"FHL",Cash_Events!$B$6:$B$20,"&lt;="&amp;A2165)</f>
        <v>735000</v>
      </c>
      <c r="J2165" s="38" t="n">
        <f aca="false">VLOOKUP(A2165,Inputs!$F$40:$G$48,2,TRUE())</f>
        <v>0.0364054</v>
      </c>
      <c r="K2165" s="38" t="n">
        <f aca="false">J2165+Inputs!$C$10</f>
        <v>0.1039054</v>
      </c>
      <c r="L2165" s="37" t="n">
        <f aca="false">I2165*K2165/C2165</f>
        <v>208.662483606557</v>
      </c>
      <c r="M2165" s="37" t="n">
        <f aca="false">IF(AND(A2165&gt;=Inputs!$C$13,OR(A2165&lt;Inputs!$B$19,Inputs!$B$20=1)),I2165*Inputs!$C$11/C2165,0)</f>
        <v>40.1639344262295</v>
      </c>
    </row>
    <row r="2166" customFormat="false" ht="15" hidden="false" customHeight="false" outlineLevel="0" collapsed="false">
      <c r="A2166" s="35" t="n">
        <f aca="false">A2165+1</f>
        <v>46973</v>
      </c>
      <c r="B2166" s="35" t="n">
        <f aca="false">EOMONTH(A2166+1,0)</f>
        <v>46996</v>
      </c>
      <c r="C2166" s="36" t="n">
        <f aca="false">IF(MOD(YEAR(A2166),4)=0,366,365)</f>
        <v>366</v>
      </c>
      <c r="D2166" s="37" t="n">
        <f aca="false">Inputs!$B$9-SUMIFS(Cash_Events!$G$6:$G$20,Cash_Events!$C$6:$C$20,"rAGMF",Cash_Events!$B$6:$B$20,"&lt;="&amp;A2166)</f>
        <v>735000</v>
      </c>
      <c r="E2166" s="38" t="n">
        <f aca="false">VLOOKUP(A2166,Inputs!$A$40:$B$48,2,TRUE())</f>
        <v>0.0363225</v>
      </c>
      <c r="F2166" s="38" t="n">
        <f aca="false">E2166+Inputs!$B$10</f>
        <v>0.1038225</v>
      </c>
      <c r="G2166" s="37" t="n">
        <f aca="false">D2166*F2166/C2166</f>
        <v>208.496004098361</v>
      </c>
      <c r="H2166" s="37" t="n">
        <f aca="false">IF(AND(A2166&gt;=Inputs!$B$13,OR(A2166&lt;Inputs!$B$19,Inputs!$B$20=1)),D2166*Inputs!$B$11/C2166,0)</f>
        <v>40.1639344262295</v>
      </c>
      <c r="I2166" s="37" t="n">
        <f aca="false">Inputs!$C$9-SUMIFS(Cash_Events!$G$6:$G$20,Cash_Events!$C$6:$C$20,"FHL",Cash_Events!$B$6:$B$20,"&lt;="&amp;A2166)</f>
        <v>735000</v>
      </c>
      <c r="J2166" s="38" t="n">
        <f aca="false">VLOOKUP(A2166,Inputs!$F$40:$G$48,2,TRUE())</f>
        <v>0.0364054</v>
      </c>
      <c r="K2166" s="38" t="n">
        <f aca="false">J2166+Inputs!$C$10</f>
        <v>0.1039054</v>
      </c>
      <c r="L2166" s="37" t="n">
        <f aca="false">I2166*K2166/C2166</f>
        <v>208.662483606557</v>
      </c>
      <c r="M2166" s="37" t="n">
        <f aca="false">IF(AND(A2166&gt;=Inputs!$C$13,OR(A2166&lt;Inputs!$B$19,Inputs!$B$20=1)),I2166*Inputs!$C$11/C2166,0)</f>
        <v>40.1639344262295</v>
      </c>
    </row>
    <row r="2167" customFormat="false" ht="15" hidden="false" customHeight="false" outlineLevel="0" collapsed="false">
      <c r="A2167" s="35" t="n">
        <f aca="false">A2166+1</f>
        <v>46974</v>
      </c>
      <c r="B2167" s="35" t="n">
        <f aca="false">EOMONTH(A2167+1,0)</f>
        <v>46996</v>
      </c>
      <c r="C2167" s="36" t="n">
        <f aca="false">IF(MOD(YEAR(A2167),4)=0,366,365)</f>
        <v>366</v>
      </c>
      <c r="D2167" s="37" t="n">
        <f aca="false">Inputs!$B$9-SUMIFS(Cash_Events!$G$6:$G$20,Cash_Events!$C$6:$C$20,"rAGMF",Cash_Events!$B$6:$B$20,"&lt;="&amp;A2167)</f>
        <v>735000</v>
      </c>
      <c r="E2167" s="38" t="n">
        <f aca="false">VLOOKUP(A2167,Inputs!$A$40:$B$48,2,TRUE())</f>
        <v>0.0363225</v>
      </c>
      <c r="F2167" s="38" t="n">
        <f aca="false">E2167+Inputs!$B$10</f>
        <v>0.1038225</v>
      </c>
      <c r="G2167" s="37" t="n">
        <f aca="false">D2167*F2167/C2167</f>
        <v>208.496004098361</v>
      </c>
      <c r="H2167" s="37" t="n">
        <f aca="false">IF(AND(A2167&gt;=Inputs!$B$13,OR(A2167&lt;Inputs!$B$19,Inputs!$B$20=1)),D2167*Inputs!$B$11/C2167,0)</f>
        <v>40.1639344262295</v>
      </c>
      <c r="I2167" s="37" t="n">
        <f aca="false">Inputs!$C$9-SUMIFS(Cash_Events!$G$6:$G$20,Cash_Events!$C$6:$C$20,"FHL",Cash_Events!$B$6:$B$20,"&lt;="&amp;A2167)</f>
        <v>735000</v>
      </c>
      <c r="J2167" s="38" t="n">
        <f aca="false">VLOOKUP(A2167,Inputs!$F$40:$G$48,2,TRUE())</f>
        <v>0.0364054</v>
      </c>
      <c r="K2167" s="38" t="n">
        <f aca="false">J2167+Inputs!$C$10</f>
        <v>0.1039054</v>
      </c>
      <c r="L2167" s="37" t="n">
        <f aca="false">I2167*K2167/C2167</f>
        <v>208.662483606557</v>
      </c>
      <c r="M2167" s="37" t="n">
        <f aca="false">IF(AND(A2167&gt;=Inputs!$C$13,OR(A2167&lt;Inputs!$B$19,Inputs!$B$20=1)),I2167*Inputs!$C$11/C2167,0)</f>
        <v>40.1639344262295</v>
      </c>
    </row>
    <row r="2168" customFormat="false" ht="15" hidden="false" customHeight="false" outlineLevel="0" collapsed="false">
      <c r="A2168" s="35" t="n">
        <f aca="false">A2167+1</f>
        <v>46975</v>
      </c>
      <c r="B2168" s="35" t="n">
        <f aca="false">EOMONTH(A2168+1,0)</f>
        <v>46996</v>
      </c>
      <c r="C2168" s="36" t="n">
        <f aca="false">IF(MOD(YEAR(A2168),4)=0,366,365)</f>
        <v>366</v>
      </c>
      <c r="D2168" s="37" t="n">
        <f aca="false">Inputs!$B$9-SUMIFS(Cash_Events!$G$6:$G$20,Cash_Events!$C$6:$C$20,"rAGMF",Cash_Events!$B$6:$B$20,"&lt;="&amp;A2168)</f>
        <v>735000</v>
      </c>
      <c r="E2168" s="38" t="n">
        <f aca="false">VLOOKUP(A2168,Inputs!$A$40:$B$48,2,TRUE())</f>
        <v>0.0363225</v>
      </c>
      <c r="F2168" s="38" t="n">
        <f aca="false">E2168+Inputs!$B$10</f>
        <v>0.1038225</v>
      </c>
      <c r="G2168" s="37" t="n">
        <f aca="false">D2168*F2168/C2168</f>
        <v>208.496004098361</v>
      </c>
      <c r="H2168" s="37" t="n">
        <f aca="false">IF(AND(A2168&gt;=Inputs!$B$13,OR(A2168&lt;Inputs!$B$19,Inputs!$B$20=1)),D2168*Inputs!$B$11/C2168,0)</f>
        <v>40.1639344262295</v>
      </c>
      <c r="I2168" s="37" t="n">
        <f aca="false">Inputs!$C$9-SUMIFS(Cash_Events!$G$6:$G$20,Cash_Events!$C$6:$C$20,"FHL",Cash_Events!$B$6:$B$20,"&lt;="&amp;A2168)</f>
        <v>735000</v>
      </c>
      <c r="J2168" s="38" t="n">
        <f aca="false">VLOOKUP(A2168,Inputs!$F$40:$G$48,2,TRUE())</f>
        <v>0.0364054</v>
      </c>
      <c r="K2168" s="38" t="n">
        <f aca="false">J2168+Inputs!$C$10</f>
        <v>0.1039054</v>
      </c>
      <c r="L2168" s="37" t="n">
        <f aca="false">I2168*K2168/C2168</f>
        <v>208.662483606557</v>
      </c>
      <c r="M2168" s="37" t="n">
        <f aca="false">IF(AND(A2168&gt;=Inputs!$C$13,OR(A2168&lt;Inputs!$B$19,Inputs!$B$20=1)),I2168*Inputs!$C$11/C2168,0)</f>
        <v>40.1639344262295</v>
      </c>
    </row>
    <row r="2169" customFormat="false" ht="15" hidden="false" customHeight="false" outlineLevel="0" collapsed="false">
      <c r="A2169" s="35" t="n">
        <f aca="false">A2168+1</f>
        <v>46976</v>
      </c>
      <c r="B2169" s="35" t="n">
        <f aca="false">EOMONTH(A2169+1,0)</f>
        <v>46996</v>
      </c>
      <c r="C2169" s="36" t="n">
        <f aca="false">IF(MOD(YEAR(A2169),4)=0,366,365)</f>
        <v>366</v>
      </c>
      <c r="D2169" s="37" t="n">
        <f aca="false">Inputs!$B$9-SUMIFS(Cash_Events!$G$6:$G$20,Cash_Events!$C$6:$C$20,"rAGMF",Cash_Events!$B$6:$B$20,"&lt;="&amp;A2169)</f>
        <v>735000</v>
      </c>
      <c r="E2169" s="38" t="n">
        <f aca="false">VLOOKUP(A2169,Inputs!$A$40:$B$48,2,TRUE())</f>
        <v>0.0363225</v>
      </c>
      <c r="F2169" s="38" t="n">
        <f aca="false">E2169+Inputs!$B$10</f>
        <v>0.1038225</v>
      </c>
      <c r="G2169" s="37" t="n">
        <f aca="false">D2169*F2169/C2169</f>
        <v>208.496004098361</v>
      </c>
      <c r="H2169" s="37" t="n">
        <f aca="false">IF(AND(A2169&gt;=Inputs!$B$13,OR(A2169&lt;Inputs!$B$19,Inputs!$B$20=1)),D2169*Inputs!$B$11/C2169,0)</f>
        <v>40.1639344262295</v>
      </c>
      <c r="I2169" s="37" t="n">
        <f aca="false">Inputs!$C$9-SUMIFS(Cash_Events!$G$6:$G$20,Cash_Events!$C$6:$C$20,"FHL",Cash_Events!$B$6:$B$20,"&lt;="&amp;A2169)</f>
        <v>735000</v>
      </c>
      <c r="J2169" s="38" t="n">
        <f aca="false">VLOOKUP(A2169,Inputs!$F$40:$G$48,2,TRUE())</f>
        <v>0.0364054</v>
      </c>
      <c r="K2169" s="38" t="n">
        <f aca="false">J2169+Inputs!$C$10</f>
        <v>0.1039054</v>
      </c>
      <c r="L2169" s="37" t="n">
        <f aca="false">I2169*K2169/C2169</f>
        <v>208.662483606557</v>
      </c>
      <c r="M2169" s="37" t="n">
        <f aca="false">IF(AND(A2169&gt;=Inputs!$C$13,OR(A2169&lt;Inputs!$B$19,Inputs!$B$20=1)),I2169*Inputs!$C$11/C2169,0)</f>
        <v>40.1639344262295</v>
      </c>
    </row>
    <row r="2170" customFormat="false" ht="15" hidden="false" customHeight="false" outlineLevel="0" collapsed="false">
      <c r="A2170" s="35" t="n">
        <f aca="false">A2169+1</f>
        <v>46977</v>
      </c>
      <c r="B2170" s="35" t="n">
        <f aca="false">EOMONTH(A2170+1,0)</f>
        <v>46996</v>
      </c>
      <c r="C2170" s="36" t="n">
        <f aca="false">IF(MOD(YEAR(A2170),4)=0,366,365)</f>
        <v>366</v>
      </c>
      <c r="D2170" s="37" t="n">
        <f aca="false">Inputs!$B$9-SUMIFS(Cash_Events!$G$6:$G$20,Cash_Events!$C$6:$C$20,"rAGMF",Cash_Events!$B$6:$B$20,"&lt;="&amp;A2170)</f>
        <v>735000</v>
      </c>
      <c r="E2170" s="38" t="n">
        <f aca="false">VLOOKUP(A2170,Inputs!$A$40:$B$48,2,TRUE())</f>
        <v>0.0363225</v>
      </c>
      <c r="F2170" s="38" t="n">
        <f aca="false">E2170+Inputs!$B$10</f>
        <v>0.1038225</v>
      </c>
      <c r="G2170" s="37" t="n">
        <f aca="false">D2170*F2170/C2170</f>
        <v>208.496004098361</v>
      </c>
      <c r="H2170" s="37" t="n">
        <f aca="false">IF(AND(A2170&gt;=Inputs!$B$13,OR(A2170&lt;Inputs!$B$19,Inputs!$B$20=1)),D2170*Inputs!$B$11/C2170,0)</f>
        <v>40.1639344262295</v>
      </c>
      <c r="I2170" s="37" t="n">
        <f aca="false">Inputs!$C$9-SUMIFS(Cash_Events!$G$6:$G$20,Cash_Events!$C$6:$C$20,"FHL",Cash_Events!$B$6:$B$20,"&lt;="&amp;A2170)</f>
        <v>735000</v>
      </c>
      <c r="J2170" s="38" t="n">
        <f aca="false">VLOOKUP(A2170,Inputs!$F$40:$G$48,2,TRUE())</f>
        <v>0.0364054</v>
      </c>
      <c r="K2170" s="38" t="n">
        <f aca="false">J2170+Inputs!$C$10</f>
        <v>0.1039054</v>
      </c>
      <c r="L2170" s="37" t="n">
        <f aca="false">I2170*K2170/C2170</f>
        <v>208.662483606557</v>
      </c>
      <c r="M2170" s="37" t="n">
        <f aca="false">IF(AND(A2170&gt;=Inputs!$C$13,OR(A2170&lt;Inputs!$B$19,Inputs!$B$20=1)),I2170*Inputs!$C$11/C2170,0)</f>
        <v>40.1639344262295</v>
      </c>
    </row>
    <row r="2171" customFormat="false" ht="15" hidden="false" customHeight="false" outlineLevel="0" collapsed="false">
      <c r="A2171" s="35" t="n">
        <f aca="false">A2170+1</f>
        <v>46978</v>
      </c>
      <c r="B2171" s="35" t="n">
        <f aca="false">EOMONTH(A2171+1,0)</f>
        <v>46996</v>
      </c>
      <c r="C2171" s="36" t="n">
        <f aca="false">IF(MOD(YEAR(A2171),4)=0,366,365)</f>
        <v>366</v>
      </c>
      <c r="D2171" s="37" t="n">
        <f aca="false">Inputs!$B$9-SUMIFS(Cash_Events!$G$6:$G$20,Cash_Events!$C$6:$C$20,"rAGMF",Cash_Events!$B$6:$B$20,"&lt;="&amp;A2171)</f>
        <v>735000</v>
      </c>
      <c r="E2171" s="38" t="n">
        <f aca="false">VLOOKUP(A2171,Inputs!$A$40:$B$48,2,TRUE())</f>
        <v>0.0363225</v>
      </c>
      <c r="F2171" s="38" t="n">
        <f aca="false">E2171+Inputs!$B$10</f>
        <v>0.1038225</v>
      </c>
      <c r="G2171" s="37" t="n">
        <f aca="false">D2171*F2171/C2171</f>
        <v>208.496004098361</v>
      </c>
      <c r="H2171" s="37" t="n">
        <f aca="false">IF(AND(A2171&gt;=Inputs!$B$13,OR(A2171&lt;Inputs!$B$19,Inputs!$B$20=1)),D2171*Inputs!$B$11/C2171,0)</f>
        <v>40.1639344262295</v>
      </c>
      <c r="I2171" s="37" t="n">
        <f aca="false">Inputs!$C$9-SUMIFS(Cash_Events!$G$6:$G$20,Cash_Events!$C$6:$C$20,"FHL",Cash_Events!$B$6:$B$20,"&lt;="&amp;A2171)</f>
        <v>735000</v>
      </c>
      <c r="J2171" s="38" t="n">
        <f aca="false">VLOOKUP(A2171,Inputs!$F$40:$G$48,2,TRUE())</f>
        <v>0.0364054</v>
      </c>
      <c r="K2171" s="38" t="n">
        <f aca="false">J2171+Inputs!$C$10</f>
        <v>0.1039054</v>
      </c>
      <c r="L2171" s="37" t="n">
        <f aca="false">I2171*K2171/C2171</f>
        <v>208.662483606557</v>
      </c>
      <c r="M2171" s="37" t="n">
        <f aca="false">IF(AND(A2171&gt;=Inputs!$C$13,OR(A2171&lt;Inputs!$B$19,Inputs!$B$20=1)),I2171*Inputs!$C$11/C2171,0)</f>
        <v>40.1639344262295</v>
      </c>
    </row>
    <row r="2172" customFormat="false" ht="15" hidden="false" customHeight="false" outlineLevel="0" collapsed="false">
      <c r="A2172" s="35" t="n">
        <f aca="false">A2171+1</f>
        <v>46979</v>
      </c>
      <c r="B2172" s="35" t="n">
        <f aca="false">EOMONTH(A2172+1,0)</f>
        <v>46996</v>
      </c>
      <c r="C2172" s="36" t="n">
        <f aca="false">IF(MOD(YEAR(A2172),4)=0,366,365)</f>
        <v>366</v>
      </c>
      <c r="D2172" s="37" t="n">
        <f aca="false">Inputs!$B$9-SUMIFS(Cash_Events!$G$6:$G$20,Cash_Events!$C$6:$C$20,"rAGMF",Cash_Events!$B$6:$B$20,"&lt;="&amp;A2172)</f>
        <v>735000</v>
      </c>
      <c r="E2172" s="38" t="n">
        <f aca="false">VLOOKUP(A2172,Inputs!$A$40:$B$48,2,TRUE())</f>
        <v>0.0363225</v>
      </c>
      <c r="F2172" s="38" t="n">
        <f aca="false">E2172+Inputs!$B$10</f>
        <v>0.1038225</v>
      </c>
      <c r="G2172" s="37" t="n">
        <f aca="false">D2172*F2172/C2172</f>
        <v>208.496004098361</v>
      </c>
      <c r="H2172" s="37" t="n">
        <f aca="false">IF(AND(A2172&gt;=Inputs!$B$13,OR(A2172&lt;Inputs!$B$19,Inputs!$B$20=1)),D2172*Inputs!$B$11/C2172,0)</f>
        <v>40.1639344262295</v>
      </c>
      <c r="I2172" s="37" t="n">
        <f aca="false">Inputs!$C$9-SUMIFS(Cash_Events!$G$6:$G$20,Cash_Events!$C$6:$C$20,"FHL",Cash_Events!$B$6:$B$20,"&lt;="&amp;A2172)</f>
        <v>735000</v>
      </c>
      <c r="J2172" s="38" t="n">
        <f aca="false">VLOOKUP(A2172,Inputs!$F$40:$G$48,2,TRUE())</f>
        <v>0.0364054</v>
      </c>
      <c r="K2172" s="38" t="n">
        <f aca="false">J2172+Inputs!$C$10</f>
        <v>0.1039054</v>
      </c>
      <c r="L2172" s="37" t="n">
        <f aca="false">I2172*K2172/C2172</f>
        <v>208.662483606557</v>
      </c>
      <c r="M2172" s="37" t="n">
        <f aca="false">IF(AND(A2172&gt;=Inputs!$C$13,OR(A2172&lt;Inputs!$B$19,Inputs!$B$20=1)),I2172*Inputs!$C$11/C2172,0)</f>
        <v>40.1639344262295</v>
      </c>
    </row>
    <row r="2173" customFormat="false" ht="15" hidden="false" customHeight="false" outlineLevel="0" collapsed="false">
      <c r="A2173" s="35" t="n">
        <f aca="false">A2172+1</f>
        <v>46980</v>
      </c>
      <c r="B2173" s="35" t="n">
        <f aca="false">EOMONTH(A2173+1,0)</f>
        <v>46996</v>
      </c>
      <c r="C2173" s="36" t="n">
        <f aca="false">IF(MOD(YEAR(A2173),4)=0,366,365)</f>
        <v>366</v>
      </c>
      <c r="D2173" s="37" t="n">
        <f aca="false">Inputs!$B$9-SUMIFS(Cash_Events!$G$6:$G$20,Cash_Events!$C$6:$C$20,"rAGMF",Cash_Events!$B$6:$B$20,"&lt;="&amp;A2173)</f>
        <v>735000</v>
      </c>
      <c r="E2173" s="38" t="n">
        <f aca="false">VLOOKUP(A2173,Inputs!$A$40:$B$48,2,TRUE())</f>
        <v>0.0363225</v>
      </c>
      <c r="F2173" s="38" t="n">
        <f aca="false">E2173+Inputs!$B$10</f>
        <v>0.1038225</v>
      </c>
      <c r="G2173" s="37" t="n">
        <f aca="false">D2173*F2173/C2173</f>
        <v>208.496004098361</v>
      </c>
      <c r="H2173" s="37" t="n">
        <f aca="false">IF(AND(A2173&gt;=Inputs!$B$13,OR(A2173&lt;Inputs!$B$19,Inputs!$B$20=1)),D2173*Inputs!$B$11/C2173,0)</f>
        <v>40.1639344262295</v>
      </c>
      <c r="I2173" s="37" t="n">
        <f aca="false">Inputs!$C$9-SUMIFS(Cash_Events!$G$6:$G$20,Cash_Events!$C$6:$C$20,"FHL",Cash_Events!$B$6:$B$20,"&lt;="&amp;A2173)</f>
        <v>735000</v>
      </c>
      <c r="J2173" s="38" t="n">
        <f aca="false">VLOOKUP(A2173,Inputs!$F$40:$G$48,2,TRUE())</f>
        <v>0.0364054</v>
      </c>
      <c r="K2173" s="38" t="n">
        <f aca="false">J2173+Inputs!$C$10</f>
        <v>0.1039054</v>
      </c>
      <c r="L2173" s="37" t="n">
        <f aca="false">I2173*K2173/C2173</f>
        <v>208.662483606557</v>
      </c>
      <c r="M2173" s="37" t="n">
        <f aca="false">IF(AND(A2173&gt;=Inputs!$C$13,OR(A2173&lt;Inputs!$B$19,Inputs!$B$20=1)),I2173*Inputs!$C$11/C2173,0)</f>
        <v>40.1639344262295</v>
      </c>
    </row>
    <row r="2174" customFormat="false" ht="15" hidden="false" customHeight="false" outlineLevel="0" collapsed="false">
      <c r="A2174" s="35" t="n">
        <f aca="false">A2173+1</f>
        <v>46981</v>
      </c>
      <c r="B2174" s="35" t="n">
        <f aca="false">EOMONTH(A2174+1,0)</f>
        <v>46996</v>
      </c>
      <c r="C2174" s="36" t="n">
        <f aca="false">IF(MOD(YEAR(A2174),4)=0,366,365)</f>
        <v>366</v>
      </c>
      <c r="D2174" s="37" t="n">
        <f aca="false">Inputs!$B$9-SUMIFS(Cash_Events!$G$6:$G$20,Cash_Events!$C$6:$C$20,"rAGMF",Cash_Events!$B$6:$B$20,"&lt;="&amp;A2174)</f>
        <v>735000</v>
      </c>
      <c r="E2174" s="38" t="n">
        <f aca="false">VLOOKUP(A2174,Inputs!$A$40:$B$48,2,TRUE())</f>
        <v>0.0363225</v>
      </c>
      <c r="F2174" s="38" t="n">
        <f aca="false">E2174+Inputs!$B$10</f>
        <v>0.1038225</v>
      </c>
      <c r="G2174" s="37" t="n">
        <f aca="false">D2174*F2174/C2174</f>
        <v>208.496004098361</v>
      </c>
      <c r="H2174" s="37" t="n">
        <f aca="false">IF(AND(A2174&gt;=Inputs!$B$13,OR(A2174&lt;Inputs!$B$19,Inputs!$B$20=1)),D2174*Inputs!$B$11/C2174,0)</f>
        <v>40.1639344262295</v>
      </c>
      <c r="I2174" s="37" t="n">
        <f aca="false">Inputs!$C$9-SUMIFS(Cash_Events!$G$6:$G$20,Cash_Events!$C$6:$C$20,"FHL",Cash_Events!$B$6:$B$20,"&lt;="&amp;A2174)</f>
        <v>735000</v>
      </c>
      <c r="J2174" s="38" t="n">
        <f aca="false">VLOOKUP(A2174,Inputs!$F$40:$G$48,2,TRUE())</f>
        <v>0.0364054</v>
      </c>
      <c r="K2174" s="38" t="n">
        <f aca="false">J2174+Inputs!$C$10</f>
        <v>0.1039054</v>
      </c>
      <c r="L2174" s="37" t="n">
        <f aca="false">I2174*K2174/C2174</f>
        <v>208.662483606557</v>
      </c>
      <c r="M2174" s="37" t="n">
        <f aca="false">IF(AND(A2174&gt;=Inputs!$C$13,OR(A2174&lt;Inputs!$B$19,Inputs!$B$20=1)),I2174*Inputs!$C$11/C2174,0)</f>
        <v>40.1639344262295</v>
      </c>
    </row>
    <row r="2175" customFormat="false" ht="15" hidden="false" customHeight="false" outlineLevel="0" collapsed="false">
      <c r="A2175" s="35" t="n">
        <f aca="false">A2174+1</f>
        <v>46982</v>
      </c>
      <c r="B2175" s="35" t="n">
        <f aca="false">EOMONTH(A2175+1,0)</f>
        <v>46996</v>
      </c>
      <c r="C2175" s="36" t="n">
        <f aca="false">IF(MOD(YEAR(A2175),4)=0,366,365)</f>
        <v>366</v>
      </c>
      <c r="D2175" s="37" t="n">
        <f aca="false">Inputs!$B$9-SUMIFS(Cash_Events!$G$6:$G$20,Cash_Events!$C$6:$C$20,"rAGMF",Cash_Events!$B$6:$B$20,"&lt;="&amp;A2175)</f>
        <v>735000</v>
      </c>
      <c r="E2175" s="38" t="n">
        <f aca="false">VLOOKUP(A2175,Inputs!$A$40:$B$48,2,TRUE())</f>
        <v>0.0363225</v>
      </c>
      <c r="F2175" s="38" t="n">
        <f aca="false">E2175+Inputs!$B$10</f>
        <v>0.1038225</v>
      </c>
      <c r="G2175" s="37" t="n">
        <f aca="false">D2175*F2175/C2175</f>
        <v>208.496004098361</v>
      </c>
      <c r="H2175" s="37" t="n">
        <f aca="false">IF(AND(A2175&gt;=Inputs!$B$13,OR(A2175&lt;Inputs!$B$19,Inputs!$B$20=1)),D2175*Inputs!$B$11/C2175,0)</f>
        <v>40.1639344262295</v>
      </c>
      <c r="I2175" s="37" t="n">
        <f aca="false">Inputs!$C$9-SUMIFS(Cash_Events!$G$6:$G$20,Cash_Events!$C$6:$C$20,"FHL",Cash_Events!$B$6:$B$20,"&lt;="&amp;A2175)</f>
        <v>735000</v>
      </c>
      <c r="J2175" s="38" t="n">
        <f aca="false">VLOOKUP(A2175,Inputs!$F$40:$G$48,2,TRUE())</f>
        <v>0.0364054</v>
      </c>
      <c r="K2175" s="38" t="n">
        <f aca="false">J2175+Inputs!$C$10</f>
        <v>0.1039054</v>
      </c>
      <c r="L2175" s="37" t="n">
        <f aca="false">I2175*K2175/C2175</f>
        <v>208.662483606557</v>
      </c>
      <c r="M2175" s="37" t="n">
        <f aca="false">IF(AND(A2175&gt;=Inputs!$C$13,OR(A2175&lt;Inputs!$B$19,Inputs!$B$20=1)),I2175*Inputs!$C$11/C2175,0)</f>
        <v>40.1639344262295</v>
      </c>
    </row>
    <row r="2176" customFormat="false" ht="15" hidden="false" customHeight="false" outlineLevel="0" collapsed="false">
      <c r="A2176" s="35" t="n">
        <f aca="false">A2175+1</f>
        <v>46983</v>
      </c>
      <c r="B2176" s="35" t="n">
        <f aca="false">EOMONTH(A2176+1,0)</f>
        <v>46996</v>
      </c>
      <c r="C2176" s="36" t="n">
        <f aca="false">IF(MOD(YEAR(A2176),4)=0,366,365)</f>
        <v>366</v>
      </c>
      <c r="D2176" s="37" t="n">
        <f aca="false">Inputs!$B$9-SUMIFS(Cash_Events!$G$6:$G$20,Cash_Events!$C$6:$C$20,"rAGMF",Cash_Events!$B$6:$B$20,"&lt;="&amp;A2176)</f>
        <v>735000</v>
      </c>
      <c r="E2176" s="38" t="n">
        <f aca="false">VLOOKUP(A2176,Inputs!$A$40:$B$48,2,TRUE())</f>
        <v>0.0363225</v>
      </c>
      <c r="F2176" s="38" t="n">
        <f aca="false">E2176+Inputs!$B$10</f>
        <v>0.1038225</v>
      </c>
      <c r="G2176" s="37" t="n">
        <f aca="false">D2176*F2176/C2176</f>
        <v>208.496004098361</v>
      </c>
      <c r="H2176" s="37" t="n">
        <f aca="false">IF(AND(A2176&gt;=Inputs!$B$13,OR(A2176&lt;Inputs!$B$19,Inputs!$B$20=1)),D2176*Inputs!$B$11/C2176,0)</f>
        <v>40.1639344262295</v>
      </c>
      <c r="I2176" s="37" t="n">
        <f aca="false">Inputs!$C$9-SUMIFS(Cash_Events!$G$6:$G$20,Cash_Events!$C$6:$C$20,"FHL",Cash_Events!$B$6:$B$20,"&lt;="&amp;A2176)</f>
        <v>735000</v>
      </c>
      <c r="J2176" s="38" t="n">
        <f aca="false">VLOOKUP(A2176,Inputs!$F$40:$G$48,2,TRUE())</f>
        <v>0.0364054</v>
      </c>
      <c r="K2176" s="38" t="n">
        <f aca="false">J2176+Inputs!$C$10</f>
        <v>0.1039054</v>
      </c>
      <c r="L2176" s="37" t="n">
        <f aca="false">I2176*K2176/C2176</f>
        <v>208.662483606557</v>
      </c>
      <c r="M2176" s="37" t="n">
        <f aca="false">IF(AND(A2176&gt;=Inputs!$C$13,OR(A2176&lt;Inputs!$B$19,Inputs!$B$20=1)),I2176*Inputs!$C$11/C2176,0)</f>
        <v>40.1639344262295</v>
      </c>
    </row>
    <row r="2177" customFormat="false" ht="15" hidden="false" customHeight="false" outlineLevel="0" collapsed="false">
      <c r="A2177" s="35" t="n">
        <f aca="false">A2176+1</f>
        <v>46984</v>
      </c>
      <c r="B2177" s="35" t="n">
        <f aca="false">EOMONTH(A2177+1,0)</f>
        <v>46996</v>
      </c>
      <c r="C2177" s="36" t="n">
        <f aca="false">IF(MOD(YEAR(A2177),4)=0,366,365)</f>
        <v>366</v>
      </c>
      <c r="D2177" s="37" t="n">
        <f aca="false">Inputs!$B$9-SUMIFS(Cash_Events!$G$6:$G$20,Cash_Events!$C$6:$C$20,"rAGMF",Cash_Events!$B$6:$B$20,"&lt;="&amp;A2177)</f>
        <v>735000</v>
      </c>
      <c r="E2177" s="38" t="n">
        <f aca="false">VLOOKUP(A2177,Inputs!$A$40:$B$48,2,TRUE())</f>
        <v>0.0363225</v>
      </c>
      <c r="F2177" s="38" t="n">
        <f aca="false">E2177+Inputs!$B$10</f>
        <v>0.1038225</v>
      </c>
      <c r="G2177" s="37" t="n">
        <f aca="false">D2177*F2177/C2177</f>
        <v>208.496004098361</v>
      </c>
      <c r="H2177" s="37" t="n">
        <f aca="false">IF(AND(A2177&gt;=Inputs!$B$13,OR(A2177&lt;Inputs!$B$19,Inputs!$B$20=1)),D2177*Inputs!$B$11/C2177,0)</f>
        <v>40.1639344262295</v>
      </c>
      <c r="I2177" s="37" t="n">
        <f aca="false">Inputs!$C$9-SUMIFS(Cash_Events!$G$6:$G$20,Cash_Events!$C$6:$C$20,"FHL",Cash_Events!$B$6:$B$20,"&lt;="&amp;A2177)</f>
        <v>735000</v>
      </c>
      <c r="J2177" s="38" t="n">
        <f aca="false">VLOOKUP(A2177,Inputs!$F$40:$G$48,2,TRUE())</f>
        <v>0.0364054</v>
      </c>
      <c r="K2177" s="38" t="n">
        <f aca="false">J2177+Inputs!$C$10</f>
        <v>0.1039054</v>
      </c>
      <c r="L2177" s="37" t="n">
        <f aca="false">I2177*K2177/C2177</f>
        <v>208.662483606557</v>
      </c>
      <c r="M2177" s="37" t="n">
        <f aca="false">IF(AND(A2177&gt;=Inputs!$C$13,OR(A2177&lt;Inputs!$B$19,Inputs!$B$20=1)),I2177*Inputs!$C$11/C2177,0)</f>
        <v>40.1639344262295</v>
      </c>
    </row>
    <row r="2178" customFormat="false" ht="15" hidden="false" customHeight="false" outlineLevel="0" collapsed="false">
      <c r="A2178" s="35" t="n">
        <f aca="false">A2177+1</f>
        <v>46985</v>
      </c>
      <c r="B2178" s="35" t="n">
        <f aca="false">EOMONTH(A2178+1,0)</f>
        <v>46996</v>
      </c>
      <c r="C2178" s="36" t="n">
        <f aca="false">IF(MOD(YEAR(A2178),4)=0,366,365)</f>
        <v>366</v>
      </c>
      <c r="D2178" s="37" t="n">
        <f aca="false">Inputs!$B$9-SUMIFS(Cash_Events!$G$6:$G$20,Cash_Events!$C$6:$C$20,"rAGMF",Cash_Events!$B$6:$B$20,"&lt;="&amp;A2178)</f>
        <v>735000</v>
      </c>
      <c r="E2178" s="38" t="n">
        <f aca="false">VLOOKUP(A2178,Inputs!$A$40:$B$48,2,TRUE())</f>
        <v>0.0363225</v>
      </c>
      <c r="F2178" s="38" t="n">
        <f aca="false">E2178+Inputs!$B$10</f>
        <v>0.1038225</v>
      </c>
      <c r="G2178" s="37" t="n">
        <f aca="false">D2178*F2178/C2178</f>
        <v>208.496004098361</v>
      </c>
      <c r="H2178" s="37" t="n">
        <f aca="false">IF(AND(A2178&gt;=Inputs!$B$13,OR(A2178&lt;Inputs!$B$19,Inputs!$B$20=1)),D2178*Inputs!$B$11/C2178,0)</f>
        <v>40.1639344262295</v>
      </c>
      <c r="I2178" s="37" t="n">
        <f aca="false">Inputs!$C$9-SUMIFS(Cash_Events!$G$6:$G$20,Cash_Events!$C$6:$C$20,"FHL",Cash_Events!$B$6:$B$20,"&lt;="&amp;A2178)</f>
        <v>735000</v>
      </c>
      <c r="J2178" s="38" t="n">
        <f aca="false">VLOOKUP(A2178,Inputs!$F$40:$G$48,2,TRUE())</f>
        <v>0.0364054</v>
      </c>
      <c r="K2178" s="38" t="n">
        <f aca="false">J2178+Inputs!$C$10</f>
        <v>0.1039054</v>
      </c>
      <c r="L2178" s="37" t="n">
        <f aca="false">I2178*K2178/C2178</f>
        <v>208.662483606557</v>
      </c>
      <c r="M2178" s="37" t="n">
        <f aca="false">IF(AND(A2178&gt;=Inputs!$C$13,OR(A2178&lt;Inputs!$B$19,Inputs!$B$20=1)),I2178*Inputs!$C$11/C2178,0)</f>
        <v>40.1639344262295</v>
      </c>
    </row>
    <row r="2179" customFormat="false" ht="15" hidden="false" customHeight="false" outlineLevel="0" collapsed="false">
      <c r="A2179" s="35" t="n">
        <f aca="false">A2178+1</f>
        <v>46986</v>
      </c>
      <c r="B2179" s="35" t="n">
        <f aca="false">EOMONTH(A2179+1,0)</f>
        <v>46996</v>
      </c>
      <c r="C2179" s="36" t="n">
        <f aca="false">IF(MOD(YEAR(A2179),4)=0,366,365)</f>
        <v>366</v>
      </c>
      <c r="D2179" s="37" t="n">
        <f aca="false">Inputs!$B$9-SUMIFS(Cash_Events!$G$6:$G$20,Cash_Events!$C$6:$C$20,"rAGMF",Cash_Events!$B$6:$B$20,"&lt;="&amp;A2179)</f>
        <v>735000</v>
      </c>
      <c r="E2179" s="38" t="n">
        <f aca="false">VLOOKUP(A2179,Inputs!$A$40:$B$48,2,TRUE())</f>
        <v>0.0363225</v>
      </c>
      <c r="F2179" s="38" t="n">
        <f aca="false">E2179+Inputs!$B$10</f>
        <v>0.1038225</v>
      </c>
      <c r="G2179" s="37" t="n">
        <f aca="false">D2179*F2179/C2179</f>
        <v>208.496004098361</v>
      </c>
      <c r="H2179" s="37" t="n">
        <f aca="false">IF(AND(A2179&gt;=Inputs!$B$13,OR(A2179&lt;Inputs!$B$19,Inputs!$B$20=1)),D2179*Inputs!$B$11/C2179,0)</f>
        <v>40.1639344262295</v>
      </c>
      <c r="I2179" s="37" t="n">
        <f aca="false">Inputs!$C$9-SUMIFS(Cash_Events!$G$6:$G$20,Cash_Events!$C$6:$C$20,"FHL",Cash_Events!$B$6:$B$20,"&lt;="&amp;A2179)</f>
        <v>735000</v>
      </c>
      <c r="J2179" s="38" t="n">
        <f aca="false">VLOOKUP(A2179,Inputs!$F$40:$G$48,2,TRUE())</f>
        <v>0.0364054</v>
      </c>
      <c r="K2179" s="38" t="n">
        <f aca="false">J2179+Inputs!$C$10</f>
        <v>0.1039054</v>
      </c>
      <c r="L2179" s="37" t="n">
        <f aca="false">I2179*K2179/C2179</f>
        <v>208.662483606557</v>
      </c>
      <c r="M2179" s="37" t="n">
        <f aca="false">IF(AND(A2179&gt;=Inputs!$C$13,OR(A2179&lt;Inputs!$B$19,Inputs!$B$20=1)),I2179*Inputs!$C$11/C2179,0)</f>
        <v>40.1639344262295</v>
      </c>
    </row>
    <row r="2180" customFormat="false" ht="15" hidden="false" customHeight="false" outlineLevel="0" collapsed="false">
      <c r="A2180" s="35" t="n">
        <f aca="false">A2179+1</f>
        <v>46987</v>
      </c>
      <c r="B2180" s="35" t="n">
        <f aca="false">EOMONTH(A2180+1,0)</f>
        <v>46996</v>
      </c>
      <c r="C2180" s="36" t="n">
        <f aca="false">IF(MOD(YEAR(A2180),4)=0,366,365)</f>
        <v>366</v>
      </c>
      <c r="D2180" s="37" t="n">
        <f aca="false">Inputs!$B$9-SUMIFS(Cash_Events!$G$6:$G$20,Cash_Events!$C$6:$C$20,"rAGMF",Cash_Events!$B$6:$B$20,"&lt;="&amp;A2180)</f>
        <v>735000</v>
      </c>
      <c r="E2180" s="38" t="n">
        <f aca="false">VLOOKUP(A2180,Inputs!$A$40:$B$48,2,TRUE())</f>
        <v>0.0363225</v>
      </c>
      <c r="F2180" s="38" t="n">
        <f aca="false">E2180+Inputs!$B$10</f>
        <v>0.1038225</v>
      </c>
      <c r="G2180" s="37" t="n">
        <f aca="false">D2180*F2180/C2180</f>
        <v>208.496004098361</v>
      </c>
      <c r="H2180" s="37" t="n">
        <f aca="false">IF(AND(A2180&gt;=Inputs!$B$13,OR(A2180&lt;Inputs!$B$19,Inputs!$B$20=1)),D2180*Inputs!$B$11/C2180,0)</f>
        <v>40.1639344262295</v>
      </c>
      <c r="I2180" s="37" t="n">
        <f aca="false">Inputs!$C$9-SUMIFS(Cash_Events!$G$6:$G$20,Cash_Events!$C$6:$C$20,"FHL",Cash_Events!$B$6:$B$20,"&lt;="&amp;A2180)</f>
        <v>735000</v>
      </c>
      <c r="J2180" s="38" t="n">
        <f aca="false">VLOOKUP(A2180,Inputs!$F$40:$G$48,2,TRUE())</f>
        <v>0.0364054</v>
      </c>
      <c r="K2180" s="38" t="n">
        <f aca="false">J2180+Inputs!$C$10</f>
        <v>0.1039054</v>
      </c>
      <c r="L2180" s="37" t="n">
        <f aca="false">I2180*K2180/C2180</f>
        <v>208.662483606557</v>
      </c>
      <c r="M2180" s="37" t="n">
        <f aca="false">IF(AND(A2180&gt;=Inputs!$C$13,OR(A2180&lt;Inputs!$B$19,Inputs!$B$20=1)),I2180*Inputs!$C$11/C2180,0)</f>
        <v>40.1639344262295</v>
      </c>
    </row>
    <row r="2181" customFormat="false" ht="15" hidden="false" customHeight="false" outlineLevel="0" collapsed="false">
      <c r="A2181" s="35" t="n">
        <f aca="false">A2180+1</f>
        <v>46988</v>
      </c>
      <c r="B2181" s="35" t="n">
        <f aca="false">EOMONTH(A2181+1,0)</f>
        <v>46996</v>
      </c>
      <c r="C2181" s="36" t="n">
        <f aca="false">IF(MOD(YEAR(A2181),4)=0,366,365)</f>
        <v>366</v>
      </c>
      <c r="D2181" s="37" t="n">
        <f aca="false">Inputs!$B$9-SUMIFS(Cash_Events!$G$6:$G$20,Cash_Events!$C$6:$C$20,"rAGMF",Cash_Events!$B$6:$B$20,"&lt;="&amp;A2181)</f>
        <v>735000</v>
      </c>
      <c r="E2181" s="38" t="n">
        <f aca="false">VLOOKUP(A2181,Inputs!$A$40:$B$48,2,TRUE())</f>
        <v>0.0363225</v>
      </c>
      <c r="F2181" s="38" t="n">
        <f aca="false">E2181+Inputs!$B$10</f>
        <v>0.1038225</v>
      </c>
      <c r="G2181" s="37" t="n">
        <f aca="false">D2181*F2181/C2181</f>
        <v>208.496004098361</v>
      </c>
      <c r="H2181" s="37" t="n">
        <f aca="false">IF(AND(A2181&gt;=Inputs!$B$13,OR(A2181&lt;Inputs!$B$19,Inputs!$B$20=1)),D2181*Inputs!$B$11/C2181,0)</f>
        <v>40.1639344262295</v>
      </c>
      <c r="I2181" s="37" t="n">
        <f aca="false">Inputs!$C$9-SUMIFS(Cash_Events!$G$6:$G$20,Cash_Events!$C$6:$C$20,"FHL",Cash_Events!$B$6:$B$20,"&lt;="&amp;A2181)</f>
        <v>735000</v>
      </c>
      <c r="J2181" s="38" t="n">
        <f aca="false">VLOOKUP(A2181,Inputs!$F$40:$G$48,2,TRUE())</f>
        <v>0.0364054</v>
      </c>
      <c r="K2181" s="38" t="n">
        <f aca="false">J2181+Inputs!$C$10</f>
        <v>0.1039054</v>
      </c>
      <c r="L2181" s="37" t="n">
        <f aca="false">I2181*K2181/C2181</f>
        <v>208.662483606557</v>
      </c>
      <c r="M2181" s="37" t="n">
        <f aca="false">IF(AND(A2181&gt;=Inputs!$C$13,OR(A2181&lt;Inputs!$B$19,Inputs!$B$20=1)),I2181*Inputs!$C$11/C2181,0)</f>
        <v>40.1639344262295</v>
      </c>
    </row>
    <row r="2182" customFormat="false" ht="15" hidden="false" customHeight="false" outlineLevel="0" collapsed="false">
      <c r="A2182" s="35" t="n">
        <f aca="false">A2181+1</f>
        <v>46989</v>
      </c>
      <c r="B2182" s="35" t="n">
        <f aca="false">EOMONTH(A2182+1,0)</f>
        <v>46996</v>
      </c>
      <c r="C2182" s="36" t="n">
        <f aca="false">IF(MOD(YEAR(A2182),4)=0,366,365)</f>
        <v>366</v>
      </c>
      <c r="D2182" s="37" t="n">
        <f aca="false">Inputs!$B$9-SUMIFS(Cash_Events!$G$6:$G$20,Cash_Events!$C$6:$C$20,"rAGMF",Cash_Events!$B$6:$B$20,"&lt;="&amp;A2182)</f>
        <v>735000</v>
      </c>
      <c r="E2182" s="38" t="n">
        <f aca="false">VLOOKUP(A2182,Inputs!$A$40:$B$48,2,TRUE())</f>
        <v>0.0363225</v>
      </c>
      <c r="F2182" s="38" t="n">
        <f aca="false">E2182+Inputs!$B$10</f>
        <v>0.1038225</v>
      </c>
      <c r="G2182" s="37" t="n">
        <f aca="false">D2182*F2182/C2182</f>
        <v>208.496004098361</v>
      </c>
      <c r="H2182" s="37" t="n">
        <f aca="false">IF(AND(A2182&gt;=Inputs!$B$13,OR(A2182&lt;Inputs!$B$19,Inputs!$B$20=1)),D2182*Inputs!$B$11/C2182,0)</f>
        <v>40.1639344262295</v>
      </c>
      <c r="I2182" s="37" t="n">
        <f aca="false">Inputs!$C$9-SUMIFS(Cash_Events!$G$6:$G$20,Cash_Events!$C$6:$C$20,"FHL",Cash_Events!$B$6:$B$20,"&lt;="&amp;A2182)</f>
        <v>735000</v>
      </c>
      <c r="J2182" s="38" t="n">
        <f aca="false">VLOOKUP(A2182,Inputs!$F$40:$G$48,2,TRUE())</f>
        <v>0.0364054</v>
      </c>
      <c r="K2182" s="38" t="n">
        <f aca="false">J2182+Inputs!$C$10</f>
        <v>0.1039054</v>
      </c>
      <c r="L2182" s="37" t="n">
        <f aca="false">I2182*K2182/C2182</f>
        <v>208.662483606557</v>
      </c>
      <c r="M2182" s="37" t="n">
        <f aca="false">IF(AND(A2182&gt;=Inputs!$C$13,OR(A2182&lt;Inputs!$B$19,Inputs!$B$20=1)),I2182*Inputs!$C$11/C2182,0)</f>
        <v>40.1639344262295</v>
      </c>
    </row>
    <row r="2183" customFormat="false" ht="15" hidden="false" customHeight="false" outlineLevel="0" collapsed="false">
      <c r="A2183" s="35" t="n">
        <f aca="false">A2182+1</f>
        <v>46990</v>
      </c>
      <c r="B2183" s="35" t="n">
        <f aca="false">EOMONTH(A2183+1,0)</f>
        <v>46996</v>
      </c>
      <c r="C2183" s="36" t="n">
        <f aca="false">IF(MOD(YEAR(A2183),4)=0,366,365)</f>
        <v>366</v>
      </c>
      <c r="D2183" s="37" t="n">
        <f aca="false">Inputs!$B$9-SUMIFS(Cash_Events!$G$6:$G$20,Cash_Events!$C$6:$C$20,"rAGMF",Cash_Events!$B$6:$B$20,"&lt;="&amp;A2183)</f>
        <v>735000</v>
      </c>
      <c r="E2183" s="38" t="n">
        <f aca="false">VLOOKUP(A2183,Inputs!$A$40:$B$48,2,TRUE())</f>
        <v>0.0363225</v>
      </c>
      <c r="F2183" s="38" t="n">
        <f aca="false">E2183+Inputs!$B$10</f>
        <v>0.1038225</v>
      </c>
      <c r="G2183" s="37" t="n">
        <f aca="false">D2183*F2183/C2183</f>
        <v>208.496004098361</v>
      </c>
      <c r="H2183" s="37" t="n">
        <f aca="false">IF(AND(A2183&gt;=Inputs!$B$13,OR(A2183&lt;Inputs!$B$19,Inputs!$B$20=1)),D2183*Inputs!$B$11/C2183,0)</f>
        <v>40.1639344262295</v>
      </c>
      <c r="I2183" s="37" t="n">
        <f aca="false">Inputs!$C$9-SUMIFS(Cash_Events!$G$6:$G$20,Cash_Events!$C$6:$C$20,"FHL",Cash_Events!$B$6:$B$20,"&lt;="&amp;A2183)</f>
        <v>735000</v>
      </c>
      <c r="J2183" s="38" t="n">
        <f aca="false">VLOOKUP(A2183,Inputs!$F$40:$G$48,2,TRUE())</f>
        <v>0.0364054</v>
      </c>
      <c r="K2183" s="38" t="n">
        <f aca="false">J2183+Inputs!$C$10</f>
        <v>0.1039054</v>
      </c>
      <c r="L2183" s="37" t="n">
        <f aca="false">I2183*K2183/C2183</f>
        <v>208.662483606557</v>
      </c>
      <c r="M2183" s="37" t="n">
        <f aca="false">IF(AND(A2183&gt;=Inputs!$C$13,OR(A2183&lt;Inputs!$B$19,Inputs!$B$20=1)),I2183*Inputs!$C$11/C2183,0)</f>
        <v>40.1639344262295</v>
      </c>
    </row>
    <row r="2184" customFormat="false" ht="15" hidden="false" customHeight="false" outlineLevel="0" collapsed="false">
      <c r="A2184" s="35" t="n">
        <f aca="false">A2183+1</f>
        <v>46991</v>
      </c>
      <c r="B2184" s="35" t="n">
        <f aca="false">EOMONTH(A2184+1,0)</f>
        <v>46996</v>
      </c>
      <c r="C2184" s="36" t="n">
        <f aca="false">IF(MOD(YEAR(A2184),4)=0,366,365)</f>
        <v>366</v>
      </c>
      <c r="D2184" s="37" t="n">
        <f aca="false">Inputs!$B$9-SUMIFS(Cash_Events!$G$6:$G$20,Cash_Events!$C$6:$C$20,"rAGMF",Cash_Events!$B$6:$B$20,"&lt;="&amp;A2184)</f>
        <v>735000</v>
      </c>
      <c r="E2184" s="38" t="n">
        <f aca="false">VLOOKUP(A2184,Inputs!$A$40:$B$48,2,TRUE())</f>
        <v>0.0363225</v>
      </c>
      <c r="F2184" s="38" t="n">
        <f aca="false">E2184+Inputs!$B$10</f>
        <v>0.1038225</v>
      </c>
      <c r="G2184" s="37" t="n">
        <f aca="false">D2184*F2184/C2184</f>
        <v>208.496004098361</v>
      </c>
      <c r="H2184" s="37" t="n">
        <f aca="false">IF(AND(A2184&gt;=Inputs!$B$13,OR(A2184&lt;Inputs!$B$19,Inputs!$B$20=1)),D2184*Inputs!$B$11/C2184,0)</f>
        <v>40.1639344262295</v>
      </c>
      <c r="I2184" s="37" t="n">
        <f aca="false">Inputs!$C$9-SUMIFS(Cash_Events!$G$6:$G$20,Cash_Events!$C$6:$C$20,"FHL",Cash_Events!$B$6:$B$20,"&lt;="&amp;A2184)</f>
        <v>735000</v>
      </c>
      <c r="J2184" s="38" t="n">
        <f aca="false">VLOOKUP(A2184,Inputs!$F$40:$G$48,2,TRUE())</f>
        <v>0.0364054</v>
      </c>
      <c r="K2184" s="38" t="n">
        <f aca="false">J2184+Inputs!$C$10</f>
        <v>0.1039054</v>
      </c>
      <c r="L2184" s="37" t="n">
        <f aca="false">I2184*K2184/C2184</f>
        <v>208.662483606557</v>
      </c>
      <c r="M2184" s="37" t="n">
        <f aca="false">IF(AND(A2184&gt;=Inputs!$C$13,OR(A2184&lt;Inputs!$B$19,Inputs!$B$20=1)),I2184*Inputs!$C$11/C2184,0)</f>
        <v>40.1639344262295</v>
      </c>
    </row>
    <row r="2185" customFormat="false" ht="15" hidden="false" customHeight="false" outlineLevel="0" collapsed="false">
      <c r="A2185" s="35" t="n">
        <f aca="false">A2184+1</f>
        <v>46992</v>
      </c>
      <c r="B2185" s="35" t="n">
        <f aca="false">EOMONTH(A2185+1,0)</f>
        <v>46996</v>
      </c>
      <c r="C2185" s="36" t="n">
        <f aca="false">IF(MOD(YEAR(A2185),4)=0,366,365)</f>
        <v>366</v>
      </c>
      <c r="D2185" s="37" t="n">
        <f aca="false">Inputs!$B$9-SUMIFS(Cash_Events!$G$6:$G$20,Cash_Events!$C$6:$C$20,"rAGMF",Cash_Events!$B$6:$B$20,"&lt;="&amp;A2185)</f>
        <v>735000</v>
      </c>
      <c r="E2185" s="38" t="n">
        <f aca="false">VLOOKUP(A2185,Inputs!$A$40:$B$48,2,TRUE())</f>
        <v>0.0363225</v>
      </c>
      <c r="F2185" s="38" t="n">
        <f aca="false">E2185+Inputs!$B$10</f>
        <v>0.1038225</v>
      </c>
      <c r="G2185" s="37" t="n">
        <f aca="false">D2185*F2185/C2185</f>
        <v>208.496004098361</v>
      </c>
      <c r="H2185" s="37" t="n">
        <f aca="false">IF(AND(A2185&gt;=Inputs!$B$13,OR(A2185&lt;Inputs!$B$19,Inputs!$B$20=1)),D2185*Inputs!$B$11/C2185,0)</f>
        <v>40.1639344262295</v>
      </c>
      <c r="I2185" s="37" t="n">
        <f aca="false">Inputs!$C$9-SUMIFS(Cash_Events!$G$6:$G$20,Cash_Events!$C$6:$C$20,"FHL",Cash_Events!$B$6:$B$20,"&lt;="&amp;A2185)</f>
        <v>735000</v>
      </c>
      <c r="J2185" s="38" t="n">
        <f aca="false">VLOOKUP(A2185,Inputs!$F$40:$G$48,2,TRUE())</f>
        <v>0.0364054</v>
      </c>
      <c r="K2185" s="38" t="n">
        <f aca="false">J2185+Inputs!$C$10</f>
        <v>0.1039054</v>
      </c>
      <c r="L2185" s="37" t="n">
        <f aca="false">I2185*K2185/C2185</f>
        <v>208.662483606557</v>
      </c>
      <c r="M2185" s="37" t="n">
        <f aca="false">IF(AND(A2185&gt;=Inputs!$C$13,OR(A2185&lt;Inputs!$B$19,Inputs!$B$20=1)),I2185*Inputs!$C$11/C2185,0)</f>
        <v>40.1639344262295</v>
      </c>
    </row>
    <row r="2186" customFormat="false" ht="15" hidden="false" customHeight="false" outlineLevel="0" collapsed="false">
      <c r="A2186" s="35" t="n">
        <f aca="false">A2185+1</f>
        <v>46993</v>
      </c>
      <c r="B2186" s="35" t="n">
        <f aca="false">EOMONTH(A2186+1,0)</f>
        <v>46996</v>
      </c>
      <c r="C2186" s="36" t="n">
        <f aca="false">IF(MOD(YEAR(A2186),4)=0,366,365)</f>
        <v>366</v>
      </c>
      <c r="D2186" s="37" t="n">
        <f aca="false">Inputs!$B$9-SUMIFS(Cash_Events!$G$6:$G$20,Cash_Events!$C$6:$C$20,"rAGMF",Cash_Events!$B$6:$B$20,"&lt;="&amp;A2186)</f>
        <v>735000</v>
      </c>
      <c r="E2186" s="38" t="n">
        <f aca="false">VLOOKUP(A2186,Inputs!$A$40:$B$48,2,TRUE())</f>
        <v>0.0363225</v>
      </c>
      <c r="F2186" s="38" t="n">
        <f aca="false">E2186+Inputs!$B$10</f>
        <v>0.1038225</v>
      </c>
      <c r="G2186" s="37" t="n">
        <f aca="false">D2186*F2186/C2186</f>
        <v>208.496004098361</v>
      </c>
      <c r="H2186" s="37" t="n">
        <f aca="false">IF(AND(A2186&gt;=Inputs!$B$13,OR(A2186&lt;Inputs!$B$19,Inputs!$B$20=1)),D2186*Inputs!$B$11/C2186,0)</f>
        <v>40.1639344262295</v>
      </c>
      <c r="I2186" s="37" t="n">
        <f aca="false">Inputs!$C$9-SUMIFS(Cash_Events!$G$6:$G$20,Cash_Events!$C$6:$C$20,"FHL",Cash_Events!$B$6:$B$20,"&lt;="&amp;A2186)</f>
        <v>735000</v>
      </c>
      <c r="J2186" s="38" t="n">
        <f aca="false">VLOOKUP(A2186,Inputs!$F$40:$G$48,2,TRUE())</f>
        <v>0.0364054</v>
      </c>
      <c r="K2186" s="38" t="n">
        <f aca="false">J2186+Inputs!$C$10</f>
        <v>0.1039054</v>
      </c>
      <c r="L2186" s="37" t="n">
        <f aca="false">I2186*K2186/C2186</f>
        <v>208.662483606557</v>
      </c>
      <c r="M2186" s="37" t="n">
        <f aca="false">IF(AND(A2186&gt;=Inputs!$C$13,OR(A2186&lt;Inputs!$B$19,Inputs!$B$20=1)),I2186*Inputs!$C$11/C2186,0)</f>
        <v>40.1639344262295</v>
      </c>
    </row>
    <row r="2187" customFormat="false" ht="15" hidden="false" customHeight="false" outlineLevel="0" collapsed="false">
      <c r="A2187" s="35" t="n">
        <f aca="false">A2186+1</f>
        <v>46994</v>
      </c>
      <c r="B2187" s="35" t="n">
        <f aca="false">EOMONTH(A2187+1,0)</f>
        <v>46996</v>
      </c>
      <c r="C2187" s="36" t="n">
        <f aca="false">IF(MOD(YEAR(A2187),4)=0,366,365)</f>
        <v>366</v>
      </c>
      <c r="D2187" s="37" t="n">
        <f aca="false">Inputs!$B$9-SUMIFS(Cash_Events!$G$6:$G$20,Cash_Events!$C$6:$C$20,"rAGMF",Cash_Events!$B$6:$B$20,"&lt;="&amp;A2187)</f>
        <v>735000</v>
      </c>
      <c r="E2187" s="38" t="n">
        <f aca="false">VLOOKUP(A2187,Inputs!$A$40:$B$48,2,TRUE())</f>
        <v>0.0363225</v>
      </c>
      <c r="F2187" s="38" t="n">
        <f aca="false">E2187+Inputs!$B$10</f>
        <v>0.1038225</v>
      </c>
      <c r="G2187" s="37" t="n">
        <f aca="false">D2187*F2187/C2187</f>
        <v>208.496004098361</v>
      </c>
      <c r="H2187" s="37" t="n">
        <f aca="false">IF(AND(A2187&gt;=Inputs!$B$13,OR(A2187&lt;Inputs!$B$19,Inputs!$B$20=1)),D2187*Inputs!$B$11/C2187,0)</f>
        <v>40.1639344262295</v>
      </c>
      <c r="I2187" s="37" t="n">
        <f aca="false">Inputs!$C$9-SUMIFS(Cash_Events!$G$6:$G$20,Cash_Events!$C$6:$C$20,"FHL",Cash_Events!$B$6:$B$20,"&lt;="&amp;A2187)</f>
        <v>735000</v>
      </c>
      <c r="J2187" s="38" t="n">
        <f aca="false">VLOOKUP(A2187,Inputs!$F$40:$G$48,2,TRUE())</f>
        <v>0.0364054</v>
      </c>
      <c r="K2187" s="38" t="n">
        <f aca="false">J2187+Inputs!$C$10</f>
        <v>0.1039054</v>
      </c>
      <c r="L2187" s="37" t="n">
        <f aca="false">I2187*K2187/C2187</f>
        <v>208.662483606557</v>
      </c>
      <c r="M2187" s="37" t="n">
        <f aca="false">IF(AND(A2187&gt;=Inputs!$C$13,OR(A2187&lt;Inputs!$B$19,Inputs!$B$20=1)),I2187*Inputs!$C$11/C2187,0)</f>
        <v>40.1639344262295</v>
      </c>
    </row>
    <row r="2188" customFormat="false" ht="15" hidden="false" customHeight="false" outlineLevel="0" collapsed="false">
      <c r="A2188" s="35" t="n">
        <f aca="false">A2187+1</f>
        <v>46995</v>
      </c>
      <c r="B2188" s="35" t="n">
        <f aca="false">EOMONTH(A2188+1,0)</f>
        <v>46996</v>
      </c>
      <c r="C2188" s="36" t="n">
        <f aca="false">IF(MOD(YEAR(A2188),4)=0,366,365)</f>
        <v>366</v>
      </c>
      <c r="D2188" s="37" t="n">
        <f aca="false">Inputs!$B$9-SUMIFS(Cash_Events!$G$6:$G$20,Cash_Events!$C$6:$C$20,"rAGMF",Cash_Events!$B$6:$B$20,"&lt;="&amp;A2188)</f>
        <v>735000</v>
      </c>
      <c r="E2188" s="38" t="n">
        <f aca="false">VLOOKUP(A2188,Inputs!$A$40:$B$48,2,TRUE())</f>
        <v>0.0363225</v>
      </c>
      <c r="F2188" s="38" t="n">
        <f aca="false">E2188+Inputs!$B$10</f>
        <v>0.1038225</v>
      </c>
      <c r="G2188" s="37" t="n">
        <f aca="false">D2188*F2188/C2188</f>
        <v>208.496004098361</v>
      </c>
      <c r="H2188" s="37" t="n">
        <f aca="false">IF(AND(A2188&gt;=Inputs!$B$13,OR(A2188&lt;Inputs!$B$19,Inputs!$B$20=1)),D2188*Inputs!$B$11/C2188,0)</f>
        <v>40.1639344262295</v>
      </c>
      <c r="I2188" s="37" t="n">
        <f aca="false">Inputs!$C$9-SUMIFS(Cash_Events!$G$6:$G$20,Cash_Events!$C$6:$C$20,"FHL",Cash_Events!$B$6:$B$20,"&lt;="&amp;A2188)</f>
        <v>735000</v>
      </c>
      <c r="J2188" s="38" t="n">
        <f aca="false">VLOOKUP(A2188,Inputs!$F$40:$G$48,2,TRUE())</f>
        <v>0.0364054</v>
      </c>
      <c r="K2188" s="38" t="n">
        <f aca="false">J2188+Inputs!$C$10</f>
        <v>0.1039054</v>
      </c>
      <c r="L2188" s="37" t="n">
        <f aca="false">I2188*K2188/C2188</f>
        <v>208.662483606557</v>
      </c>
      <c r="M2188" s="37" t="n">
        <f aca="false">IF(AND(A2188&gt;=Inputs!$C$13,OR(A2188&lt;Inputs!$B$19,Inputs!$B$20=1)),I2188*Inputs!$C$11/C2188,0)</f>
        <v>40.1639344262295</v>
      </c>
    </row>
    <row r="2189" customFormat="false" ht="15" hidden="false" customHeight="false" outlineLevel="0" collapsed="false">
      <c r="A2189" s="35" t="n">
        <f aca="false">A2188+1</f>
        <v>46996</v>
      </c>
      <c r="B2189" s="35" t="n">
        <f aca="false">EOMONTH(A2189+1,0)</f>
        <v>47026</v>
      </c>
      <c r="C2189" s="36" t="n">
        <f aca="false">IF(MOD(YEAR(A2189),4)=0,366,365)</f>
        <v>366</v>
      </c>
      <c r="D2189" s="37" t="n">
        <f aca="false">Inputs!$B$9-SUMIFS(Cash_Events!$G$6:$G$20,Cash_Events!$C$6:$C$20,"rAGMF",Cash_Events!$B$6:$B$20,"&lt;="&amp;A2189)</f>
        <v>735000</v>
      </c>
      <c r="E2189" s="38" t="n">
        <f aca="false">VLOOKUP(A2189,Inputs!$A$40:$B$48,2,TRUE())</f>
        <v>0.0363225</v>
      </c>
      <c r="F2189" s="38" t="n">
        <f aca="false">E2189+Inputs!$B$10</f>
        <v>0.1038225</v>
      </c>
      <c r="G2189" s="37" t="n">
        <f aca="false">D2189*F2189/C2189</f>
        <v>208.496004098361</v>
      </c>
      <c r="H2189" s="37" t="n">
        <f aca="false">IF(AND(A2189&gt;=Inputs!$B$13,OR(A2189&lt;Inputs!$B$19,Inputs!$B$20=1)),D2189*Inputs!$B$11/C2189,0)</f>
        <v>40.1639344262295</v>
      </c>
      <c r="I2189" s="37" t="n">
        <f aca="false">Inputs!$C$9-SUMIFS(Cash_Events!$G$6:$G$20,Cash_Events!$C$6:$C$20,"FHL",Cash_Events!$B$6:$B$20,"&lt;="&amp;A2189)</f>
        <v>735000</v>
      </c>
      <c r="J2189" s="38" t="n">
        <f aca="false">VLOOKUP(A2189,Inputs!$F$40:$G$48,2,TRUE())</f>
        <v>0.0364054</v>
      </c>
      <c r="K2189" s="38" t="n">
        <f aca="false">J2189+Inputs!$C$10</f>
        <v>0.1039054</v>
      </c>
      <c r="L2189" s="37" t="n">
        <f aca="false">I2189*K2189/C2189</f>
        <v>208.662483606557</v>
      </c>
      <c r="M2189" s="37" t="n">
        <f aca="false">IF(AND(A2189&gt;=Inputs!$C$13,OR(A2189&lt;Inputs!$B$19,Inputs!$B$20=1)),I2189*Inputs!$C$11/C2189,0)</f>
        <v>40.1639344262295</v>
      </c>
    </row>
    <row r="2190" customFormat="false" ht="15" hidden="false" customHeight="false" outlineLevel="0" collapsed="false">
      <c r="A2190" s="35" t="n">
        <f aca="false">A2189+1</f>
        <v>46997</v>
      </c>
      <c r="B2190" s="35" t="n">
        <f aca="false">EOMONTH(A2190+1,0)</f>
        <v>47026</v>
      </c>
      <c r="C2190" s="36" t="n">
        <f aca="false">IF(MOD(YEAR(A2190),4)=0,366,365)</f>
        <v>366</v>
      </c>
      <c r="D2190" s="37" t="n">
        <f aca="false">Inputs!$B$9-SUMIFS(Cash_Events!$G$6:$G$20,Cash_Events!$C$6:$C$20,"rAGMF",Cash_Events!$B$6:$B$20,"&lt;="&amp;A2190)</f>
        <v>735000</v>
      </c>
      <c r="E2190" s="38" t="n">
        <f aca="false">VLOOKUP(A2190,Inputs!$A$40:$B$48,2,TRUE())</f>
        <v>0.0363225</v>
      </c>
      <c r="F2190" s="38" t="n">
        <f aca="false">E2190+Inputs!$B$10</f>
        <v>0.1038225</v>
      </c>
      <c r="G2190" s="37" t="n">
        <f aca="false">D2190*F2190/C2190</f>
        <v>208.496004098361</v>
      </c>
      <c r="H2190" s="37" t="n">
        <f aca="false">IF(AND(A2190&gt;=Inputs!$B$13,OR(A2190&lt;Inputs!$B$19,Inputs!$B$20=1)),D2190*Inputs!$B$11/C2190,0)</f>
        <v>40.1639344262295</v>
      </c>
      <c r="I2190" s="37" t="n">
        <f aca="false">Inputs!$C$9-SUMIFS(Cash_Events!$G$6:$G$20,Cash_Events!$C$6:$C$20,"FHL",Cash_Events!$B$6:$B$20,"&lt;="&amp;A2190)</f>
        <v>735000</v>
      </c>
      <c r="J2190" s="38" t="n">
        <f aca="false">VLOOKUP(A2190,Inputs!$F$40:$G$48,2,TRUE())</f>
        <v>0.0364054</v>
      </c>
      <c r="K2190" s="38" t="n">
        <f aca="false">J2190+Inputs!$C$10</f>
        <v>0.1039054</v>
      </c>
      <c r="L2190" s="37" t="n">
        <f aca="false">I2190*K2190/C2190</f>
        <v>208.662483606557</v>
      </c>
      <c r="M2190" s="37" t="n">
        <f aca="false">IF(AND(A2190&gt;=Inputs!$C$13,OR(A2190&lt;Inputs!$B$19,Inputs!$B$20=1)),I2190*Inputs!$C$11/C2190,0)</f>
        <v>40.1639344262295</v>
      </c>
    </row>
    <row r="2191" customFormat="false" ht="15" hidden="false" customHeight="false" outlineLevel="0" collapsed="false">
      <c r="A2191" s="35" t="n">
        <f aca="false">A2190+1</f>
        <v>46998</v>
      </c>
      <c r="B2191" s="35" t="n">
        <f aca="false">EOMONTH(A2191+1,0)</f>
        <v>47026</v>
      </c>
      <c r="C2191" s="36" t="n">
        <f aca="false">IF(MOD(YEAR(A2191),4)=0,366,365)</f>
        <v>366</v>
      </c>
      <c r="D2191" s="37" t="n">
        <f aca="false">Inputs!$B$9-SUMIFS(Cash_Events!$G$6:$G$20,Cash_Events!$C$6:$C$20,"rAGMF",Cash_Events!$B$6:$B$20,"&lt;="&amp;A2191)</f>
        <v>735000</v>
      </c>
      <c r="E2191" s="38" t="n">
        <f aca="false">VLOOKUP(A2191,Inputs!$A$40:$B$48,2,TRUE())</f>
        <v>0.0363225</v>
      </c>
      <c r="F2191" s="38" t="n">
        <f aca="false">E2191+Inputs!$B$10</f>
        <v>0.1038225</v>
      </c>
      <c r="G2191" s="37" t="n">
        <f aca="false">D2191*F2191/C2191</f>
        <v>208.496004098361</v>
      </c>
      <c r="H2191" s="37" t="n">
        <f aca="false">IF(AND(A2191&gt;=Inputs!$B$13,OR(A2191&lt;Inputs!$B$19,Inputs!$B$20=1)),D2191*Inputs!$B$11/C2191,0)</f>
        <v>40.1639344262295</v>
      </c>
      <c r="I2191" s="37" t="n">
        <f aca="false">Inputs!$C$9-SUMIFS(Cash_Events!$G$6:$G$20,Cash_Events!$C$6:$C$20,"FHL",Cash_Events!$B$6:$B$20,"&lt;="&amp;A2191)</f>
        <v>735000</v>
      </c>
      <c r="J2191" s="38" t="n">
        <f aca="false">VLOOKUP(A2191,Inputs!$F$40:$G$48,2,TRUE())</f>
        <v>0.0364054</v>
      </c>
      <c r="K2191" s="38" t="n">
        <f aca="false">J2191+Inputs!$C$10</f>
        <v>0.1039054</v>
      </c>
      <c r="L2191" s="37" t="n">
        <f aca="false">I2191*K2191/C2191</f>
        <v>208.662483606557</v>
      </c>
      <c r="M2191" s="37" t="n">
        <f aca="false">IF(AND(A2191&gt;=Inputs!$C$13,OR(A2191&lt;Inputs!$B$19,Inputs!$B$20=1)),I2191*Inputs!$C$11/C2191,0)</f>
        <v>40.1639344262295</v>
      </c>
    </row>
    <row r="2192" customFormat="false" ht="15" hidden="false" customHeight="false" outlineLevel="0" collapsed="false">
      <c r="A2192" s="35" t="n">
        <f aca="false">A2191+1</f>
        <v>46999</v>
      </c>
      <c r="B2192" s="35" t="n">
        <f aca="false">EOMONTH(A2192+1,0)</f>
        <v>47026</v>
      </c>
      <c r="C2192" s="36" t="n">
        <f aca="false">IF(MOD(YEAR(A2192),4)=0,366,365)</f>
        <v>366</v>
      </c>
      <c r="D2192" s="37" t="n">
        <f aca="false">Inputs!$B$9-SUMIFS(Cash_Events!$G$6:$G$20,Cash_Events!$C$6:$C$20,"rAGMF",Cash_Events!$B$6:$B$20,"&lt;="&amp;A2192)</f>
        <v>735000</v>
      </c>
      <c r="E2192" s="38" t="n">
        <f aca="false">VLOOKUP(A2192,Inputs!$A$40:$B$48,2,TRUE())</f>
        <v>0.0363225</v>
      </c>
      <c r="F2192" s="38" t="n">
        <f aca="false">E2192+Inputs!$B$10</f>
        <v>0.1038225</v>
      </c>
      <c r="G2192" s="37" t="n">
        <f aca="false">D2192*F2192/C2192</f>
        <v>208.496004098361</v>
      </c>
      <c r="H2192" s="37" t="n">
        <f aca="false">IF(AND(A2192&gt;=Inputs!$B$13,OR(A2192&lt;Inputs!$B$19,Inputs!$B$20=1)),D2192*Inputs!$B$11/C2192,0)</f>
        <v>40.1639344262295</v>
      </c>
      <c r="I2192" s="37" t="n">
        <f aca="false">Inputs!$C$9-SUMIFS(Cash_Events!$G$6:$G$20,Cash_Events!$C$6:$C$20,"FHL",Cash_Events!$B$6:$B$20,"&lt;="&amp;A2192)</f>
        <v>735000</v>
      </c>
      <c r="J2192" s="38" t="n">
        <f aca="false">VLOOKUP(A2192,Inputs!$F$40:$G$48,2,TRUE())</f>
        <v>0.0364054</v>
      </c>
      <c r="K2192" s="38" t="n">
        <f aca="false">J2192+Inputs!$C$10</f>
        <v>0.1039054</v>
      </c>
      <c r="L2192" s="37" t="n">
        <f aca="false">I2192*K2192/C2192</f>
        <v>208.662483606557</v>
      </c>
      <c r="M2192" s="37" t="n">
        <f aca="false">IF(AND(A2192&gt;=Inputs!$C$13,OR(A2192&lt;Inputs!$B$19,Inputs!$B$20=1)),I2192*Inputs!$C$11/C2192,0)</f>
        <v>40.1639344262295</v>
      </c>
    </row>
    <row r="2193" customFormat="false" ht="15" hidden="false" customHeight="false" outlineLevel="0" collapsed="false">
      <c r="A2193" s="35" t="n">
        <f aca="false">A2192+1</f>
        <v>47000</v>
      </c>
      <c r="B2193" s="35" t="n">
        <f aca="false">EOMONTH(A2193+1,0)</f>
        <v>47026</v>
      </c>
      <c r="C2193" s="36" t="n">
        <f aca="false">IF(MOD(YEAR(A2193),4)=0,366,365)</f>
        <v>366</v>
      </c>
      <c r="D2193" s="37" t="n">
        <f aca="false">Inputs!$B$9-SUMIFS(Cash_Events!$G$6:$G$20,Cash_Events!$C$6:$C$20,"rAGMF",Cash_Events!$B$6:$B$20,"&lt;="&amp;A2193)</f>
        <v>735000</v>
      </c>
      <c r="E2193" s="38" t="n">
        <f aca="false">VLOOKUP(A2193,Inputs!$A$40:$B$48,2,TRUE())</f>
        <v>0.0363225</v>
      </c>
      <c r="F2193" s="38" t="n">
        <f aca="false">E2193+Inputs!$B$10</f>
        <v>0.1038225</v>
      </c>
      <c r="G2193" s="37" t="n">
        <f aca="false">D2193*F2193/C2193</f>
        <v>208.496004098361</v>
      </c>
      <c r="H2193" s="37" t="n">
        <f aca="false">IF(AND(A2193&gt;=Inputs!$B$13,OR(A2193&lt;Inputs!$B$19,Inputs!$B$20=1)),D2193*Inputs!$B$11/C2193,0)</f>
        <v>40.1639344262295</v>
      </c>
      <c r="I2193" s="37" t="n">
        <f aca="false">Inputs!$C$9-SUMIFS(Cash_Events!$G$6:$G$20,Cash_Events!$C$6:$C$20,"FHL",Cash_Events!$B$6:$B$20,"&lt;="&amp;A2193)</f>
        <v>735000</v>
      </c>
      <c r="J2193" s="38" t="n">
        <f aca="false">VLOOKUP(A2193,Inputs!$F$40:$G$48,2,TRUE())</f>
        <v>0.0364054</v>
      </c>
      <c r="K2193" s="38" t="n">
        <f aca="false">J2193+Inputs!$C$10</f>
        <v>0.1039054</v>
      </c>
      <c r="L2193" s="37" t="n">
        <f aca="false">I2193*K2193/C2193</f>
        <v>208.662483606557</v>
      </c>
      <c r="M2193" s="37" t="n">
        <f aca="false">IF(AND(A2193&gt;=Inputs!$C$13,OR(A2193&lt;Inputs!$B$19,Inputs!$B$20=1)),I2193*Inputs!$C$11/C2193,0)</f>
        <v>40.1639344262295</v>
      </c>
    </row>
    <row r="2194" customFormat="false" ht="15" hidden="false" customHeight="false" outlineLevel="0" collapsed="false">
      <c r="A2194" s="35" t="n">
        <f aca="false">A2193+1</f>
        <v>47001</v>
      </c>
      <c r="B2194" s="35" t="n">
        <f aca="false">EOMONTH(A2194+1,0)</f>
        <v>47026</v>
      </c>
      <c r="C2194" s="36" t="n">
        <f aca="false">IF(MOD(YEAR(A2194),4)=0,366,365)</f>
        <v>366</v>
      </c>
      <c r="D2194" s="37" t="n">
        <f aca="false">Inputs!$B$9-SUMIFS(Cash_Events!$G$6:$G$20,Cash_Events!$C$6:$C$20,"rAGMF",Cash_Events!$B$6:$B$20,"&lt;="&amp;A2194)</f>
        <v>735000</v>
      </c>
      <c r="E2194" s="38" t="n">
        <f aca="false">VLOOKUP(A2194,Inputs!$A$40:$B$48,2,TRUE())</f>
        <v>0.0363225</v>
      </c>
      <c r="F2194" s="38" t="n">
        <f aca="false">E2194+Inputs!$B$10</f>
        <v>0.1038225</v>
      </c>
      <c r="G2194" s="37" t="n">
        <f aca="false">D2194*F2194/C2194</f>
        <v>208.496004098361</v>
      </c>
      <c r="H2194" s="37" t="n">
        <f aca="false">IF(AND(A2194&gt;=Inputs!$B$13,OR(A2194&lt;Inputs!$B$19,Inputs!$B$20=1)),D2194*Inputs!$B$11/C2194,0)</f>
        <v>40.1639344262295</v>
      </c>
      <c r="I2194" s="37" t="n">
        <f aca="false">Inputs!$C$9-SUMIFS(Cash_Events!$G$6:$G$20,Cash_Events!$C$6:$C$20,"FHL",Cash_Events!$B$6:$B$20,"&lt;="&amp;A2194)</f>
        <v>735000</v>
      </c>
      <c r="J2194" s="38" t="n">
        <f aca="false">VLOOKUP(A2194,Inputs!$F$40:$G$48,2,TRUE())</f>
        <v>0.0364054</v>
      </c>
      <c r="K2194" s="38" t="n">
        <f aca="false">J2194+Inputs!$C$10</f>
        <v>0.1039054</v>
      </c>
      <c r="L2194" s="37" t="n">
        <f aca="false">I2194*K2194/C2194</f>
        <v>208.662483606557</v>
      </c>
      <c r="M2194" s="37" t="n">
        <f aca="false">IF(AND(A2194&gt;=Inputs!$C$13,OR(A2194&lt;Inputs!$B$19,Inputs!$B$20=1)),I2194*Inputs!$C$11/C2194,0)</f>
        <v>40.1639344262295</v>
      </c>
    </row>
    <row r="2195" customFormat="false" ht="15" hidden="false" customHeight="false" outlineLevel="0" collapsed="false">
      <c r="A2195" s="35" t="n">
        <f aca="false">A2194+1</f>
        <v>47002</v>
      </c>
      <c r="B2195" s="35" t="n">
        <f aca="false">EOMONTH(A2195+1,0)</f>
        <v>47026</v>
      </c>
      <c r="C2195" s="36" t="n">
        <f aca="false">IF(MOD(YEAR(A2195),4)=0,366,365)</f>
        <v>366</v>
      </c>
      <c r="D2195" s="37" t="n">
        <f aca="false">Inputs!$B$9-SUMIFS(Cash_Events!$G$6:$G$20,Cash_Events!$C$6:$C$20,"rAGMF",Cash_Events!$B$6:$B$20,"&lt;="&amp;A2195)</f>
        <v>735000</v>
      </c>
      <c r="E2195" s="38" t="n">
        <f aca="false">VLOOKUP(A2195,Inputs!$A$40:$B$48,2,TRUE())</f>
        <v>0.0363225</v>
      </c>
      <c r="F2195" s="38" t="n">
        <f aca="false">E2195+Inputs!$B$10</f>
        <v>0.1038225</v>
      </c>
      <c r="G2195" s="37" t="n">
        <f aca="false">D2195*F2195/C2195</f>
        <v>208.496004098361</v>
      </c>
      <c r="H2195" s="37" t="n">
        <f aca="false">IF(AND(A2195&gt;=Inputs!$B$13,OR(A2195&lt;Inputs!$B$19,Inputs!$B$20=1)),D2195*Inputs!$B$11/C2195,0)</f>
        <v>40.1639344262295</v>
      </c>
      <c r="I2195" s="37" t="n">
        <f aca="false">Inputs!$C$9-SUMIFS(Cash_Events!$G$6:$G$20,Cash_Events!$C$6:$C$20,"FHL",Cash_Events!$B$6:$B$20,"&lt;="&amp;A2195)</f>
        <v>735000</v>
      </c>
      <c r="J2195" s="38" t="n">
        <f aca="false">VLOOKUP(A2195,Inputs!$F$40:$G$48,2,TRUE())</f>
        <v>0.0364054</v>
      </c>
      <c r="K2195" s="38" t="n">
        <f aca="false">J2195+Inputs!$C$10</f>
        <v>0.1039054</v>
      </c>
      <c r="L2195" s="37" t="n">
        <f aca="false">I2195*K2195/C2195</f>
        <v>208.662483606557</v>
      </c>
      <c r="M2195" s="37" t="n">
        <f aca="false">IF(AND(A2195&gt;=Inputs!$C$13,OR(A2195&lt;Inputs!$B$19,Inputs!$B$20=1)),I2195*Inputs!$C$11/C2195,0)</f>
        <v>40.1639344262295</v>
      </c>
    </row>
    <row r="2196" customFormat="false" ht="15" hidden="false" customHeight="false" outlineLevel="0" collapsed="false">
      <c r="A2196" s="35" t="n">
        <f aca="false">A2195+1</f>
        <v>47003</v>
      </c>
      <c r="B2196" s="35" t="n">
        <f aca="false">EOMONTH(A2196+1,0)</f>
        <v>47026</v>
      </c>
      <c r="C2196" s="36" t="n">
        <f aca="false">IF(MOD(YEAR(A2196),4)=0,366,365)</f>
        <v>366</v>
      </c>
      <c r="D2196" s="37" t="n">
        <f aca="false">Inputs!$B$9-SUMIFS(Cash_Events!$G$6:$G$20,Cash_Events!$C$6:$C$20,"rAGMF",Cash_Events!$B$6:$B$20,"&lt;="&amp;A2196)</f>
        <v>735000</v>
      </c>
      <c r="E2196" s="38" t="n">
        <f aca="false">VLOOKUP(A2196,Inputs!$A$40:$B$48,2,TRUE())</f>
        <v>0.0363225</v>
      </c>
      <c r="F2196" s="38" t="n">
        <f aca="false">E2196+Inputs!$B$10</f>
        <v>0.1038225</v>
      </c>
      <c r="G2196" s="37" t="n">
        <f aca="false">D2196*F2196/C2196</f>
        <v>208.496004098361</v>
      </c>
      <c r="H2196" s="37" t="n">
        <f aca="false">IF(AND(A2196&gt;=Inputs!$B$13,OR(A2196&lt;Inputs!$B$19,Inputs!$B$20=1)),D2196*Inputs!$B$11/C2196,0)</f>
        <v>40.1639344262295</v>
      </c>
      <c r="I2196" s="37" t="n">
        <f aca="false">Inputs!$C$9-SUMIFS(Cash_Events!$G$6:$G$20,Cash_Events!$C$6:$C$20,"FHL",Cash_Events!$B$6:$B$20,"&lt;="&amp;A2196)</f>
        <v>735000</v>
      </c>
      <c r="J2196" s="38" t="n">
        <f aca="false">VLOOKUP(A2196,Inputs!$F$40:$G$48,2,TRUE())</f>
        <v>0.0364054</v>
      </c>
      <c r="K2196" s="38" t="n">
        <f aca="false">J2196+Inputs!$C$10</f>
        <v>0.1039054</v>
      </c>
      <c r="L2196" s="37" t="n">
        <f aca="false">I2196*K2196/C2196</f>
        <v>208.662483606557</v>
      </c>
      <c r="M2196" s="37" t="n">
        <f aca="false">IF(AND(A2196&gt;=Inputs!$C$13,OR(A2196&lt;Inputs!$B$19,Inputs!$B$20=1)),I2196*Inputs!$C$11/C2196,0)</f>
        <v>40.1639344262295</v>
      </c>
    </row>
    <row r="2197" customFormat="false" ht="15" hidden="false" customHeight="false" outlineLevel="0" collapsed="false">
      <c r="A2197" s="35" t="n">
        <f aca="false">A2196+1</f>
        <v>47004</v>
      </c>
      <c r="B2197" s="35" t="n">
        <f aca="false">EOMONTH(A2197+1,0)</f>
        <v>47026</v>
      </c>
      <c r="C2197" s="36" t="n">
        <f aca="false">IF(MOD(YEAR(A2197),4)=0,366,365)</f>
        <v>366</v>
      </c>
      <c r="D2197" s="37" t="n">
        <f aca="false">Inputs!$B$9-SUMIFS(Cash_Events!$G$6:$G$20,Cash_Events!$C$6:$C$20,"rAGMF",Cash_Events!$B$6:$B$20,"&lt;="&amp;A2197)</f>
        <v>735000</v>
      </c>
      <c r="E2197" s="38" t="n">
        <f aca="false">VLOOKUP(A2197,Inputs!$A$40:$B$48,2,TRUE())</f>
        <v>0.0363225</v>
      </c>
      <c r="F2197" s="38" t="n">
        <f aca="false">E2197+Inputs!$B$10</f>
        <v>0.1038225</v>
      </c>
      <c r="G2197" s="37" t="n">
        <f aca="false">D2197*F2197/C2197</f>
        <v>208.496004098361</v>
      </c>
      <c r="H2197" s="37" t="n">
        <f aca="false">IF(AND(A2197&gt;=Inputs!$B$13,OR(A2197&lt;Inputs!$B$19,Inputs!$B$20=1)),D2197*Inputs!$B$11/C2197,0)</f>
        <v>40.1639344262295</v>
      </c>
      <c r="I2197" s="37" t="n">
        <f aca="false">Inputs!$C$9-SUMIFS(Cash_Events!$G$6:$G$20,Cash_Events!$C$6:$C$20,"FHL",Cash_Events!$B$6:$B$20,"&lt;="&amp;A2197)</f>
        <v>735000</v>
      </c>
      <c r="J2197" s="38" t="n">
        <f aca="false">VLOOKUP(A2197,Inputs!$F$40:$G$48,2,TRUE())</f>
        <v>0.0364054</v>
      </c>
      <c r="K2197" s="38" t="n">
        <f aca="false">J2197+Inputs!$C$10</f>
        <v>0.1039054</v>
      </c>
      <c r="L2197" s="37" t="n">
        <f aca="false">I2197*K2197/C2197</f>
        <v>208.662483606557</v>
      </c>
      <c r="M2197" s="37" t="n">
        <f aca="false">IF(AND(A2197&gt;=Inputs!$C$13,OR(A2197&lt;Inputs!$B$19,Inputs!$B$20=1)),I2197*Inputs!$C$11/C2197,0)</f>
        <v>40.1639344262295</v>
      </c>
    </row>
    <row r="2198" customFormat="false" ht="15" hidden="false" customHeight="false" outlineLevel="0" collapsed="false">
      <c r="A2198" s="35" t="n">
        <f aca="false">A2197+1</f>
        <v>47005</v>
      </c>
      <c r="B2198" s="35" t="n">
        <f aca="false">EOMONTH(A2198+1,0)</f>
        <v>47026</v>
      </c>
      <c r="C2198" s="36" t="n">
        <f aca="false">IF(MOD(YEAR(A2198),4)=0,366,365)</f>
        <v>366</v>
      </c>
      <c r="D2198" s="37" t="n">
        <f aca="false">Inputs!$B$9-SUMIFS(Cash_Events!$G$6:$G$20,Cash_Events!$C$6:$C$20,"rAGMF",Cash_Events!$B$6:$B$20,"&lt;="&amp;A2198)</f>
        <v>735000</v>
      </c>
      <c r="E2198" s="38" t="n">
        <f aca="false">VLOOKUP(A2198,Inputs!$A$40:$B$48,2,TRUE())</f>
        <v>0.0363225</v>
      </c>
      <c r="F2198" s="38" t="n">
        <f aca="false">E2198+Inputs!$B$10</f>
        <v>0.1038225</v>
      </c>
      <c r="G2198" s="37" t="n">
        <f aca="false">D2198*F2198/C2198</f>
        <v>208.496004098361</v>
      </c>
      <c r="H2198" s="37" t="n">
        <f aca="false">IF(AND(A2198&gt;=Inputs!$B$13,OR(A2198&lt;Inputs!$B$19,Inputs!$B$20=1)),D2198*Inputs!$B$11/C2198,0)</f>
        <v>40.1639344262295</v>
      </c>
      <c r="I2198" s="37" t="n">
        <f aca="false">Inputs!$C$9-SUMIFS(Cash_Events!$G$6:$G$20,Cash_Events!$C$6:$C$20,"FHL",Cash_Events!$B$6:$B$20,"&lt;="&amp;A2198)</f>
        <v>735000</v>
      </c>
      <c r="J2198" s="38" t="n">
        <f aca="false">VLOOKUP(A2198,Inputs!$F$40:$G$48,2,TRUE())</f>
        <v>0.0364054</v>
      </c>
      <c r="K2198" s="38" t="n">
        <f aca="false">J2198+Inputs!$C$10</f>
        <v>0.1039054</v>
      </c>
      <c r="L2198" s="37" t="n">
        <f aca="false">I2198*K2198/C2198</f>
        <v>208.662483606557</v>
      </c>
      <c r="M2198" s="37" t="n">
        <f aca="false">IF(AND(A2198&gt;=Inputs!$C$13,OR(A2198&lt;Inputs!$B$19,Inputs!$B$20=1)),I2198*Inputs!$C$11/C2198,0)</f>
        <v>40.1639344262295</v>
      </c>
    </row>
    <row r="2199" customFormat="false" ht="15" hidden="false" customHeight="false" outlineLevel="0" collapsed="false">
      <c r="A2199" s="35" t="n">
        <f aca="false">A2198+1</f>
        <v>47006</v>
      </c>
      <c r="B2199" s="35" t="n">
        <f aca="false">EOMONTH(A2199+1,0)</f>
        <v>47026</v>
      </c>
      <c r="C2199" s="36" t="n">
        <f aca="false">IF(MOD(YEAR(A2199),4)=0,366,365)</f>
        <v>366</v>
      </c>
      <c r="D2199" s="37" t="n">
        <f aca="false">Inputs!$B$9-SUMIFS(Cash_Events!$G$6:$G$20,Cash_Events!$C$6:$C$20,"rAGMF",Cash_Events!$B$6:$B$20,"&lt;="&amp;A2199)</f>
        <v>735000</v>
      </c>
      <c r="E2199" s="38" t="n">
        <f aca="false">VLOOKUP(A2199,Inputs!$A$40:$B$48,2,TRUE())</f>
        <v>0.0363225</v>
      </c>
      <c r="F2199" s="38" t="n">
        <f aca="false">E2199+Inputs!$B$10</f>
        <v>0.1038225</v>
      </c>
      <c r="G2199" s="37" t="n">
        <f aca="false">D2199*F2199/C2199</f>
        <v>208.496004098361</v>
      </c>
      <c r="H2199" s="37" t="n">
        <f aca="false">IF(AND(A2199&gt;=Inputs!$B$13,OR(A2199&lt;Inputs!$B$19,Inputs!$B$20=1)),D2199*Inputs!$B$11/C2199,0)</f>
        <v>40.1639344262295</v>
      </c>
      <c r="I2199" s="37" t="n">
        <f aca="false">Inputs!$C$9-SUMIFS(Cash_Events!$G$6:$G$20,Cash_Events!$C$6:$C$20,"FHL",Cash_Events!$B$6:$B$20,"&lt;="&amp;A2199)</f>
        <v>735000</v>
      </c>
      <c r="J2199" s="38" t="n">
        <f aca="false">VLOOKUP(A2199,Inputs!$F$40:$G$48,2,TRUE())</f>
        <v>0.0364054</v>
      </c>
      <c r="K2199" s="38" t="n">
        <f aca="false">J2199+Inputs!$C$10</f>
        <v>0.1039054</v>
      </c>
      <c r="L2199" s="37" t="n">
        <f aca="false">I2199*K2199/C2199</f>
        <v>208.662483606557</v>
      </c>
      <c r="M2199" s="37" t="n">
        <f aca="false">IF(AND(A2199&gt;=Inputs!$C$13,OR(A2199&lt;Inputs!$B$19,Inputs!$B$20=1)),I2199*Inputs!$C$11/C2199,0)</f>
        <v>40.1639344262295</v>
      </c>
    </row>
    <row r="2200" customFormat="false" ht="15" hidden="false" customHeight="false" outlineLevel="0" collapsed="false">
      <c r="A2200" s="35" t="n">
        <f aca="false">A2199+1</f>
        <v>47007</v>
      </c>
      <c r="B2200" s="35" t="n">
        <f aca="false">EOMONTH(A2200+1,0)</f>
        <v>47026</v>
      </c>
      <c r="C2200" s="36" t="n">
        <f aca="false">IF(MOD(YEAR(A2200),4)=0,366,365)</f>
        <v>366</v>
      </c>
      <c r="D2200" s="37" t="n">
        <f aca="false">Inputs!$B$9-SUMIFS(Cash_Events!$G$6:$G$20,Cash_Events!$C$6:$C$20,"rAGMF",Cash_Events!$B$6:$B$20,"&lt;="&amp;A2200)</f>
        <v>735000</v>
      </c>
      <c r="E2200" s="38" t="n">
        <f aca="false">VLOOKUP(A2200,Inputs!$A$40:$B$48,2,TRUE())</f>
        <v>0.0363225</v>
      </c>
      <c r="F2200" s="38" t="n">
        <f aca="false">E2200+Inputs!$B$10</f>
        <v>0.1038225</v>
      </c>
      <c r="G2200" s="37" t="n">
        <f aca="false">D2200*F2200/C2200</f>
        <v>208.496004098361</v>
      </c>
      <c r="H2200" s="37" t="n">
        <f aca="false">IF(AND(A2200&gt;=Inputs!$B$13,OR(A2200&lt;Inputs!$B$19,Inputs!$B$20=1)),D2200*Inputs!$B$11/C2200,0)</f>
        <v>40.1639344262295</v>
      </c>
      <c r="I2200" s="37" t="n">
        <f aca="false">Inputs!$C$9-SUMIFS(Cash_Events!$G$6:$G$20,Cash_Events!$C$6:$C$20,"FHL",Cash_Events!$B$6:$B$20,"&lt;="&amp;A2200)</f>
        <v>735000</v>
      </c>
      <c r="J2200" s="38" t="n">
        <f aca="false">VLOOKUP(A2200,Inputs!$F$40:$G$48,2,TRUE())</f>
        <v>0.0364054</v>
      </c>
      <c r="K2200" s="38" t="n">
        <f aca="false">J2200+Inputs!$C$10</f>
        <v>0.1039054</v>
      </c>
      <c r="L2200" s="37" t="n">
        <f aca="false">I2200*K2200/C2200</f>
        <v>208.662483606557</v>
      </c>
      <c r="M2200" s="37" t="n">
        <f aca="false">IF(AND(A2200&gt;=Inputs!$C$13,OR(A2200&lt;Inputs!$B$19,Inputs!$B$20=1)),I2200*Inputs!$C$11/C2200,0)</f>
        <v>40.1639344262295</v>
      </c>
    </row>
    <row r="2201" customFormat="false" ht="15" hidden="false" customHeight="false" outlineLevel="0" collapsed="false">
      <c r="A2201" s="35" t="n">
        <f aca="false">A2200+1</f>
        <v>47008</v>
      </c>
      <c r="B2201" s="35" t="n">
        <f aca="false">EOMONTH(A2201+1,0)</f>
        <v>47026</v>
      </c>
      <c r="C2201" s="36" t="n">
        <f aca="false">IF(MOD(YEAR(A2201),4)=0,366,365)</f>
        <v>366</v>
      </c>
      <c r="D2201" s="37" t="n">
        <f aca="false">Inputs!$B$9-SUMIFS(Cash_Events!$G$6:$G$20,Cash_Events!$C$6:$C$20,"rAGMF",Cash_Events!$B$6:$B$20,"&lt;="&amp;A2201)</f>
        <v>735000</v>
      </c>
      <c r="E2201" s="38" t="n">
        <f aca="false">VLOOKUP(A2201,Inputs!$A$40:$B$48,2,TRUE())</f>
        <v>0.0363225</v>
      </c>
      <c r="F2201" s="38" t="n">
        <f aca="false">E2201+Inputs!$B$10</f>
        <v>0.1038225</v>
      </c>
      <c r="G2201" s="37" t="n">
        <f aca="false">D2201*F2201/C2201</f>
        <v>208.496004098361</v>
      </c>
      <c r="H2201" s="37" t="n">
        <f aca="false">IF(AND(A2201&gt;=Inputs!$B$13,OR(A2201&lt;Inputs!$B$19,Inputs!$B$20=1)),D2201*Inputs!$B$11/C2201,0)</f>
        <v>40.1639344262295</v>
      </c>
      <c r="I2201" s="37" t="n">
        <f aca="false">Inputs!$C$9-SUMIFS(Cash_Events!$G$6:$G$20,Cash_Events!$C$6:$C$20,"FHL",Cash_Events!$B$6:$B$20,"&lt;="&amp;A2201)</f>
        <v>735000</v>
      </c>
      <c r="J2201" s="38" t="n">
        <f aca="false">VLOOKUP(A2201,Inputs!$F$40:$G$48,2,TRUE())</f>
        <v>0.0364054</v>
      </c>
      <c r="K2201" s="38" t="n">
        <f aca="false">J2201+Inputs!$C$10</f>
        <v>0.1039054</v>
      </c>
      <c r="L2201" s="37" t="n">
        <f aca="false">I2201*K2201/C2201</f>
        <v>208.662483606557</v>
      </c>
      <c r="M2201" s="37" t="n">
        <f aca="false">IF(AND(A2201&gt;=Inputs!$C$13,OR(A2201&lt;Inputs!$B$19,Inputs!$B$20=1)),I2201*Inputs!$C$11/C2201,0)</f>
        <v>40.1639344262295</v>
      </c>
    </row>
    <row r="2202" customFormat="false" ht="15" hidden="false" customHeight="false" outlineLevel="0" collapsed="false">
      <c r="A2202" s="35" t="n">
        <f aca="false">A2201+1</f>
        <v>47009</v>
      </c>
      <c r="B2202" s="35" t="n">
        <f aca="false">EOMONTH(A2202+1,0)</f>
        <v>47026</v>
      </c>
      <c r="C2202" s="36" t="n">
        <f aca="false">IF(MOD(YEAR(A2202),4)=0,366,365)</f>
        <v>366</v>
      </c>
      <c r="D2202" s="37" t="n">
        <f aca="false">Inputs!$B$9-SUMIFS(Cash_Events!$G$6:$G$20,Cash_Events!$C$6:$C$20,"rAGMF",Cash_Events!$B$6:$B$20,"&lt;="&amp;A2202)</f>
        <v>735000</v>
      </c>
      <c r="E2202" s="38" t="n">
        <f aca="false">VLOOKUP(A2202,Inputs!$A$40:$B$48,2,TRUE())</f>
        <v>0.0363225</v>
      </c>
      <c r="F2202" s="38" t="n">
        <f aca="false">E2202+Inputs!$B$10</f>
        <v>0.1038225</v>
      </c>
      <c r="G2202" s="37" t="n">
        <f aca="false">D2202*F2202/C2202</f>
        <v>208.496004098361</v>
      </c>
      <c r="H2202" s="37" t="n">
        <f aca="false">IF(AND(A2202&gt;=Inputs!$B$13,OR(A2202&lt;Inputs!$B$19,Inputs!$B$20=1)),D2202*Inputs!$B$11/C2202,0)</f>
        <v>40.1639344262295</v>
      </c>
      <c r="I2202" s="37" t="n">
        <f aca="false">Inputs!$C$9-SUMIFS(Cash_Events!$G$6:$G$20,Cash_Events!$C$6:$C$20,"FHL",Cash_Events!$B$6:$B$20,"&lt;="&amp;A2202)</f>
        <v>735000</v>
      </c>
      <c r="J2202" s="38" t="n">
        <f aca="false">VLOOKUP(A2202,Inputs!$F$40:$G$48,2,TRUE())</f>
        <v>0.0364054</v>
      </c>
      <c r="K2202" s="38" t="n">
        <f aca="false">J2202+Inputs!$C$10</f>
        <v>0.1039054</v>
      </c>
      <c r="L2202" s="37" t="n">
        <f aca="false">I2202*K2202/C2202</f>
        <v>208.662483606557</v>
      </c>
      <c r="M2202" s="37" t="n">
        <f aca="false">IF(AND(A2202&gt;=Inputs!$C$13,OR(A2202&lt;Inputs!$B$19,Inputs!$B$20=1)),I2202*Inputs!$C$11/C2202,0)</f>
        <v>40.1639344262295</v>
      </c>
    </row>
    <row r="2203" customFormat="false" ht="15" hidden="false" customHeight="false" outlineLevel="0" collapsed="false">
      <c r="A2203" s="35" t="n">
        <f aca="false">A2202+1</f>
        <v>47010</v>
      </c>
      <c r="B2203" s="35" t="n">
        <f aca="false">EOMONTH(A2203+1,0)</f>
        <v>47026</v>
      </c>
      <c r="C2203" s="36" t="n">
        <f aca="false">IF(MOD(YEAR(A2203),4)=0,366,365)</f>
        <v>366</v>
      </c>
      <c r="D2203" s="37" t="n">
        <f aca="false">Inputs!$B$9-SUMIFS(Cash_Events!$G$6:$G$20,Cash_Events!$C$6:$C$20,"rAGMF",Cash_Events!$B$6:$B$20,"&lt;="&amp;A2203)</f>
        <v>735000</v>
      </c>
      <c r="E2203" s="38" t="n">
        <f aca="false">VLOOKUP(A2203,Inputs!$A$40:$B$48,2,TRUE())</f>
        <v>0.0363225</v>
      </c>
      <c r="F2203" s="38" t="n">
        <f aca="false">E2203+Inputs!$B$10</f>
        <v>0.1038225</v>
      </c>
      <c r="G2203" s="37" t="n">
        <f aca="false">D2203*F2203/C2203</f>
        <v>208.496004098361</v>
      </c>
      <c r="H2203" s="37" t="n">
        <f aca="false">IF(AND(A2203&gt;=Inputs!$B$13,OR(A2203&lt;Inputs!$B$19,Inputs!$B$20=1)),D2203*Inputs!$B$11/C2203,0)</f>
        <v>40.1639344262295</v>
      </c>
      <c r="I2203" s="37" t="n">
        <f aca="false">Inputs!$C$9-SUMIFS(Cash_Events!$G$6:$G$20,Cash_Events!$C$6:$C$20,"FHL",Cash_Events!$B$6:$B$20,"&lt;="&amp;A2203)</f>
        <v>735000</v>
      </c>
      <c r="J2203" s="38" t="n">
        <f aca="false">VLOOKUP(A2203,Inputs!$F$40:$G$48,2,TRUE())</f>
        <v>0.0364054</v>
      </c>
      <c r="K2203" s="38" t="n">
        <f aca="false">J2203+Inputs!$C$10</f>
        <v>0.1039054</v>
      </c>
      <c r="L2203" s="37" t="n">
        <f aca="false">I2203*K2203/C2203</f>
        <v>208.662483606557</v>
      </c>
      <c r="M2203" s="37" t="n">
        <f aca="false">IF(AND(A2203&gt;=Inputs!$C$13,OR(A2203&lt;Inputs!$B$19,Inputs!$B$20=1)),I2203*Inputs!$C$11/C2203,0)</f>
        <v>40.1639344262295</v>
      </c>
    </row>
    <row r="2204" customFormat="false" ht="15" hidden="false" customHeight="false" outlineLevel="0" collapsed="false">
      <c r="A2204" s="35" t="n">
        <f aca="false">A2203+1</f>
        <v>47011</v>
      </c>
      <c r="B2204" s="35" t="n">
        <f aca="false">EOMONTH(A2204+1,0)</f>
        <v>47026</v>
      </c>
      <c r="C2204" s="36" t="n">
        <f aca="false">IF(MOD(YEAR(A2204),4)=0,366,365)</f>
        <v>366</v>
      </c>
      <c r="D2204" s="37" t="n">
        <f aca="false">Inputs!$B$9-SUMIFS(Cash_Events!$G$6:$G$20,Cash_Events!$C$6:$C$20,"rAGMF",Cash_Events!$B$6:$B$20,"&lt;="&amp;A2204)</f>
        <v>735000</v>
      </c>
      <c r="E2204" s="38" t="n">
        <f aca="false">VLOOKUP(A2204,Inputs!$A$40:$B$48,2,TRUE())</f>
        <v>0.0363225</v>
      </c>
      <c r="F2204" s="38" t="n">
        <f aca="false">E2204+Inputs!$B$10</f>
        <v>0.1038225</v>
      </c>
      <c r="G2204" s="37" t="n">
        <f aca="false">D2204*F2204/C2204</f>
        <v>208.496004098361</v>
      </c>
      <c r="H2204" s="37" t="n">
        <f aca="false">IF(AND(A2204&gt;=Inputs!$B$13,OR(A2204&lt;Inputs!$B$19,Inputs!$B$20=1)),D2204*Inputs!$B$11/C2204,0)</f>
        <v>40.1639344262295</v>
      </c>
      <c r="I2204" s="37" t="n">
        <f aca="false">Inputs!$C$9-SUMIFS(Cash_Events!$G$6:$G$20,Cash_Events!$C$6:$C$20,"FHL",Cash_Events!$B$6:$B$20,"&lt;="&amp;A2204)</f>
        <v>735000</v>
      </c>
      <c r="J2204" s="38" t="n">
        <f aca="false">VLOOKUP(A2204,Inputs!$F$40:$G$48,2,TRUE())</f>
        <v>0.0364054</v>
      </c>
      <c r="K2204" s="38" t="n">
        <f aca="false">J2204+Inputs!$C$10</f>
        <v>0.1039054</v>
      </c>
      <c r="L2204" s="37" t="n">
        <f aca="false">I2204*K2204/C2204</f>
        <v>208.662483606557</v>
      </c>
      <c r="M2204" s="37" t="n">
        <f aca="false">IF(AND(A2204&gt;=Inputs!$C$13,OR(A2204&lt;Inputs!$B$19,Inputs!$B$20=1)),I2204*Inputs!$C$11/C2204,0)</f>
        <v>40.1639344262295</v>
      </c>
    </row>
    <row r="2205" customFormat="false" ht="15" hidden="false" customHeight="false" outlineLevel="0" collapsed="false">
      <c r="A2205" s="35" t="n">
        <f aca="false">A2204+1</f>
        <v>47012</v>
      </c>
      <c r="B2205" s="35" t="n">
        <f aca="false">EOMONTH(A2205+1,0)</f>
        <v>47026</v>
      </c>
      <c r="C2205" s="36" t="n">
        <f aca="false">IF(MOD(YEAR(A2205),4)=0,366,365)</f>
        <v>366</v>
      </c>
      <c r="D2205" s="37" t="n">
        <f aca="false">Inputs!$B$9-SUMIFS(Cash_Events!$G$6:$G$20,Cash_Events!$C$6:$C$20,"rAGMF",Cash_Events!$B$6:$B$20,"&lt;="&amp;A2205)</f>
        <v>735000</v>
      </c>
      <c r="E2205" s="38" t="n">
        <f aca="false">VLOOKUP(A2205,Inputs!$A$40:$B$48,2,TRUE())</f>
        <v>0.0363225</v>
      </c>
      <c r="F2205" s="38" t="n">
        <f aca="false">E2205+Inputs!$B$10</f>
        <v>0.1038225</v>
      </c>
      <c r="G2205" s="37" t="n">
        <f aca="false">D2205*F2205/C2205</f>
        <v>208.496004098361</v>
      </c>
      <c r="H2205" s="37" t="n">
        <f aca="false">IF(AND(A2205&gt;=Inputs!$B$13,OR(A2205&lt;Inputs!$B$19,Inputs!$B$20=1)),D2205*Inputs!$B$11/C2205,0)</f>
        <v>40.1639344262295</v>
      </c>
      <c r="I2205" s="37" t="n">
        <f aca="false">Inputs!$C$9-SUMIFS(Cash_Events!$G$6:$G$20,Cash_Events!$C$6:$C$20,"FHL",Cash_Events!$B$6:$B$20,"&lt;="&amp;A2205)</f>
        <v>735000</v>
      </c>
      <c r="J2205" s="38" t="n">
        <f aca="false">VLOOKUP(A2205,Inputs!$F$40:$G$48,2,TRUE())</f>
        <v>0.0364054</v>
      </c>
      <c r="K2205" s="38" t="n">
        <f aca="false">J2205+Inputs!$C$10</f>
        <v>0.1039054</v>
      </c>
      <c r="L2205" s="37" t="n">
        <f aca="false">I2205*K2205/C2205</f>
        <v>208.662483606557</v>
      </c>
      <c r="M2205" s="37" t="n">
        <f aca="false">IF(AND(A2205&gt;=Inputs!$C$13,OR(A2205&lt;Inputs!$B$19,Inputs!$B$20=1)),I2205*Inputs!$C$11/C2205,0)</f>
        <v>40.1639344262295</v>
      </c>
    </row>
    <row r="2206" customFormat="false" ht="15" hidden="false" customHeight="false" outlineLevel="0" collapsed="false">
      <c r="A2206" s="35" t="n">
        <f aca="false">A2205+1</f>
        <v>47013</v>
      </c>
      <c r="B2206" s="35" t="n">
        <f aca="false">EOMONTH(A2206+1,0)</f>
        <v>47026</v>
      </c>
      <c r="C2206" s="36" t="n">
        <f aca="false">IF(MOD(YEAR(A2206),4)=0,366,365)</f>
        <v>366</v>
      </c>
      <c r="D2206" s="37" t="n">
        <f aca="false">Inputs!$B$9-SUMIFS(Cash_Events!$G$6:$G$20,Cash_Events!$C$6:$C$20,"rAGMF",Cash_Events!$B$6:$B$20,"&lt;="&amp;A2206)</f>
        <v>735000</v>
      </c>
      <c r="E2206" s="38" t="n">
        <f aca="false">VLOOKUP(A2206,Inputs!$A$40:$B$48,2,TRUE())</f>
        <v>0.0363225</v>
      </c>
      <c r="F2206" s="38" t="n">
        <f aca="false">E2206+Inputs!$B$10</f>
        <v>0.1038225</v>
      </c>
      <c r="G2206" s="37" t="n">
        <f aca="false">D2206*F2206/C2206</f>
        <v>208.496004098361</v>
      </c>
      <c r="H2206" s="37" t="n">
        <f aca="false">IF(AND(A2206&gt;=Inputs!$B$13,OR(A2206&lt;Inputs!$B$19,Inputs!$B$20=1)),D2206*Inputs!$B$11/C2206,0)</f>
        <v>40.1639344262295</v>
      </c>
      <c r="I2206" s="37" t="n">
        <f aca="false">Inputs!$C$9-SUMIFS(Cash_Events!$G$6:$G$20,Cash_Events!$C$6:$C$20,"FHL",Cash_Events!$B$6:$B$20,"&lt;="&amp;A2206)</f>
        <v>735000</v>
      </c>
      <c r="J2206" s="38" t="n">
        <f aca="false">VLOOKUP(A2206,Inputs!$F$40:$G$48,2,TRUE())</f>
        <v>0.0364054</v>
      </c>
      <c r="K2206" s="38" t="n">
        <f aca="false">J2206+Inputs!$C$10</f>
        <v>0.1039054</v>
      </c>
      <c r="L2206" s="37" t="n">
        <f aca="false">I2206*K2206/C2206</f>
        <v>208.662483606557</v>
      </c>
      <c r="M2206" s="37" t="n">
        <f aca="false">IF(AND(A2206&gt;=Inputs!$C$13,OR(A2206&lt;Inputs!$B$19,Inputs!$B$20=1)),I2206*Inputs!$C$11/C2206,0)</f>
        <v>40.1639344262295</v>
      </c>
    </row>
    <row r="2207" customFormat="false" ht="15" hidden="false" customHeight="false" outlineLevel="0" collapsed="false">
      <c r="A2207" s="35" t="n">
        <f aca="false">A2206+1</f>
        <v>47014</v>
      </c>
      <c r="B2207" s="35" t="n">
        <f aca="false">EOMONTH(A2207+1,0)</f>
        <v>47026</v>
      </c>
      <c r="C2207" s="36" t="n">
        <f aca="false">IF(MOD(YEAR(A2207),4)=0,366,365)</f>
        <v>366</v>
      </c>
      <c r="D2207" s="37" t="n">
        <f aca="false">Inputs!$B$9-SUMIFS(Cash_Events!$G$6:$G$20,Cash_Events!$C$6:$C$20,"rAGMF",Cash_Events!$B$6:$B$20,"&lt;="&amp;A2207)</f>
        <v>735000</v>
      </c>
      <c r="E2207" s="38" t="n">
        <f aca="false">VLOOKUP(A2207,Inputs!$A$40:$B$48,2,TRUE())</f>
        <v>0.0363225</v>
      </c>
      <c r="F2207" s="38" t="n">
        <f aca="false">E2207+Inputs!$B$10</f>
        <v>0.1038225</v>
      </c>
      <c r="G2207" s="37" t="n">
        <f aca="false">D2207*F2207/C2207</f>
        <v>208.496004098361</v>
      </c>
      <c r="H2207" s="37" t="n">
        <f aca="false">IF(AND(A2207&gt;=Inputs!$B$13,OR(A2207&lt;Inputs!$B$19,Inputs!$B$20=1)),D2207*Inputs!$B$11/C2207,0)</f>
        <v>40.1639344262295</v>
      </c>
      <c r="I2207" s="37" t="n">
        <f aca="false">Inputs!$C$9-SUMIFS(Cash_Events!$G$6:$G$20,Cash_Events!$C$6:$C$20,"FHL",Cash_Events!$B$6:$B$20,"&lt;="&amp;A2207)</f>
        <v>735000</v>
      </c>
      <c r="J2207" s="38" t="n">
        <f aca="false">VLOOKUP(A2207,Inputs!$F$40:$G$48,2,TRUE())</f>
        <v>0.0364054</v>
      </c>
      <c r="K2207" s="38" t="n">
        <f aca="false">J2207+Inputs!$C$10</f>
        <v>0.1039054</v>
      </c>
      <c r="L2207" s="37" t="n">
        <f aca="false">I2207*K2207/C2207</f>
        <v>208.662483606557</v>
      </c>
      <c r="M2207" s="37" t="n">
        <f aca="false">IF(AND(A2207&gt;=Inputs!$C$13,OR(A2207&lt;Inputs!$B$19,Inputs!$B$20=1)),I2207*Inputs!$C$11/C2207,0)</f>
        <v>40.1639344262295</v>
      </c>
    </row>
    <row r="2208" customFormat="false" ht="15" hidden="false" customHeight="false" outlineLevel="0" collapsed="false">
      <c r="A2208" s="35" t="n">
        <f aca="false">A2207+1</f>
        <v>47015</v>
      </c>
      <c r="B2208" s="35" t="n">
        <f aca="false">EOMONTH(A2208+1,0)</f>
        <v>47026</v>
      </c>
      <c r="C2208" s="36" t="n">
        <f aca="false">IF(MOD(YEAR(A2208),4)=0,366,365)</f>
        <v>366</v>
      </c>
      <c r="D2208" s="37" t="n">
        <f aca="false">Inputs!$B$9-SUMIFS(Cash_Events!$G$6:$G$20,Cash_Events!$C$6:$C$20,"rAGMF",Cash_Events!$B$6:$B$20,"&lt;="&amp;A2208)</f>
        <v>735000</v>
      </c>
      <c r="E2208" s="38" t="n">
        <f aca="false">VLOOKUP(A2208,Inputs!$A$40:$B$48,2,TRUE())</f>
        <v>0.0363225</v>
      </c>
      <c r="F2208" s="38" t="n">
        <f aca="false">E2208+Inputs!$B$10</f>
        <v>0.1038225</v>
      </c>
      <c r="G2208" s="37" t="n">
        <f aca="false">D2208*F2208/C2208</f>
        <v>208.496004098361</v>
      </c>
      <c r="H2208" s="37" t="n">
        <f aca="false">IF(AND(A2208&gt;=Inputs!$B$13,OR(A2208&lt;Inputs!$B$19,Inputs!$B$20=1)),D2208*Inputs!$B$11/C2208,0)</f>
        <v>40.1639344262295</v>
      </c>
      <c r="I2208" s="37" t="n">
        <f aca="false">Inputs!$C$9-SUMIFS(Cash_Events!$G$6:$G$20,Cash_Events!$C$6:$C$20,"FHL",Cash_Events!$B$6:$B$20,"&lt;="&amp;A2208)</f>
        <v>735000</v>
      </c>
      <c r="J2208" s="38" t="n">
        <f aca="false">VLOOKUP(A2208,Inputs!$F$40:$G$48,2,TRUE())</f>
        <v>0.0364054</v>
      </c>
      <c r="K2208" s="38" t="n">
        <f aca="false">J2208+Inputs!$C$10</f>
        <v>0.1039054</v>
      </c>
      <c r="L2208" s="37" t="n">
        <f aca="false">I2208*K2208/C2208</f>
        <v>208.662483606557</v>
      </c>
      <c r="M2208" s="37" t="n">
        <f aca="false">IF(AND(A2208&gt;=Inputs!$C$13,OR(A2208&lt;Inputs!$B$19,Inputs!$B$20=1)),I2208*Inputs!$C$11/C2208,0)</f>
        <v>40.1639344262295</v>
      </c>
    </row>
    <row r="2209" customFormat="false" ht="15" hidden="false" customHeight="false" outlineLevel="0" collapsed="false">
      <c r="A2209" s="35" t="n">
        <f aca="false">A2208+1</f>
        <v>47016</v>
      </c>
      <c r="B2209" s="35" t="n">
        <f aca="false">EOMONTH(A2209+1,0)</f>
        <v>47026</v>
      </c>
      <c r="C2209" s="36" t="n">
        <f aca="false">IF(MOD(YEAR(A2209),4)=0,366,365)</f>
        <v>366</v>
      </c>
      <c r="D2209" s="37" t="n">
        <f aca="false">Inputs!$B$9-SUMIFS(Cash_Events!$G$6:$G$20,Cash_Events!$C$6:$C$20,"rAGMF",Cash_Events!$B$6:$B$20,"&lt;="&amp;A2209)</f>
        <v>735000</v>
      </c>
      <c r="E2209" s="38" t="n">
        <f aca="false">VLOOKUP(A2209,Inputs!$A$40:$B$48,2,TRUE())</f>
        <v>0.0363225</v>
      </c>
      <c r="F2209" s="38" t="n">
        <f aca="false">E2209+Inputs!$B$10</f>
        <v>0.1038225</v>
      </c>
      <c r="G2209" s="37" t="n">
        <f aca="false">D2209*F2209/C2209</f>
        <v>208.496004098361</v>
      </c>
      <c r="H2209" s="37" t="n">
        <f aca="false">IF(AND(A2209&gt;=Inputs!$B$13,OR(A2209&lt;Inputs!$B$19,Inputs!$B$20=1)),D2209*Inputs!$B$11/C2209,0)</f>
        <v>40.1639344262295</v>
      </c>
      <c r="I2209" s="37" t="n">
        <f aca="false">Inputs!$C$9-SUMIFS(Cash_Events!$G$6:$G$20,Cash_Events!$C$6:$C$20,"FHL",Cash_Events!$B$6:$B$20,"&lt;="&amp;A2209)</f>
        <v>735000</v>
      </c>
      <c r="J2209" s="38" t="n">
        <f aca="false">VLOOKUP(A2209,Inputs!$F$40:$G$48,2,TRUE())</f>
        <v>0.0364054</v>
      </c>
      <c r="K2209" s="38" t="n">
        <f aca="false">J2209+Inputs!$C$10</f>
        <v>0.1039054</v>
      </c>
      <c r="L2209" s="37" t="n">
        <f aca="false">I2209*K2209/C2209</f>
        <v>208.662483606557</v>
      </c>
      <c r="M2209" s="37" t="n">
        <f aca="false">IF(AND(A2209&gt;=Inputs!$C$13,OR(A2209&lt;Inputs!$B$19,Inputs!$B$20=1)),I2209*Inputs!$C$11/C2209,0)</f>
        <v>40.1639344262295</v>
      </c>
    </row>
    <row r="2210" customFormat="false" ht="15" hidden="false" customHeight="false" outlineLevel="0" collapsed="false">
      <c r="A2210" s="35" t="n">
        <f aca="false">A2209+1</f>
        <v>47017</v>
      </c>
      <c r="B2210" s="35" t="n">
        <f aca="false">EOMONTH(A2210+1,0)</f>
        <v>47026</v>
      </c>
      <c r="C2210" s="36" t="n">
        <f aca="false">IF(MOD(YEAR(A2210),4)=0,366,365)</f>
        <v>366</v>
      </c>
      <c r="D2210" s="37" t="n">
        <f aca="false">Inputs!$B$9-SUMIFS(Cash_Events!$G$6:$G$20,Cash_Events!$C$6:$C$20,"rAGMF",Cash_Events!$B$6:$B$20,"&lt;="&amp;A2210)</f>
        <v>735000</v>
      </c>
      <c r="E2210" s="38" t="n">
        <f aca="false">VLOOKUP(A2210,Inputs!$A$40:$B$48,2,TRUE())</f>
        <v>0.0363225</v>
      </c>
      <c r="F2210" s="38" t="n">
        <f aca="false">E2210+Inputs!$B$10</f>
        <v>0.1038225</v>
      </c>
      <c r="G2210" s="37" t="n">
        <f aca="false">D2210*F2210/C2210</f>
        <v>208.496004098361</v>
      </c>
      <c r="H2210" s="37" t="n">
        <f aca="false">IF(AND(A2210&gt;=Inputs!$B$13,OR(A2210&lt;Inputs!$B$19,Inputs!$B$20=1)),D2210*Inputs!$B$11/C2210,0)</f>
        <v>40.1639344262295</v>
      </c>
      <c r="I2210" s="37" t="n">
        <f aca="false">Inputs!$C$9-SUMIFS(Cash_Events!$G$6:$G$20,Cash_Events!$C$6:$C$20,"FHL",Cash_Events!$B$6:$B$20,"&lt;="&amp;A2210)</f>
        <v>735000</v>
      </c>
      <c r="J2210" s="38" t="n">
        <f aca="false">VLOOKUP(A2210,Inputs!$F$40:$G$48,2,TRUE())</f>
        <v>0.0364054</v>
      </c>
      <c r="K2210" s="38" t="n">
        <f aca="false">J2210+Inputs!$C$10</f>
        <v>0.1039054</v>
      </c>
      <c r="L2210" s="37" t="n">
        <f aca="false">I2210*K2210/C2210</f>
        <v>208.662483606557</v>
      </c>
      <c r="M2210" s="37" t="n">
        <f aca="false">IF(AND(A2210&gt;=Inputs!$C$13,OR(A2210&lt;Inputs!$B$19,Inputs!$B$20=1)),I2210*Inputs!$C$11/C2210,0)</f>
        <v>40.1639344262295</v>
      </c>
    </row>
    <row r="2211" customFormat="false" ht="15" hidden="false" customHeight="false" outlineLevel="0" collapsed="false">
      <c r="A2211" s="35" t="n">
        <f aca="false">A2210+1</f>
        <v>47018</v>
      </c>
      <c r="B2211" s="35" t="n">
        <f aca="false">EOMONTH(A2211+1,0)</f>
        <v>47026</v>
      </c>
      <c r="C2211" s="36" t="n">
        <f aca="false">IF(MOD(YEAR(A2211),4)=0,366,365)</f>
        <v>366</v>
      </c>
      <c r="D2211" s="37" t="n">
        <f aca="false">Inputs!$B$9-SUMIFS(Cash_Events!$G$6:$G$20,Cash_Events!$C$6:$C$20,"rAGMF",Cash_Events!$B$6:$B$20,"&lt;="&amp;A2211)</f>
        <v>735000</v>
      </c>
      <c r="E2211" s="38" t="n">
        <f aca="false">VLOOKUP(A2211,Inputs!$A$40:$B$48,2,TRUE())</f>
        <v>0.0363225</v>
      </c>
      <c r="F2211" s="38" t="n">
        <f aca="false">E2211+Inputs!$B$10</f>
        <v>0.1038225</v>
      </c>
      <c r="G2211" s="37" t="n">
        <f aca="false">D2211*F2211/C2211</f>
        <v>208.496004098361</v>
      </c>
      <c r="H2211" s="37" t="n">
        <f aca="false">IF(AND(A2211&gt;=Inputs!$B$13,OR(A2211&lt;Inputs!$B$19,Inputs!$B$20=1)),D2211*Inputs!$B$11/C2211,0)</f>
        <v>40.1639344262295</v>
      </c>
      <c r="I2211" s="37" t="n">
        <f aca="false">Inputs!$C$9-SUMIFS(Cash_Events!$G$6:$G$20,Cash_Events!$C$6:$C$20,"FHL",Cash_Events!$B$6:$B$20,"&lt;="&amp;A2211)</f>
        <v>735000</v>
      </c>
      <c r="J2211" s="38" t="n">
        <f aca="false">VLOOKUP(A2211,Inputs!$F$40:$G$48,2,TRUE())</f>
        <v>0.0364054</v>
      </c>
      <c r="K2211" s="38" t="n">
        <f aca="false">J2211+Inputs!$C$10</f>
        <v>0.1039054</v>
      </c>
      <c r="L2211" s="37" t="n">
        <f aca="false">I2211*K2211/C2211</f>
        <v>208.662483606557</v>
      </c>
      <c r="M2211" s="37" t="n">
        <f aca="false">IF(AND(A2211&gt;=Inputs!$C$13,OR(A2211&lt;Inputs!$B$19,Inputs!$B$20=1)),I2211*Inputs!$C$11/C2211,0)</f>
        <v>40.1639344262295</v>
      </c>
    </row>
    <row r="2212" customFormat="false" ht="15" hidden="false" customHeight="false" outlineLevel="0" collapsed="false">
      <c r="A2212" s="35" t="n">
        <f aca="false">A2211+1</f>
        <v>47019</v>
      </c>
      <c r="B2212" s="35" t="n">
        <f aca="false">EOMONTH(A2212+1,0)</f>
        <v>47026</v>
      </c>
      <c r="C2212" s="36" t="n">
        <f aca="false">IF(MOD(YEAR(A2212),4)=0,366,365)</f>
        <v>366</v>
      </c>
      <c r="D2212" s="37" t="n">
        <f aca="false">Inputs!$B$9-SUMIFS(Cash_Events!$G$6:$G$20,Cash_Events!$C$6:$C$20,"rAGMF",Cash_Events!$B$6:$B$20,"&lt;="&amp;A2212)</f>
        <v>735000</v>
      </c>
      <c r="E2212" s="38" t="n">
        <f aca="false">VLOOKUP(A2212,Inputs!$A$40:$B$48,2,TRUE())</f>
        <v>0.0363225</v>
      </c>
      <c r="F2212" s="38" t="n">
        <f aca="false">E2212+Inputs!$B$10</f>
        <v>0.1038225</v>
      </c>
      <c r="G2212" s="37" t="n">
        <f aca="false">D2212*F2212/C2212</f>
        <v>208.496004098361</v>
      </c>
      <c r="H2212" s="37" t="n">
        <f aca="false">IF(AND(A2212&gt;=Inputs!$B$13,OR(A2212&lt;Inputs!$B$19,Inputs!$B$20=1)),D2212*Inputs!$B$11/C2212,0)</f>
        <v>40.1639344262295</v>
      </c>
      <c r="I2212" s="37" t="n">
        <f aca="false">Inputs!$C$9-SUMIFS(Cash_Events!$G$6:$G$20,Cash_Events!$C$6:$C$20,"FHL",Cash_Events!$B$6:$B$20,"&lt;="&amp;A2212)</f>
        <v>735000</v>
      </c>
      <c r="J2212" s="38" t="n">
        <f aca="false">VLOOKUP(A2212,Inputs!$F$40:$G$48,2,TRUE())</f>
        <v>0.0364054</v>
      </c>
      <c r="K2212" s="38" t="n">
        <f aca="false">J2212+Inputs!$C$10</f>
        <v>0.1039054</v>
      </c>
      <c r="L2212" s="37" t="n">
        <f aca="false">I2212*K2212/C2212</f>
        <v>208.662483606557</v>
      </c>
      <c r="M2212" s="37" t="n">
        <f aca="false">IF(AND(A2212&gt;=Inputs!$C$13,OR(A2212&lt;Inputs!$B$19,Inputs!$B$20=1)),I2212*Inputs!$C$11/C2212,0)</f>
        <v>40.1639344262295</v>
      </c>
    </row>
    <row r="2213" customFormat="false" ht="15" hidden="false" customHeight="false" outlineLevel="0" collapsed="false">
      <c r="A2213" s="35" t="n">
        <f aca="false">A2212+1</f>
        <v>47020</v>
      </c>
      <c r="B2213" s="35" t="n">
        <f aca="false">EOMONTH(A2213+1,0)</f>
        <v>47026</v>
      </c>
      <c r="C2213" s="36" t="n">
        <f aca="false">IF(MOD(YEAR(A2213),4)=0,366,365)</f>
        <v>366</v>
      </c>
      <c r="D2213" s="37" t="n">
        <f aca="false">Inputs!$B$9-SUMIFS(Cash_Events!$G$6:$G$20,Cash_Events!$C$6:$C$20,"rAGMF",Cash_Events!$B$6:$B$20,"&lt;="&amp;A2213)</f>
        <v>735000</v>
      </c>
      <c r="E2213" s="38" t="n">
        <f aca="false">VLOOKUP(A2213,Inputs!$A$40:$B$48,2,TRUE())</f>
        <v>0.0363225</v>
      </c>
      <c r="F2213" s="38" t="n">
        <f aca="false">E2213+Inputs!$B$10</f>
        <v>0.1038225</v>
      </c>
      <c r="G2213" s="37" t="n">
        <f aca="false">D2213*F2213/C2213</f>
        <v>208.496004098361</v>
      </c>
      <c r="H2213" s="37" t="n">
        <f aca="false">IF(AND(A2213&gt;=Inputs!$B$13,OR(A2213&lt;Inputs!$B$19,Inputs!$B$20=1)),D2213*Inputs!$B$11/C2213,0)</f>
        <v>40.1639344262295</v>
      </c>
      <c r="I2213" s="37" t="n">
        <f aca="false">Inputs!$C$9-SUMIFS(Cash_Events!$G$6:$G$20,Cash_Events!$C$6:$C$20,"FHL",Cash_Events!$B$6:$B$20,"&lt;="&amp;A2213)</f>
        <v>735000</v>
      </c>
      <c r="J2213" s="38" t="n">
        <f aca="false">VLOOKUP(A2213,Inputs!$F$40:$G$48,2,TRUE())</f>
        <v>0.0364054</v>
      </c>
      <c r="K2213" s="38" t="n">
        <f aca="false">J2213+Inputs!$C$10</f>
        <v>0.1039054</v>
      </c>
      <c r="L2213" s="37" t="n">
        <f aca="false">I2213*K2213/C2213</f>
        <v>208.662483606557</v>
      </c>
      <c r="M2213" s="37" t="n">
        <f aca="false">IF(AND(A2213&gt;=Inputs!$C$13,OR(A2213&lt;Inputs!$B$19,Inputs!$B$20=1)),I2213*Inputs!$C$11/C2213,0)</f>
        <v>40.1639344262295</v>
      </c>
    </row>
    <row r="2214" customFormat="false" ht="15" hidden="false" customHeight="false" outlineLevel="0" collapsed="false">
      <c r="A2214" s="35" t="n">
        <f aca="false">A2213+1</f>
        <v>47021</v>
      </c>
      <c r="B2214" s="35" t="n">
        <f aca="false">EOMONTH(A2214+1,0)</f>
        <v>47026</v>
      </c>
      <c r="C2214" s="36" t="n">
        <f aca="false">IF(MOD(YEAR(A2214),4)=0,366,365)</f>
        <v>366</v>
      </c>
      <c r="D2214" s="37" t="n">
        <f aca="false">Inputs!$B$9-SUMIFS(Cash_Events!$G$6:$G$20,Cash_Events!$C$6:$C$20,"rAGMF",Cash_Events!$B$6:$B$20,"&lt;="&amp;A2214)</f>
        <v>735000</v>
      </c>
      <c r="E2214" s="38" t="n">
        <f aca="false">VLOOKUP(A2214,Inputs!$A$40:$B$48,2,TRUE())</f>
        <v>0.0363225</v>
      </c>
      <c r="F2214" s="38" t="n">
        <f aca="false">E2214+Inputs!$B$10</f>
        <v>0.1038225</v>
      </c>
      <c r="G2214" s="37" t="n">
        <f aca="false">D2214*F2214/C2214</f>
        <v>208.496004098361</v>
      </c>
      <c r="H2214" s="37" t="n">
        <f aca="false">IF(AND(A2214&gt;=Inputs!$B$13,OR(A2214&lt;Inputs!$B$19,Inputs!$B$20=1)),D2214*Inputs!$B$11/C2214,0)</f>
        <v>40.1639344262295</v>
      </c>
      <c r="I2214" s="37" t="n">
        <f aca="false">Inputs!$C$9-SUMIFS(Cash_Events!$G$6:$G$20,Cash_Events!$C$6:$C$20,"FHL",Cash_Events!$B$6:$B$20,"&lt;="&amp;A2214)</f>
        <v>735000</v>
      </c>
      <c r="J2214" s="38" t="n">
        <f aca="false">VLOOKUP(A2214,Inputs!$F$40:$G$48,2,TRUE())</f>
        <v>0.0364054</v>
      </c>
      <c r="K2214" s="38" t="n">
        <f aca="false">J2214+Inputs!$C$10</f>
        <v>0.1039054</v>
      </c>
      <c r="L2214" s="37" t="n">
        <f aca="false">I2214*K2214/C2214</f>
        <v>208.662483606557</v>
      </c>
      <c r="M2214" s="37" t="n">
        <f aca="false">IF(AND(A2214&gt;=Inputs!$C$13,OR(A2214&lt;Inputs!$B$19,Inputs!$B$20=1)),I2214*Inputs!$C$11/C2214,0)</f>
        <v>40.1639344262295</v>
      </c>
    </row>
    <row r="2215" customFormat="false" ht="15" hidden="false" customHeight="false" outlineLevel="0" collapsed="false">
      <c r="A2215" s="35" t="n">
        <f aca="false">A2214+1</f>
        <v>47022</v>
      </c>
      <c r="B2215" s="35" t="n">
        <f aca="false">EOMONTH(A2215+1,0)</f>
        <v>47026</v>
      </c>
      <c r="C2215" s="36" t="n">
        <f aca="false">IF(MOD(YEAR(A2215),4)=0,366,365)</f>
        <v>366</v>
      </c>
      <c r="D2215" s="37" t="n">
        <f aca="false">Inputs!$B$9-SUMIFS(Cash_Events!$G$6:$G$20,Cash_Events!$C$6:$C$20,"rAGMF",Cash_Events!$B$6:$B$20,"&lt;="&amp;A2215)</f>
        <v>735000</v>
      </c>
      <c r="E2215" s="38" t="n">
        <f aca="false">VLOOKUP(A2215,Inputs!$A$40:$B$48,2,TRUE())</f>
        <v>0.0363225</v>
      </c>
      <c r="F2215" s="38" t="n">
        <f aca="false">E2215+Inputs!$B$10</f>
        <v>0.1038225</v>
      </c>
      <c r="G2215" s="37" t="n">
        <f aca="false">D2215*F2215/C2215</f>
        <v>208.496004098361</v>
      </c>
      <c r="H2215" s="37" t="n">
        <f aca="false">IF(AND(A2215&gt;=Inputs!$B$13,OR(A2215&lt;Inputs!$B$19,Inputs!$B$20=1)),D2215*Inputs!$B$11/C2215,0)</f>
        <v>40.1639344262295</v>
      </c>
      <c r="I2215" s="37" t="n">
        <f aca="false">Inputs!$C$9-SUMIFS(Cash_Events!$G$6:$G$20,Cash_Events!$C$6:$C$20,"FHL",Cash_Events!$B$6:$B$20,"&lt;="&amp;A2215)</f>
        <v>735000</v>
      </c>
      <c r="J2215" s="38" t="n">
        <f aca="false">VLOOKUP(A2215,Inputs!$F$40:$G$48,2,TRUE())</f>
        <v>0.0364054</v>
      </c>
      <c r="K2215" s="38" t="n">
        <f aca="false">J2215+Inputs!$C$10</f>
        <v>0.1039054</v>
      </c>
      <c r="L2215" s="37" t="n">
        <f aca="false">I2215*K2215/C2215</f>
        <v>208.662483606557</v>
      </c>
      <c r="M2215" s="37" t="n">
        <f aca="false">IF(AND(A2215&gt;=Inputs!$C$13,OR(A2215&lt;Inputs!$B$19,Inputs!$B$20=1)),I2215*Inputs!$C$11/C2215,0)</f>
        <v>40.1639344262295</v>
      </c>
    </row>
    <row r="2216" customFormat="false" ht="15" hidden="false" customHeight="false" outlineLevel="0" collapsed="false">
      <c r="A2216" s="35" t="n">
        <f aca="false">A2215+1</f>
        <v>47023</v>
      </c>
      <c r="B2216" s="35" t="n">
        <f aca="false">EOMONTH(A2216+1,0)</f>
        <v>47026</v>
      </c>
      <c r="C2216" s="36" t="n">
        <f aca="false">IF(MOD(YEAR(A2216),4)=0,366,365)</f>
        <v>366</v>
      </c>
      <c r="D2216" s="37" t="n">
        <f aca="false">Inputs!$B$9-SUMIFS(Cash_Events!$G$6:$G$20,Cash_Events!$C$6:$C$20,"rAGMF",Cash_Events!$B$6:$B$20,"&lt;="&amp;A2216)</f>
        <v>735000</v>
      </c>
      <c r="E2216" s="38" t="n">
        <f aca="false">VLOOKUP(A2216,Inputs!$A$40:$B$48,2,TRUE())</f>
        <v>0.0363225</v>
      </c>
      <c r="F2216" s="38" t="n">
        <f aca="false">E2216+Inputs!$B$10</f>
        <v>0.1038225</v>
      </c>
      <c r="G2216" s="37" t="n">
        <f aca="false">D2216*F2216/C2216</f>
        <v>208.496004098361</v>
      </c>
      <c r="H2216" s="37" t="n">
        <f aca="false">IF(AND(A2216&gt;=Inputs!$B$13,OR(A2216&lt;Inputs!$B$19,Inputs!$B$20=1)),D2216*Inputs!$B$11/C2216,0)</f>
        <v>40.1639344262295</v>
      </c>
      <c r="I2216" s="37" t="n">
        <f aca="false">Inputs!$C$9-SUMIFS(Cash_Events!$G$6:$G$20,Cash_Events!$C$6:$C$20,"FHL",Cash_Events!$B$6:$B$20,"&lt;="&amp;A2216)</f>
        <v>735000</v>
      </c>
      <c r="J2216" s="38" t="n">
        <f aca="false">VLOOKUP(A2216,Inputs!$F$40:$G$48,2,TRUE())</f>
        <v>0.0364054</v>
      </c>
      <c r="K2216" s="38" t="n">
        <f aca="false">J2216+Inputs!$C$10</f>
        <v>0.1039054</v>
      </c>
      <c r="L2216" s="37" t="n">
        <f aca="false">I2216*K2216/C2216</f>
        <v>208.662483606557</v>
      </c>
      <c r="M2216" s="37" t="n">
        <f aca="false">IF(AND(A2216&gt;=Inputs!$C$13,OR(A2216&lt;Inputs!$B$19,Inputs!$B$20=1)),I2216*Inputs!$C$11/C2216,0)</f>
        <v>40.1639344262295</v>
      </c>
    </row>
    <row r="2217" customFormat="false" ht="15" hidden="false" customHeight="false" outlineLevel="0" collapsed="false">
      <c r="A2217" s="35" t="n">
        <f aca="false">A2216+1</f>
        <v>47024</v>
      </c>
      <c r="B2217" s="35" t="n">
        <f aca="false">EOMONTH(A2217+1,0)</f>
        <v>47026</v>
      </c>
      <c r="C2217" s="36" t="n">
        <f aca="false">IF(MOD(YEAR(A2217),4)=0,366,365)</f>
        <v>366</v>
      </c>
      <c r="D2217" s="37" t="n">
        <f aca="false">Inputs!$B$9-SUMIFS(Cash_Events!$G$6:$G$20,Cash_Events!$C$6:$C$20,"rAGMF",Cash_Events!$B$6:$B$20,"&lt;="&amp;A2217)</f>
        <v>735000</v>
      </c>
      <c r="E2217" s="38" t="n">
        <f aca="false">VLOOKUP(A2217,Inputs!$A$40:$B$48,2,TRUE())</f>
        <v>0.0363225</v>
      </c>
      <c r="F2217" s="38" t="n">
        <f aca="false">E2217+Inputs!$B$10</f>
        <v>0.1038225</v>
      </c>
      <c r="G2217" s="37" t="n">
        <f aca="false">D2217*F2217/C2217</f>
        <v>208.496004098361</v>
      </c>
      <c r="H2217" s="37" t="n">
        <f aca="false">IF(AND(A2217&gt;=Inputs!$B$13,OR(A2217&lt;Inputs!$B$19,Inputs!$B$20=1)),D2217*Inputs!$B$11/C2217,0)</f>
        <v>40.1639344262295</v>
      </c>
      <c r="I2217" s="37" t="n">
        <f aca="false">Inputs!$C$9-SUMIFS(Cash_Events!$G$6:$G$20,Cash_Events!$C$6:$C$20,"FHL",Cash_Events!$B$6:$B$20,"&lt;="&amp;A2217)</f>
        <v>735000</v>
      </c>
      <c r="J2217" s="38" t="n">
        <f aca="false">VLOOKUP(A2217,Inputs!$F$40:$G$48,2,TRUE())</f>
        <v>0.0364054</v>
      </c>
      <c r="K2217" s="38" t="n">
        <f aca="false">J2217+Inputs!$C$10</f>
        <v>0.1039054</v>
      </c>
      <c r="L2217" s="37" t="n">
        <f aca="false">I2217*K2217/C2217</f>
        <v>208.662483606557</v>
      </c>
      <c r="M2217" s="37" t="n">
        <f aca="false">IF(AND(A2217&gt;=Inputs!$C$13,OR(A2217&lt;Inputs!$B$19,Inputs!$B$20=1)),I2217*Inputs!$C$11/C2217,0)</f>
        <v>40.1639344262295</v>
      </c>
    </row>
    <row r="2218" customFormat="false" ht="15" hidden="false" customHeight="false" outlineLevel="0" collapsed="false">
      <c r="A2218" s="35" t="n">
        <f aca="false">A2217+1</f>
        <v>47025</v>
      </c>
      <c r="B2218" s="35" t="n">
        <f aca="false">EOMONTH(A2218+1,0)</f>
        <v>47026</v>
      </c>
      <c r="C2218" s="36" t="n">
        <f aca="false">IF(MOD(YEAR(A2218),4)=0,366,365)</f>
        <v>366</v>
      </c>
      <c r="D2218" s="37" t="n">
        <f aca="false">Inputs!$B$9-SUMIFS(Cash_Events!$G$6:$G$20,Cash_Events!$C$6:$C$20,"rAGMF",Cash_Events!$B$6:$B$20,"&lt;="&amp;A2218)</f>
        <v>735000</v>
      </c>
      <c r="E2218" s="38" t="n">
        <f aca="false">VLOOKUP(A2218,Inputs!$A$40:$B$48,2,TRUE())</f>
        <v>0.0363225</v>
      </c>
      <c r="F2218" s="38" t="n">
        <f aca="false">E2218+Inputs!$B$10</f>
        <v>0.1038225</v>
      </c>
      <c r="G2218" s="37" t="n">
        <f aca="false">D2218*F2218/C2218</f>
        <v>208.496004098361</v>
      </c>
      <c r="H2218" s="37" t="n">
        <f aca="false">IF(AND(A2218&gt;=Inputs!$B$13,OR(A2218&lt;Inputs!$B$19,Inputs!$B$20=1)),D2218*Inputs!$B$11/C2218,0)</f>
        <v>40.1639344262295</v>
      </c>
      <c r="I2218" s="37" t="n">
        <f aca="false">Inputs!$C$9-SUMIFS(Cash_Events!$G$6:$G$20,Cash_Events!$C$6:$C$20,"FHL",Cash_Events!$B$6:$B$20,"&lt;="&amp;A2218)</f>
        <v>735000</v>
      </c>
      <c r="J2218" s="38" t="n">
        <f aca="false">VLOOKUP(A2218,Inputs!$F$40:$G$48,2,TRUE())</f>
        <v>0.0364054</v>
      </c>
      <c r="K2218" s="38" t="n">
        <f aca="false">J2218+Inputs!$C$10</f>
        <v>0.1039054</v>
      </c>
      <c r="L2218" s="37" t="n">
        <f aca="false">I2218*K2218/C2218</f>
        <v>208.662483606557</v>
      </c>
      <c r="M2218" s="37" t="n">
        <f aca="false">IF(AND(A2218&gt;=Inputs!$C$13,OR(A2218&lt;Inputs!$B$19,Inputs!$B$20=1)),I2218*Inputs!$C$11/C2218,0)</f>
        <v>40.1639344262295</v>
      </c>
    </row>
    <row r="2219" customFormat="false" ht="15" hidden="false" customHeight="false" outlineLevel="0" collapsed="false">
      <c r="A2219" s="35" t="n">
        <f aca="false">A2218+1</f>
        <v>47026</v>
      </c>
      <c r="B2219" s="35" t="n">
        <f aca="false">EOMONTH(A2219+1,0)</f>
        <v>47057</v>
      </c>
      <c r="C2219" s="36" t="n">
        <f aca="false">IF(MOD(YEAR(A2219),4)=0,366,365)</f>
        <v>366</v>
      </c>
      <c r="D2219" s="37" t="n">
        <f aca="false">Inputs!$B$9-SUMIFS(Cash_Events!$G$6:$G$20,Cash_Events!$C$6:$C$20,"rAGMF",Cash_Events!$B$6:$B$20,"&lt;="&amp;A2219)</f>
        <v>735000</v>
      </c>
      <c r="E2219" s="38" t="n">
        <f aca="false">VLOOKUP(A2219,Inputs!$A$40:$B$48,2,TRUE())</f>
        <v>0.0363225</v>
      </c>
      <c r="F2219" s="38" t="n">
        <f aca="false">E2219+Inputs!$B$10</f>
        <v>0.1038225</v>
      </c>
      <c r="G2219" s="37" t="n">
        <f aca="false">D2219*F2219/C2219</f>
        <v>208.496004098361</v>
      </c>
      <c r="H2219" s="37" t="n">
        <f aca="false">IF(AND(A2219&gt;=Inputs!$B$13,OR(A2219&lt;Inputs!$B$19,Inputs!$B$20=1)),D2219*Inputs!$B$11/C2219,0)</f>
        <v>40.1639344262295</v>
      </c>
      <c r="I2219" s="37" t="n">
        <f aca="false">Inputs!$C$9-SUMIFS(Cash_Events!$G$6:$G$20,Cash_Events!$C$6:$C$20,"FHL",Cash_Events!$B$6:$B$20,"&lt;="&amp;A2219)</f>
        <v>735000</v>
      </c>
      <c r="J2219" s="38" t="n">
        <f aca="false">VLOOKUP(A2219,Inputs!$F$40:$G$48,2,TRUE())</f>
        <v>0.0364054</v>
      </c>
      <c r="K2219" s="38" t="n">
        <f aca="false">J2219+Inputs!$C$10</f>
        <v>0.1039054</v>
      </c>
      <c r="L2219" s="37" t="n">
        <f aca="false">I2219*K2219/C2219</f>
        <v>208.662483606557</v>
      </c>
      <c r="M2219" s="37" t="n">
        <f aca="false">IF(AND(A2219&gt;=Inputs!$C$13,OR(A2219&lt;Inputs!$B$19,Inputs!$B$20=1)),I2219*Inputs!$C$11/C2219,0)</f>
        <v>40.1639344262295</v>
      </c>
    </row>
    <row r="2220" customFormat="false" ht="15" hidden="false" customHeight="false" outlineLevel="0" collapsed="false">
      <c r="A2220" s="35" t="n">
        <f aca="false">A2219+1</f>
        <v>47027</v>
      </c>
      <c r="B2220" s="35" t="n">
        <f aca="false">EOMONTH(A2220+1,0)</f>
        <v>47057</v>
      </c>
      <c r="C2220" s="36" t="n">
        <f aca="false">IF(MOD(YEAR(A2220),4)=0,366,365)</f>
        <v>366</v>
      </c>
      <c r="D2220" s="37" t="n">
        <f aca="false">Inputs!$B$9-SUMIFS(Cash_Events!$G$6:$G$20,Cash_Events!$C$6:$C$20,"rAGMF",Cash_Events!$B$6:$B$20,"&lt;="&amp;A2220)</f>
        <v>735000</v>
      </c>
      <c r="E2220" s="38" t="n">
        <f aca="false">VLOOKUP(A2220,Inputs!$A$40:$B$48,2,TRUE())</f>
        <v>0.0363225</v>
      </c>
      <c r="F2220" s="38" t="n">
        <f aca="false">E2220+Inputs!$B$10</f>
        <v>0.1038225</v>
      </c>
      <c r="G2220" s="37" t="n">
        <f aca="false">D2220*F2220/C2220</f>
        <v>208.496004098361</v>
      </c>
      <c r="H2220" s="37" t="n">
        <f aca="false">IF(AND(A2220&gt;=Inputs!$B$13,OR(A2220&lt;Inputs!$B$19,Inputs!$B$20=1)),D2220*Inputs!$B$11/C2220,0)</f>
        <v>40.1639344262295</v>
      </c>
      <c r="I2220" s="37" t="n">
        <f aca="false">Inputs!$C$9-SUMIFS(Cash_Events!$G$6:$G$20,Cash_Events!$C$6:$C$20,"FHL",Cash_Events!$B$6:$B$20,"&lt;="&amp;A2220)</f>
        <v>735000</v>
      </c>
      <c r="J2220" s="38" t="n">
        <f aca="false">VLOOKUP(A2220,Inputs!$F$40:$G$48,2,TRUE())</f>
        <v>0.0364054</v>
      </c>
      <c r="K2220" s="38" t="n">
        <f aca="false">J2220+Inputs!$C$10</f>
        <v>0.1039054</v>
      </c>
      <c r="L2220" s="37" t="n">
        <f aca="false">I2220*K2220/C2220</f>
        <v>208.662483606557</v>
      </c>
      <c r="M2220" s="37" t="n">
        <f aca="false">IF(AND(A2220&gt;=Inputs!$C$13,OR(A2220&lt;Inputs!$B$19,Inputs!$B$20=1)),I2220*Inputs!$C$11/C2220,0)</f>
        <v>40.1639344262295</v>
      </c>
    </row>
    <row r="2221" customFormat="false" ht="15" hidden="false" customHeight="false" outlineLevel="0" collapsed="false">
      <c r="A2221" s="35" t="n">
        <f aca="false">A2220+1</f>
        <v>47028</v>
      </c>
      <c r="B2221" s="35" t="n">
        <f aca="false">EOMONTH(A2221+1,0)</f>
        <v>47057</v>
      </c>
      <c r="C2221" s="36" t="n">
        <f aca="false">IF(MOD(YEAR(A2221),4)=0,366,365)</f>
        <v>366</v>
      </c>
      <c r="D2221" s="37" t="n">
        <f aca="false">Inputs!$B$9-SUMIFS(Cash_Events!$G$6:$G$20,Cash_Events!$C$6:$C$20,"rAGMF",Cash_Events!$B$6:$B$20,"&lt;="&amp;A2221)</f>
        <v>735000</v>
      </c>
      <c r="E2221" s="38" t="n">
        <f aca="false">VLOOKUP(A2221,Inputs!$A$40:$B$48,2,TRUE())</f>
        <v>0.0363225</v>
      </c>
      <c r="F2221" s="38" t="n">
        <f aca="false">E2221+Inputs!$B$10</f>
        <v>0.1038225</v>
      </c>
      <c r="G2221" s="37" t="n">
        <f aca="false">D2221*F2221/C2221</f>
        <v>208.496004098361</v>
      </c>
      <c r="H2221" s="37" t="n">
        <f aca="false">IF(AND(A2221&gt;=Inputs!$B$13,OR(A2221&lt;Inputs!$B$19,Inputs!$B$20=1)),D2221*Inputs!$B$11/C2221,0)</f>
        <v>40.1639344262295</v>
      </c>
      <c r="I2221" s="37" t="n">
        <f aca="false">Inputs!$C$9-SUMIFS(Cash_Events!$G$6:$G$20,Cash_Events!$C$6:$C$20,"FHL",Cash_Events!$B$6:$B$20,"&lt;="&amp;A2221)</f>
        <v>735000</v>
      </c>
      <c r="J2221" s="38" t="n">
        <f aca="false">VLOOKUP(A2221,Inputs!$F$40:$G$48,2,TRUE())</f>
        <v>0.0364054</v>
      </c>
      <c r="K2221" s="38" t="n">
        <f aca="false">J2221+Inputs!$C$10</f>
        <v>0.1039054</v>
      </c>
      <c r="L2221" s="37" t="n">
        <f aca="false">I2221*K2221/C2221</f>
        <v>208.662483606557</v>
      </c>
      <c r="M2221" s="37" t="n">
        <f aca="false">IF(AND(A2221&gt;=Inputs!$C$13,OR(A2221&lt;Inputs!$B$19,Inputs!$B$20=1)),I2221*Inputs!$C$11/C2221,0)</f>
        <v>40.1639344262295</v>
      </c>
    </row>
    <row r="2222" customFormat="false" ht="15" hidden="false" customHeight="false" outlineLevel="0" collapsed="false">
      <c r="A2222" s="35" t="n">
        <f aca="false">A2221+1</f>
        <v>47029</v>
      </c>
      <c r="B2222" s="35" t="n">
        <f aca="false">EOMONTH(A2222+1,0)</f>
        <v>47057</v>
      </c>
      <c r="C2222" s="36" t="n">
        <f aca="false">IF(MOD(YEAR(A2222),4)=0,366,365)</f>
        <v>366</v>
      </c>
      <c r="D2222" s="37" t="n">
        <f aca="false">Inputs!$B$9-SUMIFS(Cash_Events!$G$6:$G$20,Cash_Events!$C$6:$C$20,"rAGMF",Cash_Events!$B$6:$B$20,"&lt;="&amp;A2222)</f>
        <v>735000</v>
      </c>
      <c r="E2222" s="38" t="n">
        <f aca="false">VLOOKUP(A2222,Inputs!$A$40:$B$48,2,TRUE())</f>
        <v>0.0363225</v>
      </c>
      <c r="F2222" s="38" t="n">
        <f aca="false">E2222+Inputs!$B$10</f>
        <v>0.1038225</v>
      </c>
      <c r="G2222" s="37" t="n">
        <f aca="false">D2222*F2222/C2222</f>
        <v>208.496004098361</v>
      </c>
      <c r="H2222" s="37" t="n">
        <f aca="false">IF(AND(A2222&gt;=Inputs!$B$13,OR(A2222&lt;Inputs!$B$19,Inputs!$B$20=1)),D2222*Inputs!$B$11/C2222,0)</f>
        <v>40.1639344262295</v>
      </c>
      <c r="I2222" s="37" t="n">
        <f aca="false">Inputs!$C$9-SUMIFS(Cash_Events!$G$6:$G$20,Cash_Events!$C$6:$C$20,"FHL",Cash_Events!$B$6:$B$20,"&lt;="&amp;A2222)</f>
        <v>735000</v>
      </c>
      <c r="J2222" s="38" t="n">
        <f aca="false">VLOOKUP(A2222,Inputs!$F$40:$G$48,2,TRUE())</f>
        <v>0.0364054</v>
      </c>
      <c r="K2222" s="38" t="n">
        <f aca="false">J2222+Inputs!$C$10</f>
        <v>0.1039054</v>
      </c>
      <c r="L2222" s="37" t="n">
        <f aca="false">I2222*K2222/C2222</f>
        <v>208.662483606557</v>
      </c>
      <c r="M2222" s="37" t="n">
        <f aca="false">IF(AND(A2222&gt;=Inputs!$C$13,OR(A2222&lt;Inputs!$B$19,Inputs!$B$20=1)),I2222*Inputs!$C$11/C2222,0)</f>
        <v>40.1639344262295</v>
      </c>
    </row>
    <row r="2223" customFormat="false" ht="15" hidden="false" customHeight="false" outlineLevel="0" collapsed="false">
      <c r="A2223" s="35" t="n">
        <f aca="false">A2222+1</f>
        <v>47030</v>
      </c>
      <c r="B2223" s="35" t="n">
        <f aca="false">EOMONTH(A2223+1,0)</f>
        <v>47057</v>
      </c>
      <c r="C2223" s="36" t="n">
        <f aca="false">IF(MOD(YEAR(A2223),4)=0,366,365)</f>
        <v>366</v>
      </c>
      <c r="D2223" s="37" t="n">
        <f aca="false">Inputs!$B$9-SUMIFS(Cash_Events!$G$6:$G$20,Cash_Events!$C$6:$C$20,"rAGMF",Cash_Events!$B$6:$B$20,"&lt;="&amp;A2223)</f>
        <v>735000</v>
      </c>
      <c r="E2223" s="38" t="n">
        <f aca="false">VLOOKUP(A2223,Inputs!$A$40:$B$48,2,TRUE())</f>
        <v>0.0363225</v>
      </c>
      <c r="F2223" s="38" t="n">
        <f aca="false">E2223+Inputs!$B$10</f>
        <v>0.1038225</v>
      </c>
      <c r="G2223" s="37" t="n">
        <f aca="false">D2223*F2223/C2223</f>
        <v>208.496004098361</v>
      </c>
      <c r="H2223" s="37" t="n">
        <f aca="false">IF(AND(A2223&gt;=Inputs!$B$13,OR(A2223&lt;Inputs!$B$19,Inputs!$B$20=1)),D2223*Inputs!$B$11/C2223,0)</f>
        <v>40.1639344262295</v>
      </c>
      <c r="I2223" s="37" t="n">
        <f aca="false">Inputs!$C$9-SUMIFS(Cash_Events!$G$6:$G$20,Cash_Events!$C$6:$C$20,"FHL",Cash_Events!$B$6:$B$20,"&lt;="&amp;A2223)</f>
        <v>735000</v>
      </c>
      <c r="J2223" s="38" t="n">
        <f aca="false">VLOOKUP(A2223,Inputs!$F$40:$G$48,2,TRUE())</f>
        <v>0.0364054</v>
      </c>
      <c r="K2223" s="38" t="n">
        <f aca="false">J2223+Inputs!$C$10</f>
        <v>0.1039054</v>
      </c>
      <c r="L2223" s="37" t="n">
        <f aca="false">I2223*K2223/C2223</f>
        <v>208.662483606557</v>
      </c>
      <c r="M2223" s="37" t="n">
        <f aca="false">IF(AND(A2223&gt;=Inputs!$C$13,OR(A2223&lt;Inputs!$B$19,Inputs!$B$20=1)),I2223*Inputs!$C$11/C2223,0)</f>
        <v>40.1639344262295</v>
      </c>
    </row>
    <row r="2224" customFormat="false" ht="15" hidden="false" customHeight="false" outlineLevel="0" collapsed="false">
      <c r="A2224" s="35" t="n">
        <f aca="false">A2223+1</f>
        <v>47031</v>
      </c>
      <c r="B2224" s="35" t="n">
        <f aca="false">EOMONTH(A2224+1,0)</f>
        <v>47057</v>
      </c>
      <c r="C2224" s="36" t="n">
        <f aca="false">IF(MOD(YEAR(A2224),4)=0,366,365)</f>
        <v>366</v>
      </c>
      <c r="D2224" s="37" t="n">
        <f aca="false">Inputs!$B$9-SUMIFS(Cash_Events!$G$6:$G$20,Cash_Events!$C$6:$C$20,"rAGMF",Cash_Events!$B$6:$B$20,"&lt;="&amp;A2224)</f>
        <v>735000</v>
      </c>
      <c r="E2224" s="38" t="n">
        <f aca="false">VLOOKUP(A2224,Inputs!$A$40:$B$48,2,TRUE())</f>
        <v>0.0363225</v>
      </c>
      <c r="F2224" s="38" t="n">
        <f aca="false">E2224+Inputs!$B$10</f>
        <v>0.1038225</v>
      </c>
      <c r="G2224" s="37" t="n">
        <f aca="false">D2224*F2224/C2224</f>
        <v>208.496004098361</v>
      </c>
      <c r="H2224" s="37" t="n">
        <f aca="false">IF(AND(A2224&gt;=Inputs!$B$13,OR(A2224&lt;Inputs!$B$19,Inputs!$B$20=1)),D2224*Inputs!$B$11/C2224,0)</f>
        <v>40.1639344262295</v>
      </c>
      <c r="I2224" s="37" t="n">
        <f aca="false">Inputs!$C$9-SUMIFS(Cash_Events!$G$6:$G$20,Cash_Events!$C$6:$C$20,"FHL",Cash_Events!$B$6:$B$20,"&lt;="&amp;A2224)</f>
        <v>735000</v>
      </c>
      <c r="J2224" s="38" t="n">
        <f aca="false">VLOOKUP(A2224,Inputs!$F$40:$G$48,2,TRUE())</f>
        <v>0.0364054</v>
      </c>
      <c r="K2224" s="38" t="n">
        <f aca="false">J2224+Inputs!$C$10</f>
        <v>0.1039054</v>
      </c>
      <c r="L2224" s="37" t="n">
        <f aca="false">I2224*K2224/C2224</f>
        <v>208.662483606557</v>
      </c>
      <c r="M2224" s="37" t="n">
        <f aca="false">IF(AND(A2224&gt;=Inputs!$C$13,OR(A2224&lt;Inputs!$B$19,Inputs!$B$20=1)),I2224*Inputs!$C$11/C2224,0)</f>
        <v>40.1639344262295</v>
      </c>
    </row>
    <row r="2225" customFormat="false" ht="15" hidden="false" customHeight="false" outlineLevel="0" collapsed="false">
      <c r="A2225" s="35" t="n">
        <f aca="false">A2224+1</f>
        <v>47032</v>
      </c>
      <c r="B2225" s="35" t="n">
        <f aca="false">EOMONTH(A2225+1,0)</f>
        <v>47057</v>
      </c>
      <c r="C2225" s="36" t="n">
        <f aca="false">IF(MOD(YEAR(A2225),4)=0,366,365)</f>
        <v>366</v>
      </c>
      <c r="D2225" s="37" t="n">
        <f aca="false">Inputs!$B$9-SUMIFS(Cash_Events!$G$6:$G$20,Cash_Events!$C$6:$C$20,"rAGMF",Cash_Events!$B$6:$B$20,"&lt;="&amp;A2225)</f>
        <v>735000</v>
      </c>
      <c r="E2225" s="38" t="n">
        <f aca="false">VLOOKUP(A2225,Inputs!$A$40:$B$48,2,TRUE())</f>
        <v>0.0363225</v>
      </c>
      <c r="F2225" s="38" t="n">
        <f aca="false">E2225+Inputs!$B$10</f>
        <v>0.1038225</v>
      </c>
      <c r="G2225" s="37" t="n">
        <f aca="false">D2225*F2225/C2225</f>
        <v>208.496004098361</v>
      </c>
      <c r="H2225" s="37" t="n">
        <f aca="false">IF(AND(A2225&gt;=Inputs!$B$13,OR(A2225&lt;Inputs!$B$19,Inputs!$B$20=1)),D2225*Inputs!$B$11/C2225,0)</f>
        <v>40.1639344262295</v>
      </c>
      <c r="I2225" s="37" t="n">
        <f aca="false">Inputs!$C$9-SUMIFS(Cash_Events!$G$6:$G$20,Cash_Events!$C$6:$C$20,"FHL",Cash_Events!$B$6:$B$20,"&lt;="&amp;A2225)</f>
        <v>735000</v>
      </c>
      <c r="J2225" s="38" t="n">
        <f aca="false">VLOOKUP(A2225,Inputs!$F$40:$G$48,2,TRUE())</f>
        <v>0.0364054</v>
      </c>
      <c r="K2225" s="38" t="n">
        <f aca="false">J2225+Inputs!$C$10</f>
        <v>0.1039054</v>
      </c>
      <c r="L2225" s="37" t="n">
        <f aca="false">I2225*K2225/C2225</f>
        <v>208.662483606557</v>
      </c>
      <c r="M2225" s="37" t="n">
        <f aca="false">IF(AND(A2225&gt;=Inputs!$C$13,OR(A2225&lt;Inputs!$B$19,Inputs!$B$20=1)),I2225*Inputs!$C$11/C2225,0)</f>
        <v>40.1639344262295</v>
      </c>
    </row>
    <row r="2226" customFormat="false" ht="15" hidden="false" customHeight="false" outlineLevel="0" collapsed="false">
      <c r="A2226" s="35" t="n">
        <f aca="false">A2225+1</f>
        <v>47033</v>
      </c>
      <c r="B2226" s="35" t="n">
        <f aca="false">EOMONTH(A2226+1,0)</f>
        <v>47057</v>
      </c>
      <c r="C2226" s="36" t="n">
        <f aca="false">IF(MOD(YEAR(A2226),4)=0,366,365)</f>
        <v>366</v>
      </c>
      <c r="D2226" s="37" t="n">
        <f aca="false">Inputs!$B$9-SUMIFS(Cash_Events!$G$6:$G$20,Cash_Events!$C$6:$C$20,"rAGMF",Cash_Events!$B$6:$B$20,"&lt;="&amp;A2226)</f>
        <v>735000</v>
      </c>
      <c r="E2226" s="38" t="n">
        <f aca="false">VLOOKUP(A2226,Inputs!$A$40:$B$48,2,TRUE())</f>
        <v>0.0363225</v>
      </c>
      <c r="F2226" s="38" t="n">
        <f aca="false">E2226+Inputs!$B$10</f>
        <v>0.1038225</v>
      </c>
      <c r="G2226" s="37" t="n">
        <f aca="false">D2226*F2226/C2226</f>
        <v>208.496004098361</v>
      </c>
      <c r="H2226" s="37" t="n">
        <f aca="false">IF(AND(A2226&gt;=Inputs!$B$13,OR(A2226&lt;Inputs!$B$19,Inputs!$B$20=1)),D2226*Inputs!$B$11/C2226,0)</f>
        <v>40.1639344262295</v>
      </c>
      <c r="I2226" s="37" t="n">
        <f aca="false">Inputs!$C$9-SUMIFS(Cash_Events!$G$6:$G$20,Cash_Events!$C$6:$C$20,"FHL",Cash_Events!$B$6:$B$20,"&lt;="&amp;A2226)</f>
        <v>735000</v>
      </c>
      <c r="J2226" s="38" t="n">
        <f aca="false">VLOOKUP(A2226,Inputs!$F$40:$G$48,2,TRUE())</f>
        <v>0.0364054</v>
      </c>
      <c r="K2226" s="38" t="n">
        <f aca="false">J2226+Inputs!$C$10</f>
        <v>0.1039054</v>
      </c>
      <c r="L2226" s="37" t="n">
        <f aca="false">I2226*K2226/C2226</f>
        <v>208.662483606557</v>
      </c>
      <c r="M2226" s="37" t="n">
        <f aca="false">IF(AND(A2226&gt;=Inputs!$C$13,OR(A2226&lt;Inputs!$B$19,Inputs!$B$20=1)),I2226*Inputs!$C$11/C2226,0)</f>
        <v>40.1639344262295</v>
      </c>
    </row>
    <row r="2227" customFormat="false" ht="15" hidden="false" customHeight="false" outlineLevel="0" collapsed="false">
      <c r="A2227" s="35" t="n">
        <f aca="false">A2226+1</f>
        <v>47034</v>
      </c>
      <c r="B2227" s="35" t="n">
        <f aca="false">EOMONTH(A2227+1,0)</f>
        <v>47057</v>
      </c>
      <c r="C2227" s="36" t="n">
        <f aca="false">IF(MOD(YEAR(A2227),4)=0,366,365)</f>
        <v>366</v>
      </c>
      <c r="D2227" s="37" t="n">
        <f aca="false">Inputs!$B$9-SUMIFS(Cash_Events!$G$6:$G$20,Cash_Events!$C$6:$C$20,"rAGMF",Cash_Events!$B$6:$B$20,"&lt;="&amp;A2227)</f>
        <v>735000</v>
      </c>
      <c r="E2227" s="38" t="n">
        <f aca="false">VLOOKUP(A2227,Inputs!$A$40:$B$48,2,TRUE())</f>
        <v>0.0363225</v>
      </c>
      <c r="F2227" s="38" t="n">
        <f aca="false">E2227+Inputs!$B$10</f>
        <v>0.1038225</v>
      </c>
      <c r="G2227" s="37" t="n">
        <f aca="false">D2227*F2227/C2227</f>
        <v>208.496004098361</v>
      </c>
      <c r="H2227" s="37" t="n">
        <f aca="false">IF(AND(A2227&gt;=Inputs!$B$13,OR(A2227&lt;Inputs!$B$19,Inputs!$B$20=1)),D2227*Inputs!$B$11/C2227,0)</f>
        <v>40.1639344262295</v>
      </c>
      <c r="I2227" s="37" t="n">
        <f aca="false">Inputs!$C$9-SUMIFS(Cash_Events!$G$6:$G$20,Cash_Events!$C$6:$C$20,"FHL",Cash_Events!$B$6:$B$20,"&lt;="&amp;A2227)</f>
        <v>735000</v>
      </c>
      <c r="J2227" s="38" t="n">
        <f aca="false">VLOOKUP(A2227,Inputs!$F$40:$G$48,2,TRUE())</f>
        <v>0.0364054</v>
      </c>
      <c r="K2227" s="38" t="n">
        <f aca="false">J2227+Inputs!$C$10</f>
        <v>0.1039054</v>
      </c>
      <c r="L2227" s="37" t="n">
        <f aca="false">I2227*K2227/C2227</f>
        <v>208.662483606557</v>
      </c>
      <c r="M2227" s="37" t="n">
        <f aca="false">IF(AND(A2227&gt;=Inputs!$C$13,OR(A2227&lt;Inputs!$B$19,Inputs!$B$20=1)),I2227*Inputs!$C$11/C2227,0)</f>
        <v>40.1639344262295</v>
      </c>
    </row>
    <row r="2228" customFormat="false" ht="15" hidden="false" customHeight="false" outlineLevel="0" collapsed="false">
      <c r="A2228" s="35" t="n">
        <f aca="false">A2227+1</f>
        <v>47035</v>
      </c>
      <c r="B2228" s="35" t="n">
        <f aca="false">EOMONTH(A2228+1,0)</f>
        <v>47057</v>
      </c>
      <c r="C2228" s="36" t="n">
        <f aca="false">IF(MOD(YEAR(A2228),4)=0,366,365)</f>
        <v>366</v>
      </c>
      <c r="D2228" s="37" t="n">
        <f aca="false">Inputs!$B$9-SUMIFS(Cash_Events!$G$6:$G$20,Cash_Events!$C$6:$C$20,"rAGMF",Cash_Events!$B$6:$B$20,"&lt;="&amp;A2228)</f>
        <v>735000</v>
      </c>
      <c r="E2228" s="38" t="n">
        <f aca="false">VLOOKUP(A2228,Inputs!$A$40:$B$48,2,TRUE())</f>
        <v>0.0363225</v>
      </c>
      <c r="F2228" s="38" t="n">
        <f aca="false">E2228+Inputs!$B$10</f>
        <v>0.1038225</v>
      </c>
      <c r="G2228" s="37" t="n">
        <f aca="false">D2228*F2228/C2228</f>
        <v>208.496004098361</v>
      </c>
      <c r="H2228" s="37" t="n">
        <f aca="false">IF(AND(A2228&gt;=Inputs!$B$13,OR(A2228&lt;Inputs!$B$19,Inputs!$B$20=1)),D2228*Inputs!$B$11/C2228,0)</f>
        <v>40.1639344262295</v>
      </c>
      <c r="I2228" s="37" t="n">
        <f aca="false">Inputs!$C$9-SUMIFS(Cash_Events!$G$6:$G$20,Cash_Events!$C$6:$C$20,"FHL",Cash_Events!$B$6:$B$20,"&lt;="&amp;A2228)</f>
        <v>735000</v>
      </c>
      <c r="J2228" s="38" t="n">
        <f aca="false">VLOOKUP(A2228,Inputs!$F$40:$G$48,2,TRUE())</f>
        <v>0.0364054</v>
      </c>
      <c r="K2228" s="38" t="n">
        <f aca="false">J2228+Inputs!$C$10</f>
        <v>0.1039054</v>
      </c>
      <c r="L2228" s="37" t="n">
        <f aca="false">I2228*K2228/C2228</f>
        <v>208.662483606557</v>
      </c>
      <c r="M2228" s="37" t="n">
        <f aca="false">IF(AND(A2228&gt;=Inputs!$C$13,OR(A2228&lt;Inputs!$B$19,Inputs!$B$20=1)),I2228*Inputs!$C$11/C2228,0)</f>
        <v>40.1639344262295</v>
      </c>
    </row>
    <row r="2229" customFormat="false" ht="15" hidden="false" customHeight="false" outlineLevel="0" collapsed="false">
      <c r="A2229" s="35" t="n">
        <f aca="false">A2228+1</f>
        <v>47036</v>
      </c>
      <c r="B2229" s="35" t="n">
        <f aca="false">EOMONTH(A2229+1,0)</f>
        <v>47057</v>
      </c>
      <c r="C2229" s="36" t="n">
        <f aca="false">IF(MOD(YEAR(A2229),4)=0,366,365)</f>
        <v>366</v>
      </c>
      <c r="D2229" s="37" t="n">
        <f aca="false">Inputs!$B$9-SUMIFS(Cash_Events!$G$6:$G$20,Cash_Events!$C$6:$C$20,"rAGMF",Cash_Events!$B$6:$B$20,"&lt;="&amp;A2229)</f>
        <v>735000</v>
      </c>
      <c r="E2229" s="38" t="n">
        <f aca="false">VLOOKUP(A2229,Inputs!$A$40:$B$48,2,TRUE())</f>
        <v>0.0363225</v>
      </c>
      <c r="F2229" s="38" t="n">
        <f aca="false">E2229+Inputs!$B$10</f>
        <v>0.1038225</v>
      </c>
      <c r="G2229" s="37" t="n">
        <f aca="false">D2229*F2229/C2229</f>
        <v>208.496004098361</v>
      </c>
      <c r="H2229" s="37" t="n">
        <f aca="false">IF(AND(A2229&gt;=Inputs!$B$13,OR(A2229&lt;Inputs!$B$19,Inputs!$B$20=1)),D2229*Inputs!$B$11/C2229,0)</f>
        <v>40.1639344262295</v>
      </c>
      <c r="I2229" s="37" t="n">
        <f aca="false">Inputs!$C$9-SUMIFS(Cash_Events!$G$6:$G$20,Cash_Events!$C$6:$C$20,"FHL",Cash_Events!$B$6:$B$20,"&lt;="&amp;A2229)</f>
        <v>735000</v>
      </c>
      <c r="J2229" s="38" t="n">
        <f aca="false">VLOOKUP(A2229,Inputs!$F$40:$G$48,2,TRUE())</f>
        <v>0.0364054</v>
      </c>
      <c r="K2229" s="38" t="n">
        <f aca="false">J2229+Inputs!$C$10</f>
        <v>0.1039054</v>
      </c>
      <c r="L2229" s="37" t="n">
        <f aca="false">I2229*K2229/C2229</f>
        <v>208.662483606557</v>
      </c>
      <c r="M2229" s="37" t="n">
        <f aca="false">IF(AND(A2229&gt;=Inputs!$C$13,OR(A2229&lt;Inputs!$B$19,Inputs!$B$20=1)),I2229*Inputs!$C$11/C2229,0)</f>
        <v>40.1639344262295</v>
      </c>
    </row>
    <row r="2230" customFormat="false" ht="15" hidden="false" customHeight="false" outlineLevel="0" collapsed="false">
      <c r="A2230" s="35" t="n">
        <f aca="false">A2229+1</f>
        <v>47037</v>
      </c>
      <c r="B2230" s="35" t="n">
        <f aca="false">EOMONTH(A2230+1,0)</f>
        <v>47057</v>
      </c>
      <c r="C2230" s="36" t="n">
        <f aca="false">IF(MOD(YEAR(A2230),4)=0,366,365)</f>
        <v>366</v>
      </c>
      <c r="D2230" s="37" t="n">
        <f aca="false">Inputs!$B$9-SUMIFS(Cash_Events!$G$6:$G$20,Cash_Events!$C$6:$C$20,"rAGMF",Cash_Events!$B$6:$B$20,"&lt;="&amp;A2230)</f>
        <v>735000</v>
      </c>
      <c r="E2230" s="38" t="n">
        <f aca="false">VLOOKUP(A2230,Inputs!$A$40:$B$48,2,TRUE())</f>
        <v>0.0363225</v>
      </c>
      <c r="F2230" s="38" t="n">
        <f aca="false">E2230+Inputs!$B$10</f>
        <v>0.1038225</v>
      </c>
      <c r="G2230" s="37" t="n">
        <f aca="false">D2230*F2230/C2230</f>
        <v>208.496004098361</v>
      </c>
      <c r="H2230" s="37" t="n">
        <f aca="false">IF(AND(A2230&gt;=Inputs!$B$13,OR(A2230&lt;Inputs!$B$19,Inputs!$B$20=1)),D2230*Inputs!$B$11/C2230,0)</f>
        <v>40.1639344262295</v>
      </c>
      <c r="I2230" s="37" t="n">
        <f aca="false">Inputs!$C$9-SUMIFS(Cash_Events!$G$6:$G$20,Cash_Events!$C$6:$C$20,"FHL",Cash_Events!$B$6:$B$20,"&lt;="&amp;A2230)</f>
        <v>735000</v>
      </c>
      <c r="J2230" s="38" t="n">
        <f aca="false">VLOOKUP(A2230,Inputs!$F$40:$G$48,2,TRUE())</f>
        <v>0.0364054</v>
      </c>
      <c r="K2230" s="38" t="n">
        <f aca="false">J2230+Inputs!$C$10</f>
        <v>0.1039054</v>
      </c>
      <c r="L2230" s="37" t="n">
        <f aca="false">I2230*K2230/C2230</f>
        <v>208.662483606557</v>
      </c>
      <c r="M2230" s="37" t="n">
        <f aca="false">IF(AND(A2230&gt;=Inputs!$C$13,OR(A2230&lt;Inputs!$B$19,Inputs!$B$20=1)),I2230*Inputs!$C$11/C2230,0)</f>
        <v>40.1639344262295</v>
      </c>
    </row>
    <row r="2231" customFormat="false" ht="15" hidden="false" customHeight="false" outlineLevel="0" collapsed="false">
      <c r="A2231" s="35" t="n">
        <f aca="false">A2230+1</f>
        <v>47038</v>
      </c>
      <c r="B2231" s="35" t="n">
        <f aca="false">EOMONTH(A2231+1,0)</f>
        <v>47057</v>
      </c>
      <c r="C2231" s="36" t="n">
        <f aca="false">IF(MOD(YEAR(A2231),4)=0,366,365)</f>
        <v>366</v>
      </c>
      <c r="D2231" s="37" t="n">
        <f aca="false">Inputs!$B$9-SUMIFS(Cash_Events!$G$6:$G$20,Cash_Events!$C$6:$C$20,"rAGMF",Cash_Events!$B$6:$B$20,"&lt;="&amp;A2231)</f>
        <v>735000</v>
      </c>
      <c r="E2231" s="38" t="n">
        <f aca="false">VLOOKUP(A2231,Inputs!$A$40:$B$48,2,TRUE())</f>
        <v>0.0363225</v>
      </c>
      <c r="F2231" s="38" t="n">
        <f aca="false">E2231+Inputs!$B$10</f>
        <v>0.1038225</v>
      </c>
      <c r="G2231" s="37" t="n">
        <f aca="false">D2231*F2231/C2231</f>
        <v>208.496004098361</v>
      </c>
      <c r="H2231" s="37" t="n">
        <f aca="false">IF(AND(A2231&gt;=Inputs!$B$13,OR(A2231&lt;Inputs!$B$19,Inputs!$B$20=1)),D2231*Inputs!$B$11/C2231,0)</f>
        <v>40.1639344262295</v>
      </c>
      <c r="I2231" s="37" t="n">
        <f aca="false">Inputs!$C$9-SUMIFS(Cash_Events!$G$6:$G$20,Cash_Events!$C$6:$C$20,"FHL",Cash_Events!$B$6:$B$20,"&lt;="&amp;A2231)</f>
        <v>735000</v>
      </c>
      <c r="J2231" s="38" t="n">
        <f aca="false">VLOOKUP(A2231,Inputs!$F$40:$G$48,2,TRUE())</f>
        <v>0.0364054</v>
      </c>
      <c r="K2231" s="38" t="n">
        <f aca="false">J2231+Inputs!$C$10</f>
        <v>0.1039054</v>
      </c>
      <c r="L2231" s="37" t="n">
        <f aca="false">I2231*K2231/C2231</f>
        <v>208.662483606557</v>
      </c>
      <c r="M2231" s="37" t="n">
        <f aca="false">IF(AND(A2231&gt;=Inputs!$C$13,OR(A2231&lt;Inputs!$B$19,Inputs!$B$20=1)),I2231*Inputs!$C$11/C2231,0)</f>
        <v>40.1639344262295</v>
      </c>
    </row>
    <row r="2232" customFormat="false" ht="15" hidden="false" customHeight="false" outlineLevel="0" collapsed="false">
      <c r="A2232" s="35" t="n">
        <f aca="false">A2231+1</f>
        <v>47039</v>
      </c>
      <c r="B2232" s="35" t="n">
        <f aca="false">EOMONTH(A2232+1,0)</f>
        <v>47057</v>
      </c>
      <c r="C2232" s="36" t="n">
        <f aca="false">IF(MOD(YEAR(A2232),4)=0,366,365)</f>
        <v>366</v>
      </c>
      <c r="D2232" s="37" t="n">
        <f aca="false">Inputs!$B$9-SUMIFS(Cash_Events!$G$6:$G$20,Cash_Events!$C$6:$C$20,"rAGMF",Cash_Events!$B$6:$B$20,"&lt;="&amp;A2232)</f>
        <v>735000</v>
      </c>
      <c r="E2232" s="38" t="n">
        <f aca="false">VLOOKUP(A2232,Inputs!$A$40:$B$48,2,TRUE())</f>
        <v>0.0363225</v>
      </c>
      <c r="F2232" s="38" t="n">
        <f aca="false">E2232+Inputs!$B$10</f>
        <v>0.1038225</v>
      </c>
      <c r="G2232" s="37" t="n">
        <f aca="false">D2232*F2232/C2232</f>
        <v>208.496004098361</v>
      </c>
      <c r="H2232" s="37" t="n">
        <f aca="false">IF(AND(A2232&gt;=Inputs!$B$13,OR(A2232&lt;Inputs!$B$19,Inputs!$B$20=1)),D2232*Inputs!$B$11/C2232,0)</f>
        <v>40.1639344262295</v>
      </c>
      <c r="I2232" s="37" t="n">
        <f aca="false">Inputs!$C$9-SUMIFS(Cash_Events!$G$6:$G$20,Cash_Events!$C$6:$C$20,"FHL",Cash_Events!$B$6:$B$20,"&lt;="&amp;A2232)</f>
        <v>735000</v>
      </c>
      <c r="J2232" s="38" t="n">
        <f aca="false">VLOOKUP(A2232,Inputs!$F$40:$G$48,2,TRUE())</f>
        <v>0.0364054</v>
      </c>
      <c r="K2232" s="38" t="n">
        <f aca="false">J2232+Inputs!$C$10</f>
        <v>0.1039054</v>
      </c>
      <c r="L2232" s="37" t="n">
        <f aca="false">I2232*K2232/C2232</f>
        <v>208.662483606557</v>
      </c>
      <c r="M2232" s="37" t="n">
        <f aca="false">IF(AND(A2232&gt;=Inputs!$C$13,OR(A2232&lt;Inputs!$B$19,Inputs!$B$20=1)),I2232*Inputs!$C$11/C2232,0)</f>
        <v>40.1639344262295</v>
      </c>
    </row>
    <row r="2233" customFormat="false" ht="15" hidden="false" customHeight="false" outlineLevel="0" collapsed="false">
      <c r="A2233" s="35" t="n">
        <f aca="false">A2232+1</f>
        <v>47040</v>
      </c>
      <c r="B2233" s="35" t="n">
        <f aca="false">EOMONTH(A2233+1,0)</f>
        <v>47057</v>
      </c>
      <c r="C2233" s="36" t="n">
        <f aca="false">IF(MOD(YEAR(A2233),4)=0,366,365)</f>
        <v>366</v>
      </c>
      <c r="D2233" s="37" t="n">
        <f aca="false">Inputs!$B$9-SUMIFS(Cash_Events!$G$6:$G$20,Cash_Events!$C$6:$C$20,"rAGMF",Cash_Events!$B$6:$B$20,"&lt;="&amp;A2233)</f>
        <v>735000</v>
      </c>
      <c r="E2233" s="38" t="n">
        <f aca="false">VLOOKUP(A2233,Inputs!$A$40:$B$48,2,TRUE())</f>
        <v>0.0363225</v>
      </c>
      <c r="F2233" s="38" t="n">
        <f aca="false">E2233+Inputs!$B$10</f>
        <v>0.1038225</v>
      </c>
      <c r="G2233" s="37" t="n">
        <f aca="false">D2233*F2233/C2233</f>
        <v>208.496004098361</v>
      </c>
      <c r="H2233" s="37" t="n">
        <f aca="false">IF(AND(A2233&gt;=Inputs!$B$13,OR(A2233&lt;Inputs!$B$19,Inputs!$B$20=1)),D2233*Inputs!$B$11/C2233,0)</f>
        <v>40.1639344262295</v>
      </c>
      <c r="I2233" s="37" t="n">
        <f aca="false">Inputs!$C$9-SUMIFS(Cash_Events!$G$6:$G$20,Cash_Events!$C$6:$C$20,"FHL",Cash_Events!$B$6:$B$20,"&lt;="&amp;A2233)</f>
        <v>735000</v>
      </c>
      <c r="J2233" s="38" t="n">
        <f aca="false">VLOOKUP(A2233,Inputs!$F$40:$G$48,2,TRUE())</f>
        <v>0.0364054</v>
      </c>
      <c r="K2233" s="38" t="n">
        <f aca="false">J2233+Inputs!$C$10</f>
        <v>0.1039054</v>
      </c>
      <c r="L2233" s="37" t="n">
        <f aca="false">I2233*K2233/C2233</f>
        <v>208.662483606557</v>
      </c>
      <c r="M2233" s="37" t="n">
        <f aca="false">IF(AND(A2233&gt;=Inputs!$C$13,OR(A2233&lt;Inputs!$B$19,Inputs!$B$20=1)),I2233*Inputs!$C$11/C2233,0)</f>
        <v>40.1639344262295</v>
      </c>
    </row>
    <row r="2234" customFormat="false" ht="15" hidden="false" customHeight="false" outlineLevel="0" collapsed="false">
      <c r="A2234" s="35" t="n">
        <f aca="false">A2233+1</f>
        <v>47041</v>
      </c>
      <c r="B2234" s="35" t="n">
        <f aca="false">EOMONTH(A2234+1,0)</f>
        <v>47057</v>
      </c>
      <c r="C2234" s="36" t="n">
        <f aca="false">IF(MOD(YEAR(A2234),4)=0,366,365)</f>
        <v>366</v>
      </c>
      <c r="D2234" s="37" t="n">
        <f aca="false">Inputs!$B$9-SUMIFS(Cash_Events!$G$6:$G$20,Cash_Events!$C$6:$C$20,"rAGMF",Cash_Events!$B$6:$B$20,"&lt;="&amp;A2234)</f>
        <v>735000</v>
      </c>
      <c r="E2234" s="38" t="n">
        <f aca="false">VLOOKUP(A2234,Inputs!$A$40:$B$48,2,TRUE())</f>
        <v>0.0363225</v>
      </c>
      <c r="F2234" s="38" t="n">
        <f aca="false">E2234+Inputs!$B$10</f>
        <v>0.1038225</v>
      </c>
      <c r="G2234" s="37" t="n">
        <f aca="false">D2234*F2234/C2234</f>
        <v>208.496004098361</v>
      </c>
      <c r="H2234" s="37" t="n">
        <f aca="false">IF(AND(A2234&gt;=Inputs!$B$13,OR(A2234&lt;Inputs!$B$19,Inputs!$B$20=1)),D2234*Inputs!$B$11/C2234,0)</f>
        <v>40.1639344262295</v>
      </c>
      <c r="I2234" s="37" t="n">
        <f aca="false">Inputs!$C$9-SUMIFS(Cash_Events!$G$6:$G$20,Cash_Events!$C$6:$C$20,"FHL",Cash_Events!$B$6:$B$20,"&lt;="&amp;A2234)</f>
        <v>735000</v>
      </c>
      <c r="J2234" s="38" t="n">
        <f aca="false">VLOOKUP(A2234,Inputs!$F$40:$G$48,2,TRUE())</f>
        <v>0.0364054</v>
      </c>
      <c r="K2234" s="38" t="n">
        <f aca="false">J2234+Inputs!$C$10</f>
        <v>0.1039054</v>
      </c>
      <c r="L2234" s="37" t="n">
        <f aca="false">I2234*K2234/C2234</f>
        <v>208.662483606557</v>
      </c>
      <c r="M2234" s="37" t="n">
        <f aca="false">IF(AND(A2234&gt;=Inputs!$C$13,OR(A2234&lt;Inputs!$B$19,Inputs!$B$20=1)),I2234*Inputs!$C$11/C2234,0)</f>
        <v>40.1639344262295</v>
      </c>
    </row>
    <row r="2235" customFormat="false" ht="15" hidden="false" customHeight="false" outlineLevel="0" collapsed="false">
      <c r="A2235" s="35" t="n">
        <f aca="false">A2234+1</f>
        <v>47042</v>
      </c>
      <c r="B2235" s="35" t="n">
        <f aca="false">EOMONTH(A2235+1,0)</f>
        <v>47057</v>
      </c>
      <c r="C2235" s="36" t="n">
        <f aca="false">IF(MOD(YEAR(A2235),4)=0,366,365)</f>
        <v>366</v>
      </c>
      <c r="D2235" s="37" t="n">
        <f aca="false">Inputs!$B$9-SUMIFS(Cash_Events!$G$6:$G$20,Cash_Events!$C$6:$C$20,"rAGMF",Cash_Events!$B$6:$B$20,"&lt;="&amp;A2235)</f>
        <v>735000</v>
      </c>
      <c r="E2235" s="38" t="n">
        <f aca="false">VLOOKUP(A2235,Inputs!$A$40:$B$48,2,TRUE())</f>
        <v>0.0363225</v>
      </c>
      <c r="F2235" s="38" t="n">
        <f aca="false">E2235+Inputs!$B$10</f>
        <v>0.1038225</v>
      </c>
      <c r="G2235" s="37" t="n">
        <f aca="false">D2235*F2235/C2235</f>
        <v>208.496004098361</v>
      </c>
      <c r="H2235" s="37" t="n">
        <f aca="false">IF(AND(A2235&gt;=Inputs!$B$13,OR(A2235&lt;Inputs!$B$19,Inputs!$B$20=1)),D2235*Inputs!$B$11/C2235,0)</f>
        <v>40.1639344262295</v>
      </c>
      <c r="I2235" s="37" t="n">
        <f aca="false">Inputs!$C$9-SUMIFS(Cash_Events!$G$6:$G$20,Cash_Events!$C$6:$C$20,"FHL",Cash_Events!$B$6:$B$20,"&lt;="&amp;A2235)</f>
        <v>735000</v>
      </c>
      <c r="J2235" s="38" t="n">
        <f aca="false">VLOOKUP(A2235,Inputs!$F$40:$G$48,2,TRUE())</f>
        <v>0.0364054</v>
      </c>
      <c r="K2235" s="38" t="n">
        <f aca="false">J2235+Inputs!$C$10</f>
        <v>0.1039054</v>
      </c>
      <c r="L2235" s="37" t="n">
        <f aca="false">I2235*K2235/C2235</f>
        <v>208.662483606557</v>
      </c>
      <c r="M2235" s="37" t="n">
        <f aca="false">IF(AND(A2235&gt;=Inputs!$C$13,OR(A2235&lt;Inputs!$B$19,Inputs!$B$20=1)),I2235*Inputs!$C$11/C2235,0)</f>
        <v>40.1639344262295</v>
      </c>
    </row>
    <row r="2236" customFormat="false" ht="15" hidden="false" customHeight="false" outlineLevel="0" collapsed="false">
      <c r="A2236" s="35" t="n">
        <f aca="false">A2235+1</f>
        <v>47043</v>
      </c>
      <c r="B2236" s="35" t="n">
        <f aca="false">EOMONTH(A2236+1,0)</f>
        <v>47057</v>
      </c>
      <c r="C2236" s="36" t="n">
        <f aca="false">IF(MOD(YEAR(A2236),4)=0,366,365)</f>
        <v>366</v>
      </c>
      <c r="D2236" s="37" t="n">
        <f aca="false">Inputs!$B$9-SUMIFS(Cash_Events!$G$6:$G$20,Cash_Events!$C$6:$C$20,"rAGMF",Cash_Events!$B$6:$B$20,"&lt;="&amp;A2236)</f>
        <v>735000</v>
      </c>
      <c r="E2236" s="38" t="n">
        <f aca="false">VLOOKUP(A2236,Inputs!$A$40:$B$48,2,TRUE())</f>
        <v>0.0363225</v>
      </c>
      <c r="F2236" s="38" t="n">
        <f aca="false">E2236+Inputs!$B$10</f>
        <v>0.1038225</v>
      </c>
      <c r="G2236" s="37" t="n">
        <f aca="false">D2236*F2236/C2236</f>
        <v>208.496004098361</v>
      </c>
      <c r="H2236" s="37" t="n">
        <f aca="false">IF(AND(A2236&gt;=Inputs!$B$13,OR(A2236&lt;Inputs!$B$19,Inputs!$B$20=1)),D2236*Inputs!$B$11/C2236,0)</f>
        <v>40.1639344262295</v>
      </c>
      <c r="I2236" s="37" t="n">
        <f aca="false">Inputs!$C$9-SUMIFS(Cash_Events!$G$6:$G$20,Cash_Events!$C$6:$C$20,"FHL",Cash_Events!$B$6:$B$20,"&lt;="&amp;A2236)</f>
        <v>735000</v>
      </c>
      <c r="J2236" s="38" t="n">
        <f aca="false">VLOOKUP(A2236,Inputs!$F$40:$G$48,2,TRUE())</f>
        <v>0.0364054</v>
      </c>
      <c r="K2236" s="38" t="n">
        <f aca="false">J2236+Inputs!$C$10</f>
        <v>0.1039054</v>
      </c>
      <c r="L2236" s="37" t="n">
        <f aca="false">I2236*K2236/C2236</f>
        <v>208.662483606557</v>
      </c>
      <c r="M2236" s="37" t="n">
        <f aca="false">IF(AND(A2236&gt;=Inputs!$C$13,OR(A2236&lt;Inputs!$B$19,Inputs!$B$20=1)),I2236*Inputs!$C$11/C2236,0)</f>
        <v>40.1639344262295</v>
      </c>
    </row>
    <row r="2237" customFormat="false" ht="15" hidden="false" customHeight="false" outlineLevel="0" collapsed="false">
      <c r="A2237" s="35" t="n">
        <f aca="false">A2236+1</f>
        <v>47044</v>
      </c>
      <c r="B2237" s="35" t="n">
        <f aca="false">EOMONTH(A2237+1,0)</f>
        <v>47057</v>
      </c>
      <c r="C2237" s="36" t="n">
        <f aca="false">IF(MOD(YEAR(A2237),4)=0,366,365)</f>
        <v>366</v>
      </c>
      <c r="D2237" s="37" t="n">
        <f aca="false">Inputs!$B$9-SUMIFS(Cash_Events!$G$6:$G$20,Cash_Events!$C$6:$C$20,"rAGMF",Cash_Events!$B$6:$B$20,"&lt;="&amp;A2237)</f>
        <v>735000</v>
      </c>
      <c r="E2237" s="38" t="n">
        <f aca="false">VLOOKUP(A2237,Inputs!$A$40:$B$48,2,TRUE())</f>
        <v>0.0363225</v>
      </c>
      <c r="F2237" s="38" t="n">
        <f aca="false">E2237+Inputs!$B$10</f>
        <v>0.1038225</v>
      </c>
      <c r="G2237" s="37" t="n">
        <f aca="false">D2237*F2237/C2237</f>
        <v>208.496004098361</v>
      </c>
      <c r="H2237" s="37" t="n">
        <f aca="false">IF(AND(A2237&gt;=Inputs!$B$13,OR(A2237&lt;Inputs!$B$19,Inputs!$B$20=1)),D2237*Inputs!$B$11/C2237,0)</f>
        <v>40.1639344262295</v>
      </c>
      <c r="I2237" s="37" t="n">
        <f aca="false">Inputs!$C$9-SUMIFS(Cash_Events!$G$6:$G$20,Cash_Events!$C$6:$C$20,"FHL",Cash_Events!$B$6:$B$20,"&lt;="&amp;A2237)</f>
        <v>735000</v>
      </c>
      <c r="J2237" s="38" t="n">
        <f aca="false">VLOOKUP(A2237,Inputs!$F$40:$G$48,2,TRUE())</f>
        <v>0.0364054</v>
      </c>
      <c r="K2237" s="38" t="n">
        <f aca="false">J2237+Inputs!$C$10</f>
        <v>0.1039054</v>
      </c>
      <c r="L2237" s="37" t="n">
        <f aca="false">I2237*K2237/C2237</f>
        <v>208.662483606557</v>
      </c>
      <c r="M2237" s="37" t="n">
        <f aca="false">IF(AND(A2237&gt;=Inputs!$C$13,OR(A2237&lt;Inputs!$B$19,Inputs!$B$20=1)),I2237*Inputs!$C$11/C2237,0)</f>
        <v>40.1639344262295</v>
      </c>
    </row>
    <row r="2238" customFormat="false" ht="15" hidden="false" customHeight="false" outlineLevel="0" collapsed="false">
      <c r="A2238" s="35" t="n">
        <f aca="false">A2237+1</f>
        <v>47045</v>
      </c>
      <c r="B2238" s="35" t="n">
        <f aca="false">EOMONTH(A2238+1,0)</f>
        <v>47057</v>
      </c>
      <c r="C2238" s="36" t="n">
        <f aca="false">IF(MOD(YEAR(A2238),4)=0,366,365)</f>
        <v>366</v>
      </c>
      <c r="D2238" s="37" t="n">
        <f aca="false">Inputs!$B$9-SUMIFS(Cash_Events!$G$6:$G$20,Cash_Events!$C$6:$C$20,"rAGMF",Cash_Events!$B$6:$B$20,"&lt;="&amp;A2238)</f>
        <v>735000</v>
      </c>
      <c r="E2238" s="38" t="n">
        <f aca="false">VLOOKUP(A2238,Inputs!$A$40:$B$48,2,TRUE())</f>
        <v>0.0363225</v>
      </c>
      <c r="F2238" s="38" t="n">
        <f aca="false">E2238+Inputs!$B$10</f>
        <v>0.1038225</v>
      </c>
      <c r="G2238" s="37" t="n">
        <f aca="false">D2238*F2238/C2238</f>
        <v>208.496004098361</v>
      </c>
      <c r="H2238" s="37" t="n">
        <f aca="false">IF(AND(A2238&gt;=Inputs!$B$13,OR(A2238&lt;Inputs!$B$19,Inputs!$B$20=1)),D2238*Inputs!$B$11/C2238,0)</f>
        <v>40.1639344262295</v>
      </c>
      <c r="I2238" s="37" t="n">
        <f aca="false">Inputs!$C$9-SUMIFS(Cash_Events!$G$6:$G$20,Cash_Events!$C$6:$C$20,"FHL",Cash_Events!$B$6:$B$20,"&lt;="&amp;A2238)</f>
        <v>735000</v>
      </c>
      <c r="J2238" s="38" t="n">
        <f aca="false">VLOOKUP(A2238,Inputs!$F$40:$G$48,2,TRUE())</f>
        <v>0.0364054</v>
      </c>
      <c r="K2238" s="38" t="n">
        <f aca="false">J2238+Inputs!$C$10</f>
        <v>0.1039054</v>
      </c>
      <c r="L2238" s="37" t="n">
        <f aca="false">I2238*K2238/C2238</f>
        <v>208.662483606557</v>
      </c>
      <c r="M2238" s="37" t="n">
        <f aca="false">IF(AND(A2238&gt;=Inputs!$C$13,OR(A2238&lt;Inputs!$B$19,Inputs!$B$20=1)),I2238*Inputs!$C$11/C2238,0)</f>
        <v>40.1639344262295</v>
      </c>
    </row>
    <row r="2239" customFormat="false" ht="15" hidden="false" customHeight="false" outlineLevel="0" collapsed="false">
      <c r="A2239" s="35" t="n">
        <f aca="false">A2238+1</f>
        <v>47046</v>
      </c>
      <c r="B2239" s="35" t="n">
        <f aca="false">EOMONTH(A2239+1,0)</f>
        <v>47057</v>
      </c>
      <c r="C2239" s="36" t="n">
        <f aca="false">IF(MOD(YEAR(A2239),4)=0,366,365)</f>
        <v>366</v>
      </c>
      <c r="D2239" s="37" t="n">
        <f aca="false">Inputs!$B$9-SUMIFS(Cash_Events!$G$6:$G$20,Cash_Events!$C$6:$C$20,"rAGMF",Cash_Events!$B$6:$B$20,"&lt;="&amp;A2239)</f>
        <v>735000</v>
      </c>
      <c r="E2239" s="38" t="n">
        <f aca="false">VLOOKUP(A2239,Inputs!$A$40:$B$48,2,TRUE())</f>
        <v>0.0363225</v>
      </c>
      <c r="F2239" s="38" t="n">
        <f aca="false">E2239+Inputs!$B$10</f>
        <v>0.1038225</v>
      </c>
      <c r="G2239" s="37" t="n">
        <f aca="false">D2239*F2239/C2239</f>
        <v>208.496004098361</v>
      </c>
      <c r="H2239" s="37" t="n">
        <f aca="false">IF(AND(A2239&gt;=Inputs!$B$13,OR(A2239&lt;Inputs!$B$19,Inputs!$B$20=1)),D2239*Inputs!$B$11/C2239,0)</f>
        <v>40.1639344262295</v>
      </c>
      <c r="I2239" s="37" t="n">
        <f aca="false">Inputs!$C$9-SUMIFS(Cash_Events!$G$6:$G$20,Cash_Events!$C$6:$C$20,"FHL",Cash_Events!$B$6:$B$20,"&lt;="&amp;A2239)</f>
        <v>735000</v>
      </c>
      <c r="J2239" s="38" t="n">
        <f aca="false">VLOOKUP(A2239,Inputs!$F$40:$G$48,2,TRUE())</f>
        <v>0.0364054</v>
      </c>
      <c r="K2239" s="38" t="n">
        <f aca="false">J2239+Inputs!$C$10</f>
        <v>0.1039054</v>
      </c>
      <c r="L2239" s="37" t="n">
        <f aca="false">I2239*K2239/C2239</f>
        <v>208.662483606557</v>
      </c>
      <c r="M2239" s="37" t="n">
        <f aca="false">IF(AND(A2239&gt;=Inputs!$C$13,OR(A2239&lt;Inputs!$B$19,Inputs!$B$20=1)),I2239*Inputs!$C$11/C2239,0)</f>
        <v>40.1639344262295</v>
      </c>
    </row>
    <row r="2240" customFormat="false" ht="15" hidden="false" customHeight="false" outlineLevel="0" collapsed="false">
      <c r="A2240" s="35" t="n">
        <f aca="false">A2239+1</f>
        <v>47047</v>
      </c>
      <c r="B2240" s="35" t="n">
        <f aca="false">EOMONTH(A2240+1,0)</f>
        <v>47057</v>
      </c>
      <c r="C2240" s="36" t="n">
        <f aca="false">IF(MOD(YEAR(A2240),4)=0,366,365)</f>
        <v>366</v>
      </c>
      <c r="D2240" s="37" t="n">
        <f aca="false">Inputs!$B$9-SUMIFS(Cash_Events!$G$6:$G$20,Cash_Events!$C$6:$C$20,"rAGMF",Cash_Events!$B$6:$B$20,"&lt;="&amp;A2240)</f>
        <v>735000</v>
      </c>
      <c r="E2240" s="38" t="n">
        <f aca="false">VLOOKUP(A2240,Inputs!$A$40:$B$48,2,TRUE())</f>
        <v>0.0363225</v>
      </c>
      <c r="F2240" s="38" t="n">
        <f aca="false">E2240+Inputs!$B$10</f>
        <v>0.1038225</v>
      </c>
      <c r="G2240" s="37" t="n">
        <f aca="false">D2240*F2240/C2240</f>
        <v>208.496004098361</v>
      </c>
      <c r="H2240" s="37" t="n">
        <f aca="false">IF(AND(A2240&gt;=Inputs!$B$13,OR(A2240&lt;Inputs!$B$19,Inputs!$B$20=1)),D2240*Inputs!$B$11/C2240,0)</f>
        <v>40.1639344262295</v>
      </c>
      <c r="I2240" s="37" t="n">
        <f aca="false">Inputs!$C$9-SUMIFS(Cash_Events!$G$6:$G$20,Cash_Events!$C$6:$C$20,"FHL",Cash_Events!$B$6:$B$20,"&lt;="&amp;A2240)</f>
        <v>735000</v>
      </c>
      <c r="J2240" s="38" t="n">
        <f aca="false">VLOOKUP(A2240,Inputs!$F$40:$G$48,2,TRUE())</f>
        <v>0.0364054</v>
      </c>
      <c r="K2240" s="38" t="n">
        <f aca="false">J2240+Inputs!$C$10</f>
        <v>0.1039054</v>
      </c>
      <c r="L2240" s="37" t="n">
        <f aca="false">I2240*K2240/C2240</f>
        <v>208.662483606557</v>
      </c>
      <c r="M2240" s="37" t="n">
        <f aca="false">IF(AND(A2240&gt;=Inputs!$C$13,OR(A2240&lt;Inputs!$B$19,Inputs!$B$20=1)),I2240*Inputs!$C$11/C2240,0)</f>
        <v>40.1639344262295</v>
      </c>
    </row>
    <row r="2241" customFormat="false" ht="15" hidden="false" customHeight="false" outlineLevel="0" collapsed="false">
      <c r="A2241" s="35" t="n">
        <f aca="false">A2240+1</f>
        <v>47048</v>
      </c>
      <c r="B2241" s="35" t="n">
        <f aca="false">EOMONTH(A2241+1,0)</f>
        <v>47057</v>
      </c>
      <c r="C2241" s="36" t="n">
        <f aca="false">IF(MOD(YEAR(A2241),4)=0,366,365)</f>
        <v>366</v>
      </c>
      <c r="D2241" s="37" t="n">
        <f aca="false">Inputs!$B$9-SUMIFS(Cash_Events!$G$6:$G$20,Cash_Events!$C$6:$C$20,"rAGMF",Cash_Events!$B$6:$B$20,"&lt;="&amp;A2241)</f>
        <v>735000</v>
      </c>
      <c r="E2241" s="38" t="n">
        <f aca="false">VLOOKUP(A2241,Inputs!$A$40:$B$48,2,TRUE())</f>
        <v>0.0363225</v>
      </c>
      <c r="F2241" s="38" t="n">
        <f aca="false">E2241+Inputs!$B$10</f>
        <v>0.1038225</v>
      </c>
      <c r="G2241" s="37" t="n">
        <f aca="false">D2241*F2241/C2241</f>
        <v>208.496004098361</v>
      </c>
      <c r="H2241" s="37" t="n">
        <f aca="false">IF(AND(A2241&gt;=Inputs!$B$13,OR(A2241&lt;Inputs!$B$19,Inputs!$B$20=1)),D2241*Inputs!$B$11/C2241,0)</f>
        <v>40.1639344262295</v>
      </c>
      <c r="I2241" s="37" t="n">
        <f aca="false">Inputs!$C$9-SUMIFS(Cash_Events!$G$6:$G$20,Cash_Events!$C$6:$C$20,"FHL",Cash_Events!$B$6:$B$20,"&lt;="&amp;A2241)</f>
        <v>735000</v>
      </c>
      <c r="J2241" s="38" t="n">
        <f aca="false">VLOOKUP(A2241,Inputs!$F$40:$G$48,2,TRUE())</f>
        <v>0.0364054</v>
      </c>
      <c r="K2241" s="38" t="n">
        <f aca="false">J2241+Inputs!$C$10</f>
        <v>0.1039054</v>
      </c>
      <c r="L2241" s="37" t="n">
        <f aca="false">I2241*K2241/C2241</f>
        <v>208.662483606557</v>
      </c>
      <c r="M2241" s="37" t="n">
        <f aca="false">IF(AND(A2241&gt;=Inputs!$C$13,OR(A2241&lt;Inputs!$B$19,Inputs!$B$20=1)),I2241*Inputs!$C$11/C2241,0)</f>
        <v>40.1639344262295</v>
      </c>
    </row>
    <row r="2242" customFormat="false" ht="15" hidden="false" customHeight="false" outlineLevel="0" collapsed="false">
      <c r="A2242" s="35" t="n">
        <f aca="false">A2241+1</f>
        <v>47049</v>
      </c>
      <c r="B2242" s="35" t="n">
        <f aca="false">EOMONTH(A2242+1,0)</f>
        <v>47057</v>
      </c>
      <c r="C2242" s="36" t="n">
        <f aca="false">IF(MOD(YEAR(A2242),4)=0,366,365)</f>
        <v>366</v>
      </c>
      <c r="D2242" s="37" t="n">
        <f aca="false">Inputs!$B$9-SUMIFS(Cash_Events!$G$6:$G$20,Cash_Events!$C$6:$C$20,"rAGMF",Cash_Events!$B$6:$B$20,"&lt;="&amp;A2242)</f>
        <v>735000</v>
      </c>
      <c r="E2242" s="38" t="n">
        <f aca="false">VLOOKUP(A2242,Inputs!$A$40:$B$48,2,TRUE())</f>
        <v>0.0363225</v>
      </c>
      <c r="F2242" s="38" t="n">
        <f aca="false">E2242+Inputs!$B$10</f>
        <v>0.1038225</v>
      </c>
      <c r="G2242" s="37" t="n">
        <f aca="false">D2242*F2242/C2242</f>
        <v>208.496004098361</v>
      </c>
      <c r="H2242" s="37" t="n">
        <f aca="false">IF(AND(A2242&gt;=Inputs!$B$13,OR(A2242&lt;Inputs!$B$19,Inputs!$B$20=1)),D2242*Inputs!$B$11/C2242,0)</f>
        <v>40.1639344262295</v>
      </c>
      <c r="I2242" s="37" t="n">
        <f aca="false">Inputs!$C$9-SUMIFS(Cash_Events!$G$6:$G$20,Cash_Events!$C$6:$C$20,"FHL",Cash_Events!$B$6:$B$20,"&lt;="&amp;A2242)</f>
        <v>735000</v>
      </c>
      <c r="J2242" s="38" t="n">
        <f aca="false">VLOOKUP(A2242,Inputs!$F$40:$G$48,2,TRUE())</f>
        <v>0.0364054</v>
      </c>
      <c r="K2242" s="38" t="n">
        <f aca="false">J2242+Inputs!$C$10</f>
        <v>0.1039054</v>
      </c>
      <c r="L2242" s="37" t="n">
        <f aca="false">I2242*K2242/C2242</f>
        <v>208.662483606557</v>
      </c>
      <c r="M2242" s="37" t="n">
        <f aca="false">IF(AND(A2242&gt;=Inputs!$C$13,OR(A2242&lt;Inputs!$B$19,Inputs!$B$20=1)),I2242*Inputs!$C$11/C2242,0)</f>
        <v>40.1639344262295</v>
      </c>
    </row>
    <row r="2243" customFormat="false" ht="15" hidden="false" customHeight="false" outlineLevel="0" collapsed="false">
      <c r="A2243" s="35" t="n">
        <f aca="false">A2242+1</f>
        <v>47050</v>
      </c>
      <c r="B2243" s="35" t="n">
        <f aca="false">EOMONTH(A2243+1,0)</f>
        <v>47057</v>
      </c>
      <c r="C2243" s="36" t="n">
        <f aca="false">IF(MOD(YEAR(A2243),4)=0,366,365)</f>
        <v>366</v>
      </c>
      <c r="D2243" s="37" t="n">
        <f aca="false">Inputs!$B$9-SUMIFS(Cash_Events!$G$6:$G$20,Cash_Events!$C$6:$C$20,"rAGMF",Cash_Events!$B$6:$B$20,"&lt;="&amp;A2243)</f>
        <v>735000</v>
      </c>
      <c r="E2243" s="38" t="n">
        <f aca="false">VLOOKUP(A2243,Inputs!$A$40:$B$48,2,TRUE())</f>
        <v>0.0363225</v>
      </c>
      <c r="F2243" s="38" t="n">
        <f aca="false">E2243+Inputs!$B$10</f>
        <v>0.1038225</v>
      </c>
      <c r="G2243" s="37" t="n">
        <f aca="false">D2243*F2243/C2243</f>
        <v>208.496004098361</v>
      </c>
      <c r="H2243" s="37" t="n">
        <f aca="false">IF(AND(A2243&gt;=Inputs!$B$13,OR(A2243&lt;Inputs!$B$19,Inputs!$B$20=1)),D2243*Inputs!$B$11/C2243,0)</f>
        <v>40.1639344262295</v>
      </c>
      <c r="I2243" s="37" t="n">
        <f aca="false">Inputs!$C$9-SUMIFS(Cash_Events!$G$6:$G$20,Cash_Events!$C$6:$C$20,"FHL",Cash_Events!$B$6:$B$20,"&lt;="&amp;A2243)</f>
        <v>735000</v>
      </c>
      <c r="J2243" s="38" t="n">
        <f aca="false">VLOOKUP(A2243,Inputs!$F$40:$G$48,2,TRUE())</f>
        <v>0.0364054</v>
      </c>
      <c r="K2243" s="38" t="n">
        <f aca="false">J2243+Inputs!$C$10</f>
        <v>0.1039054</v>
      </c>
      <c r="L2243" s="37" t="n">
        <f aca="false">I2243*K2243/C2243</f>
        <v>208.662483606557</v>
      </c>
      <c r="M2243" s="37" t="n">
        <f aca="false">IF(AND(A2243&gt;=Inputs!$C$13,OR(A2243&lt;Inputs!$B$19,Inputs!$B$20=1)),I2243*Inputs!$C$11/C2243,0)</f>
        <v>40.1639344262295</v>
      </c>
    </row>
    <row r="2244" customFormat="false" ht="15" hidden="false" customHeight="false" outlineLevel="0" collapsed="false">
      <c r="A2244" s="35" t="n">
        <f aca="false">A2243+1</f>
        <v>47051</v>
      </c>
      <c r="B2244" s="35" t="n">
        <f aca="false">EOMONTH(A2244+1,0)</f>
        <v>47057</v>
      </c>
      <c r="C2244" s="36" t="n">
        <f aca="false">IF(MOD(YEAR(A2244),4)=0,366,365)</f>
        <v>366</v>
      </c>
      <c r="D2244" s="37" t="n">
        <f aca="false">Inputs!$B$9-SUMIFS(Cash_Events!$G$6:$G$20,Cash_Events!$C$6:$C$20,"rAGMF",Cash_Events!$B$6:$B$20,"&lt;="&amp;A2244)</f>
        <v>735000</v>
      </c>
      <c r="E2244" s="38" t="n">
        <f aca="false">VLOOKUP(A2244,Inputs!$A$40:$B$48,2,TRUE())</f>
        <v>0.0363225</v>
      </c>
      <c r="F2244" s="38" t="n">
        <f aca="false">E2244+Inputs!$B$10</f>
        <v>0.1038225</v>
      </c>
      <c r="G2244" s="37" t="n">
        <f aca="false">D2244*F2244/C2244</f>
        <v>208.496004098361</v>
      </c>
      <c r="H2244" s="37" t="n">
        <f aca="false">IF(AND(A2244&gt;=Inputs!$B$13,OR(A2244&lt;Inputs!$B$19,Inputs!$B$20=1)),D2244*Inputs!$B$11/C2244,0)</f>
        <v>40.1639344262295</v>
      </c>
      <c r="I2244" s="37" t="n">
        <f aca="false">Inputs!$C$9-SUMIFS(Cash_Events!$G$6:$G$20,Cash_Events!$C$6:$C$20,"FHL",Cash_Events!$B$6:$B$20,"&lt;="&amp;A2244)</f>
        <v>735000</v>
      </c>
      <c r="J2244" s="38" t="n">
        <f aca="false">VLOOKUP(A2244,Inputs!$F$40:$G$48,2,TRUE())</f>
        <v>0.0364054</v>
      </c>
      <c r="K2244" s="38" t="n">
        <f aca="false">J2244+Inputs!$C$10</f>
        <v>0.1039054</v>
      </c>
      <c r="L2244" s="37" t="n">
        <f aca="false">I2244*K2244/C2244</f>
        <v>208.662483606557</v>
      </c>
      <c r="M2244" s="37" t="n">
        <f aca="false">IF(AND(A2244&gt;=Inputs!$C$13,OR(A2244&lt;Inputs!$B$19,Inputs!$B$20=1)),I2244*Inputs!$C$11/C2244,0)</f>
        <v>40.1639344262295</v>
      </c>
    </row>
    <row r="2245" customFormat="false" ht="15" hidden="false" customHeight="false" outlineLevel="0" collapsed="false">
      <c r="A2245" s="35" t="n">
        <f aca="false">A2244+1</f>
        <v>47052</v>
      </c>
      <c r="B2245" s="35" t="n">
        <f aca="false">EOMONTH(A2245+1,0)</f>
        <v>47057</v>
      </c>
      <c r="C2245" s="36" t="n">
        <f aca="false">IF(MOD(YEAR(A2245),4)=0,366,365)</f>
        <v>366</v>
      </c>
      <c r="D2245" s="37" t="n">
        <f aca="false">Inputs!$B$9-SUMIFS(Cash_Events!$G$6:$G$20,Cash_Events!$C$6:$C$20,"rAGMF",Cash_Events!$B$6:$B$20,"&lt;="&amp;A2245)</f>
        <v>735000</v>
      </c>
      <c r="E2245" s="38" t="n">
        <f aca="false">VLOOKUP(A2245,Inputs!$A$40:$B$48,2,TRUE())</f>
        <v>0.0363225</v>
      </c>
      <c r="F2245" s="38" t="n">
        <f aca="false">E2245+Inputs!$B$10</f>
        <v>0.1038225</v>
      </c>
      <c r="G2245" s="37" t="n">
        <f aca="false">D2245*F2245/C2245</f>
        <v>208.496004098361</v>
      </c>
      <c r="H2245" s="37" t="n">
        <f aca="false">IF(AND(A2245&gt;=Inputs!$B$13,OR(A2245&lt;Inputs!$B$19,Inputs!$B$20=1)),D2245*Inputs!$B$11/C2245,0)</f>
        <v>40.1639344262295</v>
      </c>
      <c r="I2245" s="37" t="n">
        <f aca="false">Inputs!$C$9-SUMIFS(Cash_Events!$G$6:$G$20,Cash_Events!$C$6:$C$20,"FHL",Cash_Events!$B$6:$B$20,"&lt;="&amp;A2245)</f>
        <v>735000</v>
      </c>
      <c r="J2245" s="38" t="n">
        <f aca="false">VLOOKUP(A2245,Inputs!$F$40:$G$48,2,TRUE())</f>
        <v>0.0364054</v>
      </c>
      <c r="K2245" s="38" t="n">
        <f aca="false">J2245+Inputs!$C$10</f>
        <v>0.1039054</v>
      </c>
      <c r="L2245" s="37" t="n">
        <f aca="false">I2245*K2245/C2245</f>
        <v>208.662483606557</v>
      </c>
      <c r="M2245" s="37" t="n">
        <f aca="false">IF(AND(A2245&gt;=Inputs!$C$13,OR(A2245&lt;Inputs!$B$19,Inputs!$B$20=1)),I2245*Inputs!$C$11/C2245,0)</f>
        <v>40.1639344262295</v>
      </c>
    </row>
    <row r="2246" customFormat="false" ht="15" hidden="false" customHeight="false" outlineLevel="0" collapsed="false">
      <c r="A2246" s="35" t="n">
        <f aca="false">A2245+1</f>
        <v>47053</v>
      </c>
      <c r="B2246" s="35" t="n">
        <f aca="false">EOMONTH(A2246+1,0)</f>
        <v>47057</v>
      </c>
      <c r="C2246" s="36" t="n">
        <f aca="false">IF(MOD(YEAR(A2246),4)=0,366,365)</f>
        <v>366</v>
      </c>
      <c r="D2246" s="37" t="n">
        <f aca="false">Inputs!$B$9-SUMIFS(Cash_Events!$G$6:$G$20,Cash_Events!$C$6:$C$20,"rAGMF",Cash_Events!$B$6:$B$20,"&lt;="&amp;A2246)</f>
        <v>735000</v>
      </c>
      <c r="E2246" s="38" t="n">
        <f aca="false">VLOOKUP(A2246,Inputs!$A$40:$B$48,2,TRUE())</f>
        <v>0.0363225</v>
      </c>
      <c r="F2246" s="38" t="n">
        <f aca="false">E2246+Inputs!$B$10</f>
        <v>0.1038225</v>
      </c>
      <c r="G2246" s="37" t="n">
        <f aca="false">D2246*F2246/C2246</f>
        <v>208.496004098361</v>
      </c>
      <c r="H2246" s="37" t="n">
        <f aca="false">IF(AND(A2246&gt;=Inputs!$B$13,OR(A2246&lt;Inputs!$B$19,Inputs!$B$20=1)),D2246*Inputs!$B$11/C2246,0)</f>
        <v>40.1639344262295</v>
      </c>
      <c r="I2246" s="37" t="n">
        <f aca="false">Inputs!$C$9-SUMIFS(Cash_Events!$G$6:$G$20,Cash_Events!$C$6:$C$20,"FHL",Cash_Events!$B$6:$B$20,"&lt;="&amp;A2246)</f>
        <v>735000</v>
      </c>
      <c r="J2246" s="38" t="n">
        <f aca="false">VLOOKUP(A2246,Inputs!$F$40:$G$48,2,TRUE())</f>
        <v>0.0364054</v>
      </c>
      <c r="K2246" s="38" t="n">
        <f aca="false">J2246+Inputs!$C$10</f>
        <v>0.1039054</v>
      </c>
      <c r="L2246" s="37" t="n">
        <f aca="false">I2246*K2246/C2246</f>
        <v>208.662483606557</v>
      </c>
      <c r="M2246" s="37" t="n">
        <f aca="false">IF(AND(A2246&gt;=Inputs!$C$13,OR(A2246&lt;Inputs!$B$19,Inputs!$B$20=1)),I2246*Inputs!$C$11/C2246,0)</f>
        <v>40.1639344262295</v>
      </c>
    </row>
    <row r="2247" customFormat="false" ht="15" hidden="false" customHeight="false" outlineLevel="0" collapsed="false">
      <c r="A2247" s="35" t="n">
        <f aca="false">A2246+1</f>
        <v>47054</v>
      </c>
      <c r="B2247" s="35" t="n">
        <f aca="false">EOMONTH(A2247+1,0)</f>
        <v>47057</v>
      </c>
      <c r="C2247" s="36" t="n">
        <f aca="false">IF(MOD(YEAR(A2247),4)=0,366,365)</f>
        <v>366</v>
      </c>
      <c r="D2247" s="37" t="n">
        <f aca="false">Inputs!$B$9-SUMIFS(Cash_Events!$G$6:$G$20,Cash_Events!$C$6:$C$20,"rAGMF",Cash_Events!$B$6:$B$20,"&lt;="&amp;A2247)</f>
        <v>735000</v>
      </c>
      <c r="E2247" s="38" t="n">
        <f aca="false">VLOOKUP(A2247,Inputs!$A$40:$B$48,2,TRUE())</f>
        <v>0.0363225</v>
      </c>
      <c r="F2247" s="38" t="n">
        <f aca="false">E2247+Inputs!$B$10</f>
        <v>0.1038225</v>
      </c>
      <c r="G2247" s="37" t="n">
        <f aca="false">D2247*F2247/C2247</f>
        <v>208.496004098361</v>
      </c>
      <c r="H2247" s="37" t="n">
        <f aca="false">IF(AND(A2247&gt;=Inputs!$B$13,OR(A2247&lt;Inputs!$B$19,Inputs!$B$20=1)),D2247*Inputs!$B$11/C2247,0)</f>
        <v>40.1639344262295</v>
      </c>
      <c r="I2247" s="37" t="n">
        <f aca="false">Inputs!$C$9-SUMIFS(Cash_Events!$G$6:$G$20,Cash_Events!$C$6:$C$20,"FHL",Cash_Events!$B$6:$B$20,"&lt;="&amp;A2247)</f>
        <v>735000</v>
      </c>
      <c r="J2247" s="38" t="n">
        <f aca="false">VLOOKUP(A2247,Inputs!$F$40:$G$48,2,TRUE())</f>
        <v>0.0364054</v>
      </c>
      <c r="K2247" s="38" t="n">
        <f aca="false">J2247+Inputs!$C$10</f>
        <v>0.1039054</v>
      </c>
      <c r="L2247" s="37" t="n">
        <f aca="false">I2247*K2247/C2247</f>
        <v>208.662483606557</v>
      </c>
      <c r="M2247" s="37" t="n">
        <f aca="false">IF(AND(A2247&gt;=Inputs!$C$13,OR(A2247&lt;Inputs!$B$19,Inputs!$B$20=1)),I2247*Inputs!$C$11/C2247,0)</f>
        <v>40.1639344262295</v>
      </c>
    </row>
    <row r="2248" customFormat="false" ht="15" hidden="false" customHeight="false" outlineLevel="0" collapsed="false">
      <c r="A2248" s="35" t="n">
        <f aca="false">A2247+1</f>
        <v>47055</v>
      </c>
      <c r="B2248" s="35" t="n">
        <f aca="false">EOMONTH(A2248+1,0)</f>
        <v>47057</v>
      </c>
      <c r="C2248" s="36" t="n">
        <f aca="false">IF(MOD(YEAR(A2248),4)=0,366,365)</f>
        <v>366</v>
      </c>
      <c r="D2248" s="37" t="n">
        <f aca="false">Inputs!$B$9-SUMIFS(Cash_Events!$G$6:$G$20,Cash_Events!$C$6:$C$20,"rAGMF",Cash_Events!$B$6:$B$20,"&lt;="&amp;A2248)</f>
        <v>735000</v>
      </c>
      <c r="E2248" s="38" t="n">
        <f aca="false">VLOOKUP(A2248,Inputs!$A$40:$B$48,2,TRUE())</f>
        <v>0.0363225</v>
      </c>
      <c r="F2248" s="38" t="n">
        <f aca="false">E2248+Inputs!$B$10</f>
        <v>0.1038225</v>
      </c>
      <c r="G2248" s="37" t="n">
        <f aca="false">D2248*F2248/C2248</f>
        <v>208.496004098361</v>
      </c>
      <c r="H2248" s="37" t="n">
        <f aca="false">IF(AND(A2248&gt;=Inputs!$B$13,OR(A2248&lt;Inputs!$B$19,Inputs!$B$20=1)),D2248*Inputs!$B$11/C2248,0)</f>
        <v>40.1639344262295</v>
      </c>
      <c r="I2248" s="37" t="n">
        <f aca="false">Inputs!$C$9-SUMIFS(Cash_Events!$G$6:$G$20,Cash_Events!$C$6:$C$20,"FHL",Cash_Events!$B$6:$B$20,"&lt;="&amp;A2248)</f>
        <v>735000</v>
      </c>
      <c r="J2248" s="38" t="n">
        <f aca="false">VLOOKUP(A2248,Inputs!$F$40:$G$48,2,TRUE())</f>
        <v>0.0364054</v>
      </c>
      <c r="K2248" s="38" t="n">
        <f aca="false">J2248+Inputs!$C$10</f>
        <v>0.1039054</v>
      </c>
      <c r="L2248" s="37" t="n">
        <f aca="false">I2248*K2248/C2248</f>
        <v>208.662483606557</v>
      </c>
      <c r="M2248" s="37" t="n">
        <f aca="false">IF(AND(A2248&gt;=Inputs!$C$13,OR(A2248&lt;Inputs!$B$19,Inputs!$B$20=1)),I2248*Inputs!$C$11/C2248,0)</f>
        <v>40.1639344262295</v>
      </c>
    </row>
    <row r="2249" customFormat="false" ht="15" hidden="false" customHeight="false" outlineLevel="0" collapsed="false">
      <c r="A2249" s="35" t="n">
        <f aca="false">A2248+1</f>
        <v>47056</v>
      </c>
      <c r="B2249" s="35" t="n">
        <f aca="false">EOMONTH(A2249+1,0)</f>
        <v>47057</v>
      </c>
      <c r="C2249" s="36" t="n">
        <f aca="false">IF(MOD(YEAR(A2249),4)=0,366,365)</f>
        <v>366</v>
      </c>
      <c r="D2249" s="37" t="n">
        <f aca="false">Inputs!$B$9-SUMIFS(Cash_Events!$G$6:$G$20,Cash_Events!$C$6:$C$20,"rAGMF",Cash_Events!$B$6:$B$20,"&lt;="&amp;A2249)</f>
        <v>735000</v>
      </c>
      <c r="E2249" s="38" t="n">
        <f aca="false">VLOOKUP(A2249,Inputs!$A$40:$B$48,2,TRUE())</f>
        <v>0.0363225</v>
      </c>
      <c r="F2249" s="38" t="n">
        <f aca="false">E2249+Inputs!$B$10</f>
        <v>0.1038225</v>
      </c>
      <c r="G2249" s="37" t="n">
        <f aca="false">D2249*F2249/C2249</f>
        <v>208.496004098361</v>
      </c>
      <c r="H2249" s="37" t="n">
        <f aca="false">IF(AND(A2249&gt;=Inputs!$B$13,OR(A2249&lt;Inputs!$B$19,Inputs!$B$20=1)),D2249*Inputs!$B$11/C2249,0)</f>
        <v>40.1639344262295</v>
      </c>
      <c r="I2249" s="37" t="n">
        <f aca="false">Inputs!$C$9-SUMIFS(Cash_Events!$G$6:$G$20,Cash_Events!$C$6:$C$20,"FHL",Cash_Events!$B$6:$B$20,"&lt;="&amp;A2249)</f>
        <v>735000</v>
      </c>
      <c r="J2249" s="38" t="n">
        <f aca="false">VLOOKUP(A2249,Inputs!$F$40:$G$48,2,TRUE())</f>
        <v>0.0364054</v>
      </c>
      <c r="K2249" s="38" t="n">
        <f aca="false">J2249+Inputs!$C$10</f>
        <v>0.1039054</v>
      </c>
      <c r="L2249" s="37" t="n">
        <f aca="false">I2249*K2249/C2249</f>
        <v>208.662483606557</v>
      </c>
      <c r="M2249" s="37" t="n">
        <f aca="false">IF(AND(A2249&gt;=Inputs!$C$13,OR(A2249&lt;Inputs!$B$19,Inputs!$B$20=1)),I2249*Inputs!$C$11/C2249,0)</f>
        <v>40.1639344262295</v>
      </c>
    </row>
    <row r="2250" customFormat="false" ht="15" hidden="false" customHeight="false" outlineLevel="0" collapsed="false">
      <c r="A2250" s="35" t="n">
        <f aca="false">A2249+1</f>
        <v>47057</v>
      </c>
      <c r="B2250" s="35" t="n">
        <f aca="false">EOMONTH(A2250+1,0)</f>
        <v>47087</v>
      </c>
      <c r="C2250" s="36" t="n">
        <f aca="false">IF(MOD(YEAR(A2250),4)=0,366,365)</f>
        <v>366</v>
      </c>
      <c r="D2250" s="37" t="n">
        <f aca="false">Inputs!$B$9-SUMIFS(Cash_Events!$G$6:$G$20,Cash_Events!$C$6:$C$20,"rAGMF",Cash_Events!$B$6:$B$20,"&lt;="&amp;A2250)</f>
        <v>735000</v>
      </c>
      <c r="E2250" s="38" t="n">
        <f aca="false">VLOOKUP(A2250,Inputs!$A$40:$B$48,2,TRUE())</f>
        <v>0.0363225</v>
      </c>
      <c r="F2250" s="38" t="n">
        <f aca="false">E2250+Inputs!$B$10</f>
        <v>0.1038225</v>
      </c>
      <c r="G2250" s="37" t="n">
        <f aca="false">D2250*F2250/C2250</f>
        <v>208.496004098361</v>
      </c>
      <c r="H2250" s="37" t="n">
        <f aca="false">IF(AND(A2250&gt;=Inputs!$B$13,OR(A2250&lt;Inputs!$B$19,Inputs!$B$20=1)),D2250*Inputs!$B$11/C2250,0)</f>
        <v>40.1639344262295</v>
      </c>
      <c r="I2250" s="37" t="n">
        <f aca="false">Inputs!$C$9-SUMIFS(Cash_Events!$G$6:$G$20,Cash_Events!$C$6:$C$20,"FHL",Cash_Events!$B$6:$B$20,"&lt;="&amp;A2250)</f>
        <v>735000</v>
      </c>
      <c r="J2250" s="38" t="n">
        <f aca="false">VLOOKUP(A2250,Inputs!$F$40:$G$48,2,TRUE())</f>
        <v>0.0364054</v>
      </c>
      <c r="K2250" s="38" t="n">
        <f aca="false">J2250+Inputs!$C$10</f>
        <v>0.1039054</v>
      </c>
      <c r="L2250" s="37" t="n">
        <f aca="false">I2250*K2250/C2250</f>
        <v>208.662483606557</v>
      </c>
      <c r="M2250" s="37" t="n">
        <f aca="false">IF(AND(A2250&gt;=Inputs!$C$13,OR(A2250&lt;Inputs!$B$19,Inputs!$B$20=1)),I2250*Inputs!$C$11/C2250,0)</f>
        <v>40.1639344262295</v>
      </c>
    </row>
    <row r="2251" customFormat="false" ht="15" hidden="false" customHeight="false" outlineLevel="0" collapsed="false">
      <c r="A2251" s="35" t="n">
        <f aca="false">A2250+1</f>
        <v>47058</v>
      </c>
      <c r="B2251" s="35" t="n">
        <f aca="false">EOMONTH(A2251+1,0)</f>
        <v>47087</v>
      </c>
      <c r="C2251" s="36" t="n">
        <f aca="false">IF(MOD(YEAR(A2251),4)=0,366,365)</f>
        <v>366</v>
      </c>
      <c r="D2251" s="37" t="n">
        <f aca="false">Inputs!$B$9-SUMIFS(Cash_Events!$G$6:$G$20,Cash_Events!$C$6:$C$20,"rAGMF",Cash_Events!$B$6:$B$20,"&lt;="&amp;A2251)</f>
        <v>735000</v>
      </c>
      <c r="E2251" s="38" t="n">
        <f aca="false">VLOOKUP(A2251,Inputs!$A$40:$B$48,2,TRUE())</f>
        <v>0.0363225</v>
      </c>
      <c r="F2251" s="38" t="n">
        <f aca="false">E2251+Inputs!$B$10</f>
        <v>0.1038225</v>
      </c>
      <c r="G2251" s="37" t="n">
        <f aca="false">D2251*F2251/C2251</f>
        <v>208.496004098361</v>
      </c>
      <c r="H2251" s="37" t="n">
        <f aca="false">IF(AND(A2251&gt;=Inputs!$B$13,OR(A2251&lt;Inputs!$B$19,Inputs!$B$20=1)),D2251*Inputs!$B$11/C2251,0)</f>
        <v>40.1639344262295</v>
      </c>
      <c r="I2251" s="37" t="n">
        <f aca="false">Inputs!$C$9-SUMIFS(Cash_Events!$G$6:$G$20,Cash_Events!$C$6:$C$20,"FHL",Cash_Events!$B$6:$B$20,"&lt;="&amp;A2251)</f>
        <v>735000</v>
      </c>
      <c r="J2251" s="38" t="n">
        <f aca="false">VLOOKUP(A2251,Inputs!$F$40:$G$48,2,TRUE())</f>
        <v>0.0364054</v>
      </c>
      <c r="K2251" s="38" t="n">
        <f aca="false">J2251+Inputs!$C$10</f>
        <v>0.1039054</v>
      </c>
      <c r="L2251" s="37" t="n">
        <f aca="false">I2251*K2251/C2251</f>
        <v>208.662483606557</v>
      </c>
      <c r="M2251" s="37" t="n">
        <f aca="false">IF(AND(A2251&gt;=Inputs!$C$13,OR(A2251&lt;Inputs!$B$19,Inputs!$B$20=1)),I2251*Inputs!$C$11/C2251,0)</f>
        <v>40.1639344262295</v>
      </c>
    </row>
    <row r="2252" customFormat="false" ht="15" hidden="false" customHeight="false" outlineLevel="0" collapsed="false">
      <c r="A2252" s="35" t="n">
        <f aca="false">A2251+1</f>
        <v>47059</v>
      </c>
      <c r="B2252" s="35" t="n">
        <f aca="false">EOMONTH(A2252+1,0)</f>
        <v>47087</v>
      </c>
      <c r="C2252" s="36" t="n">
        <f aca="false">IF(MOD(YEAR(A2252),4)=0,366,365)</f>
        <v>366</v>
      </c>
      <c r="D2252" s="37" t="n">
        <f aca="false">Inputs!$B$9-SUMIFS(Cash_Events!$G$6:$G$20,Cash_Events!$C$6:$C$20,"rAGMF",Cash_Events!$B$6:$B$20,"&lt;="&amp;A2252)</f>
        <v>735000</v>
      </c>
      <c r="E2252" s="38" t="n">
        <f aca="false">VLOOKUP(A2252,Inputs!$A$40:$B$48,2,TRUE())</f>
        <v>0.0363225</v>
      </c>
      <c r="F2252" s="38" t="n">
        <f aca="false">E2252+Inputs!$B$10</f>
        <v>0.1038225</v>
      </c>
      <c r="G2252" s="37" t="n">
        <f aca="false">D2252*F2252/C2252</f>
        <v>208.496004098361</v>
      </c>
      <c r="H2252" s="37" t="n">
        <f aca="false">IF(AND(A2252&gt;=Inputs!$B$13,OR(A2252&lt;Inputs!$B$19,Inputs!$B$20=1)),D2252*Inputs!$B$11/C2252,0)</f>
        <v>40.1639344262295</v>
      </c>
      <c r="I2252" s="37" t="n">
        <f aca="false">Inputs!$C$9-SUMIFS(Cash_Events!$G$6:$G$20,Cash_Events!$C$6:$C$20,"FHL",Cash_Events!$B$6:$B$20,"&lt;="&amp;A2252)</f>
        <v>735000</v>
      </c>
      <c r="J2252" s="38" t="n">
        <f aca="false">VLOOKUP(A2252,Inputs!$F$40:$G$48,2,TRUE())</f>
        <v>0.0364054</v>
      </c>
      <c r="K2252" s="38" t="n">
        <f aca="false">J2252+Inputs!$C$10</f>
        <v>0.1039054</v>
      </c>
      <c r="L2252" s="37" t="n">
        <f aca="false">I2252*K2252/C2252</f>
        <v>208.662483606557</v>
      </c>
      <c r="M2252" s="37" t="n">
        <f aca="false">IF(AND(A2252&gt;=Inputs!$C$13,OR(A2252&lt;Inputs!$B$19,Inputs!$B$20=1)),I2252*Inputs!$C$11/C2252,0)</f>
        <v>40.1639344262295</v>
      </c>
    </row>
    <row r="2253" customFormat="false" ht="15" hidden="false" customHeight="false" outlineLevel="0" collapsed="false">
      <c r="A2253" s="35" t="n">
        <f aca="false">A2252+1</f>
        <v>47060</v>
      </c>
      <c r="B2253" s="35" t="n">
        <f aca="false">EOMONTH(A2253+1,0)</f>
        <v>47087</v>
      </c>
      <c r="C2253" s="36" t="n">
        <f aca="false">IF(MOD(YEAR(A2253),4)=0,366,365)</f>
        <v>366</v>
      </c>
      <c r="D2253" s="37" t="n">
        <f aca="false">Inputs!$B$9-SUMIFS(Cash_Events!$G$6:$G$20,Cash_Events!$C$6:$C$20,"rAGMF",Cash_Events!$B$6:$B$20,"&lt;="&amp;A2253)</f>
        <v>735000</v>
      </c>
      <c r="E2253" s="38" t="n">
        <f aca="false">VLOOKUP(A2253,Inputs!$A$40:$B$48,2,TRUE())</f>
        <v>0.0363225</v>
      </c>
      <c r="F2253" s="38" t="n">
        <f aca="false">E2253+Inputs!$B$10</f>
        <v>0.1038225</v>
      </c>
      <c r="G2253" s="37" t="n">
        <f aca="false">D2253*F2253/C2253</f>
        <v>208.496004098361</v>
      </c>
      <c r="H2253" s="37" t="n">
        <f aca="false">IF(AND(A2253&gt;=Inputs!$B$13,OR(A2253&lt;Inputs!$B$19,Inputs!$B$20=1)),D2253*Inputs!$B$11/C2253,0)</f>
        <v>40.1639344262295</v>
      </c>
      <c r="I2253" s="37" t="n">
        <f aca="false">Inputs!$C$9-SUMIFS(Cash_Events!$G$6:$G$20,Cash_Events!$C$6:$C$20,"FHL",Cash_Events!$B$6:$B$20,"&lt;="&amp;A2253)</f>
        <v>735000</v>
      </c>
      <c r="J2253" s="38" t="n">
        <f aca="false">VLOOKUP(A2253,Inputs!$F$40:$G$48,2,TRUE())</f>
        <v>0.0364054</v>
      </c>
      <c r="K2253" s="38" t="n">
        <f aca="false">J2253+Inputs!$C$10</f>
        <v>0.1039054</v>
      </c>
      <c r="L2253" s="37" t="n">
        <f aca="false">I2253*K2253/C2253</f>
        <v>208.662483606557</v>
      </c>
      <c r="M2253" s="37" t="n">
        <f aca="false">IF(AND(A2253&gt;=Inputs!$C$13,OR(A2253&lt;Inputs!$B$19,Inputs!$B$20=1)),I2253*Inputs!$C$11/C2253,0)</f>
        <v>40.1639344262295</v>
      </c>
    </row>
    <row r="2254" customFormat="false" ht="15" hidden="false" customHeight="false" outlineLevel="0" collapsed="false">
      <c r="A2254" s="35" t="n">
        <f aca="false">A2253+1</f>
        <v>47061</v>
      </c>
      <c r="B2254" s="35" t="n">
        <f aca="false">EOMONTH(A2254+1,0)</f>
        <v>47087</v>
      </c>
      <c r="C2254" s="36" t="n">
        <f aca="false">IF(MOD(YEAR(A2254),4)=0,366,365)</f>
        <v>366</v>
      </c>
      <c r="D2254" s="37" t="n">
        <f aca="false">Inputs!$B$9-SUMIFS(Cash_Events!$G$6:$G$20,Cash_Events!$C$6:$C$20,"rAGMF",Cash_Events!$B$6:$B$20,"&lt;="&amp;A2254)</f>
        <v>735000</v>
      </c>
      <c r="E2254" s="38" t="n">
        <f aca="false">VLOOKUP(A2254,Inputs!$A$40:$B$48,2,TRUE())</f>
        <v>0.0363225</v>
      </c>
      <c r="F2254" s="38" t="n">
        <f aca="false">E2254+Inputs!$B$10</f>
        <v>0.1038225</v>
      </c>
      <c r="G2254" s="37" t="n">
        <f aca="false">D2254*F2254/C2254</f>
        <v>208.496004098361</v>
      </c>
      <c r="H2254" s="37" t="n">
        <f aca="false">IF(AND(A2254&gt;=Inputs!$B$13,OR(A2254&lt;Inputs!$B$19,Inputs!$B$20=1)),D2254*Inputs!$B$11/C2254,0)</f>
        <v>40.1639344262295</v>
      </c>
      <c r="I2254" s="37" t="n">
        <f aca="false">Inputs!$C$9-SUMIFS(Cash_Events!$G$6:$G$20,Cash_Events!$C$6:$C$20,"FHL",Cash_Events!$B$6:$B$20,"&lt;="&amp;A2254)</f>
        <v>735000</v>
      </c>
      <c r="J2254" s="38" t="n">
        <f aca="false">VLOOKUP(A2254,Inputs!$F$40:$G$48,2,TRUE())</f>
        <v>0.0364054</v>
      </c>
      <c r="K2254" s="38" t="n">
        <f aca="false">J2254+Inputs!$C$10</f>
        <v>0.1039054</v>
      </c>
      <c r="L2254" s="37" t="n">
        <f aca="false">I2254*K2254/C2254</f>
        <v>208.662483606557</v>
      </c>
      <c r="M2254" s="37" t="n">
        <f aca="false">IF(AND(A2254&gt;=Inputs!$C$13,OR(A2254&lt;Inputs!$B$19,Inputs!$B$20=1)),I2254*Inputs!$C$11/C2254,0)</f>
        <v>40.1639344262295</v>
      </c>
    </row>
    <row r="2255" customFormat="false" ht="15" hidden="false" customHeight="false" outlineLevel="0" collapsed="false">
      <c r="A2255" s="35" t="n">
        <f aca="false">A2254+1</f>
        <v>47062</v>
      </c>
      <c r="B2255" s="35" t="n">
        <f aca="false">EOMONTH(A2255+1,0)</f>
        <v>47087</v>
      </c>
      <c r="C2255" s="36" t="n">
        <f aca="false">IF(MOD(YEAR(A2255),4)=0,366,365)</f>
        <v>366</v>
      </c>
      <c r="D2255" s="37" t="n">
        <f aca="false">Inputs!$B$9-SUMIFS(Cash_Events!$G$6:$G$20,Cash_Events!$C$6:$C$20,"rAGMF",Cash_Events!$B$6:$B$20,"&lt;="&amp;A2255)</f>
        <v>735000</v>
      </c>
      <c r="E2255" s="38" t="n">
        <f aca="false">VLOOKUP(A2255,Inputs!$A$40:$B$48,2,TRUE())</f>
        <v>0.0363225</v>
      </c>
      <c r="F2255" s="38" t="n">
        <f aca="false">E2255+Inputs!$B$10</f>
        <v>0.1038225</v>
      </c>
      <c r="G2255" s="37" t="n">
        <f aca="false">D2255*F2255/C2255</f>
        <v>208.496004098361</v>
      </c>
      <c r="H2255" s="37" t="n">
        <f aca="false">IF(AND(A2255&gt;=Inputs!$B$13,OR(A2255&lt;Inputs!$B$19,Inputs!$B$20=1)),D2255*Inputs!$B$11/C2255,0)</f>
        <v>40.1639344262295</v>
      </c>
      <c r="I2255" s="37" t="n">
        <f aca="false">Inputs!$C$9-SUMIFS(Cash_Events!$G$6:$G$20,Cash_Events!$C$6:$C$20,"FHL",Cash_Events!$B$6:$B$20,"&lt;="&amp;A2255)</f>
        <v>735000</v>
      </c>
      <c r="J2255" s="38" t="n">
        <f aca="false">VLOOKUP(A2255,Inputs!$F$40:$G$48,2,TRUE())</f>
        <v>0.0364054</v>
      </c>
      <c r="K2255" s="38" t="n">
        <f aca="false">J2255+Inputs!$C$10</f>
        <v>0.1039054</v>
      </c>
      <c r="L2255" s="37" t="n">
        <f aca="false">I2255*K2255/C2255</f>
        <v>208.662483606557</v>
      </c>
      <c r="M2255" s="37" t="n">
        <f aca="false">IF(AND(A2255&gt;=Inputs!$C$13,OR(A2255&lt;Inputs!$B$19,Inputs!$B$20=1)),I2255*Inputs!$C$11/C2255,0)</f>
        <v>40.1639344262295</v>
      </c>
    </row>
    <row r="2256" customFormat="false" ht="15" hidden="false" customHeight="false" outlineLevel="0" collapsed="false">
      <c r="A2256" s="35" t="n">
        <f aca="false">A2255+1</f>
        <v>47063</v>
      </c>
      <c r="B2256" s="35" t="n">
        <f aca="false">EOMONTH(A2256+1,0)</f>
        <v>47087</v>
      </c>
      <c r="C2256" s="36" t="n">
        <f aca="false">IF(MOD(YEAR(A2256),4)=0,366,365)</f>
        <v>366</v>
      </c>
      <c r="D2256" s="37" t="n">
        <f aca="false">Inputs!$B$9-SUMIFS(Cash_Events!$G$6:$G$20,Cash_Events!$C$6:$C$20,"rAGMF",Cash_Events!$B$6:$B$20,"&lt;="&amp;A2256)</f>
        <v>735000</v>
      </c>
      <c r="E2256" s="38" t="n">
        <f aca="false">VLOOKUP(A2256,Inputs!$A$40:$B$48,2,TRUE())</f>
        <v>0.0363225</v>
      </c>
      <c r="F2256" s="38" t="n">
        <f aca="false">E2256+Inputs!$B$10</f>
        <v>0.1038225</v>
      </c>
      <c r="G2256" s="37" t="n">
        <f aca="false">D2256*F2256/C2256</f>
        <v>208.496004098361</v>
      </c>
      <c r="H2256" s="37" t="n">
        <f aca="false">IF(AND(A2256&gt;=Inputs!$B$13,OR(A2256&lt;Inputs!$B$19,Inputs!$B$20=1)),D2256*Inputs!$B$11/C2256,0)</f>
        <v>40.1639344262295</v>
      </c>
      <c r="I2256" s="37" t="n">
        <f aca="false">Inputs!$C$9-SUMIFS(Cash_Events!$G$6:$G$20,Cash_Events!$C$6:$C$20,"FHL",Cash_Events!$B$6:$B$20,"&lt;="&amp;A2256)</f>
        <v>735000</v>
      </c>
      <c r="J2256" s="38" t="n">
        <f aca="false">VLOOKUP(A2256,Inputs!$F$40:$G$48,2,TRUE())</f>
        <v>0.0364054</v>
      </c>
      <c r="K2256" s="38" t="n">
        <f aca="false">J2256+Inputs!$C$10</f>
        <v>0.1039054</v>
      </c>
      <c r="L2256" s="37" t="n">
        <f aca="false">I2256*K2256/C2256</f>
        <v>208.662483606557</v>
      </c>
      <c r="M2256" s="37" t="n">
        <f aca="false">IF(AND(A2256&gt;=Inputs!$C$13,OR(A2256&lt;Inputs!$B$19,Inputs!$B$20=1)),I2256*Inputs!$C$11/C2256,0)</f>
        <v>40.1639344262295</v>
      </c>
    </row>
    <row r="2257" customFormat="false" ht="15" hidden="false" customHeight="false" outlineLevel="0" collapsed="false">
      <c r="A2257" s="35" t="n">
        <f aca="false">A2256+1</f>
        <v>47064</v>
      </c>
      <c r="B2257" s="35" t="n">
        <f aca="false">EOMONTH(A2257+1,0)</f>
        <v>47087</v>
      </c>
      <c r="C2257" s="36" t="n">
        <f aca="false">IF(MOD(YEAR(A2257),4)=0,366,365)</f>
        <v>366</v>
      </c>
      <c r="D2257" s="37" t="n">
        <f aca="false">Inputs!$B$9-SUMIFS(Cash_Events!$G$6:$G$20,Cash_Events!$C$6:$C$20,"rAGMF",Cash_Events!$B$6:$B$20,"&lt;="&amp;A2257)</f>
        <v>735000</v>
      </c>
      <c r="E2257" s="38" t="n">
        <f aca="false">VLOOKUP(A2257,Inputs!$A$40:$B$48,2,TRUE())</f>
        <v>0.0363225</v>
      </c>
      <c r="F2257" s="38" t="n">
        <f aca="false">E2257+Inputs!$B$10</f>
        <v>0.1038225</v>
      </c>
      <c r="G2257" s="37" t="n">
        <f aca="false">D2257*F2257/C2257</f>
        <v>208.496004098361</v>
      </c>
      <c r="H2257" s="37" t="n">
        <f aca="false">IF(AND(A2257&gt;=Inputs!$B$13,OR(A2257&lt;Inputs!$B$19,Inputs!$B$20=1)),D2257*Inputs!$B$11/C2257,0)</f>
        <v>40.1639344262295</v>
      </c>
      <c r="I2257" s="37" t="n">
        <f aca="false">Inputs!$C$9-SUMIFS(Cash_Events!$G$6:$G$20,Cash_Events!$C$6:$C$20,"FHL",Cash_Events!$B$6:$B$20,"&lt;="&amp;A2257)</f>
        <v>735000</v>
      </c>
      <c r="J2257" s="38" t="n">
        <f aca="false">VLOOKUP(A2257,Inputs!$F$40:$G$48,2,TRUE())</f>
        <v>0.0364054</v>
      </c>
      <c r="K2257" s="38" t="n">
        <f aca="false">J2257+Inputs!$C$10</f>
        <v>0.1039054</v>
      </c>
      <c r="L2257" s="37" t="n">
        <f aca="false">I2257*K2257/C2257</f>
        <v>208.662483606557</v>
      </c>
      <c r="M2257" s="37" t="n">
        <f aca="false">IF(AND(A2257&gt;=Inputs!$C$13,OR(A2257&lt;Inputs!$B$19,Inputs!$B$20=1)),I2257*Inputs!$C$11/C2257,0)</f>
        <v>40.1639344262295</v>
      </c>
    </row>
    <row r="2258" customFormat="false" ht="15" hidden="false" customHeight="false" outlineLevel="0" collapsed="false">
      <c r="A2258" s="35" t="n">
        <f aca="false">A2257+1</f>
        <v>47065</v>
      </c>
      <c r="B2258" s="35" t="n">
        <f aca="false">EOMONTH(A2258+1,0)</f>
        <v>47087</v>
      </c>
      <c r="C2258" s="36" t="n">
        <f aca="false">IF(MOD(YEAR(A2258),4)=0,366,365)</f>
        <v>366</v>
      </c>
      <c r="D2258" s="37" t="n">
        <f aca="false">Inputs!$B$9-SUMIFS(Cash_Events!$G$6:$G$20,Cash_Events!$C$6:$C$20,"rAGMF",Cash_Events!$B$6:$B$20,"&lt;="&amp;A2258)</f>
        <v>735000</v>
      </c>
      <c r="E2258" s="38" t="n">
        <f aca="false">VLOOKUP(A2258,Inputs!$A$40:$B$48,2,TRUE())</f>
        <v>0.0363225</v>
      </c>
      <c r="F2258" s="38" t="n">
        <f aca="false">E2258+Inputs!$B$10</f>
        <v>0.1038225</v>
      </c>
      <c r="G2258" s="37" t="n">
        <f aca="false">D2258*F2258/C2258</f>
        <v>208.496004098361</v>
      </c>
      <c r="H2258" s="37" t="n">
        <f aca="false">IF(AND(A2258&gt;=Inputs!$B$13,OR(A2258&lt;Inputs!$B$19,Inputs!$B$20=1)),D2258*Inputs!$B$11/C2258,0)</f>
        <v>40.1639344262295</v>
      </c>
      <c r="I2258" s="37" t="n">
        <f aca="false">Inputs!$C$9-SUMIFS(Cash_Events!$G$6:$G$20,Cash_Events!$C$6:$C$20,"FHL",Cash_Events!$B$6:$B$20,"&lt;="&amp;A2258)</f>
        <v>735000</v>
      </c>
      <c r="J2258" s="38" t="n">
        <f aca="false">VLOOKUP(A2258,Inputs!$F$40:$G$48,2,TRUE())</f>
        <v>0.0364054</v>
      </c>
      <c r="K2258" s="38" t="n">
        <f aca="false">J2258+Inputs!$C$10</f>
        <v>0.1039054</v>
      </c>
      <c r="L2258" s="37" t="n">
        <f aca="false">I2258*K2258/C2258</f>
        <v>208.662483606557</v>
      </c>
      <c r="M2258" s="37" t="n">
        <f aca="false">IF(AND(A2258&gt;=Inputs!$C$13,OR(A2258&lt;Inputs!$B$19,Inputs!$B$20=1)),I2258*Inputs!$C$11/C2258,0)</f>
        <v>40.1639344262295</v>
      </c>
    </row>
    <row r="2259" customFormat="false" ht="15" hidden="false" customHeight="false" outlineLevel="0" collapsed="false">
      <c r="A2259" s="35" t="n">
        <f aca="false">A2258+1</f>
        <v>47066</v>
      </c>
      <c r="B2259" s="35" t="n">
        <f aca="false">EOMONTH(A2259+1,0)</f>
        <v>47087</v>
      </c>
      <c r="C2259" s="36" t="n">
        <f aca="false">IF(MOD(YEAR(A2259),4)=0,366,365)</f>
        <v>366</v>
      </c>
      <c r="D2259" s="37" t="n">
        <f aca="false">Inputs!$B$9-SUMIFS(Cash_Events!$G$6:$G$20,Cash_Events!$C$6:$C$20,"rAGMF",Cash_Events!$B$6:$B$20,"&lt;="&amp;A2259)</f>
        <v>735000</v>
      </c>
      <c r="E2259" s="38" t="n">
        <f aca="false">VLOOKUP(A2259,Inputs!$A$40:$B$48,2,TRUE())</f>
        <v>0.0363225</v>
      </c>
      <c r="F2259" s="38" t="n">
        <f aca="false">E2259+Inputs!$B$10</f>
        <v>0.1038225</v>
      </c>
      <c r="G2259" s="37" t="n">
        <f aca="false">D2259*F2259/C2259</f>
        <v>208.496004098361</v>
      </c>
      <c r="H2259" s="37" t="n">
        <f aca="false">IF(AND(A2259&gt;=Inputs!$B$13,OR(A2259&lt;Inputs!$B$19,Inputs!$B$20=1)),D2259*Inputs!$B$11/C2259,0)</f>
        <v>40.1639344262295</v>
      </c>
      <c r="I2259" s="37" t="n">
        <f aca="false">Inputs!$C$9-SUMIFS(Cash_Events!$G$6:$G$20,Cash_Events!$C$6:$C$20,"FHL",Cash_Events!$B$6:$B$20,"&lt;="&amp;A2259)</f>
        <v>735000</v>
      </c>
      <c r="J2259" s="38" t="n">
        <f aca="false">VLOOKUP(A2259,Inputs!$F$40:$G$48,2,TRUE())</f>
        <v>0.0364054</v>
      </c>
      <c r="K2259" s="38" t="n">
        <f aca="false">J2259+Inputs!$C$10</f>
        <v>0.1039054</v>
      </c>
      <c r="L2259" s="37" t="n">
        <f aca="false">I2259*K2259/C2259</f>
        <v>208.662483606557</v>
      </c>
      <c r="M2259" s="37" t="n">
        <f aca="false">IF(AND(A2259&gt;=Inputs!$C$13,OR(A2259&lt;Inputs!$B$19,Inputs!$B$20=1)),I2259*Inputs!$C$11/C2259,0)</f>
        <v>40.1639344262295</v>
      </c>
    </row>
    <row r="2260" customFormat="false" ht="15" hidden="false" customHeight="false" outlineLevel="0" collapsed="false">
      <c r="A2260" s="35" t="n">
        <f aca="false">A2259+1</f>
        <v>47067</v>
      </c>
      <c r="B2260" s="35" t="n">
        <f aca="false">EOMONTH(A2260+1,0)</f>
        <v>47087</v>
      </c>
      <c r="C2260" s="36" t="n">
        <f aca="false">IF(MOD(YEAR(A2260),4)=0,366,365)</f>
        <v>366</v>
      </c>
      <c r="D2260" s="37" t="n">
        <f aca="false">Inputs!$B$9-SUMIFS(Cash_Events!$G$6:$G$20,Cash_Events!$C$6:$C$20,"rAGMF",Cash_Events!$B$6:$B$20,"&lt;="&amp;A2260)</f>
        <v>735000</v>
      </c>
      <c r="E2260" s="38" t="n">
        <f aca="false">VLOOKUP(A2260,Inputs!$A$40:$B$48,2,TRUE())</f>
        <v>0.0363225</v>
      </c>
      <c r="F2260" s="38" t="n">
        <f aca="false">E2260+Inputs!$B$10</f>
        <v>0.1038225</v>
      </c>
      <c r="G2260" s="37" t="n">
        <f aca="false">D2260*F2260/C2260</f>
        <v>208.496004098361</v>
      </c>
      <c r="H2260" s="37" t="n">
        <f aca="false">IF(AND(A2260&gt;=Inputs!$B$13,OR(A2260&lt;Inputs!$B$19,Inputs!$B$20=1)),D2260*Inputs!$B$11/C2260,0)</f>
        <v>40.1639344262295</v>
      </c>
      <c r="I2260" s="37" t="n">
        <f aca="false">Inputs!$C$9-SUMIFS(Cash_Events!$G$6:$G$20,Cash_Events!$C$6:$C$20,"FHL",Cash_Events!$B$6:$B$20,"&lt;="&amp;A2260)</f>
        <v>735000</v>
      </c>
      <c r="J2260" s="38" t="n">
        <f aca="false">VLOOKUP(A2260,Inputs!$F$40:$G$48,2,TRUE())</f>
        <v>0.0364054</v>
      </c>
      <c r="K2260" s="38" t="n">
        <f aca="false">J2260+Inputs!$C$10</f>
        <v>0.1039054</v>
      </c>
      <c r="L2260" s="37" t="n">
        <f aca="false">I2260*K2260/C2260</f>
        <v>208.662483606557</v>
      </c>
      <c r="M2260" s="37" t="n">
        <f aca="false">IF(AND(A2260&gt;=Inputs!$C$13,OR(A2260&lt;Inputs!$B$19,Inputs!$B$20=1)),I2260*Inputs!$C$11/C2260,0)</f>
        <v>40.1639344262295</v>
      </c>
    </row>
    <row r="2261" customFormat="false" ht="15" hidden="false" customHeight="false" outlineLevel="0" collapsed="false">
      <c r="A2261" s="35" t="n">
        <f aca="false">A2260+1</f>
        <v>47068</v>
      </c>
      <c r="B2261" s="35" t="n">
        <f aca="false">EOMONTH(A2261+1,0)</f>
        <v>47087</v>
      </c>
      <c r="C2261" s="36" t="n">
        <f aca="false">IF(MOD(YEAR(A2261),4)=0,366,365)</f>
        <v>366</v>
      </c>
      <c r="D2261" s="37" t="n">
        <f aca="false">Inputs!$B$9-SUMIFS(Cash_Events!$G$6:$G$20,Cash_Events!$C$6:$C$20,"rAGMF",Cash_Events!$B$6:$B$20,"&lt;="&amp;A2261)</f>
        <v>735000</v>
      </c>
      <c r="E2261" s="38" t="n">
        <f aca="false">VLOOKUP(A2261,Inputs!$A$40:$B$48,2,TRUE())</f>
        <v>0.0363225</v>
      </c>
      <c r="F2261" s="38" t="n">
        <f aca="false">E2261+Inputs!$B$10</f>
        <v>0.1038225</v>
      </c>
      <c r="G2261" s="37" t="n">
        <f aca="false">D2261*F2261/C2261</f>
        <v>208.496004098361</v>
      </c>
      <c r="H2261" s="37" t="n">
        <f aca="false">IF(AND(A2261&gt;=Inputs!$B$13,OR(A2261&lt;Inputs!$B$19,Inputs!$B$20=1)),D2261*Inputs!$B$11/C2261,0)</f>
        <v>40.1639344262295</v>
      </c>
      <c r="I2261" s="37" t="n">
        <f aca="false">Inputs!$C$9-SUMIFS(Cash_Events!$G$6:$G$20,Cash_Events!$C$6:$C$20,"FHL",Cash_Events!$B$6:$B$20,"&lt;="&amp;A2261)</f>
        <v>735000</v>
      </c>
      <c r="J2261" s="38" t="n">
        <f aca="false">VLOOKUP(A2261,Inputs!$F$40:$G$48,2,TRUE())</f>
        <v>0.0364054</v>
      </c>
      <c r="K2261" s="38" t="n">
        <f aca="false">J2261+Inputs!$C$10</f>
        <v>0.1039054</v>
      </c>
      <c r="L2261" s="37" t="n">
        <f aca="false">I2261*K2261/C2261</f>
        <v>208.662483606557</v>
      </c>
      <c r="M2261" s="37" t="n">
        <f aca="false">IF(AND(A2261&gt;=Inputs!$C$13,OR(A2261&lt;Inputs!$B$19,Inputs!$B$20=1)),I2261*Inputs!$C$11/C2261,0)</f>
        <v>40.1639344262295</v>
      </c>
    </row>
    <row r="2262" customFormat="false" ht="15" hidden="false" customHeight="false" outlineLevel="0" collapsed="false">
      <c r="A2262" s="35" t="n">
        <f aca="false">A2261+1</f>
        <v>47069</v>
      </c>
      <c r="B2262" s="35" t="n">
        <f aca="false">EOMONTH(A2262+1,0)</f>
        <v>47087</v>
      </c>
      <c r="C2262" s="36" t="n">
        <f aca="false">IF(MOD(YEAR(A2262),4)=0,366,365)</f>
        <v>366</v>
      </c>
      <c r="D2262" s="37" t="n">
        <f aca="false">Inputs!$B$9-SUMIFS(Cash_Events!$G$6:$G$20,Cash_Events!$C$6:$C$20,"rAGMF",Cash_Events!$B$6:$B$20,"&lt;="&amp;A2262)</f>
        <v>735000</v>
      </c>
      <c r="E2262" s="38" t="n">
        <f aca="false">VLOOKUP(A2262,Inputs!$A$40:$B$48,2,TRUE())</f>
        <v>0.0363225</v>
      </c>
      <c r="F2262" s="38" t="n">
        <f aca="false">E2262+Inputs!$B$10</f>
        <v>0.1038225</v>
      </c>
      <c r="G2262" s="37" t="n">
        <f aca="false">D2262*F2262/C2262</f>
        <v>208.496004098361</v>
      </c>
      <c r="H2262" s="37" t="n">
        <f aca="false">IF(AND(A2262&gt;=Inputs!$B$13,OR(A2262&lt;Inputs!$B$19,Inputs!$B$20=1)),D2262*Inputs!$B$11/C2262,0)</f>
        <v>40.1639344262295</v>
      </c>
      <c r="I2262" s="37" t="n">
        <f aca="false">Inputs!$C$9-SUMIFS(Cash_Events!$G$6:$G$20,Cash_Events!$C$6:$C$20,"FHL",Cash_Events!$B$6:$B$20,"&lt;="&amp;A2262)</f>
        <v>735000</v>
      </c>
      <c r="J2262" s="38" t="n">
        <f aca="false">VLOOKUP(A2262,Inputs!$F$40:$G$48,2,TRUE())</f>
        <v>0.0364054</v>
      </c>
      <c r="K2262" s="38" t="n">
        <f aca="false">J2262+Inputs!$C$10</f>
        <v>0.1039054</v>
      </c>
      <c r="L2262" s="37" t="n">
        <f aca="false">I2262*K2262/C2262</f>
        <v>208.662483606557</v>
      </c>
      <c r="M2262" s="37" t="n">
        <f aca="false">IF(AND(A2262&gt;=Inputs!$C$13,OR(A2262&lt;Inputs!$B$19,Inputs!$B$20=1)),I2262*Inputs!$C$11/C2262,0)</f>
        <v>40.1639344262295</v>
      </c>
    </row>
    <row r="2263" customFormat="false" ht="15" hidden="false" customHeight="false" outlineLevel="0" collapsed="false">
      <c r="A2263" s="35" t="n">
        <f aca="false">A2262+1</f>
        <v>47070</v>
      </c>
      <c r="B2263" s="35" t="n">
        <f aca="false">EOMONTH(A2263+1,0)</f>
        <v>47087</v>
      </c>
      <c r="C2263" s="36" t="n">
        <f aca="false">IF(MOD(YEAR(A2263),4)=0,366,365)</f>
        <v>366</v>
      </c>
      <c r="D2263" s="37" t="n">
        <f aca="false">Inputs!$B$9-SUMIFS(Cash_Events!$G$6:$G$20,Cash_Events!$C$6:$C$20,"rAGMF",Cash_Events!$B$6:$B$20,"&lt;="&amp;A2263)</f>
        <v>735000</v>
      </c>
      <c r="E2263" s="38" t="n">
        <f aca="false">VLOOKUP(A2263,Inputs!$A$40:$B$48,2,TRUE())</f>
        <v>0.0363225</v>
      </c>
      <c r="F2263" s="38" t="n">
        <f aca="false">E2263+Inputs!$B$10</f>
        <v>0.1038225</v>
      </c>
      <c r="G2263" s="37" t="n">
        <f aca="false">D2263*F2263/C2263</f>
        <v>208.496004098361</v>
      </c>
      <c r="H2263" s="37" t="n">
        <f aca="false">IF(AND(A2263&gt;=Inputs!$B$13,OR(A2263&lt;Inputs!$B$19,Inputs!$B$20=1)),D2263*Inputs!$B$11/C2263,0)</f>
        <v>40.1639344262295</v>
      </c>
      <c r="I2263" s="37" t="n">
        <f aca="false">Inputs!$C$9-SUMIFS(Cash_Events!$G$6:$G$20,Cash_Events!$C$6:$C$20,"FHL",Cash_Events!$B$6:$B$20,"&lt;="&amp;A2263)</f>
        <v>735000</v>
      </c>
      <c r="J2263" s="38" t="n">
        <f aca="false">VLOOKUP(A2263,Inputs!$F$40:$G$48,2,TRUE())</f>
        <v>0.0364054</v>
      </c>
      <c r="K2263" s="38" t="n">
        <f aca="false">J2263+Inputs!$C$10</f>
        <v>0.1039054</v>
      </c>
      <c r="L2263" s="37" t="n">
        <f aca="false">I2263*K2263/C2263</f>
        <v>208.662483606557</v>
      </c>
      <c r="M2263" s="37" t="n">
        <f aca="false">IF(AND(A2263&gt;=Inputs!$C$13,OR(A2263&lt;Inputs!$B$19,Inputs!$B$20=1)),I2263*Inputs!$C$11/C2263,0)</f>
        <v>40.1639344262295</v>
      </c>
    </row>
    <row r="2264" customFormat="false" ht="15" hidden="false" customHeight="false" outlineLevel="0" collapsed="false">
      <c r="A2264" s="35" t="n">
        <f aca="false">A2263+1</f>
        <v>47071</v>
      </c>
      <c r="B2264" s="35" t="n">
        <f aca="false">EOMONTH(A2264+1,0)</f>
        <v>47087</v>
      </c>
      <c r="C2264" s="36" t="n">
        <f aca="false">IF(MOD(YEAR(A2264),4)=0,366,365)</f>
        <v>366</v>
      </c>
      <c r="D2264" s="37" t="n">
        <f aca="false">Inputs!$B$9-SUMIFS(Cash_Events!$G$6:$G$20,Cash_Events!$C$6:$C$20,"rAGMF",Cash_Events!$B$6:$B$20,"&lt;="&amp;A2264)</f>
        <v>735000</v>
      </c>
      <c r="E2264" s="38" t="n">
        <f aca="false">VLOOKUP(A2264,Inputs!$A$40:$B$48,2,TRUE())</f>
        <v>0.0363225</v>
      </c>
      <c r="F2264" s="38" t="n">
        <f aca="false">E2264+Inputs!$B$10</f>
        <v>0.1038225</v>
      </c>
      <c r="G2264" s="37" t="n">
        <f aca="false">D2264*F2264/C2264</f>
        <v>208.496004098361</v>
      </c>
      <c r="H2264" s="37" t="n">
        <f aca="false">IF(AND(A2264&gt;=Inputs!$B$13,OR(A2264&lt;Inputs!$B$19,Inputs!$B$20=1)),D2264*Inputs!$B$11/C2264,0)</f>
        <v>40.1639344262295</v>
      </c>
      <c r="I2264" s="37" t="n">
        <f aca="false">Inputs!$C$9-SUMIFS(Cash_Events!$G$6:$G$20,Cash_Events!$C$6:$C$20,"FHL",Cash_Events!$B$6:$B$20,"&lt;="&amp;A2264)</f>
        <v>735000</v>
      </c>
      <c r="J2264" s="38" t="n">
        <f aca="false">VLOOKUP(A2264,Inputs!$F$40:$G$48,2,TRUE())</f>
        <v>0.0364054</v>
      </c>
      <c r="K2264" s="38" t="n">
        <f aca="false">J2264+Inputs!$C$10</f>
        <v>0.1039054</v>
      </c>
      <c r="L2264" s="37" t="n">
        <f aca="false">I2264*K2264/C2264</f>
        <v>208.662483606557</v>
      </c>
      <c r="M2264" s="37" t="n">
        <f aca="false">IF(AND(A2264&gt;=Inputs!$C$13,OR(A2264&lt;Inputs!$B$19,Inputs!$B$20=1)),I2264*Inputs!$C$11/C2264,0)</f>
        <v>40.1639344262295</v>
      </c>
    </row>
    <row r="2265" customFormat="false" ht="15" hidden="false" customHeight="false" outlineLevel="0" collapsed="false">
      <c r="A2265" s="35" t="n">
        <f aca="false">A2264+1</f>
        <v>47072</v>
      </c>
      <c r="B2265" s="35" t="n">
        <f aca="false">EOMONTH(A2265+1,0)</f>
        <v>47087</v>
      </c>
      <c r="C2265" s="36" t="n">
        <f aca="false">IF(MOD(YEAR(A2265),4)=0,366,365)</f>
        <v>366</v>
      </c>
      <c r="D2265" s="37" t="n">
        <f aca="false">Inputs!$B$9-SUMIFS(Cash_Events!$G$6:$G$20,Cash_Events!$C$6:$C$20,"rAGMF",Cash_Events!$B$6:$B$20,"&lt;="&amp;A2265)</f>
        <v>735000</v>
      </c>
      <c r="E2265" s="38" t="n">
        <f aca="false">VLOOKUP(A2265,Inputs!$A$40:$B$48,2,TRUE())</f>
        <v>0.0363225</v>
      </c>
      <c r="F2265" s="38" t="n">
        <f aca="false">E2265+Inputs!$B$10</f>
        <v>0.1038225</v>
      </c>
      <c r="G2265" s="37" t="n">
        <f aca="false">D2265*F2265/C2265</f>
        <v>208.496004098361</v>
      </c>
      <c r="H2265" s="37" t="n">
        <f aca="false">IF(AND(A2265&gt;=Inputs!$B$13,OR(A2265&lt;Inputs!$B$19,Inputs!$B$20=1)),D2265*Inputs!$B$11/C2265,0)</f>
        <v>40.1639344262295</v>
      </c>
      <c r="I2265" s="37" t="n">
        <f aca="false">Inputs!$C$9-SUMIFS(Cash_Events!$G$6:$G$20,Cash_Events!$C$6:$C$20,"FHL",Cash_Events!$B$6:$B$20,"&lt;="&amp;A2265)</f>
        <v>735000</v>
      </c>
      <c r="J2265" s="38" t="n">
        <f aca="false">VLOOKUP(A2265,Inputs!$F$40:$G$48,2,TRUE())</f>
        <v>0.0364054</v>
      </c>
      <c r="K2265" s="38" t="n">
        <f aca="false">J2265+Inputs!$C$10</f>
        <v>0.1039054</v>
      </c>
      <c r="L2265" s="37" t="n">
        <f aca="false">I2265*K2265/C2265</f>
        <v>208.662483606557</v>
      </c>
      <c r="M2265" s="37" t="n">
        <f aca="false">IF(AND(A2265&gt;=Inputs!$C$13,OR(A2265&lt;Inputs!$B$19,Inputs!$B$20=1)),I2265*Inputs!$C$11/C2265,0)</f>
        <v>40.1639344262295</v>
      </c>
    </row>
    <row r="2266" customFormat="false" ht="15" hidden="false" customHeight="false" outlineLevel="0" collapsed="false">
      <c r="A2266" s="35" t="n">
        <f aca="false">A2265+1</f>
        <v>47073</v>
      </c>
      <c r="B2266" s="35" t="n">
        <f aca="false">EOMONTH(A2266+1,0)</f>
        <v>47087</v>
      </c>
      <c r="C2266" s="36" t="n">
        <f aca="false">IF(MOD(YEAR(A2266),4)=0,366,365)</f>
        <v>366</v>
      </c>
      <c r="D2266" s="37" t="n">
        <f aca="false">Inputs!$B$9-SUMIFS(Cash_Events!$G$6:$G$20,Cash_Events!$C$6:$C$20,"rAGMF",Cash_Events!$B$6:$B$20,"&lt;="&amp;A2266)</f>
        <v>735000</v>
      </c>
      <c r="E2266" s="38" t="n">
        <f aca="false">VLOOKUP(A2266,Inputs!$A$40:$B$48,2,TRUE())</f>
        <v>0.0363225</v>
      </c>
      <c r="F2266" s="38" t="n">
        <f aca="false">E2266+Inputs!$B$10</f>
        <v>0.1038225</v>
      </c>
      <c r="G2266" s="37" t="n">
        <f aca="false">D2266*F2266/C2266</f>
        <v>208.496004098361</v>
      </c>
      <c r="H2266" s="37" t="n">
        <f aca="false">IF(AND(A2266&gt;=Inputs!$B$13,OR(A2266&lt;Inputs!$B$19,Inputs!$B$20=1)),D2266*Inputs!$B$11/C2266,0)</f>
        <v>40.1639344262295</v>
      </c>
      <c r="I2266" s="37" t="n">
        <f aca="false">Inputs!$C$9-SUMIFS(Cash_Events!$G$6:$G$20,Cash_Events!$C$6:$C$20,"FHL",Cash_Events!$B$6:$B$20,"&lt;="&amp;A2266)</f>
        <v>735000</v>
      </c>
      <c r="J2266" s="38" t="n">
        <f aca="false">VLOOKUP(A2266,Inputs!$F$40:$G$48,2,TRUE())</f>
        <v>0.0364054</v>
      </c>
      <c r="K2266" s="38" t="n">
        <f aca="false">J2266+Inputs!$C$10</f>
        <v>0.1039054</v>
      </c>
      <c r="L2266" s="37" t="n">
        <f aca="false">I2266*K2266/C2266</f>
        <v>208.662483606557</v>
      </c>
      <c r="M2266" s="37" t="n">
        <f aca="false">IF(AND(A2266&gt;=Inputs!$C$13,OR(A2266&lt;Inputs!$B$19,Inputs!$B$20=1)),I2266*Inputs!$C$11/C2266,0)</f>
        <v>40.1639344262295</v>
      </c>
    </row>
    <row r="2267" customFormat="false" ht="15" hidden="false" customHeight="false" outlineLevel="0" collapsed="false">
      <c r="A2267" s="35" t="n">
        <f aca="false">A2266+1</f>
        <v>47074</v>
      </c>
      <c r="B2267" s="35" t="n">
        <f aca="false">EOMONTH(A2267+1,0)</f>
        <v>47087</v>
      </c>
      <c r="C2267" s="36" t="n">
        <f aca="false">IF(MOD(YEAR(A2267),4)=0,366,365)</f>
        <v>366</v>
      </c>
      <c r="D2267" s="37" t="n">
        <f aca="false">Inputs!$B$9-SUMIFS(Cash_Events!$G$6:$G$20,Cash_Events!$C$6:$C$20,"rAGMF",Cash_Events!$B$6:$B$20,"&lt;="&amp;A2267)</f>
        <v>735000</v>
      </c>
      <c r="E2267" s="38" t="n">
        <f aca="false">VLOOKUP(A2267,Inputs!$A$40:$B$48,2,TRUE())</f>
        <v>0.0363225</v>
      </c>
      <c r="F2267" s="38" t="n">
        <f aca="false">E2267+Inputs!$B$10</f>
        <v>0.1038225</v>
      </c>
      <c r="G2267" s="37" t="n">
        <f aca="false">D2267*F2267/C2267</f>
        <v>208.496004098361</v>
      </c>
      <c r="H2267" s="37" t="n">
        <f aca="false">IF(AND(A2267&gt;=Inputs!$B$13,OR(A2267&lt;Inputs!$B$19,Inputs!$B$20=1)),D2267*Inputs!$B$11/C2267,0)</f>
        <v>40.1639344262295</v>
      </c>
      <c r="I2267" s="37" t="n">
        <f aca="false">Inputs!$C$9-SUMIFS(Cash_Events!$G$6:$G$20,Cash_Events!$C$6:$C$20,"FHL",Cash_Events!$B$6:$B$20,"&lt;="&amp;A2267)</f>
        <v>735000</v>
      </c>
      <c r="J2267" s="38" t="n">
        <f aca="false">VLOOKUP(A2267,Inputs!$F$40:$G$48,2,TRUE())</f>
        <v>0.0364054</v>
      </c>
      <c r="K2267" s="38" t="n">
        <f aca="false">J2267+Inputs!$C$10</f>
        <v>0.1039054</v>
      </c>
      <c r="L2267" s="37" t="n">
        <f aca="false">I2267*K2267/C2267</f>
        <v>208.662483606557</v>
      </c>
      <c r="M2267" s="37" t="n">
        <f aca="false">IF(AND(A2267&gt;=Inputs!$C$13,OR(A2267&lt;Inputs!$B$19,Inputs!$B$20=1)),I2267*Inputs!$C$11/C2267,0)</f>
        <v>40.1639344262295</v>
      </c>
    </row>
    <row r="2268" customFormat="false" ht="15" hidden="false" customHeight="false" outlineLevel="0" collapsed="false">
      <c r="A2268" s="35" t="n">
        <f aca="false">A2267+1</f>
        <v>47075</v>
      </c>
      <c r="B2268" s="35" t="n">
        <f aca="false">EOMONTH(A2268+1,0)</f>
        <v>47087</v>
      </c>
      <c r="C2268" s="36" t="n">
        <f aca="false">IF(MOD(YEAR(A2268),4)=0,366,365)</f>
        <v>366</v>
      </c>
      <c r="D2268" s="37" t="n">
        <f aca="false">Inputs!$B$9-SUMIFS(Cash_Events!$G$6:$G$20,Cash_Events!$C$6:$C$20,"rAGMF",Cash_Events!$B$6:$B$20,"&lt;="&amp;A2268)</f>
        <v>735000</v>
      </c>
      <c r="E2268" s="38" t="n">
        <f aca="false">VLOOKUP(A2268,Inputs!$A$40:$B$48,2,TRUE())</f>
        <v>0.0363225</v>
      </c>
      <c r="F2268" s="38" t="n">
        <f aca="false">E2268+Inputs!$B$10</f>
        <v>0.1038225</v>
      </c>
      <c r="G2268" s="37" t="n">
        <f aca="false">D2268*F2268/C2268</f>
        <v>208.496004098361</v>
      </c>
      <c r="H2268" s="37" t="n">
        <f aca="false">IF(AND(A2268&gt;=Inputs!$B$13,OR(A2268&lt;Inputs!$B$19,Inputs!$B$20=1)),D2268*Inputs!$B$11/C2268,0)</f>
        <v>40.1639344262295</v>
      </c>
      <c r="I2268" s="37" t="n">
        <f aca="false">Inputs!$C$9-SUMIFS(Cash_Events!$G$6:$G$20,Cash_Events!$C$6:$C$20,"FHL",Cash_Events!$B$6:$B$20,"&lt;="&amp;A2268)</f>
        <v>735000</v>
      </c>
      <c r="J2268" s="38" t="n">
        <f aca="false">VLOOKUP(A2268,Inputs!$F$40:$G$48,2,TRUE())</f>
        <v>0.0364054</v>
      </c>
      <c r="K2268" s="38" t="n">
        <f aca="false">J2268+Inputs!$C$10</f>
        <v>0.1039054</v>
      </c>
      <c r="L2268" s="37" t="n">
        <f aca="false">I2268*K2268/C2268</f>
        <v>208.662483606557</v>
      </c>
      <c r="M2268" s="37" t="n">
        <f aca="false">IF(AND(A2268&gt;=Inputs!$C$13,OR(A2268&lt;Inputs!$B$19,Inputs!$B$20=1)),I2268*Inputs!$C$11/C2268,0)</f>
        <v>40.1639344262295</v>
      </c>
    </row>
    <row r="2269" customFormat="false" ht="15" hidden="false" customHeight="false" outlineLevel="0" collapsed="false">
      <c r="A2269" s="35" t="n">
        <f aca="false">A2268+1</f>
        <v>47076</v>
      </c>
      <c r="B2269" s="35" t="n">
        <f aca="false">EOMONTH(A2269+1,0)</f>
        <v>47087</v>
      </c>
      <c r="C2269" s="36" t="n">
        <f aca="false">IF(MOD(YEAR(A2269),4)=0,366,365)</f>
        <v>366</v>
      </c>
      <c r="D2269" s="37" t="n">
        <f aca="false">Inputs!$B$9-SUMIFS(Cash_Events!$G$6:$G$20,Cash_Events!$C$6:$C$20,"rAGMF",Cash_Events!$B$6:$B$20,"&lt;="&amp;A2269)</f>
        <v>735000</v>
      </c>
      <c r="E2269" s="38" t="n">
        <f aca="false">VLOOKUP(A2269,Inputs!$A$40:$B$48,2,TRUE())</f>
        <v>0.0363225</v>
      </c>
      <c r="F2269" s="38" t="n">
        <f aca="false">E2269+Inputs!$B$10</f>
        <v>0.1038225</v>
      </c>
      <c r="G2269" s="37" t="n">
        <f aca="false">D2269*F2269/C2269</f>
        <v>208.496004098361</v>
      </c>
      <c r="H2269" s="37" t="n">
        <f aca="false">IF(AND(A2269&gt;=Inputs!$B$13,OR(A2269&lt;Inputs!$B$19,Inputs!$B$20=1)),D2269*Inputs!$B$11/C2269,0)</f>
        <v>40.1639344262295</v>
      </c>
      <c r="I2269" s="37" t="n">
        <f aca="false">Inputs!$C$9-SUMIFS(Cash_Events!$G$6:$G$20,Cash_Events!$C$6:$C$20,"FHL",Cash_Events!$B$6:$B$20,"&lt;="&amp;A2269)</f>
        <v>735000</v>
      </c>
      <c r="J2269" s="38" t="n">
        <f aca="false">VLOOKUP(A2269,Inputs!$F$40:$G$48,2,TRUE())</f>
        <v>0.0364054</v>
      </c>
      <c r="K2269" s="38" t="n">
        <f aca="false">J2269+Inputs!$C$10</f>
        <v>0.1039054</v>
      </c>
      <c r="L2269" s="37" t="n">
        <f aca="false">I2269*K2269/C2269</f>
        <v>208.662483606557</v>
      </c>
      <c r="M2269" s="37" t="n">
        <f aca="false">IF(AND(A2269&gt;=Inputs!$C$13,OR(A2269&lt;Inputs!$B$19,Inputs!$B$20=1)),I2269*Inputs!$C$11/C2269,0)</f>
        <v>40.1639344262295</v>
      </c>
    </row>
    <row r="2270" customFormat="false" ht="15" hidden="false" customHeight="false" outlineLevel="0" collapsed="false">
      <c r="A2270" s="35" t="n">
        <f aca="false">A2269+1</f>
        <v>47077</v>
      </c>
      <c r="B2270" s="35" t="n">
        <f aca="false">EOMONTH(A2270+1,0)</f>
        <v>47087</v>
      </c>
      <c r="C2270" s="36" t="n">
        <f aca="false">IF(MOD(YEAR(A2270),4)=0,366,365)</f>
        <v>366</v>
      </c>
      <c r="D2270" s="37" t="n">
        <f aca="false">Inputs!$B$9-SUMIFS(Cash_Events!$G$6:$G$20,Cash_Events!$C$6:$C$20,"rAGMF",Cash_Events!$B$6:$B$20,"&lt;="&amp;A2270)</f>
        <v>735000</v>
      </c>
      <c r="E2270" s="38" t="n">
        <f aca="false">VLOOKUP(A2270,Inputs!$A$40:$B$48,2,TRUE())</f>
        <v>0.0363225</v>
      </c>
      <c r="F2270" s="38" t="n">
        <f aca="false">E2270+Inputs!$B$10</f>
        <v>0.1038225</v>
      </c>
      <c r="G2270" s="37" t="n">
        <f aca="false">D2270*F2270/C2270</f>
        <v>208.496004098361</v>
      </c>
      <c r="H2270" s="37" t="n">
        <f aca="false">IF(AND(A2270&gt;=Inputs!$B$13,OR(A2270&lt;Inputs!$B$19,Inputs!$B$20=1)),D2270*Inputs!$B$11/C2270,0)</f>
        <v>40.1639344262295</v>
      </c>
      <c r="I2270" s="37" t="n">
        <f aca="false">Inputs!$C$9-SUMIFS(Cash_Events!$G$6:$G$20,Cash_Events!$C$6:$C$20,"FHL",Cash_Events!$B$6:$B$20,"&lt;="&amp;A2270)</f>
        <v>735000</v>
      </c>
      <c r="J2270" s="38" t="n">
        <f aca="false">VLOOKUP(A2270,Inputs!$F$40:$G$48,2,TRUE())</f>
        <v>0.0364054</v>
      </c>
      <c r="K2270" s="38" t="n">
        <f aca="false">J2270+Inputs!$C$10</f>
        <v>0.1039054</v>
      </c>
      <c r="L2270" s="37" t="n">
        <f aca="false">I2270*K2270/C2270</f>
        <v>208.662483606557</v>
      </c>
      <c r="M2270" s="37" t="n">
        <f aca="false">IF(AND(A2270&gt;=Inputs!$C$13,OR(A2270&lt;Inputs!$B$19,Inputs!$B$20=1)),I2270*Inputs!$C$11/C2270,0)</f>
        <v>40.1639344262295</v>
      </c>
    </row>
    <row r="2271" customFormat="false" ht="15" hidden="false" customHeight="false" outlineLevel="0" collapsed="false">
      <c r="A2271" s="35" t="n">
        <f aca="false">A2270+1</f>
        <v>47078</v>
      </c>
      <c r="B2271" s="35" t="n">
        <f aca="false">EOMONTH(A2271+1,0)</f>
        <v>47087</v>
      </c>
      <c r="C2271" s="36" t="n">
        <f aca="false">IF(MOD(YEAR(A2271),4)=0,366,365)</f>
        <v>366</v>
      </c>
      <c r="D2271" s="37" t="n">
        <f aca="false">Inputs!$B$9-SUMIFS(Cash_Events!$G$6:$G$20,Cash_Events!$C$6:$C$20,"rAGMF",Cash_Events!$B$6:$B$20,"&lt;="&amp;A2271)</f>
        <v>735000</v>
      </c>
      <c r="E2271" s="38" t="n">
        <f aca="false">VLOOKUP(A2271,Inputs!$A$40:$B$48,2,TRUE())</f>
        <v>0.0363225</v>
      </c>
      <c r="F2271" s="38" t="n">
        <f aca="false">E2271+Inputs!$B$10</f>
        <v>0.1038225</v>
      </c>
      <c r="G2271" s="37" t="n">
        <f aca="false">D2271*F2271/C2271</f>
        <v>208.496004098361</v>
      </c>
      <c r="H2271" s="37" t="n">
        <f aca="false">IF(AND(A2271&gt;=Inputs!$B$13,OR(A2271&lt;Inputs!$B$19,Inputs!$B$20=1)),D2271*Inputs!$B$11/C2271,0)</f>
        <v>40.1639344262295</v>
      </c>
      <c r="I2271" s="37" t="n">
        <f aca="false">Inputs!$C$9-SUMIFS(Cash_Events!$G$6:$G$20,Cash_Events!$C$6:$C$20,"FHL",Cash_Events!$B$6:$B$20,"&lt;="&amp;A2271)</f>
        <v>735000</v>
      </c>
      <c r="J2271" s="38" t="n">
        <f aca="false">VLOOKUP(A2271,Inputs!$F$40:$G$48,2,TRUE())</f>
        <v>0.0364054</v>
      </c>
      <c r="K2271" s="38" t="n">
        <f aca="false">J2271+Inputs!$C$10</f>
        <v>0.1039054</v>
      </c>
      <c r="L2271" s="37" t="n">
        <f aca="false">I2271*K2271/C2271</f>
        <v>208.662483606557</v>
      </c>
      <c r="M2271" s="37" t="n">
        <f aca="false">IF(AND(A2271&gt;=Inputs!$C$13,OR(A2271&lt;Inputs!$B$19,Inputs!$B$20=1)),I2271*Inputs!$C$11/C2271,0)</f>
        <v>40.1639344262295</v>
      </c>
    </row>
    <row r="2272" customFormat="false" ht="15" hidden="false" customHeight="false" outlineLevel="0" collapsed="false">
      <c r="A2272" s="35" t="n">
        <f aca="false">A2271+1</f>
        <v>47079</v>
      </c>
      <c r="B2272" s="35" t="n">
        <f aca="false">EOMONTH(A2272+1,0)</f>
        <v>47087</v>
      </c>
      <c r="C2272" s="36" t="n">
        <f aca="false">IF(MOD(YEAR(A2272),4)=0,366,365)</f>
        <v>366</v>
      </c>
      <c r="D2272" s="37" t="n">
        <f aca="false">Inputs!$B$9-SUMIFS(Cash_Events!$G$6:$G$20,Cash_Events!$C$6:$C$20,"rAGMF",Cash_Events!$B$6:$B$20,"&lt;="&amp;A2272)</f>
        <v>735000</v>
      </c>
      <c r="E2272" s="38" t="n">
        <f aca="false">VLOOKUP(A2272,Inputs!$A$40:$B$48,2,TRUE())</f>
        <v>0.0363225</v>
      </c>
      <c r="F2272" s="38" t="n">
        <f aca="false">E2272+Inputs!$B$10</f>
        <v>0.1038225</v>
      </c>
      <c r="G2272" s="37" t="n">
        <f aca="false">D2272*F2272/C2272</f>
        <v>208.496004098361</v>
      </c>
      <c r="H2272" s="37" t="n">
        <f aca="false">IF(AND(A2272&gt;=Inputs!$B$13,OR(A2272&lt;Inputs!$B$19,Inputs!$B$20=1)),D2272*Inputs!$B$11/C2272,0)</f>
        <v>40.1639344262295</v>
      </c>
      <c r="I2272" s="37" t="n">
        <f aca="false">Inputs!$C$9-SUMIFS(Cash_Events!$G$6:$G$20,Cash_Events!$C$6:$C$20,"FHL",Cash_Events!$B$6:$B$20,"&lt;="&amp;A2272)</f>
        <v>735000</v>
      </c>
      <c r="J2272" s="38" t="n">
        <f aca="false">VLOOKUP(A2272,Inputs!$F$40:$G$48,2,TRUE())</f>
        <v>0.0364054</v>
      </c>
      <c r="K2272" s="38" t="n">
        <f aca="false">J2272+Inputs!$C$10</f>
        <v>0.1039054</v>
      </c>
      <c r="L2272" s="37" t="n">
        <f aca="false">I2272*K2272/C2272</f>
        <v>208.662483606557</v>
      </c>
      <c r="M2272" s="37" t="n">
        <f aca="false">IF(AND(A2272&gt;=Inputs!$C$13,OR(A2272&lt;Inputs!$B$19,Inputs!$B$20=1)),I2272*Inputs!$C$11/C2272,0)</f>
        <v>40.1639344262295</v>
      </c>
    </row>
    <row r="2273" customFormat="false" ht="15" hidden="false" customHeight="false" outlineLevel="0" collapsed="false">
      <c r="A2273" s="35" t="n">
        <f aca="false">A2272+1</f>
        <v>47080</v>
      </c>
      <c r="B2273" s="35" t="n">
        <f aca="false">EOMONTH(A2273+1,0)</f>
        <v>47087</v>
      </c>
      <c r="C2273" s="36" t="n">
        <f aca="false">IF(MOD(YEAR(A2273),4)=0,366,365)</f>
        <v>366</v>
      </c>
      <c r="D2273" s="37" t="n">
        <f aca="false">Inputs!$B$9-SUMIFS(Cash_Events!$G$6:$G$20,Cash_Events!$C$6:$C$20,"rAGMF",Cash_Events!$B$6:$B$20,"&lt;="&amp;A2273)</f>
        <v>735000</v>
      </c>
      <c r="E2273" s="38" t="n">
        <f aca="false">VLOOKUP(A2273,Inputs!$A$40:$B$48,2,TRUE())</f>
        <v>0.0363225</v>
      </c>
      <c r="F2273" s="38" t="n">
        <f aca="false">E2273+Inputs!$B$10</f>
        <v>0.1038225</v>
      </c>
      <c r="G2273" s="37" t="n">
        <f aca="false">D2273*F2273/C2273</f>
        <v>208.496004098361</v>
      </c>
      <c r="H2273" s="37" t="n">
        <f aca="false">IF(AND(A2273&gt;=Inputs!$B$13,OR(A2273&lt;Inputs!$B$19,Inputs!$B$20=1)),D2273*Inputs!$B$11/C2273,0)</f>
        <v>40.1639344262295</v>
      </c>
      <c r="I2273" s="37" t="n">
        <f aca="false">Inputs!$C$9-SUMIFS(Cash_Events!$G$6:$G$20,Cash_Events!$C$6:$C$20,"FHL",Cash_Events!$B$6:$B$20,"&lt;="&amp;A2273)</f>
        <v>735000</v>
      </c>
      <c r="J2273" s="38" t="n">
        <f aca="false">VLOOKUP(A2273,Inputs!$F$40:$G$48,2,TRUE())</f>
        <v>0.0364054</v>
      </c>
      <c r="K2273" s="38" t="n">
        <f aca="false">J2273+Inputs!$C$10</f>
        <v>0.1039054</v>
      </c>
      <c r="L2273" s="37" t="n">
        <f aca="false">I2273*K2273/C2273</f>
        <v>208.662483606557</v>
      </c>
      <c r="M2273" s="37" t="n">
        <f aca="false">IF(AND(A2273&gt;=Inputs!$C$13,OR(A2273&lt;Inputs!$B$19,Inputs!$B$20=1)),I2273*Inputs!$C$11/C2273,0)</f>
        <v>40.1639344262295</v>
      </c>
    </row>
    <row r="2274" customFormat="false" ht="15" hidden="false" customHeight="false" outlineLevel="0" collapsed="false">
      <c r="A2274" s="35" t="n">
        <f aca="false">A2273+1</f>
        <v>47081</v>
      </c>
      <c r="B2274" s="35" t="n">
        <f aca="false">EOMONTH(A2274+1,0)</f>
        <v>47087</v>
      </c>
      <c r="C2274" s="36" t="n">
        <f aca="false">IF(MOD(YEAR(A2274),4)=0,366,365)</f>
        <v>366</v>
      </c>
      <c r="D2274" s="37" t="n">
        <f aca="false">Inputs!$B$9-SUMIFS(Cash_Events!$G$6:$G$20,Cash_Events!$C$6:$C$20,"rAGMF",Cash_Events!$B$6:$B$20,"&lt;="&amp;A2274)</f>
        <v>735000</v>
      </c>
      <c r="E2274" s="38" t="n">
        <f aca="false">VLOOKUP(A2274,Inputs!$A$40:$B$48,2,TRUE())</f>
        <v>0.0363225</v>
      </c>
      <c r="F2274" s="38" t="n">
        <f aca="false">E2274+Inputs!$B$10</f>
        <v>0.1038225</v>
      </c>
      <c r="G2274" s="37" t="n">
        <f aca="false">D2274*F2274/C2274</f>
        <v>208.496004098361</v>
      </c>
      <c r="H2274" s="37" t="n">
        <f aca="false">IF(AND(A2274&gt;=Inputs!$B$13,OR(A2274&lt;Inputs!$B$19,Inputs!$B$20=1)),D2274*Inputs!$B$11/C2274,0)</f>
        <v>40.1639344262295</v>
      </c>
      <c r="I2274" s="37" t="n">
        <f aca="false">Inputs!$C$9-SUMIFS(Cash_Events!$G$6:$G$20,Cash_Events!$C$6:$C$20,"FHL",Cash_Events!$B$6:$B$20,"&lt;="&amp;A2274)</f>
        <v>735000</v>
      </c>
      <c r="J2274" s="38" t="n">
        <f aca="false">VLOOKUP(A2274,Inputs!$F$40:$G$48,2,TRUE())</f>
        <v>0.0364054</v>
      </c>
      <c r="K2274" s="38" t="n">
        <f aca="false">J2274+Inputs!$C$10</f>
        <v>0.1039054</v>
      </c>
      <c r="L2274" s="37" t="n">
        <f aca="false">I2274*K2274/C2274</f>
        <v>208.662483606557</v>
      </c>
      <c r="M2274" s="37" t="n">
        <f aca="false">IF(AND(A2274&gt;=Inputs!$C$13,OR(A2274&lt;Inputs!$B$19,Inputs!$B$20=1)),I2274*Inputs!$C$11/C2274,0)</f>
        <v>40.1639344262295</v>
      </c>
    </row>
    <row r="2275" customFormat="false" ht="15" hidden="false" customHeight="false" outlineLevel="0" collapsed="false">
      <c r="A2275" s="35" t="n">
        <f aca="false">A2274+1</f>
        <v>47082</v>
      </c>
      <c r="B2275" s="35" t="n">
        <f aca="false">EOMONTH(A2275+1,0)</f>
        <v>47087</v>
      </c>
      <c r="C2275" s="36" t="n">
        <f aca="false">IF(MOD(YEAR(A2275),4)=0,366,365)</f>
        <v>366</v>
      </c>
      <c r="D2275" s="37" t="n">
        <f aca="false">Inputs!$B$9-SUMIFS(Cash_Events!$G$6:$G$20,Cash_Events!$C$6:$C$20,"rAGMF",Cash_Events!$B$6:$B$20,"&lt;="&amp;A2275)</f>
        <v>735000</v>
      </c>
      <c r="E2275" s="38" t="n">
        <f aca="false">VLOOKUP(A2275,Inputs!$A$40:$B$48,2,TRUE())</f>
        <v>0.0363225</v>
      </c>
      <c r="F2275" s="38" t="n">
        <f aca="false">E2275+Inputs!$B$10</f>
        <v>0.1038225</v>
      </c>
      <c r="G2275" s="37" t="n">
        <f aca="false">D2275*F2275/C2275</f>
        <v>208.496004098361</v>
      </c>
      <c r="H2275" s="37" t="n">
        <f aca="false">IF(AND(A2275&gt;=Inputs!$B$13,OR(A2275&lt;Inputs!$B$19,Inputs!$B$20=1)),D2275*Inputs!$B$11/C2275,0)</f>
        <v>40.1639344262295</v>
      </c>
      <c r="I2275" s="37" t="n">
        <f aca="false">Inputs!$C$9-SUMIFS(Cash_Events!$G$6:$G$20,Cash_Events!$C$6:$C$20,"FHL",Cash_Events!$B$6:$B$20,"&lt;="&amp;A2275)</f>
        <v>735000</v>
      </c>
      <c r="J2275" s="38" t="n">
        <f aca="false">VLOOKUP(A2275,Inputs!$F$40:$G$48,2,TRUE())</f>
        <v>0.0364054</v>
      </c>
      <c r="K2275" s="38" t="n">
        <f aca="false">J2275+Inputs!$C$10</f>
        <v>0.1039054</v>
      </c>
      <c r="L2275" s="37" t="n">
        <f aca="false">I2275*K2275/C2275</f>
        <v>208.662483606557</v>
      </c>
      <c r="M2275" s="37" t="n">
        <f aca="false">IF(AND(A2275&gt;=Inputs!$C$13,OR(A2275&lt;Inputs!$B$19,Inputs!$B$20=1)),I2275*Inputs!$C$11/C2275,0)</f>
        <v>40.1639344262295</v>
      </c>
    </row>
    <row r="2276" customFormat="false" ht="15" hidden="false" customHeight="false" outlineLevel="0" collapsed="false">
      <c r="A2276" s="35" t="n">
        <f aca="false">A2275+1</f>
        <v>47083</v>
      </c>
      <c r="B2276" s="35" t="n">
        <f aca="false">EOMONTH(A2276+1,0)</f>
        <v>47087</v>
      </c>
      <c r="C2276" s="36" t="n">
        <f aca="false">IF(MOD(YEAR(A2276),4)=0,366,365)</f>
        <v>366</v>
      </c>
      <c r="D2276" s="37" t="n">
        <f aca="false">Inputs!$B$9-SUMIFS(Cash_Events!$G$6:$G$20,Cash_Events!$C$6:$C$20,"rAGMF",Cash_Events!$B$6:$B$20,"&lt;="&amp;A2276)</f>
        <v>735000</v>
      </c>
      <c r="E2276" s="38" t="n">
        <f aca="false">VLOOKUP(A2276,Inputs!$A$40:$B$48,2,TRUE())</f>
        <v>0.0363225</v>
      </c>
      <c r="F2276" s="38" t="n">
        <f aca="false">E2276+Inputs!$B$10</f>
        <v>0.1038225</v>
      </c>
      <c r="G2276" s="37" t="n">
        <f aca="false">D2276*F2276/C2276</f>
        <v>208.496004098361</v>
      </c>
      <c r="H2276" s="37" t="n">
        <f aca="false">IF(AND(A2276&gt;=Inputs!$B$13,OR(A2276&lt;Inputs!$B$19,Inputs!$B$20=1)),D2276*Inputs!$B$11/C2276,0)</f>
        <v>40.1639344262295</v>
      </c>
      <c r="I2276" s="37" t="n">
        <f aca="false">Inputs!$C$9-SUMIFS(Cash_Events!$G$6:$G$20,Cash_Events!$C$6:$C$20,"FHL",Cash_Events!$B$6:$B$20,"&lt;="&amp;A2276)</f>
        <v>735000</v>
      </c>
      <c r="J2276" s="38" t="n">
        <f aca="false">VLOOKUP(A2276,Inputs!$F$40:$G$48,2,TRUE())</f>
        <v>0.0364054</v>
      </c>
      <c r="K2276" s="38" t="n">
        <f aca="false">J2276+Inputs!$C$10</f>
        <v>0.1039054</v>
      </c>
      <c r="L2276" s="37" t="n">
        <f aca="false">I2276*K2276/C2276</f>
        <v>208.662483606557</v>
      </c>
      <c r="M2276" s="37" t="n">
        <f aca="false">IF(AND(A2276&gt;=Inputs!$C$13,OR(A2276&lt;Inputs!$B$19,Inputs!$B$20=1)),I2276*Inputs!$C$11/C2276,0)</f>
        <v>40.1639344262295</v>
      </c>
    </row>
    <row r="2277" customFormat="false" ht="15" hidden="false" customHeight="false" outlineLevel="0" collapsed="false">
      <c r="A2277" s="35" t="n">
        <f aca="false">A2276+1</f>
        <v>47084</v>
      </c>
      <c r="B2277" s="35" t="n">
        <f aca="false">EOMONTH(A2277+1,0)</f>
        <v>47087</v>
      </c>
      <c r="C2277" s="36" t="n">
        <f aca="false">IF(MOD(YEAR(A2277),4)=0,366,365)</f>
        <v>366</v>
      </c>
      <c r="D2277" s="37" t="n">
        <f aca="false">Inputs!$B$9-SUMIFS(Cash_Events!$G$6:$G$20,Cash_Events!$C$6:$C$20,"rAGMF",Cash_Events!$B$6:$B$20,"&lt;="&amp;A2277)</f>
        <v>735000</v>
      </c>
      <c r="E2277" s="38" t="n">
        <f aca="false">VLOOKUP(A2277,Inputs!$A$40:$B$48,2,TRUE())</f>
        <v>0.0363225</v>
      </c>
      <c r="F2277" s="38" t="n">
        <f aca="false">E2277+Inputs!$B$10</f>
        <v>0.1038225</v>
      </c>
      <c r="G2277" s="37" t="n">
        <f aca="false">D2277*F2277/C2277</f>
        <v>208.496004098361</v>
      </c>
      <c r="H2277" s="37" t="n">
        <f aca="false">IF(AND(A2277&gt;=Inputs!$B$13,OR(A2277&lt;Inputs!$B$19,Inputs!$B$20=1)),D2277*Inputs!$B$11/C2277,0)</f>
        <v>40.1639344262295</v>
      </c>
      <c r="I2277" s="37" t="n">
        <f aca="false">Inputs!$C$9-SUMIFS(Cash_Events!$G$6:$G$20,Cash_Events!$C$6:$C$20,"FHL",Cash_Events!$B$6:$B$20,"&lt;="&amp;A2277)</f>
        <v>735000</v>
      </c>
      <c r="J2277" s="38" t="n">
        <f aca="false">VLOOKUP(A2277,Inputs!$F$40:$G$48,2,TRUE())</f>
        <v>0.0364054</v>
      </c>
      <c r="K2277" s="38" t="n">
        <f aca="false">J2277+Inputs!$C$10</f>
        <v>0.1039054</v>
      </c>
      <c r="L2277" s="37" t="n">
        <f aca="false">I2277*K2277/C2277</f>
        <v>208.662483606557</v>
      </c>
      <c r="M2277" s="37" t="n">
        <f aca="false">IF(AND(A2277&gt;=Inputs!$C$13,OR(A2277&lt;Inputs!$B$19,Inputs!$B$20=1)),I2277*Inputs!$C$11/C2277,0)</f>
        <v>40.1639344262295</v>
      </c>
    </row>
    <row r="2278" customFormat="false" ht="15" hidden="false" customHeight="false" outlineLevel="0" collapsed="false">
      <c r="A2278" s="35" t="n">
        <f aca="false">A2277+1</f>
        <v>47085</v>
      </c>
      <c r="B2278" s="35" t="n">
        <f aca="false">EOMONTH(A2278+1,0)</f>
        <v>47087</v>
      </c>
      <c r="C2278" s="36" t="n">
        <f aca="false">IF(MOD(YEAR(A2278),4)=0,366,365)</f>
        <v>366</v>
      </c>
      <c r="D2278" s="37" t="n">
        <f aca="false">Inputs!$B$9-SUMIFS(Cash_Events!$G$6:$G$20,Cash_Events!$C$6:$C$20,"rAGMF",Cash_Events!$B$6:$B$20,"&lt;="&amp;A2278)</f>
        <v>735000</v>
      </c>
      <c r="E2278" s="38" t="n">
        <f aca="false">VLOOKUP(A2278,Inputs!$A$40:$B$48,2,TRUE())</f>
        <v>0.0363225</v>
      </c>
      <c r="F2278" s="38" t="n">
        <f aca="false">E2278+Inputs!$B$10</f>
        <v>0.1038225</v>
      </c>
      <c r="G2278" s="37" t="n">
        <f aca="false">D2278*F2278/C2278</f>
        <v>208.496004098361</v>
      </c>
      <c r="H2278" s="37" t="n">
        <f aca="false">IF(AND(A2278&gt;=Inputs!$B$13,OR(A2278&lt;Inputs!$B$19,Inputs!$B$20=1)),D2278*Inputs!$B$11/C2278,0)</f>
        <v>40.1639344262295</v>
      </c>
      <c r="I2278" s="37" t="n">
        <f aca="false">Inputs!$C$9-SUMIFS(Cash_Events!$G$6:$G$20,Cash_Events!$C$6:$C$20,"FHL",Cash_Events!$B$6:$B$20,"&lt;="&amp;A2278)</f>
        <v>735000</v>
      </c>
      <c r="J2278" s="38" t="n">
        <f aca="false">VLOOKUP(A2278,Inputs!$F$40:$G$48,2,TRUE())</f>
        <v>0.0364054</v>
      </c>
      <c r="K2278" s="38" t="n">
        <f aca="false">J2278+Inputs!$C$10</f>
        <v>0.1039054</v>
      </c>
      <c r="L2278" s="37" t="n">
        <f aca="false">I2278*K2278/C2278</f>
        <v>208.662483606557</v>
      </c>
      <c r="M2278" s="37" t="n">
        <f aca="false">IF(AND(A2278&gt;=Inputs!$C$13,OR(A2278&lt;Inputs!$B$19,Inputs!$B$20=1)),I2278*Inputs!$C$11/C2278,0)</f>
        <v>40.1639344262295</v>
      </c>
    </row>
    <row r="2279" customFormat="false" ht="15" hidden="false" customHeight="false" outlineLevel="0" collapsed="false">
      <c r="A2279" s="35" t="n">
        <f aca="false">A2278+1</f>
        <v>47086</v>
      </c>
      <c r="B2279" s="35" t="n">
        <f aca="false">EOMONTH(A2279+1,0)</f>
        <v>47087</v>
      </c>
      <c r="C2279" s="36" t="n">
        <f aca="false">IF(MOD(YEAR(A2279),4)=0,366,365)</f>
        <v>366</v>
      </c>
      <c r="D2279" s="37" t="n">
        <f aca="false">Inputs!$B$9-SUMIFS(Cash_Events!$G$6:$G$20,Cash_Events!$C$6:$C$20,"rAGMF",Cash_Events!$B$6:$B$20,"&lt;="&amp;A2279)</f>
        <v>735000</v>
      </c>
      <c r="E2279" s="38" t="n">
        <f aca="false">VLOOKUP(A2279,Inputs!$A$40:$B$48,2,TRUE())</f>
        <v>0.0363225</v>
      </c>
      <c r="F2279" s="38" t="n">
        <f aca="false">E2279+Inputs!$B$10</f>
        <v>0.1038225</v>
      </c>
      <c r="G2279" s="37" t="n">
        <f aca="false">D2279*F2279/C2279</f>
        <v>208.496004098361</v>
      </c>
      <c r="H2279" s="37" t="n">
        <f aca="false">IF(AND(A2279&gt;=Inputs!$B$13,OR(A2279&lt;Inputs!$B$19,Inputs!$B$20=1)),D2279*Inputs!$B$11/C2279,0)</f>
        <v>40.1639344262295</v>
      </c>
      <c r="I2279" s="37" t="n">
        <f aca="false">Inputs!$C$9-SUMIFS(Cash_Events!$G$6:$G$20,Cash_Events!$C$6:$C$20,"FHL",Cash_Events!$B$6:$B$20,"&lt;="&amp;A2279)</f>
        <v>735000</v>
      </c>
      <c r="J2279" s="38" t="n">
        <f aca="false">VLOOKUP(A2279,Inputs!$F$40:$G$48,2,TRUE())</f>
        <v>0.0364054</v>
      </c>
      <c r="K2279" s="38" t="n">
        <f aca="false">J2279+Inputs!$C$10</f>
        <v>0.1039054</v>
      </c>
      <c r="L2279" s="37" t="n">
        <f aca="false">I2279*K2279/C2279</f>
        <v>208.662483606557</v>
      </c>
      <c r="M2279" s="37" t="n">
        <f aca="false">IF(AND(A2279&gt;=Inputs!$C$13,OR(A2279&lt;Inputs!$B$19,Inputs!$B$20=1)),I2279*Inputs!$C$11/C2279,0)</f>
        <v>40.1639344262295</v>
      </c>
    </row>
    <row r="2280" customFormat="false" ht="15" hidden="false" customHeight="false" outlineLevel="0" collapsed="false">
      <c r="A2280" s="35" t="n">
        <f aca="false">A2279+1</f>
        <v>47087</v>
      </c>
      <c r="B2280" s="35" t="n">
        <f aca="false">EOMONTH(A2280+1,0)</f>
        <v>47118</v>
      </c>
      <c r="C2280" s="36" t="n">
        <f aca="false">IF(MOD(YEAR(A2280),4)=0,366,365)</f>
        <v>366</v>
      </c>
      <c r="D2280" s="37" t="n">
        <f aca="false">Inputs!$B$9-SUMIFS(Cash_Events!$G$6:$G$20,Cash_Events!$C$6:$C$20,"rAGMF",Cash_Events!$B$6:$B$20,"&lt;="&amp;A2280)</f>
        <v>735000</v>
      </c>
      <c r="E2280" s="38" t="n">
        <f aca="false">VLOOKUP(A2280,Inputs!$A$40:$B$48,2,TRUE())</f>
        <v>0.0363225</v>
      </c>
      <c r="F2280" s="38" t="n">
        <f aca="false">E2280+Inputs!$B$10</f>
        <v>0.1038225</v>
      </c>
      <c r="G2280" s="37" t="n">
        <f aca="false">D2280*F2280/C2280</f>
        <v>208.496004098361</v>
      </c>
      <c r="H2280" s="37" t="n">
        <f aca="false">IF(AND(A2280&gt;=Inputs!$B$13,OR(A2280&lt;Inputs!$B$19,Inputs!$B$20=1)),D2280*Inputs!$B$11/C2280,0)</f>
        <v>40.1639344262295</v>
      </c>
      <c r="I2280" s="37" t="n">
        <f aca="false">Inputs!$C$9-SUMIFS(Cash_Events!$G$6:$G$20,Cash_Events!$C$6:$C$20,"FHL",Cash_Events!$B$6:$B$20,"&lt;="&amp;A2280)</f>
        <v>735000</v>
      </c>
      <c r="J2280" s="38" t="n">
        <f aca="false">VLOOKUP(A2280,Inputs!$F$40:$G$48,2,TRUE())</f>
        <v>0.0364054</v>
      </c>
      <c r="K2280" s="38" t="n">
        <f aca="false">J2280+Inputs!$C$10</f>
        <v>0.1039054</v>
      </c>
      <c r="L2280" s="37" t="n">
        <f aca="false">I2280*K2280/C2280</f>
        <v>208.662483606557</v>
      </c>
      <c r="M2280" s="37" t="n">
        <f aca="false">IF(AND(A2280&gt;=Inputs!$C$13,OR(A2280&lt;Inputs!$B$19,Inputs!$B$20=1)),I2280*Inputs!$C$11/C2280,0)</f>
        <v>40.1639344262295</v>
      </c>
    </row>
    <row r="2281" customFormat="false" ht="15" hidden="false" customHeight="false" outlineLevel="0" collapsed="false">
      <c r="A2281" s="35" t="n">
        <f aca="false">A2280+1</f>
        <v>47088</v>
      </c>
      <c r="B2281" s="35" t="n">
        <f aca="false">EOMONTH(A2281+1,0)</f>
        <v>47118</v>
      </c>
      <c r="C2281" s="36" t="n">
        <f aca="false">IF(MOD(YEAR(A2281),4)=0,366,365)</f>
        <v>366</v>
      </c>
      <c r="D2281" s="37" t="n">
        <f aca="false">Inputs!$B$9-SUMIFS(Cash_Events!$G$6:$G$20,Cash_Events!$C$6:$C$20,"rAGMF",Cash_Events!$B$6:$B$20,"&lt;="&amp;A2281)</f>
        <v>735000</v>
      </c>
      <c r="E2281" s="38" t="n">
        <f aca="false">VLOOKUP(A2281,Inputs!$A$40:$B$48,2,TRUE())</f>
        <v>0.0363225</v>
      </c>
      <c r="F2281" s="38" t="n">
        <f aca="false">E2281+Inputs!$B$10</f>
        <v>0.1038225</v>
      </c>
      <c r="G2281" s="37" t="n">
        <f aca="false">D2281*F2281/C2281</f>
        <v>208.496004098361</v>
      </c>
      <c r="H2281" s="37" t="n">
        <f aca="false">IF(AND(A2281&gt;=Inputs!$B$13,OR(A2281&lt;Inputs!$B$19,Inputs!$B$20=1)),D2281*Inputs!$B$11/C2281,0)</f>
        <v>40.1639344262295</v>
      </c>
      <c r="I2281" s="37" t="n">
        <f aca="false">Inputs!$C$9-SUMIFS(Cash_Events!$G$6:$G$20,Cash_Events!$C$6:$C$20,"FHL",Cash_Events!$B$6:$B$20,"&lt;="&amp;A2281)</f>
        <v>735000</v>
      </c>
      <c r="J2281" s="38" t="n">
        <f aca="false">VLOOKUP(A2281,Inputs!$F$40:$G$48,2,TRUE())</f>
        <v>0.0364054</v>
      </c>
      <c r="K2281" s="38" t="n">
        <f aca="false">J2281+Inputs!$C$10</f>
        <v>0.1039054</v>
      </c>
      <c r="L2281" s="37" t="n">
        <f aca="false">I2281*K2281/C2281</f>
        <v>208.662483606557</v>
      </c>
      <c r="M2281" s="37" t="n">
        <f aca="false">IF(AND(A2281&gt;=Inputs!$C$13,OR(A2281&lt;Inputs!$B$19,Inputs!$B$20=1)),I2281*Inputs!$C$11/C2281,0)</f>
        <v>40.1639344262295</v>
      </c>
    </row>
    <row r="2282" customFormat="false" ht="15" hidden="false" customHeight="false" outlineLevel="0" collapsed="false">
      <c r="A2282" s="35" t="n">
        <f aca="false">A2281+1</f>
        <v>47089</v>
      </c>
      <c r="B2282" s="35" t="n">
        <f aca="false">EOMONTH(A2282+1,0)</f>
        <v>47118</v>
      </c>
      <c r="C2282" s="36" t="n">
        <f aca="false">IF(MOD(YEAR(A2282),4)=0,366,365)</f>
        <v>366</v>
      </c>
      <c r="D2282" s="37" t="n">
        <f aca="false">Inputs!$B$9-SUMIFS(Cash_Events!$G$6:$G$20,Cash_Events!$C$6:$C$20,"rAGMF",Cash_Events!$B$6:$B$20,"&lt;="&amp;A2282)</f>
        <v>735000</v>
      </c>
      <c r="E2282" s="38" t="n">
        <f aca="false">VLOOKUP(A2282,Inputs!$A$40:$B$48,2,TRUE())</f>
        <v>0.0363225</v>
      </c>
      <c r="F2282" s="38" t="n">
        <f aca="false">E2282+Inputs!$B$10</f>
        <v>0.1038225</v>
      </c>
      <c r="G2282" s="37" t="n">
        <f aca="false">D2282*F2282/C2282</f>
        <v>208.496004098361</v>
      </c>
      <c r="H2282" s="37" t="n">
        <f aca="false">IF(AND(A2282&gt;=Inputs!$B$13,OR(A2282&lt;Inputs!$B$19,Inputs!$B$20=1)),D2282*Inputs!$B$11/C2282,0)</f>
        <v>40.1639344262295</v>
      </c>
      <c r="I2282" s="37" t="n">
        <f aca="false">Inputs!$C$9-SUMIFS(Cash_Events!$G$6:$G$20,Cash_Events!$C$6:$C$20,"FHL",Cash_Events!$B$6:$B$20,"&lt;="&amp;A2282)</f>
        <v>735000</v>
      </c>
      <c r="J2282" s="38" t="n">
        <f aca="false">VLOOKUP(A2282,Inputs!$F$40:$G$48,2,TRUE())</f>
        <v>0.0364054</v>
      </c>
      <c r="K2282" s="38" t="n">
        <f aca="false">J2282+Inputs!$C$10</f>
        <v>0.1039054</v>
      </c>
      <c r="L2282" s="37" t="n">
        <f aca="false">I2282*K2282/C2282</f>
        <v>208.662483606557</v>
      </c>
      <c r="M2282" s="37" t="n">
        <f aca="false">IF(AND(A2282&gt;=Inputs!$C$13,OR(A2282&lt;Inputs!$B$19,Inputs!$B$20=1)),I2282*Inputs!$C$11/C2282,0)</f>
        <v>40.1639344262295</v>
      </c>
    </row>
    <row r="2283" customFormat="false" ht="15" hidden="false" customHeight="false" outlineLevel="0" collapsed="false">
      <c r="A2283" s="35" t="n">
        <f aca="false">A2282+1</f>
        <v>47090</v>
      </c>
      <c r="B2283" s="35" t="n">
        <f aca="false">EOMONTH(A2283+1,0)</f>
        <v>47118</v>
      </c>
      <c r="C2283" s="36" t="n">
        <f aca="false">IF(MOD(YEAR(A2283),4)=0,366,365)</f>
        <v>366</v>
      </c>
      <c r="D2283" s="37" t="n">
        <f aca="false">Inputs!$B$9-SUMIFS(Cash_Events!$G$6:$G$20,Cash_Events!$C$6:$C$20,"rAGMF",Cash_Events!$B$6:$B$20,"&lt;="&amp;A2283)</f>
        <v>735000</v>
      </c>
      <c r="E2283" s="38" t="n">
        <f aca="false">VLOOKUP(A2283,Inputs!$A$40:$B$48,2,TRUE())</f>
        <v>0.0363225</v>
      </c>
      <c r="F2283" s="38" t="n">
        <f aca="false">E2283+Inputs!$B$10</f>
        <v>0.1038225</v>
      </c>
      <c r="G2283" s="37" t="n">
        <f aca="false">D2283*F2283/C2283</f>
        <v>208.496004098361</v>
      </c>
      <c r="H2283" s="37" t="n">
        <f aca="false">IF(AND(A2283&gt;=Inputs!$B$13,OR(A2283&lt;Inputs!$B$19,Inputs!$B$20=1)),D2283*Inputs!$B$11/C2283,0)</f>
        <v>40.1639344262295</v>
      </c>
      <c r="I2283" s="37" t="n">
        <f aca="false">Inputs!$C$9-SUMIFS(Cash_Events!$G$6:$G$20,Cash_Events!$C$6:$C$20,"FHL",Cash_Events!$B$6:$B$20,"&lt;="&amp;A2283)</f>
        <v>735000</v>
      </c>
      <c r="J2283" s="38" t="n">
        <f aca="false">VLOOKUP(A2283,Inputs!$F$40:$G$48,2,TRUE())</f>
        <v>0.0364054</v>
      </c>
      <c r="K2283" s="38" t="n">
        <f aca="false">J2283+Inputs!$C$10</f>
        <v>0.1039054</v>
      </c>
      <c r="L2283" s="37" t="n">
        <f aca="false">I2283*K2283/C2283</f>
        <v>208.662483606557</v>
      </c>
      <c r="M2283" s="37" t="n">
        <f aca="false">IF(AND(A2283&gt;=Inputs!$C$13,OR(A2283&lt;Inputs!$B$19,Inputs!$B$20=1)),I2283*Inputs!$C$11/C2283,0)</f>
        <v>40.1639344262295</v>
      </c>
    </row>
    <row r="2284" customFormat="false" ht="15" hidden="false" customHeight="false" outlineLevel="0" collapsed="false">
      <c r="A2284" s="35" t="n">
        <f aca="false">A2283+1</f>
        <v>47091</v>
      </c>
      <c r="B2284" s="35" t="n">
        <f aca="false">EOMONTH(A2284+1,0)</f>
        <v>47118</v>
      </c>
      <c r="C2284" s="36" t="n">
        <f aca="false">IF(MOD(YEAR(A2284),4)=0,366,365)</f>
        <v>366</v>
      </c>
      <c r="D2284" s="37" t="n">
        <f aca="false">Inputs!$B$9-SUMIFS(Cash_Events!$G$6:$G$20,Cash_Events!$C$6:$C$20,"rAGMF",Cash_Events!$B$6:$B$20,"&lt;="&amp;A2284)</f>
        <v>735000</v>
      </c>
      <c r="E2284" s="38" t="n">
        <f aca="false">VLOOKUP(A2284,Inputs!$A$40:$B$48,2,TRUE())</f>
        <v>0.0363225</v>
      </c>
      <c r="F2284" s="38" t="n">
        <f aca="false">E2284+Inputs!$B$10</f>
        <v>0.1038225</v>
      </c>
      <c r="G2284" s="37" t="n">
        <f aca="false">D2284*F2284/C2284</f>
        <v>208.496004098361</v>
      </c>
      <c r="H2284" s="37" t="n">
        <f aca="false">IF(AND(A2284&gt;=Inputs!$B$13,OR(A2284&lt;Inputs!$B$19,Inputs!$B$20=1)),D2284*Inputs!$B$11/C2284,0)</f>
        <v>40.1639344262295</v>
      </c>
      <c r="I2284" s="37" t="n">
        <f aca="false">Inputs!$C$9-SUMIFS(Cash_Events!$G$6:$G$20,Cash_Events!$C$6:$C$20,"FHL",Cash_Events!$B$6:$B$20,"&lt;="&amp;A2284)</f>
        <v>735000</v>
      </c>
      <c r="J2284" s="38" t="n">
        <f aca="false">VLOOKUP(A2284,Inputs!$F$40:$G$48,2,TRUE())</f>
        <v>0.0364054</v>
      </c>
      <c r="K2284" s="38" t="n">
        <f aca="false">J2284+Inputs!$C$10</f>
        <v>0.1039054</v>
      </c>
      <c r="L2284" s="37" t="n">
        <f aca="false">I2284*K2284/C2284</f>
        <v>208.662483606557</v>
      </c>
      <c r="M2284" s="37" t="n">
        <f aca="false">IF(AND(A2284&gt;=Inputs!$C$13,OR(A2284&lt;Inputs!$B$19,Inputs!$B$20=1)),I2284*Inputs!$C$11/C2284,0)</f>
        <v>40.1639344262295</v>
      </c>
    </row>
    <row r="2285" customFormat="false" ht="15" hidden="false" customHeight="false" outlineLevel="0" collapsed="false">
      <c r="A2285" s="35" t="n">
        <f aca="false">A2284+1</f>
        <v>47092</v>
      </c>
      <c r="B2285" s="35" t="n">
        <f aca="false">EOMONTH(A2285+1,0)</f>
        <v>47118</v>
      </c>
      <c r="C2285" s="36" t="n">
        <f aca="false">IF(MOD(YEAR(A2285),4)=0,366,365)</f>
        <v>366</v>
      </c>
      <c r="D2285" s="37" t="n">
        <f aca="false">Inputs!$B$9-SUMIFS(Cash_Events!$G$6:$G$20,Cash_Events!$C$6:$C$20,"rAGMF",Cash_Events!$B$6:$B$20,"&lt;="&amp;A2285)</f>
        <v>735000</v>
      </c>
      <c r="E2285" s="38" t="n">
        <f aca="false">VLOOKUP(A2285,Inputs!$A$40:$B$48,2,TRUE())</f>
        <v>0.0363225</v>
      </c>
      <c r="F2285" s="38" t="n">
        <f aca="false">E2285+Inputs!$B$10</f>
        <v>0.1038225</v>
      </c>
      <c r="G2285" s="37" t="n">
        <f aca="false">D2285*F2285/C2285</f>
        <v>208.496004098361</v>
      </c>
      <c r="H2285" s="37" t="n">
        <f aca="false">IF(AND(A2285&gt;=Inputs!$B$13,OR(A2285&lt;Inputs!$B$19,Inputs!$B$20=1)),D2285*Inputs!$B$11/C2285,0)</f>
        <v>40.1639344262295</v>
      </c>
      <c r="I2285" s="37" t="n">
        <f aca="false">Inputs!$C$9-SUMIFS(Cash_Events!$G$6:$G$20,Cash_Events!$C$6:$C$20,"FHL",Cash_Events!$B$6:$B$20,"&lt;="&amp;A2285)</f>
        <v>735000</v>
      </c>
      <c r="J2285" s="38" t="n">
        <f aca="false">VLOOKUP(A2285,Inputs!$F$40:$G$48,2,TRUE())</f>
        <v>0.0364054</v>
      </c>
      <c r="K2285" s="38" t="n">
        <f aca="false">J2285+Inputs!$C$10</f>
        <v>0.1039054</v>
      </c>
      <c r="L2285" s="37" t="n">
        <f aca="false">I2285*K2285/C2285</f>
        <v>208.662483606557</v>
      </c>
      <c r="M2285" s="37" t="n">
        <f aca="false">IF(AND(A2285&gt;=Inputs!$C$13,OR(A2285&lt;Inputs!$B$19,Inputs!$B$20=1)),I2285*Inputs!$C$11/C2285,0)</f>
        <v>40.1639344262295</v>
      </c>
    </row>
    <row r="2286" customFormat="false" ht="15" hidden="false" customHeight="false" outlineLevel="0" collapsed="false">
      <c r="A2286" s="35" t="n">
        <f aca="false">A2285+1</f>
        <v>47093</v>
      </c>
      <c r="B2286" s="35" t="n">
        <f aca="false">EOMONTH(A2286+1,0)</f>
        <v>47118</v>
      </c>
      <c r="C2286" s="36" t="n">
        <f aca="false">IF(MOD(YEAR(A2286),4)=0,366,365)</f>
        <v>366</v>
      </c>
      <c r="D2286" s="37" t="n">
        <f aca="false">Inputs!$B$9-SUMIFS(Cash_Events!$G$6:$G$20,Cash_Events!$C$6:$C$20,"rAGMF",Cash_Events!$B$6:$B$20,"&lt;="&amp;A2286)</f>
        <v>735000</v>
      </c>
      <c r="E2286" s="38" t="n">
        <f aca="false">VLOOKUP(A2286,Inputs!$A$40:$B$48,2,TRUE())</f>
        <v>0.0363225</v>
      </c>
      <c r="F2286" s="38" t="n">
        <f aca="false">E2286+Inputs!$B$10</f>
        <v>0.1038225</v>
      </c>
      <c r="G2286" s="37" t="n">
        <f aca="false">D2286*F2286/C2286</f>
        <v>208.496004098361</v>
      </c>
      <c r="H2286" s="37" t="n">
        <f aca="false">IF(AND(A2286&gt;=Inputs!$B$13,OR(A2286&lt;Inputs!$B$19,Inputs!$B$20=1)),D2286*Inputs!$B$11/C2286,0)</f>
        <v>40.1639344262295</v>
      </c>
      <c r="I2286" s="37" t="n">
        <f aca="false">Inputs!$C$9-SUMIFS(Cash_Events!$G$6:$G$20,Cash_Events!$C$6:$C$20,"FHL",Cash_Events!$B$6:$B$20,"&lt;="&amp;A2286)</f>
        <v>735000</v>
      </c>
      <c r="J2286" s="38" t="n">
        <f aca="false">VLOOKUP(A2286,Inputs!$F$40:$G$48,2,TRUE())</f>
        <v>0.0364054</v>
      </c>
      <c r="K2286" s="38" t="n">
        <f aca="false">J2286+Inputs!$C$10</f>
        <v>0.1039054</v>
      </c>
      <c r="L2286" s="37" t="n">
        <f aca="false">I2286*K2286/C2286</f>
        <v>208.662483606557</v>
      </c>
      <c r="M2286" s="37" t="n">
        <f aca="false">IF(AND(A2286&gt;=Inputs!$C$13,OR(A2286&lt;Inputs!$B$19,Inputs!$B$20=1)),I2286*Inputs!$C$11/C2286,0)</f>
        <v>40.1639344262295</v>
      </c>
    </row>
    <row r="2287" customFormat="false" ht="15" hidden="false" customHeight="false" outlineLevel="0" collapsed="false">
      <c r="A2287" s="35" t="n">
        <f aca="false">A2286+1</f>
        <v>47094</v>
      </c>
      <c r="B2287" s="35" t="n">
        <f aca="false">EOMONTH(A2287+1,0)</f>
        <v>47118</v>
      </c>
      <c r="C2287" s="36" t="n">
        <f aca="false">IF(MOD(YEAR(A2287),4)=0,366,365)</f>
        <v>366</v>
      </c>
      <c r="D2287" s="37" t="n">
        <f aca="false">Inputs!$B$9-SUMIFS(Cash_Events!$G$6:$G$20,Cash_Events!$C$6:$C$20,"rAGMF",Cash_Events!$B$6:$B$20,"&lt;="&amp;A2287)</f>
        <v>735000</v>
      </c>
      <c r="E2287" s="38" t="n">
        <f aca="false">VLOOKUP(A2287,Inputs!$A$40:$B$48,2,TRUE())</f>
        <v>0.0363225</v>
      </c>
      <c r="F2287" s="38" t="n">
        <f aca="false">E2287+Inputs!$B$10</f>
        <v>0.1038225</v>
      </c>
      <c r="G2287" s="37" t="n">
        <f aca="false">D2287*F2287/C2287</f>
        <v>208.496004098361</v>
      </c>
      <c r="H2287" s="37" t="n">
        <f aca="false">IF(AND(A2287&gt;=Inputs!$B$13,OR(A2287&lt;Inputs!$B$19,Inputs!$B$20=1)),D2287*Inputs!$B$11/C2287,0)</f>
        <v>40.1639344262295</v>
      </c>
      <c r="I2287" s="37" t="n">
        <f aca="false">Inputs!$C$9-SUMIFS(Cash_Events!$G$6:$G$20,Cash_Events!$C$6:$C$20,"FHL",Cash_Events!$B$6:$B$20,"&lt;="&amp;A2287)</f>
        <v>735000</v>
      </c>
      <c r="J2287" s="38" t="n">
        <f aca="false">VLOOKUP(A2287,Inputs!$F$40:$G$48,2,TRUE())</f>
        <v>0.0364054</v>
      </c>
      <c r="K2287" s="38" t="n">
        <f aca="false">J2287+Inputs!$C$10</f>
        <v>0.1039054</v>
      </c>
      <c r="L2287" s="37" t="n">
        <f aca="false">I2287*K2287/C2287</f>
        <v>208.662483606557</v>
      </c>
      <c r="M2287" s="37" t="n">
        <f aca="false">IF(AND(A2287&gt;=Inputs!$C$13,OR(A2287&lt;Inputs!$B$19,Inputs!$B$20=1)),I2287*Inputs!$C$11/C2287,0)</f>
        <v>40.1639344262295</v>
      </c>
    </row>
    <row r="2288" customFormat="false" ht="15" hidden="false" customHeight="false" outlineLevel="0" collapsed="false">
      <c r="A2288" s="35" t="n">
        <f aca="false">A2287+1</f>
        <v>47095</v>
      </c>
      <c r="B2288" s="35" t="n">
        <f aca="false">EOMONTH(A2288+1,0)</f>
        <v>47118</v>
      </c>
      <c r="C2288" s="36" t="n">
        <f aca="false">IF(MOD(YEAR(A2288),4)=0,366,365)</f>
        <v>366</v>
      </c>
      <c r="D2288" s="37" t="n">
        <f aca="false">Inputs!$B$9-SUMIFS(Cash_Events!$G$6:$G$20,Cash_Events!$C$6:$C$20,"rAGMF",Cash_Events!$B$6:$B$20,"&lt;="&amp;A2288)</f>
        <v>735000</v>
      </c>
      <c r="E2288" s="38" t="n">
        <f aca="false">VLOOKUP(A2288,Inputs!$A$40:$B$48,2,TRUE())</f>
        <v>0.0363225</v>
      </c>
      <c r="F2288" s="38" t="n">
        <f aca="false">E2288+Inputs!$B$10</f>
        <v>0.1038225</v>
      </c>
      <c r="G2288" s="37" t="n">
        <f aca="false">D2288*F2288/C2288</f>
        <v>208.496004098361</v>
      </c>
      <c r="H2288" s="37" t="n">
        <f aca="false">IF(AND(A2288&gt;=Inputs!$B$13,OR(A2288&lt;Inputs!$B$19,Inputs!$B$20=1)),D2288*Inputs!$B$11/C2288,0)</f>
        <v>40.1639344262295</v>
      </c>
      <c r="I2288" s="37" t="n">
        <f aca="false">Inputs!$C$9-SUMIFS(Cash_Events!$G$6:$G$20,Cash_Events!$C$6:$C$20,"FHL",Cash_Events!$B$6:$B$20,"&lt;="&amp;A2288)</f>
        <v>735000</v>
      </c>
      <c r="J2288" s="38" t="n">
        <f aca="false">VLOOKUP(A2288,Inputs!$F$40:$G$48,2,TRUE())</f>
        <v>0.0364054</v>
      </c>
      <c r="K2288" s="38" t="n">
        <f aca="false">J2288+Inputs!$C$10</f>
        <v>0.1039054</v>
      </c>
      <c r="L2288" s="37" t="n">
        <f aca="false">I2288*K2288/C2288</f>
        <v>208.662483606557</v>
      </c>
      <c r="M2288" s="37" t="n">
        <f aca="false">IF(AND(A2288&gt;=Inputs!$C$13,OR(A2288&lt;Inputs!$B$19,Inputs!$B$20=1)),I2288*Inputs!$C$11/C2288,0)</f>
        <v>40.1639344262295</v>
      </c>
    </row>
    <row r="2289" customFormat="false" ht="15" hidden="false" customHeight="false" outlineLevel="0" collapsed="false">
      <c r="A2289" s="35" t="n">
        <f aca="false">A2288+1</f>
        <v>47096</v>
      </c>
      <c r="B2289" s="35" t="n">
        <f aca="false">EOMONTH(A2289+1,0)</f>
        <v>47118</v>
      </c>
      <c r="C2289" s="36" t="n">
        <f aca="false">IF(MOD(YEAR(A2289),4)=0,366,365)</f>
        <v>366</v>
      </c>
      <c r="D2289" s="37" t="n">
        <f aca="false">Inputs!$B$9-SUMIFS(Cash_Events!$G$6:$G$20,Cash_Events!$C$6:$C$20,"rAGMF",Cash_Events!$B$6:$B$20,"&lt;="&amp;A2289)</f>
        <v>735000</v>
      </c>
      <c r="E2289" s="38" t="n">
        <f aca="false">VLOOKUP(A2289,Inputs!$A$40:$B$48,2,TRUE())</f>
        <v>0.0363225</v>
      </c>
      <c r="F2289" s="38" t="n">
        <f aca="false">E2289+Inputs!$B$10</f>
        <v>0.1038225</v>
      </c>
      <c r="G2289" s="37" t="n">
        <f aca="false">D2289*F2289/C2289</f>
        <v>208.496004098361</v>
      </c>
      <c r="H2289" s="37" t="n">
        <f aca="false">IF(AND(A2289&gt;=Inputs!$B$13,OR(A2289&lt;Inputs!$B$19,Inputs!$B$20=1)),D2289*Inputs!$B$11/C2289,0)</f>
        <v>40.1639344262295</v>
      </c>
      <c r="I2289" s="37" t="n">
        <f aca="false">Inputs!$C$9-SUMIFS(Cash_Events!$G$6:$G$20,Cash_Events!$C$6:$C$20,"FHL",Cash_Events!$B$6:$B$20,"&lt;="&amp;A2289)</f>
        <v>735000</v>
      </c>
      <c r="J2289" s="38" t="n">
        <f aca="false">VLOOKUP(A2289,Inputs!$F$40:$G$48,2,TRUE())</f>
        <v>0.0364054</v>
      </c>
      <c r="K2289" s="38" t="n">
        <f aca="false">J2289+Inputs!$C$10</f>
        <v>0.1039054</v>
      </c>
      <c r="L2289" s="37" t="n">
        <f aca="false">I2289*K2289/C2289</f>
        <v>208.662483606557</v>
      </c>
      <c r="M2289" s="37" t="n">
        <f aca="false">IF(AND(A2289&gt;=Inputs!$C$13,OR(A2289&lt;Inputs!$B$19,Inputs!$B$20=1)),I2289*Inputs!$C$11/C2289,0)</f>
        <v>40.1639344262295</v>
      </c>
    </row>
    <row r="2290" customFormat="false" ht="15" hidden="false" customHeight="false" outlineLevel="0" collapsed="false">
      <c r="A2290" s="35" t="n">
        <f aca="false">A2289+1</f>
        <v>47097</v>
      </c>
      <c r="B2290" s="35" t="n">
        <f aca="false">EOMONTH(A2290+1,0)</f>
        <v>47118</v>
      </c>
      <c r="C2290" s="36" t="n">
        <f aca="false">IF(MOD(YEAR(A2290),4)=0,366,365)</f>
        <v>366</v>
      </c>
      <c r="D2290" s="37" t="n">
        <f aca="false">Inputs!$B$9-SUMIFS(Cash_Events!$G$6:$G$20,Cash_Events!$C$6:$C$20,"rAGMF",Cash_Events!$B$6:$B$20,"&lt;="&amp;A2290)</f>
        <v>735000</v>
      </c>
      <c r="E2290" s="38" t="n">
        <f aca="false">VLOOKUP(A2290,Inputs!$A$40:$B$48,2,TRUE())</f>
        <v>0.0363225</v>
      </c>
      <c r="F2290" s="38" t="n">
        <f aca="false">E2290+Inputs!$B$10</f>
        <v>0.1038225</v>
      </c>
      <c r="G2290" s="37" t="n">
        <f aca="false">D2290*F2290/C2290</f>
        <v>208.496004098361</v>
      </c>
      <c r="H2290" s="37" t="n">
        <f aca="false">IF(AND(A2290&gt;=Inputs!$B$13,OR(A2290&lt;Inputs!$B$19,Inputs!$B$20=1)),D2290*Inputs!$B$11/C2290,0)</f>
        <v>40.1639344262295</v>
      </c>
      <c r="I2290" s="37" t="n">
        <f aca="false">Inputs!$C$9-SUMIFS(Cash_Events!$G$6:$G$20,Cash_Events!$C$6:$C$20,"FHL",Cash_Events!$B$6:$B$20,"&lt;="&amp;A2290)</f>
        <v>735000</v>
      </c>
      <c r="J2290" s="38" t="n">
        <f aca="false">VLOOKUP(A2290,Inputs!$F$40:$G$48,2,TRUE())</f>
        <v>0.0364054</v>
      </c>
      <c r="K2290" s="38" t="n">
        <f aca="false">J2290+Inputs!$C$10</f>
        <v>0.1039054</v>
      </c>
      <c r="L2290" s="37" t="n">
        <f aca="false">I2290*K2290/C2290</f>
        <v>208.662483606557</v>
      </c>
      <c r="M2290" s="37" t="n">
        <f aca="false">IF(AND(A2290&gt;=Inputs!$C$13,OR(A2290&lt;Inputs!$B$19,Inputs!$B$20=1)),I2290*Inputs!$C$11/C2290,0)</f>
        <v>40.1639344262295</v>
      </c>
    </row>
    <row r="2291" customFormat="false" ht="15" hidden="false" customHeight="false" outlineLevel="0" collapsed="false">
      <c r="A2291" s="35" t="n">
        <f aca="false">A2290+1</f>
        <v>47098</v>
      </c>
      <c r="B2291" s="35" t="n">
        <f aca="false">EOMONTH(A2291+1,0)</f>
        <v>47118</v>
      </c>
      <c r="C2291" s="36" t="n">
        <f aca="false">IF(MOD(YEAR(A2291),4)=0,366,365)</f>
        <v>366</v>
      </c>
      <c r="D2291" s="37" t="n">
        <f aca="false">Inputs!$B$9-SUMIFS(Cash_Events!$G$6:$G$20,Cash_Events!$C$6:$C$20,"rAGMF",Cash_Events!$B$6:$B$20,"&lt;="&amp;A2291)</f>
        <v>735000</v>
      </c>
      <c r="E2291" s="38" t="n">
        <f aca="false">VLOOKUP(A2291,Inputs!$A$40:$B$48,2,TRUE())</f>
        <v>0.0363225</v>
      </c>
      <c r="F2291" s="38" t="n">
        <f aca="false">E2291+Inputs!$B$10</f>
        <v>0.1038225</v>
      </c>
      <c r="G2291" s="37" t="n">
        <f aca="false">D2291*F2291/C2291</f>
        <v>208.496004098361</v>
      </c>
      <c r="H2291" s="37" t="n">
        <f aca="false">IF(AND(A2291&gt;=Inputs!$B$13,OR(A2291&lt;Inputs!$B$19,Inputs!$B$20=1)),D2291*Inputs!$B$11/C2291,0)</f>
        <v>40.1639344262295</v>
      </c>
      <c r="I2291" s="37" t="n">
        <f aca="false">Inputs!$C$9-SUMIFS(Cash_Events!$G$6:$G$20,Cash_Events!$C$6:$C$20,"FHL",Cash_Events!$B$6:$B$20,"&lt;="&amp;A2291)</f>
        <v>735000</v>
      </c>
      <c r="J2291" s="38" t="n">
        <f aca="false">VLOOKUP(A2291,Inputs!$F$40:$G$48,2,TRUE())</f>
        <v>0.0364054</v>
      </c>
      <c r="K2291" s="38" t="n">
        <f aca="false">J2291+Inputs!$C$10</f>
        <v>0.1039054</v>
      </c>
      <c r="L2291" s="37" t="n">
        <f aca="false">I2291*K2291/C2291</f>
        <v>208.662483606557</v>
      </c>
      <c r="M2291" s="37" t="n">
        <f aca="false">IF(AND(A2291&gt;=Inputs!$C$13,OR(A2291&lt;Inputs!$B$19,Inputs!$B$20=1)),I2291*Inputs!$C$11/C2291,0)</f>
        <v>40.1639344262295</v>
      </c>
    </row>
    <row r="2292" customFormat="false" ht="15" hidden="false" customHeight="false" outlineLevel="0" collapsed="false">
      <c r="A2292" s="35" t="n">
        <f aca="false">A2291+1</f>
        <v>47099</v>
      </c>
      <c r="B2292" s="35" t="n">
        <f aca="false">EOMONTH(A2292+1,0)</f>
        <v>47118</v>
      </c>
      <c r="C2292" s="36" t="n">
        <f aca="false">IF(MOD(YEAR(A2292),4)=0,366,365)</f>
        <v>366</v>
      </c>
      <c r="D2292" s="37" t="n">
        <f aca="false">Inputs!$B$9-SUMIFS(Cash_Events!$G$6:$G$20,Cash_Events!$C$6:$C$20,"rAGMF",Cash_Events!$B$6:$B$20,"&lt;="&amp;A2292)</f>
        <v>735000</v>
      </c>
      <c r="E2292" s="38" t="n">
        <f aca="false">VLOOKUP(A2292,Inputs!$A$40:$B$48,2,TRUE())</f>
        <v>0.0363225</v>
      </c>
      <c r="F2292" s="38" t="n">
        <f aca="false">E2292+Inputs!$B$10</f>
        <v>0.1038225</v>
      </c>
      <c r="G2292" s="37" t="n">
        <f aca="false">D2292*F2292/C2292</f>
        <v>208.496004098361</v>
      </c>
      <c r="H2292" s="37" t="n">
        <f aca="false">IF(AND(A2292&gt;=Inputs!$B$13,OR(A2292&lt;Inputs!$B$19,Inputs!$B$20=1)),D2292*Inputs!$B$11/C2292,0)</f>
        <v>40.1639344262295</v>
      </c>
      <c r="I2292" s="37" t="n">
        <f aca="false">Inputs!$C$9-SUMIFS(Cash_Events!$G$6:$G$20,Cash_Events!$C$6:$C$20,"FHL",Cash_Events!$B$6:$B$20,"&lt;="&amp;A2292)</f>
        <v>735000</v>
      </c>
      <c r="J2292" s="38" t="n">
        <f aca="false">VLOOKUP(A2292,Inputs!$F$40:$G$48,2,TRUE())</f>
        <v>0.0364054</v>
      </c>
      <c r="K2292" s="38" t="n">
        <f aca="false">J2292+Inputs!$C$10</f>
        <v>0.1039054</v>
      </c>
      <c r="L2292" s="37" t="n">
        <f aca="false">I2292*K2292/C2292</f>
        <v>208.662483606557</v>
      </c>
      <c r="M2292" s="37" t="n">
        <f aca="false">IF(AND(A2292&gt;=Inputs!$C$13,OR(A2292&lt;Inputs!$B$19,Inputs!$B$20=1)),I2292*Inputs!$C$11/C2292,0)</f>
        <v>40.1639344262295</v>
      </c>
    </row>
    <row r="2293" customFormat="false" ht="15" hidden="false" customHeight="false" outlineLevel="0" collapsed="false">
      <c r="A2293" s="35" t="n">
        <f aca="false">A2292+1</f>
        <v>47100</v>
      </c>
      <c r="B2293" s="35" t="n">
        <f aca="false">EOMONTH(A2293+1,0)</f>
        <v>47118</v>
      </c>
      <c r="C2293" s="36" t="n">
        <f aca="false">IF(MOD(YEAR(A2293),4)=0,366,365)</f>
        <v>366</v>
      </c>
      <c r="D2293" s="37" t="n">
        <f aca="false">Inputs!$B$9-SUMIFS(Cash_Events!$G$6:$G$20,Cash_Events!$C$6:$C$20,"rAGMF",Cash_Events!$B$6:$B$20,"&lt;="&amp;A2293)</f>
        <v>735000</v>
      </c>
      <c r="E2293" s="38" t="n">
        <f aca="false">VLOOKUP(A2293,Inputs!$A$40:$B$48,2,TRUE())</f>
        <v>0.0363225</v>
      </c>
      <c r="F2293" s="38" t="n">
        <f aca="false">E2293+Inputs!$B$10</f>
        <v>0.1038225</v>
      </c>
      <c r="G2293" s="37" t="n">
        <f aca="false">D2293*F2293/C2293</f>
        <v>208.496004098361</v>
      </c>
      <c r="H2293" s="37" t="n">
        <f aca="false">IF(AND(A2293&gt;=Inputs!$B$13,OR(A2293&lt;Inputs!$B$19,Inputs!$B$20=1)),D2293*Inputs!$B$11/C2293,0)</f>
        <v>40.1639344262295</v>
      </c>
      <c r="I2293" s="37" t="n">
        <f aca="false">Inputs!$C$9-SUMIFS(Cash_Events!$G$6:$G$20,Cash_Events!$C$6:$C$20,"FHL",Cash_Events!$B$6:$B$20,"&lt;="&amp;A2293)</f>
        <v>735000</v>
      </c>
      <c r="J2293" s="38" t="n">
        <f aca="false">VLOOKUP(A2293,Inputs!$F$40:$G$48,2,TRUE())</f>
        <v>0.0364054</v>
      </c>
      <c r="K2293" s="38" t="n">
        <f aca="false">J2293+Inputs!$C$10</f>
        <v>0.1039054</v>
      </c>
      <c r="L2293" s="37" t="n">
        <f aca="false">I2293*K2293/C2293</f>
        <v>208.662483606557</v>
      </c>
      <c r="M2293" s="37" t="n">
        <f aca="false">IF(AND(A2293&gt;=Inputs!$C$13,OR(A2293&lt;Inputs!$B$19,Inputs!$B$20=1)),I2293*Inputs!$C$11/C2293,0)</f>
        <v>40.1639344262295</v>
      </c>
    </row>
    <row r="2294" customFormat="false" ht="15" hidden="false" customHeight="false" outlineLevel="0" collapsed="false">
      <c r="A2294" s="35" t="n">
        <f aca="false">A2293+1</f>
        <v>47101</v>
      </c>
      <c r="B2294" s="35" t="n">
        <f aca="false">EOMONTH(A2294+1,0)</f>
        <v>47118</v>
      </c>
      <c r="C2294" s="36" t="n">
        <f aca="false">IF(MOD(YEAR(A2294),4)=0,366,365)</f>
        <v>366</v>
      </c>
      <c r="D2294" s="37" t="n">
        <f aca="false">Inputs!$B$9-SUMIFS(Cash_Events!$G$6:$G$20,Cash_Events!$C$6:$C$20,"rAGMF",Cash_Events!$B$6:$B$20,"&lt;="&amp;A2294)</f>
        <v>735000</v>
      </c>
      <c r="E2294" s="38" t="n">
        <f aca="false">VLOOKUP(A2294,Inputs!$A$40:$B$48,2,TRUE())</f>
        <v>0.0363225</v>
      </c>
      <c r="F2294" s="38" t="n">
        <f aca="false">E2294+Inputs!$B$10</f>
        <v>0.1038225</v>
      </c>
      <c r="G2294" s="37" t="n">
        <f aca="false">D2294*F2294/C2294</f>
        <v>208.496004098361</v>
      </c>
      <c r="H2294" s="37" t="n">
        <f aca="false">IF(AND(A2294&gt;=Inputs!$B$13,OR(A2294&lt;Inputs!$B$19,Inputs!$B$20=1)),D2294*Inputs!$B$11/C2294,0)</f>
        <v>40.1639344262295</v>
      </c>
      <c r="I2294" s="37" t="n">
        <f aca="false">Inputs!$C$9-SUMIFS(Cash_Events!$G$6:$G$20,Cash_Events!$C$6:$C$20,"FHL",Cash_Events!$B$6:$B$20,"&lt;="&amp;A2294)</f>
        <v>735000</v>
      </c>
      <c r="J2294" s="38" t="n">
        <f aca="false">VLOOKUP(A2294,Inputs!$F$40:$G$48,2,TRUE())</f>
        <v>0.0364054</v>
      </c>
      <c r="K2294" s="38" t="n">
        <f aca="false">J2294+Inputs!$C$10</f>
        <v>0.1039054</v>
      </c>
      <c r="L2294" s="37" t="n">
        <f aca="false">I2294*K2294/C2294</f>
        <v>208.662483606557</v>
      </c>
      <c r="M2294" s="37" t="n">
        <f aca="false">IF(AND(A2294&gt;=Inputs!$C$13,OR(A2294&lt;Inputs!$B$19,Inputs!$B$20=1)),I2294*Inputs!$C$11/C2294,0)</f>
        <v>40.1639344262295</v>
      </c>
    </row>
    <row r="2295" customFormat="false" ht="15" hidden="false" customHeight="false" outlineLevel="0" collapsed="false">
      <c r="A2295" s="35" t="n">
        <f aca="false">A2294+1</f>
        <v>47102</v>
      </c>
      <c r="B2295" s="35" t="n">
        <f aca="false">EOMONTH(A2295+1,0)</f>
        <v>47118</v>
      </c>
      <c r="C2295" s="36" t="n">
        <f aca="false">IF(MOD(YEAR(A2295),4)=0,366,365)</f>
        <v>366</v>
      </c>
      <c r="D2295" s="37" t="n">
        <f aca="false">Inputs!$B$9-SUMIFS(Cash_Events!$G$6:$G$20,Cash_Events!$C$6:$C$20,"rAGMF",Cash_Events!$B$6:$B$20,"&lt;="&amp;A2295)</f>
        <v>735000</v>
      </c>
      <c r="E2295" s="38" t="n">
        <f aca="false">VLOOKUP(A2295,Inputs!$A$40:$B$48,2,TRUE())</f>
        <v>0.0363225</v>
      </c>
      <c r="F2295" s="38" t="n">
        <f aca="false">E2295+Inputs!$B$10</f>
        <v>0.1038225</v>
      </c>
      <c r="G2295" s="37" t="n">
        <f aca="false">D2295*F2295/C2295</f>
        <v>208.496004098361</v>
      </c>
      <c r="H2295" s="37" t="n">
        <f aca="false">IF(AND(A2295&gt;=Inputs!$B$13,OR(A2295&lt;Inputs!$B$19,Inputs!$B$20=1)),D2295*Inputs!$B$11/C2295,0)</f>
        <v>40.1639344262295</v>
      </c>
      <c r="I2295" s="37" t="n">
        <f aca="false">Inputs!$C$9-SUMIFS(Cash_Events!$G$6:$G$20,Cash_Events!$C$6:$C$20,"FHL",Cash_Events!$B$6:$B$20,"&lt;="&amp;A2295)</f>
        <v>735000</v>
      </c>
      <c r="J2295" s="38" t="n">
        <f aca="false">VLOOKUP(A2295,Inputs!$F$40:$G$48,2,TRUE())</f>
        <v>0.0364054</v>
      </c>
      <c r="K2295" s="38" t="n">
        <f aca="false">J2295+Inputs!$C$10</f>
        <v>0.1039054</v>
      </c>
      <c r="L2295" s="37" t="n">
        <f aca="false">I2295*K2295/C2295</f>
        <v>208.662483606557</v>
      </c>
      <c r="M2295" s="37" t="n">
        <f aca="false">IF(AND(A2295&gt;=Inputs!$C$13,OR(A2295&lt;Inputs!$B$19,Inputs!$B$20=1)),I2295*Inputs!$C$11/C2295,0)</f>
        <v>40.1639344262295</v>
      </c>
    </row>
    <row r="2296" customFormat="false" ht="15" hidden="false" customHeight="false" outlineLevel="0" collapsed="false">
      <c r="A2296" s="35" t="n">
        <f aca="false">A2295+1</f>
        <v>47103</v>
      </c>
      <c r="B2296" s="35" t="n">
        <f aca="false">EOMONTH(A2296+1,0)</f>
        <v>47118</v>
      </c>
      <c r="C2296" s="36" t="n">
        <f aca="false">IF(MOD(YEAR(A2296),4)=0,366,365)</f>
        <v>366</v>
      </c>
      <c r="D2296" s="37" t="n">
        <f aca="false">Inputs!$B$9-SUMIFS(Cash_Events!$G$6:$G$20,Cash_Events!$C$6:$C$20,"rAGMF",Cash_Events!$B$6:$B$20,"&lt;="&amp;A2296)</f>
        <v>735000</v>
      </c>
      <c r="E2296" s="38" t="n">
        <f aca="false">VLOOKUP(A2296,Inputs!$A$40:$B$48,2,TRUE())</f>
        <v>0.0363225</v>
      </c>
      <c r="F2296" s="38" t="n">
        <f aca="false">E2296+Inputs!$B$10</f>
        <v>0.1038225</v>
      </c>
      <c r="G2296" s="37" t="n">
        <f aca="false">D2296*F2296/C2296</f>
        <v>208.496004098361</v>
      </c>
      <c r="H2296" s="37" t="n">
        <f aca="false">IF(AND(A2296&gt;=Inputs!$B$13,OR(A2296&lt;Inputs!$B$19,Inputs!$B$20=1)),D2296*Inputs!$B$11/C2296,0)</f>
        <v>40.1639344262295</v>
      </c>
      <c r="I2296" s="37" t="n">
        <f aca="false">Inputs!$C$9-SUMIFS(Cash_Events!$G$6:$G$20,Cash_Events!$C$6:$C$20,"FHL",Cash_Events!$B$6:$B$20,"&lt;="&amp;A2296)</f>
        <v>735000</v>
      </c>
      <c r="J2296" s="38" t="n">
        <f aca="false">VLOOKUP(A2296,Inputs!$F$40:$G$48,2,TRUE())</f>
        <v>0.0364054</v>
      </c>
      <c r="K2296" s="38" t="n">
        <f aca="false">J2296+Inputs!$C$10</f>
        <v>0.1039054</v>
      </c>
      <c r="L2296" s="37" t="n">
        <f aca="false">I2296*K2296/C2296</f>
        <v>208.662483606557</v>
      </c>
      <c r="M2296" s="37" t="n">
        <f aca="false">IF(AND(A2296&gt;=Inputs!$C$13,OR(A2296&lt;Inputs!$B$19,Inputs!$B$20=1)),I2296*Inputs!$C$11/C2296,0)</f>
        <v>40.1639344262295</v>
      </c>
    </row>
    <row r="2297" customFormat="false" ht="15" hidden="false" customHeight="false" outlineLevel="0" collapsed="false">
      <c r="A2297" s="35" t="n">
        <f aca="false">A2296+1</f>
        <v>47104</v>
      </c>
      <c r="B2297" s="35" t="n">
        <f aca="false">EOMONTH(A2297+1,0)</f>
        <v>47118</v>
      </c>
      <c r="C2297" s="36" t="n">
        <f aca="false">IF(MOD(YEAR(A2297),4)=0,366,365)</f>
        <v>366</v>
      </c>
      <c r="D2297" s="37" t="n">
        <f aca="false">Inputs!$B$9-SUMIFS(Cash_Events!$G$6:$G$20,Cash_Events!$C$6:$C$20,"rAGMF",Cash_Events!$B$6:$B$20,"&lt;="&amp;A2297)</f>
        <v>735000</v>
      </c>
      <c r="E2297" s="38" t="n">
        <f aca="false">VLOOKUP(A2297,Inputs!$A$40:$B$48,2,TRUE())</f>
        <v>0.0363225</v>
      </c>
      <c r="F2297" s="38" t="n">
        <f aca="false">E2297+Inputs!$B$10</f>
        <v>0.1038225</v>
      </c>
      <c r="G2297" s="37" t="n">
        <f aca="false">D2297*F2297/C2297</f>
        <v>208.496004098361</v>
      </c>
      <c r="H2297" s="37" t="n">
        <f aca="false">IF(AND(A2297&gt;=Inputs!$B$13,OR(A2297&lt;Inputs!$B$19,Inputs!$B$20=1)),D2297*Inputs!$B$11/C2297,0)</f>
        <v>40.1639344262295</v>
      </c>
      <c r="I2297" s="37" t="n">
        <f aca="false">Inputs!$C$9-SUMIFS(Cash_Events!$G$6:$G$20,Cash_Events!$C$6:$C$20,"FHL",Cash_Events!$B$6:$B$20,"&lt;="&amp;A2297)</f>
        <v>735000</v>
      </c>
      <c r="J2297" s="38" t="n">
        <f aca="false">VLOOKUP(A2297,Inputs!$F$40:$G$48,2,TRUE())</f>
        <v>0.0364054</v>
      </c>
      <c r="K2297" s="38" t="n">
        <f aca="false">J2297+Inputs!$C$10</f>
        <v>0.1039054</v>
      </c>
      <c r="L2297" s="37" t="n">
        <f aca="false">I2297*K2297/C2297</f>
        <v>208.662483606557</v>
      </c>
      <c r="M2297" s="37" t="n">
        <f aca="false">IF(AND(A2297&gt;=Inputs!$C$13,OR(A2297&lt;Inputs!$B$19,Inputs!$B$20=1)),I2297*Inputs!$C$11/C2297,0)</f>
        <v>40.1639344262295</v>
      </c>
    </row>
    <row r="2298" customFormat="false" ht="15" hidden="false" customHeight="false" outlineLevel="0" collapsed="false">
      <c r="A2298" s="35" t="n">
        <f aca="false">A2297+1</f>
        <v>47105</v>
      </c>
      <c r="B2298" s="35" t="n">
        <f aca="false">EOMONTH(A2298+1,0)</f>
        <v>47118</v>
      </c>
      <c r="C2298" s="36" t="n">
        <f aca="false">IF(MOD(YEAR(A2298),4)=0,366,365)</f>
        <v>366</v>
      </c>
      <c r="D2298" s="37" t="n">
        <f aca="false">Inputs!$B$9-SUMIFS(Cash_Events!$G$6:$G$20,Cash_Events!$C$6:$C$20,"rAGMF",Cash_Events!$B$6:$B$20,"&lt;="&amp;A2298)</f>
        <v>735000</v>
      </c>
      <c r="E2298" s="38" t="n">
        <f aca="false">VLOOKUP(A2298,Inputs!$A$40:$B$48,2,TRUE())</f>
        <v>0.0363225</v>
      </c>
      <c r="F2298" s="38" t="n">
        <f aca="false">E2298+Inputs!$B$10</f>
        <v>0.1038225</v>
      </c>
      <c r="G2298" s="37" t="n">
        <f aca="false">D2298*F2298/C2298</f>
        <v>208.496004098361</v>
      </c>
      <c r="H2298" s="37" t="n">
        <f aca="false">IF(AND(A2298&gt;=Inputs!$B$13,OR(A2298&lt;Inputs!$B$19,Inputs!$B$20=1)),D2298*Inputs!$B$11/C2298,0)</f>
        <v>40.1639344262295</v>
      </c>
      <c r="I2298" s="37" t="n">
        <f aca="false">Inputs!$C$9-SUMIFS(Cash_Events!$G$6:$G$20,Cash_Events!$C$6:$C$20,"FHL",Cash_Events!$B$6:$B$20,"&lt;="&amp;A2298)</f>
        <v>735000</v>
      </c>
      <c r="J2298" s="38" t="n">
        <f aca="false">VLOOKUP(A2298,Inputs!$F$40:$G$48,2,TRUE())</f>
        <v>0.0364054</v>
      </c>
      <c r="K2298" s="38" t="n">
        <f aca="false">J2298+Inputs!$C$10</f>
        <v>0.1039054</v>
      </c>
      <c r="L2298" s="37" t="n">
        <f aca="false">I2298*K2298/C2298</f>
        <v>208.662483606557</v>
      </c>
      <c r="M2298" s="37" t="n">
        <f aca="false">IF(AND(A2298&gt;=Inputs!$C$13,OR(A2298&lt;Inputs!$B$19,Inputs!$B$20=1)),I2298*Inputs!$C$11/C2298,0)</f>
        <v>40.1639344262295</v>
      </c>
    </row>
    <row r="2299" customFormat="false" ht="15" hidden="false" customHeight="false" outlineLevel="0" collapsed="false">
      <c r="A2299" s="35" t="n">
        <f aca="false">A2298+1</f>
        <v>47106</v>
      </c>
      <c r="B2299" s="35" t="n">
        <f aca="false">EOMONTH(A2299+1,0)</f>
        <v>47118</v>
      </c>
      <c r="C2299" s="36" t="n">
        <f aca="false">IF(MOD(YEAR(A2299),4)=0,366,365)</f>
        <v>366</v>
      </c>
      <c r="D2299" s="37" t="n">
        <f aca="false">Inputs!$B$9-SUMIFS(Cash_Events!$G$6:$G$20,Cash_Events!$C$6:$C$20,"rAGMF",Cash_Events!$B$6:$B$20,"&lt;="&amp;A2299)</f>
        <v>735000</v>
      </c>
      <c r="E2299" s="38" t="n">
        <f aca="false">VLOOKUP(A2299,Inputs!$A$40:$B$48,2,TRUE())</f>
        <v>0.0363225</v>
      </c>
      <c r="F2299" s="38" t="n">
        <f aca="false">E2299+Inputs!$B$10</f>
        <v>0.1038225</v>
      </c>
      <c r="G2299" s="37" t="n">
        <f aca="false">D2299*F2299/C2299</f>
        <v>208.496004098361</v>
      </c>
      <c r="H2299" s="37" t="n">
        <f aca="false">IF(AND(A2299&gt;=Inputs!$B$13,OR(A2299&lt;Inputs!$B$19,Inputs!$B$20=1)),D2299*Inputs!$B$11/C2299,0)</f>
        <v>40.1639344262295</v>
      </c>
      <c r="I2299" s="37" t="n">
        <f aca="false">Inputs!$C$9-SUMIFS(Cash_Events!$G$6:$G$20,Cash_Events!$C$6:$C$20,"FHL",Cash_Events!$B$6:$B$20,"&lt;="&amp;A2299)</f>
        <v>735000</v>
      </c>
      <c r="J2299" s="38" t="n">
        <f aca="false">VLOOKUP(A2299,Inputs!$F$40:$G$48,2,TRUE())</f>
        <v>0.0364054</v>
      </c>
      <c r="K2299" s="38" t="n">
        <f aca="false">J2299+Inputs!$C$10</f>
        <v>0.1039054</v>
      </c>
      <c r="L2299" s="37" t="n">
        <f aca="false">I2299*K2299/C2299</f>
        <v>208.662483606557</v>
      </c>
      <c r="M2299" s="37" t="n">
        <f aca="false">IF(AND(A2299&gt;=Inputs!$C$13,OR(A2299&lt;Inputs!$B$19,Inputs!$B$20=1)),I2299*Inputs!$C$11/C2299,0)</f>
        <v>40.1639344262295</v>
      </c>
    </row>
    <row r="2300" customFormat="false" ht="15" hidden="false" customHeight="false" outlineLevel="0" collapsed="false">
      <c r="A2300" s="35" t="n">
        <f aca="false">A2299+1</f>
        <v>47107</v>
      </c>
      <c r="B2300" s="35" t="n">
        <f aca="false">EOMONTH(A2300+1,0)</f>
        <v>47118</v>
      </c>
      <c r="C2300" s="36" t="n">
        <f aca="false">IF(MOD(YEAR(A2300),4)=0,366,365)</f>
        <v>366</v>
      </c>
      <c r="D2300" s="37" t="n">
        <f aca="false">Inputs!$B$9-SUMIFS(Cash_Events!$G$6:$G$20,Cash_Events!$C$6:$C$20,"rAGMF",Cash_Events!$B$6:$B$20,"&lt;="&amp;A2300)</f>
        <v>735000</v>
      </c>
      <c r="E2300" s="38" t="n">
        <f aca="false">VLOOKUP(A2300,Inputs!$A$40:$B$48,2,TRUE())</f>
        <v>0.0363225</v>
      </c>
      <c r="F2300" s="38" t="n">
        <f aca="false">E2300+Inputs!$B$10</f>
        <v>0.1038225</v>
      </c>
      <c r="G2300" s="37" t="n">
        <f aca="false">D2300*F2300/C2300</f>
        <v>208.496004098361</v>
      </c>
      <c r="H2300" s="37" t="n">
        <f aca="false">IF(AND(A2300&gt;=Inputs!$B$13,OR(A2300&lt;Inputs!$B$19,Inputs!$B$20=1)),D2300*Inputs!$B$11/C2300,0)</f>
        <v>40.1639344262295</v>
      </c>
      <c r="I2300" s="37" t="n">
        <f aca="false">Inputs!$C$9-SUMIFS(Cash_Events!$G$6:$G$20,Cash_Events!$C$6:$C$20,"FHL",Cash_Events!$B$6:$B$20,"&lt;="&amp;A2300)</f>
        <v>735000</v>
      </c>
      <c r="J2300" s="38" t="n">
        <f aca="false">VLOOKUP(A2300,Inputs!$F$40:$G$48,2,TRUE())</f>
        <v>0.0364054</v>
      </c>
      <c r="K2300" s="38" t="n">
        <f aca="false">J2300+Inputs!$C$10</f>
        <v>0.1039054</v>
      </c>
      <c r="L2300" s="37" t="n">
        <f aca="false">I2300*K2300/C2300</f>
        <v>208.662483606557</v>
      </c>
      <c r="M2300" s="37" t="n">
        <f aca="false">IF(AND(A2300&gt;=Inputs!$C$13,OR(A2300&lt;Inputs!$B$19,Inputs!$B$20=1)),I2300*Inputs!$C$11/C2300,0)</f>
        <v>40.1639344262295</v>
      </c>
    </row>
    <row r="2301" customFormat="false" ht="15" hidden="false" customHeight="false" outlineLevel="0" collapsed="false">
      <c r="A2301" s="35" t="n">
        <f aca="false">A2300+1</f>
        <v>47108</v>
      </c>
      <c r="B2301" s="35" t="n">
        <f aca="false">EOMONTH(A2301+1,0)</f>
        <v>47118</v>
      </c>
      <c r="C2301" s="36" t="n">
        <f aca="false">IF(MOD(YEAR(A2301),4)=0,366,365)</f>
        <v>366</v>
      </c>
      <c r="D2301" s="37" t="n">
        <f aca="false">Inputs!$B$9-SUMIFS(Cash_Events!$G$6:$G$20,Cash_Events!$C$6:$C$20,"rAGMF",Cash_Events!$B$6:$B$20,"&lt;="&amp;A2301)</f>
        <v>735000</v>
      </c>
      <c r="E2301" s="38" t="n">
        <f aca="false">VLOOKUP(A2301,Inputs!$A$40:$B$48,2,TRUE())</f>
        <v>0.0363225</v>
      </c>
      <c r="F2301" s="38" t="n">
        <f aca="false">E2301+Inputs!$B$10</f>
        <v>0.1038225</v>
      </c>
      <c r="G2301" s="37" t="n">
        <f aca="false">D2301*F2301/C2301</f>
        <v>208.496004098361</v>
      </c>
      <c r="H2301" s="37" t="n">
        <f aca="false">IF(AND(A2301&gt;=Inputs!$B$13,OR(A2301&lt;Inputs!$B$19,Inputs!$B$20=1)),D2301*Inputs!$B$11/C2301,0)</f>
        <v>40.1639344262295</v>
      </c>
      <c r="I2301" s="37" t="n">
        <f aca="false">Inputs!$C$9-SUMIFS(Cash_Events!$G$6:$G$20,Cash_Events!$C$6:$C$20,"FHL",Cash_Events!$B$6:$B$20,"&lt;="&amp;A2301)</f>
        <v>735000</v>
      </c>
      <c r="J2301" s="38" t="n">
        <f aca="false">VLOOKUP(A2301,Inputs!$F$40:$G$48,2,TRUE())</f>
        <v>0.0364054</v>
      </c>
      <c r="K2301" s="38" t="n">
        <f aca="false">J2301+Inputs!$C$10</f>
        <v>0.1039054</v>
      </c>
      <c r="L2301" s="37" t="n">
        <f aca="false">I2301*K2301/C2301</f>
        <v>208.662483606557</v>
      </c>
      <c r="M2301" s="37" t="n">
        <f aca="false">IF(AND(A2301&gt;=Inputs!$C$13,OR(A2301&lt;Inputs!$B$19,Inputs!$B$20=1)),I2301*Inputs!$C$11/C2301,0)</f>
        <v>40.1639344262295</v>
      </c>
    </row>
    <row r="2302" customFormat="false" ht="15" hidden="false" customHeight="false" outlineLevel="0" collapsed="false">
      <c r="A2302" s="35" t="n">
        <f aca="false">A2301+1</f>
        <v>47109</v>
      </c>
      <c r="B2302" s="35" t="n">
        <f aca="false">EOMONTH(A2302+1,0)</f>
        <v>47118</v>
      </c>
      <c r="C2302" s="36" t="n">
        <f aca="false">IF(MOD(YEAR(A2302),4)=0,366,365)</f>
        <v>366</v>
      </c>
      <c r="D2302" s="37" t="n">
        <f aca="false">Inputs!$B$9-SUMIFS(Cash_Events!$G$6:$G$20,Cash_Events!$C$6:$C$20,"rAGMF",Cash_Events!$B$6:$B$20,"&lt;="&amp;A2302)</f>
        <v>735000</v>
      </c>
      <c r="E2302" s="38" t="n">
        <f aca="false">VLOOKUP(A2302,Inputs!$A$40:$B$48,2,TRUE())</f>
        <v>0.0363225</v>
      </c>
      <c r="F2302" s="38" t="n">
        <f aca="false">E2302+Inputs!$B$10</f>
        <v>0.1038225</v>
      </c>
      <c r="G2302" s="37" t="n">
        <f aca="false">D2302*F2302/C2302</f>
        <v>208.496004098361</v>
      </c>
      <c r="H2302" s="37" t="n">
        <f aca="false">IF(AND(A2302&gt;=Inputs!$B$13,OR(A2302&lt;Inputs!$B$19,Inputs!$B$20=1)),D2302*Inputs!$B$11/C2302,0)</f>
        <v>40.1639344262295</v>
      </c>
      <c r="I2302" s="37" t="n">
        <f aca="false">Inputs!$C$9-SUMIFS(Cash_Events!$G$6:$G$20,Cash_Events!$C$6:$C$20,"FHL",Cash_Events!$B$6:$B$20,"&lt;="&amp;A2302)</f>
        <v>735000</v>
      </c>
      <c r="J2302" s="38" t="n">
        <f aca="false">VLOOKUP(A2302,Inputs!$F$40:$G$48,2,TRUE())</f>
        <v>0.0364054</v>
      </c>
      <c r="K2302" s="38" t="n">
        <f aca="false">J2302+Inputs!$C$10</f>
        <v>0.1039054</v>
      </c>
      <c r="L2302" s="37" t="n">
        <f aca="false">I2302*K2302/C2302</f>
        <v>208.662483606557</v>
      </c>
      <c r="M2302" s="37" t="n">
        <f aca="false">IF(AND(A2302&gt;=Inputs!$C$13,OR(A2302&lt;Inputs!$B$19,Inputs!$B$20=1)),I2302*Inputs!$C$11/C2302,0)</f>
        <v>40.1639344262295</v>
      </c>
    </row>
    <row r="2303" customFormat="false" ht="15" hidden="false" customHeight="false" outlineLevel="0" collapsed="false">
      <c r="A2303" s="35" t="n">
        <f aca="false">A2302+1</f>
        <v>47110</v>
      </c>
      <c r="B2303" s="35" t="n">
        <f aca="false">EOMONTH(A2303+1,0)</f>
        <v>47118</v>
      </c>
      <c r="C2303" s="36" t="n">
        <f aca="false">IF(MOD(YEAR(A2303),4)=0,366,365)</f>
        <v>366</v>
      </c>
      <c r="D2303" s="37" t="n">
        <f aca="false">Inputs!$B$9-SUMIFS(Cash_Events!$G$6:$G$20,Cash_Events!$C$6:$C$20,"rAGMF",Cash_Events!$B$6:$B$20,"&lt;="&amp;A2303)</f>
        <v>735000</v>
      </c>
      <c r="E2303" s="38" t="n">
        <f aca="false">VLOOKUP(A2303,Inputs!$A$40:$B$48,2,TRUE())</f>
        <v>0.0363225</v>
      </c>
      <c r="F2303" s="38" t="n">
        <f aca="false">E2303+Inputs!$B$10</f>
        <v>0.1038225</v>
      </c>
      <c r="G2303" s="37" t="n">
        <f aca="false">D2303*F2303/C2303</f>
        <v>208.496004098361</v>
      </c>
      <c r="H2303" s="37" t="n">
        <f aca="false">IF(AND(A2303&gt;=Inputs!$B$13,OR(A2303&lt;Inputs!$B$19,Inputs!$B$20=1)),D2303*Inputs!$B$11/C2303,0)</f>
        <v>40.1639344262295</v>
      </c>
      <c r="I2303" s="37" t="n">
        <f aca="false">Inputs!$C$9-SUMIFS(Cash_Events!$G$6:$G$20,Cash_Events!$C$6:$C$20,"FHL",Cash_Events!$B$6:$B$20,"&lt;="&amp;A2303)</f>
        <v>735000</v>
      </c>
      <c r="J2303" s="38" t="n">
        <f aca="false">VLOOKUP(A2303,Inputs!$F$40:$G$48,2,TRUE())</f>
        <v>0.0364054</v>
      </c>
      <c r="K2303" s="38" t="n">
        <f aca="false">J2303+Inputs!$C$10</f>
        <v>0.1039054</v>
      </c>
      <c r="L2303" s="37" t="n">
        <f aca="false">I2303*K2303/C2303</f>
        <v>208.662483606557</v>
      </c>
      <c r="M2303" s="37" t="n">
        <f aca="false">IF(AND(A2303&gt;=Inputs!$C$13,OR(A2303&lt;Inputs!$B$19,Inputs!$B$20=1)),I2303*Inputs!$C$11/C2303,0)</f>
        <v>40.1639344262295</v>
      </c>
    </row>
    <row r="2304" customFormat="false" ht="15" hidden="false" customHeight="false" outlineLevel="0" collapsed="false">
      <c r="A2304" s="35" t="n">
        <f aca="false">A2303+1</f>
        <v>47111</v>
      </c>
      <c r="B2304" s="35" t="n">
        <f aca="false">EOMONTH(A2304+1,0)</f>
        <v>47118</v>
      </c>
      <c r="C2304" s="36" t="n">
        <f aca="false">IF(MOD(YEAR(A2304),4)=0,366,365)</f>
        <v>366</v>
      </c>
      <c r="D2304" s="37" t="n">
        <f aca="false">Inputs!$B$9-SUMIFS(Cash_Events!$G$6:$G$20,Cash_Events!$C$6:$C$20,"rAGMF",Cash_Events!$B$6:$B$20,"&lt;="&amp;A2304)</f>
        <v>735000</v>
      </c>
      <c r="E2304" s="38" t="n">
        <f aca="false">VLOOKUP(A2304,Inputs!$A$40:$B$48,2,TRUE())</f>
        <v>0.0363225</v>
      </c>
      <c r="F2304" s="38" t="n">
        <f aca="false">E2304+Inputs!$B$10</f>
        <v>0.1038225</v>
      </c>
      <c r="G2304" s="37" t="n">
        <f aca="false">D2304*F2304/C2304</f>
        <v>208.496004098361</v>
      </c>
      <c r="H2304" s="37" t="n">
        <f aca="false">IF(AND(A2304&gt;=Inputs!$B$13,OR(A2304&lt;Inputs!$B$19,Inputs!$B$20=1)),D2304*Inputs!$B$11/C2304,0)</f>
        <v>40.1639344262295</v>
      </c>
      <c r="I2304" s="37" t="n">
        <f aca="false">Inputs!$C$9-SUMIFS(Cash_Events!$G$6:$G$20,Cash_Events!$C$6:$C$20,"FHL",Cash_Events!$B$6:$B$20,"&lt;="&amp;A2304)</f>
        <v>735000</v>
      </c>
      <c r="J2304" s="38" t="n">
        <f aca="false">VLOOKUP(A2304,Inputs!$F$40:$G$48,2,TRUE())</f>
        <v>0.0364054</v>
      </c>
      <c r="K2304" s="38" t="n">
        <f aca="false">J2304+Inputs!$C$10</f>
        <v>0.1039054</v>
      </c>
      <c r="L2304" s="37" t="n">
        <f aca="false">I2304*K2304/C2304</f>
        <v>208.662483606557</v>
      </c>
      <c r="M2304" s="37" t="n">
        <f aca="false">IF(AND(A2304&gt;=Inputs!$C$13,OR(A2304&lt;Inputs!$B$19,Inputs!$B$20=1)),I2304*Inputs!$C$11/C2304,0)</f>
        <v>40.1639344262295</v>
      </c>
    </row>
    <row r="2305" customFormat="false" ht="15" hidden="false" customHeight="false" outlineLevel="0" collapsed="false">
      <c r="A2305" s="35" t="n">
        <f aca="false">A2304+1</f>
        <v>47112</v>
      </c>
      <c r="B2305" s="35" t="n">
        <f aca="false">EOMONTH(A2305+1,0)</f>
        <v>47118</v>
      </c>
      <c r="C2305" s="36" t="n">
        <f aca="false">IF(MOD(YEAR(A2305),4)=0,366,365)</f>
        <v>366</v>
      </c>
      <c r="D2305" s="37" t="n">
        <f aca="false">Inputs!$B$9-SUMIFS(Cash_Events!$G$6:$G$20,Cash_Events!$C$6:$C$20,"rAGMF",Cash_Events!$B$6:$B$20,"&lt;="&amp;A2305)</f>
        <v>735000</v>
      </c>
      <c r="E2305" s="38" t="n">
        <f aca="false">VLOOKUP(A2305,Inputs!$A$40:$B$48,2,TRUE())</f>
        <v>0.0363225</v>
      </c>
      <c r="F2305" s="38" t="n">
        <f aca="false">E2305+Inputs!$B$10</f>
        <v>0.1038225</v>
      </c>
      <c r="G2305" s="37" t="n">
        <f aca="false">D2305*F2305/C2305</f>
        <v>208.496004098361</v>
      </c>
      <c r="H2305" s="37" t="n">
        <f aca="false">IF(AND(A2305&gt;=Inputs!$B$13,OR(A2305&lt;Inputs!$B$19,Inputs!$B$20=1)),D2305*Inputs!$B$11/C2305,0)</f>
        <v>40.1639344262295</v>
      </c>
      <c r="I2305" s="37" t="n">
        <f aca="false">Inputs!$C$9-SUMIFS(Cash_Events!$G$6:$G$20,Cash_Events!$C$6:$C$20,"FHL",Cash_Events!$B$6:$B$20,"&lt;="&amp;A2305)</f>
        <v>735000</v>
      </c>
      <c r="J2305" s="38" t="n">
        <f aca="false">VLOOKUP(A2305,Inputs!$F$40:$G$48,2,TRUE())</f>
        <v>0.0364054</v>
      </c>
      <c r="K2305" s="38" t="n">
        <f aca="false">J2305+Inputs!$C$10</f>
        <v>0.1039054</v>
      </c>
      <c r="L2305" s="37" t="n">
        <f aca="false">I2305*K2305/C2305</f>
        <v>208.662483606557</v>
      </c>
      <c r="M2305" s="37" t="n">
        <f aca="false">IF(AND(A2305&gt;=Inputs!$C$13,OR(A2305&lt;Inputs!$B$19,Inputs!$B$20=1)),I2305*Inputs!$C$11/C2305,0)</f>
        <v>40.1639344262295</v>
      </c>
    </row>
    <row r="2306" customFormat="false" ht="15" hidden="false" customHeight="false" outlineLevel="0" collapsed="false">
      <c r="A2306" s="35" t="n">
        <f aca="false">A2305+1</f>
        <v>47113</v>
      </c>
      <c r="B2306" s="35" t="n">
        <f aca="false">EOMONTH(A2306+1,0)</f>
        <v>47118</v>
      </c>
      <c r="C2306" s="36" t="n">
        <f aca="false">IF(MOD(YEAR(A2306),4)=0,366,365)</f>
        <v>366</v>
      </c>
      <c r="D2306" s="37" t="n">
        <f aca="false">Inputs!$B$9-SUMIFS(Cash_Events!$G$6:$G$20,Cash_Events!$C$6:$C$20,"rAGMF",Cash_Events!$B$6:$B$20,"&lt;="&amp;A2306)</f>
        <v>735000</v>
      </c>
      <c r="E2306" s="38" t="n">
        <f aca="false">VLOOKUP(A2306,Inputs!$A$40:$B$48,2,TRUE())</f>
        <v>0.0363225</v>
      </c>
      <c r="F2306" s="38" t="n">
        <f aca="false">E2306+Inputs!$B$10</f>
        <v>0.1038225</v>
      </c>
      <c r="G2306" s="37" t="n">
        <f aca="false">D2306*F2306/C2306</f>
        <v>208.496004098361</v>
      </c>
      <c r="H2306" s="37" t="n">
        <f aca="false">IF(AND(A2306&gt;=Inputs!$B$13,OR(A2306&lt;Inputs!$B$19,Inputs!$B$20=1)),D2306*Inputs!$B$11/C2306,0)</f>
        <v>40.1639344262295</v>
      </c>
      <c r="I2306" s="37" t="n">
        <f aca="false">Inputs!$C$9-SUMIFS(Cash_Events!$G$6:$G$20,Cash_Events!$C$6:$C$20,"FHL",Cash_Events!$B$6:$B$20,"&lt;="&amp;A2306)</f>
        <v>735000</v>
      </c>
      <c r="J2306" s="38" t="n">
        <f aca="false">VLOOKUP(A2306,Inputs!$F$40:$G$48,2,TRUE())</f>
        <v>0.0364054</v>
      </c>
      <c r="K2306" s="38" t="n">
        <f aca="false">J2306+Inputs!$C$10</f>
        <v>0.1039054</v>
      </c>
      <c r="L2306" s="37" t="n">
        <f aca="false">I2306*K2306/C2306</f>
        <v>208.662483606557</v>
      </c>
      <c r="M2306" s="37" t="n">
        <f aca="false">IF(AND(A2306&gt;=Inputs!$C$13,OR(A2306&lt;Inputs!$B$19,Inputs!$B$20=1)),I2306*Inputs!$C$11/C2306,0)</f>
        <v>40.1639344262295</v>
      </c>
    </row>
    <row r="2307" customFormat="false" ht="15" hidden="false" customHeight="false" outlineLevel="0" collapsed="false">
      <c r="A2307" s="35" t="n">
        <f aca="false">A2306+1</f>
        <v>47114</v>
      </c>
      <c r="B2307" s="35" t="n">
        <f aca="false">EOMONTH(A2307+1,0)</f>
        <v>47118</v>
      </c>
      <c r="C2307" s="36" t="n">
        <f aca="false">IF(MOD(YEAR(A2307),4)=0,366,365)</f>
        <v>366</v>
      </c>
      <c r="D2307" s="37" t="n">
        <f aca="false">Inputs!$B$9-SUMIFS(Cash_Events!$G$6:$G$20,Cash_Events!$C$6:$C$20,"rAGMF",Cash_Events!$B$6:$B$20,"&lt;="&amp;A2307)</f>
        <v>735000</v>
      </c>
      <c r="E2307" s="38" t="n">
        <f aca="false">VLOOKUP(A2307,Inputs!$A$40:$B$48,2,TRUE())</f>
        <v>0.0363225</v>
      </c>
      <c r="F2307" s="38" t="n">
        <f aca="false">E2307+Inputs!$B$10</f>
        <v>0.1038225</v>
      </c>
      <c r="G2307" s="37" t="n">
        <f aca="false">D2307*F2307/C2307</f>
        <v>208.496004098361</v>
      </c>
      <c r="H2307" s="37" t="n">
        <f aca="false">IF(AND(A2307&gt;=Inputs!$B$13,OR(A2307&lt;Inputs!$B$19,Inputs!$B$20=1)),D2307*Inputs!$B$11/C2307,0)</f>
        <v>40.1639344262295</v>
      </c>
      <c r="I2307" s="37" t="n">
        <f aca="false">Inputs!$C$9-SUMIFS(Cash_Events!$G$6:$G$20,Cash_Events!$C$6:$C$20,"FHL",Cash_Events!$B$6:$B$20,"&lt;="&amp;A2307)</f>
        <v>735000</v>
      </c>
      <c r="J2307" s="38" t="n">
        <f aca="false">VLOOKUP(A2307,Inputs!$F$40:$G$48,2,TRUE())</f>
        <v>0.0364054</v>
      </c>
      <c r="K2307" s="38" t="n">
        <f aca="false">J2307+Inputs!$C$10</f>
        <v>0.1039054</v>
      </c>
      <c r="L2307" s="37" t="n">
        <f aca="false">I2307*K2307/C2307</f>
        <v>208.662483606557</v>
      </c>
      <c r="M2307" s="37" t="n">
        <f aca="false">IF(AND(A2307&gt;=Inputs!$C$13,OR(A2307&lt;Inputs!$B$19,Inputs!$B$20=1)),I2307*Inputs!$C$11/C2307,0)</f>
        <v>40.1639344262295</v>
      </c>
    </row>
    <row r="2308" customFormat="false" ht="15" hidden="false" customHeight="false" outlineLevel="0" collapsed="false">
      <c r="A2308" s="35" t="n">
        <f aca="false">A2307+1</f>
        <v>47115</v>
      </c>
      <c r="B2308" s="35" t="n">
        <f aca="false">EOMONTH(A2308+1,0)</f>
        <v>47118</v>
      </c>
      <c r="C2308" s="36" t="n">
        <f aca="false">IF(MOD(YEAR(A2308),4)=0,366,365)</f>
        <v>366</v>
      </c>
      <c r="D2308" s="37" t="n">
        <f aca="false">Inputs!$B$9-SUMIFS(Cash_Events!$G$6:$G$20,Cash_Events!$C$6:$C$20,"rAGMF",Cash_Events!$B$6:$B$20,"&lt;="&amp;A2308)</f>
        <v>735000</v>
      </c>
      <c r="E2308" s="38" t="n">
        <f aca="false">VLOOKUP(A2308,Inputs!$A$40:$B$48,2,TRUE())</f>
        <v>0.0363225</v>
      </c>
      <c r="F2308" s="38" t="n">
        <f aca="false">E2308+Inputs!$B$10</f>
        <v>0.1038225</v>
      </c>
      <c r="G2308" s="37" t="n">
        <f aca="false">D2308*F2308/C2308</f>
        <v>208.496004098361</v>
      </c>
      <c r="H2308" s="37" t="n">
        <f aca="false">IF(AND(A2308&gt;=Inputs!$B$13,OR(A2308&lt;Inputs!$B$19,Inputs!$B$20=1)),D2308*Inputs!$B$11/C2308,0)</f>
        <v>40.1639344262295</v>
      </c>
      <c r="I2308" s="37" t="n">
        <f aca="false">Inputs!$C$9-SUMIFS(Cash_Events!$G$6:$G$20,Cash_Events!$C$6:$C$20,"FHL",Cash_Events!$B$6:$B$20,"&lt;="&amp;A2308)</f>
        <v>735000</v>
      </c>
      <c r="J2308" s="38" t="n">
        <f aca="false">VLOOKUP(A2308,Inputs!$F$40:$G$48,2,TRUE())</f>
        <v>0.0364054</v>
      </c>
      <c r="K2308" s="38" t="n">
        <f aca="false">J2308+Inputs!$C$10</f>
        <v>0.1039054</v>
      </c>
      <c r="L2308" s="37" t="n">
        <f aca="false">I2308*K2308/C2308</f>
        <v>208.662483606557</v>
      </c>
      <c r="M2308" s="37" t="n">
        <f aca="false">IF(AND(A2308&gt;=Inputs!$C$13,OR(A2308&lt;Inputs!$B$19,Inputs!$B$20=1)),I2308*Inputs!$C$11/C2308,0)</f>
        <v>40.1639344262295</v>
      </c>
    </row>
    <row r="2309" customFormat="false" ht="15" hidden="false" customHeight="false" outlineLevel="0" collapsed="false">
      <c r="A2309" s="35" t="n">
        <f aca="false">A2308+1</f>
        <v>47116</v>
      </c>
      <c r="B2309" s="35" t="n">
        <f aca="false">EOMONTH(A2309+1,0)</f>
        <v>47118</v>
      </c>
      <c r="C2309" s="36" t="n">
        <f aca="false">IF(MOD(YEAR(A2309),4)=0,366,365)</f>
        <v>366</v>
      </c>
      <c r="D2309" s="37" t="n">
        <f aca="false">Inputs!$B$9-SUMIFS(Cash_Events!$G$6:$G$20,Cash_Events!$C$6:$C$20,"rAGMF",Cash_Events!$B$6:$B$20,"&lt;="&amp;A2309)</f>
        <v>735000</v>
      </c>
      <c r="E2309" s="38" t="n">
        <f aca="false">VLOOKUP(A2309,Inputs!$A$40:$B$48,2,TRUE())</f>
        <v>0.0363225</v>
      </c>
      <c r="F2309" s="38" t="n">
        <f aca="false">E2309+Inputs!$B$10</f>
        <v>0.1038225</v>
      </c>
      <c r="G2309" s="37" t="n">
        <f aca="false">D2309*F2309/C2309</f>
        <v>208.496004098361</v>
      </c>
      <c r="H2309" s="37" t="n">
        <f aca="false">IF(AND(A2309&gt;=Inputs!$B$13,OR(A2309&lt;Inputs!$B$19,Inputs!$B$20=1)),D2309*Inputs!$B$11/C2309,0)</f>
        <v>40.1639344262295</v>
      </c>
      <c r="I2309" s="37" t="n">
        <f aca="false">Inputs!$C$9-SUMIFS(Cash_Events!$G$6:$G$20,Cash_Events!$C$6:$C$20,"FHL",Cash_Events!$B$6:$B$20,"&lt;="&amp;A2309)</f>
        <v>735000</v>
      </c>
      <c r="J2309" s="38" t="n">
        <f aca="false">VLOOKUP(A2309,Inputs!$F$40:$G$48,2,TRUE())</f>
        <v>0.0364054</v>
      </c>
      <c r="K2309" s="38" t="n">
        <f aca="false">J2309+Inputs!$C$10</f>
        <v>0.1039054</v>
      </c>
      <c r="L2309" s="37" t="n">
        <f aca="false">I2309*K2309/C2309</f>
        <v>208.662483606557</v>
      </c>
      <c r="M2309" s="37" t="n">
        <f aca="false">IF(AND(A2309&gt;=Inputs!$C$13,OR(A2309&lt;Inputs!$B$19,Inputs!$B$20=1)),I2309*Inputs!$C$11/C2309,0)</f>
        <v>40.1639344262295</v>
      </c>
    </row>
    <row r="2310" customFormat="false" ht="15" hidden="false" customHeight="false" outlineLevel="0" collapsed="false">
      <c r="A2310" s="35" t="n">
        <f aca="false">A2309+1</f>
        <v>47117</v>
      </c>
      <c r="B2310" s="35" t="n">
        <f aca="false">EOMONTH(A2310+1,0)</f>
        <v>47118</v>
      </c>
      <c r="C2310" s="36" t="n">
        <f aca="false">IF(MOD(YEAR(A2310),4)=0,366,365)</f>
        <v>366</v>
      </c>
      <c r="D2310" s="37" t="n">
        <f aca="false">Inputs!$B$9-SUMIFS(Cash_Events!$G$6:$G$20,Cash_Events!$C$6:$C$20,"rAGMF",Cash_Events!$B$6:$B$20,"&lt;="&amp;A2310)</f>
        <v>735000</v>
      </c>
      <c r="E2310" s="38" t="n">
        <f aca="false">VLOOKUP(A2310,Inputs!$A$40:$B$48,2,TRUE())</f>
        <v>0.0363225</v>
      </c>
      <c r="F2310" s="38" t="n">
        <f aca="false">E2310+Inputs!$B$10</f>
        <v>0.1038225</v>
      </c>
      <c r="G2310" s="37" t="n">
        <f aca="false">D2310*F2310/C2310</f>
        <v>208.496004098361</v>
      </c>
      <c r="H2310" s="37" t="n">
        <f aca="false">IF(AND(A2310&gt;=Inputs!$B$13,OR(A2310&lt;Inputs!$B$19,Inputs!$B$20=1)),D2310*Inputs!$B$11/C2310,0)</f>
        <v>40.1639344262295</v>
      </c>
      <c r="I2310" s="37" t="n">
        <f aca="false">Inputs!$C$9-SUMIFS(Cash_Events!$G$6:$G$20,Cash_Events!$C$6:$C$20,"FHL",Cash_Events!$B$6:$B$20,"&lt;="&amp;A2310)</f>
        <v>735000</v>
      </c>
      <c r="J2310" s="38" t="n">
        <f aca="false">VLOOKUP(A2310,Inputs!$F$40:$G$48,2,TRUE())</f>
        <v>0.0364054</v>
      </c>
      <c r="K2310" s="38" t="n">
        <f aca="false">J2310+Inputs!$C$10</f>
        <v>0.1039054</v>
      </c>
      <c r="L2310" s="37" t="n">
        <f aca="false">I2310*K2310/C2310</f>
        <v>208.662483606557</v>
      </c>
      <c r="M2310" s="37" t="n">
        <f aca="false">IF(AND(A2310&gt;=Inputs!$C$13,OR(A2310&lt;Inputs!$B$19,Inputs!$B$20=1)),I2310*Inputs!$C$11/C2310,0)</f>
        <v>40.1639344262295</v>
      </c>
    </row>
    <row r="2311" customFormat="false" ht="15" hidden="false" customHeight="false" outlineLevel="0" collapsed="false">
      <c r="A2311" s="35" t="n">
        <f aca="false">A2310+1</f>
        <v>47118</v>
      </c>
      <c r="B2311" s="35" t="n">
        <f aca="false">EOMONTH(A2311+1,0)</f>
        <v>47149</v>
      </c>
      <c r="C2311" s="36" t="n">
        <f aca="false">IF(MOD(YEAR(A2311),4)=0,366,365)</f>
        <v>366</v>
      </c>
      <c r="D2311" s="37" t="n">
        <f aca="false">Inputs!$B$9-SUMIFS(Cash_Events!$G$6:$G$20,Cash_Events!$C$6:$C$20,"rAGMF",Cash_Events!$B$6:$B$20,"&lt;="&amp;A2311)</f>
        <v>735000</v>
      </c>
      <c r="E2311" s="38" t="n">
        <f aca="false">VLOOKUP(A2311,Inputs!$A$40:$B$48,2,TRUE())</f>
        <v>0.0363225</v>
      </c>
      <c r="F2311" s="38" t="n">
        <f aca="false">E2311+Inputs!$B$10</f>
        <v>0.1038225</v>
      </c>
      <c r="G2311" s="37" t="n">
        <f aca="false">D2311*F2311/C2311</f>
        <v>208.496004098361</v>
      </c>
      <c r="H2311" s="37" t="n">
        <f aca="false">IF(AND(A2311&gt;=Inputs!$B$13,OR(A2311&lt;Inputs!$B$19,Inputs!$B$20=1)),D2311*Inputs!$B$11/C2311,0)</f>
        <v>40.1639344262295</v>
      </c>
      <c r="I2311" s="37" t="n">
        <f aca="false">Inputs!$C$9-SUMIFS(Cash_Events!$G$6:$G$20,Cash_Events!$C$6:$C$20,"FHL",Cash_Events!$B$6:$B$20,"&lt;="&amp;A2311)</f>
        <v>735000</v>
      </c>
      <c r="J2311" s="38" t="n">
        <f aca="false">VLOOKUP(A2311,Inputs!$F$40:$G$48,2,TRUE())</f>
        <v>0.0364054</v>
      </c>
      <c r="K2311" s="38" t="n">
        <f aca="false">J2311+Inputs!$C$10</f>
        <v>0.1039054</v>
      </c>
      <c r="L2311" s="37" t="n">
        <f aca="false">I2311*K2311/C2311</f>
        <v>208.662483606557</v>
      </c>
      <c r="M2311" s="37" t="n">
        <f aca="false">IF(AND(A2311&gt;=Inputs!$C$13,OR(A2311&lt;Inputs!$B$19,Inputs!$B$20=1)),I2311*Inputs!$C$11/C2311,0)</f>
        <v>40.1639344262295</v>
      </c>
    </row>
    <row r="2312" customFormat="false" ht="15" hidden="false" customHeight="false" outlineLevel="0" collapsed="false">
      <c r="A2312" s="35" t="n">
        <f aca="false">A2311+1</f>
        <v>47119</v>
      </c>
      <c r="B2312" s="35" t="n">
        <f aca="false">EOMONTH(A2312+1,0)</f>
        <v>47149</v>
      </c>
      <c r="C2312" s="36" t="n">
        <f aca="false">IF(MOD(YEAR(A2312),4)=0,366,365)</f>
        <v>365</v>
      </c>
      <c r="D2312" s="37" t="n">
        <f aca="false">Inputs!$B$9-SUMIFS(Cash_Events!$G$6:$G$20,Cash_Events!$C$6:$C$20,"rAGMF",Cash_Events!$B$6:$B$20,"&lt;="&amp;A2312)</f>
        <v>735000</v>
      </c>
      <c r="E2312" s="38" t="n">
        <f aca="false">VLOOKUP(A2312,Inputs!$A$40:$B$48,2,TRUE())</f>
        <v>0.0363225</v>
      </c>
      <c r="F2312" s="38" t="n">
        <f aca="false">E2312+Inputs!$B$10</f>
        <v>0.1038225</v>
      </c>
      <c r="G2312" s="37" t="n">
        <f aca="false">D2312*F2312/C2312</f>
        <v>209.067226027397</v>
      </c>
      <c r="H2312" s="37" t="n">
        <f aca="false">IF(AND(A2312&gt;=Inputs!$B$13,OR(A2312&lt;Inputs!$B$19,Inputs!$B$20=1)),D2312*Inputs!$B$11/C2312,0)</f>
        <v>40.2739726027397</v>
      </c>
      <c r="I2312" s="37" t="n">
        <f aca="false">Inputs!$C$9-SUMIFS(Cash_Events!$G$6:$G$20,Cash_Events!$C$6:$C$20,"FHL",Cash_Events!$B$6:$B$20,"&lt;="&amp;A2312)</f>
        <v>735000</v>
      </c>
      <c r="J2312" s="38" t="n">
        <f aca="false">VLOOKUP(A2312,Inputs!$F$40:$G$48,2,TRUE())</f>
        <v>0.0364054</v>
      </c>
      <c r="K2312" s="38" t="n">
        <f aca="false">J2312+Inputs!$C$10</f>
        <v>0.1039054</v>
      </c>
      <c r="L2312" s="37" t="n">
        <f aca="false">I2312*K2312/C2312</f>
        <v>209.234161643836</v>
      </c>
      <c r="M2312" s="37" t="n">
        <f aca="false">IF(AND(A2312&gt;=Inputs!$C$13,OR(A2312&lt;Inputs!$B$19,Inputs!$B$20=1)),I2312*Inputs!$C$11/C2312,0)</f>
        <v>40.2739726027397</v>
      </c>
    </row>
    <row r="2313" customFormat="false" ht="15" hidden="false" customHeight="false" outlineLevel="0" collapsed="false">
      <c r="A2313" s="35" t="n">
        <f aca="false">A2312+1</f>
        <v>47120</v>
      </c>
      <c r="B2313" s="35" t="n">
        <f aca="false">EOMONTH(A2313+1,0)</f>
        <v>47149</v>
      </c>
      <c r="C2313" s="36" t="n">
        <f aca="false">IF(MOD(YEAR(A2313),4)=0,366,365)</f>
        <v>365</v>
      </c>
      <c r="D2313" s="37" t="n">
        <f aca="false">Inputs!$B$9-SUMIFS(Cash_Events!$G$6:$G$20,Cash_Events!$C$6:$C$20,"rAGMF",Cash_Events!$B$6:$B$20,"&lt;="&amp;A2313)</f>
        <v>735000</v>
      </c>
      <c r="E2313" s="38" t="n">
        <f aca="false">VLOOKUP(A2313,Inputs!$A$40:$B$48,2,TRUE())</f>
        <v>0.0363225</v>
      </c>
      <c r="F2313" s="38" t="n">
        <f aca="false">E2313+Inputs!$B$10</f>
        <v>0.1038225</v>
      </c>
      <c r="G2313" s="37" t="n">
        <f aca="false">D2313*F2313/C2313</f>
        <v>209.067226027397</v>
      </c>
      <c r="H2313" s="37" t="n">
        <f aca="false">IF(AND(A2313&gt;=Inputs!$B$13,OR(A2313&lt;Inputs!$B$19,Inputs!$B$20=1)),D2313*Inputs!$B$11/C2313,0)</f>
        <v>40.2739726027397</v>
      </c>
      <c r="I2313" s="37" t="n">
        <f aca="false">Inputs!$C$9-SUMIFS(Cash_Events!$G$6:$G$20,Cash_Events!$C$6:$C$20,"FHL",Cash_Events!$B$6:$B$20,"&lt;="&amp;A2313)</f>
        <v>735000</v>
      </c>
      <c r="J2313" s="38" t="n">
        <f aca="false">VLOOKUP(A2313,Inputs!$F$40:$G$48,2,TRUE())</f>
        <v>0.0364054</v>
      </c>
      <c r="K2313" s="38" t="n">
        <f aca="false">J2313+Inputs!$C$10</f>
        <v>0.1039054</v>
      </c>
      <c r="L2313" s="37" t="n">
        <f aca="false">I2313*K2313/C2313</f>
        <v>209.234161643836</v>
      </c>
      <c r="M2313" s="37" t="n">
        <f aca="false">IF(AND(A2313&gt;=Inputs!$C$13,OR(A2313&lt;Inputs!$B$19,Inputs!$B$20=1)),I2313*Inputs!$C$11/C2313,0)</f>
        <v>40.2739726027397</v>
      </c>
    </row>
    <row r="2314" customFormat="false" ht="15" hidden="false" customHeight="false" outlineLevel="0" collapsed="false">
      <c r="A2314" s="35" t="n">
        <f aca="false">A2313+1</f>
        <v>47121</v>
      </c>
      <c r="B2314" s="35" t="n">
        <f aca="false">EOMONTH(A2314+1,0)</f>
        <v>47149</v>
      </c>
      <c r="C2314" s="36" t="n">
        <f aca="false">IF(MOD(YEAR(A2314),4)=0,366,365)</f>
        <v>365</v>
      </c>
      <c r="D2314" s="37" t="n">
        <f aca="false">Inputs!$B$9-SUMIFS(Cash_Events!$G$6:$G$20,Cash_Events!$C$6:$C$20,"rAGMF",Cash_Events!$B$6:$B$20,"&lt;="&amp;A2314)</f>
        <v>735000</v>
      </c>
      <c r="E2314" s="38" t="n">
        <f aca="false">VLOOKUP(A2314,Inputs!$A$40:$B$48,2,TRUE())</f>
        <v>0.0363225</v>
      </c>
      <c r="F2314" s="38" t="n">
        <f aca="false">E2314+Inputs!$B$10</f>
        <v>0.1038225</v>
      </c>
      <c r="G2314" s="37" t="n">
        <f aca="false">D2314*F2314/C2314</f>
        <v>209.067226027397</v>
      </c>
      <c r="H2314" s="37" t="n">
        <f aca="false">IF(AND(A2314&gt;=Inputs!$B$13,OR(A2314&lt;Inputs!$B$19,Inputs!$B$20=1)),D2314*Inputs!$B$11/C2314,0)</f>
        <v>40.2739726027397</v>
      </c>
      <c r="I2314" s="37" t="n">
        <f aca="false">Inputs!$C$9-SUMIFS(Cash_Events!$G$6:$G$20,Cash_Events!$C$6:$C$20,"FHL",Cash_Events!$B$6:$B$20,"&lt;="&amp;A2314)</f>
        <v>735000</v>
      </c>
      <c r="J2314" s="38" t="n">
        <f aca="false">VLOOKUP(A2314,Inputs!$F$40:$G$48,2,TRUE())</f>
        <v>0.0364054</v>
      </c>
      <c r="K2314" s="38" t="n">
        <f aca="false">J2314+Inputs!$C$10</f>
        <v>0.1039054</v>
      </c>
      <c r="L2314" s="37" t="n">
        <f aca="false">I2314*K2314/C2314</f>
        <v>209.234161643836</v>
      </c>
      <c r="M2314" s="37" t="n">
        <f aca="false">IF(AND(A2314&gt;=Inputs!$C$13,OR(A2314&lt;Inputs!$B$19,Inputs!$B$20=1)),I2314*Inputs!$C$11/C2314,0)</f>
        <v>40.2739726027397</v>
      </c>
    </row>
    <row r="2315" customFormat="false" ht="15" hidden="false" customHeight="false" outlineLevel="0" collapsed="false">
      <c r="A2315" s="35" t="n">
        <f aca="false">A2314+1</f>
        <v>47122</v>
      </c>
      <c r="B2315" s="35" t="n">
        <f aca="false">EOMONTH(A2315+1,0)</f>
        <v>47149</v>
      </c>
      <c r="C2315" s="36" t="n">
        <f aca="false">IF(MOD(YEAR(A2315),4)=0,366,365)</f>
        <v>365</v>
      </c>
      <c r="D2315" s="37" t="n">
        <f aca="false">Inputs!$B$9-SUMIFS(Cash_Events!$G$6:$G$20,Cash_Events!$C$6:$C$20,"rAGMF",Cash_Events!$B$6:$B$20,"&lt;="&amp;A2315)</f>
        <v>735000</v>
      </c>
      <c r="E2315" s="38" t="n">
        <f aca="false">VLOOKUP(A2315,Inputs!$A$40:$B$48,2,TRUE())</f>
        <v>0.0363225</v>
      </c>
      <c r="F2315" s="38" t="n">
        <f aca="false">E2315+Inputs!$B$10</f>
        <v>0.1038225</v>
      </c>
      <c r="G2315" s="37" t="n">
        <f aca="false">D2315*F2315/C2315</f>
        <v>209.067226027397</v>
      </c>
      <c r="H2315" s="37" t="n">
        <f aca="false">IF(AND(A2315&gt;=Inputs!$B$13,OR(A2315&lt;Inputs!$B$19,Inputs!$B$20=1)),D2315*Inputs!$B$11/C2315,0)</f>
        <v>40.2739726027397</v>
      </c>
      <c r="I2315" s="37" t="n">
        <f aca="false">Inputs!$C$9-SUMIFS(Cash_Events!$G$6:$G$20,Cash_Events!$C$6:$C$20,"FHL",Cash_Events!$B$6:$B$20,"&lt;="&amp;A2315)</f>
        <v>735000</v>
      </c>
      <c r="J2315" s="38" t="n">
        <f aca="false">VLOOKUP(A2315,Inputs!$F$40:$G$48,2,TRUE())</f>
        <v>0.0364054</v>
      </c>
      <c r="K2315" s="38" t="n">
        <f aca="false">J2315+Inputs!$C$10</f>
        <v>0.1039054</v>
      </c>
      <c r="L2315" s="37" t="n">
        <f aca="false">I2315*K2315/C2315</f>
        <v>209.234161643836</v>
      </c>
      <c r="M2315" s="37" t="n">
        <f aca="false">IF(AND(A2315&gt;=Inputs!$C$13,OR(A2315&lt;Inputs!$B$19,Inputs!$B$20=1)),I2315*Inputs!$C$11/C2315,0)</f>
        <v>40.2739726027397</v>
      </c>
    </row>
    <row r="2316" customFormat="false" ht="15" hidden="false" customHeight="false" outlineLevel="0" collapsed="false">
      <c r="A2316" s="35" t="n">
        <f aca="false">A2315+1</f>
        <v>47123</v>
      </c>
      <c r="B2316" s="35" t="n">
        <f aca="false">EOMONTH(A2316+1,0)</f>
        <v>47149</v>
      </c>
      <c r="C2316" s="36" t="n">
        <f aca="false">IF(MOD(YEAR(A2316),4)=0,366,365)</f>
        <v>365</v>
      </c>
      <c r="D2316" s="37" t="n">
        <f aca="false">Inputs!$B$9-SUMIFS(Cash_Events!$G$6:$G$20,Cash_Events!$C$6:$C$20,"rAGMF",Cash_Events!$B$6:$B$20,"&lt;="&amp;A2316)</f>
        <v>735000</v>
      </c>
      <c r="E2316" s="38" t="n">
        <f aca="false">VLOOKUP(A2316,Inputs!$A$40:$B$48,2,TRUE())</f>
        <v>0.0363225</v>
      </c>
      <c r="F2316" s="38" t="n">
        <f aca="false">E2316+Inputs!$B$10</f>
        <v>0.1038225</v>
      </c>
      <c r="G2316" s="37" t="n">
        <f aca="false">D2316*F2316/C2316</f>
        <v>209.067226027397</v>
      </c>
      <c r="H2316" s="37" t="n">
        <f aca="false">IF(AND(A2316&gt;=Inputs!$B$13,OR(A2316&lt;Inputs!$B$19,Inputs!$B$20=1)),D2316*Inputs!$B$11/C2316,0)</f>
        <v>40.2739726027397</v>
      </c>
      <c r="I2316" s="37" t="n">
        <f aca="false">Inputs!$C$9-SUMIFS(Cash_Events!$G$6:$G$20,Cash_Events!$C$6:$C$20,"FHL",Cash_Events!$B$6:$B$20,"&lt;="&amp;A2316)</f>
        <v>735000</v>
      </c>
      <c r="J2316" s="38" t="n">
        <f aca="false">VLOOKUP(A2316,Inputs!$F$40:$G$48,2,TRUE())</f>
        <v>0.0364054</v>
      </c>
      <c r="K2316" s="38" t="n">
        <f aca="false">J2316+Inputs!$C$10</f>
        <v>0.1039054</v>
      </c>
      <c r="L2316" s="37" t="n">
        <f aca="false">I2316*K2316/C2316</f>
        <v>209.234161643836</v>
      </c>
      <c r="M2316" s="37" t="n">
        <f aca="false">IF(AND(A2316&gt;=Inputs!$C$13,OR(A2316&lt;Inputs!$B$19,Inputs!$B$20=1)),I2316*Inputs!$C$11/C2316,0)</f>
        <v>40.2739726027397</v>
      </c>
    </row>
    <row r="2317" customFormat="false" ht="15" hidden="false" customHeight="false" outlineLevel="0" collapsed="false">
      <c r="A2317" s="35" t="n">
        <f aca="false">A2316+1</f>
        <v>47124</v>
      </c>
      <c r="B2317" s="35" t="n">
        <f aca="false">EOMONTH(A2317+1,0)</f>
        <v>47149</v>
      </c>
      <c r="C2317" s="36" t="n">
        <f aca="false">IF(MOD(YEAR(A2317),4)=0,366,365)</f>
        <v>365</v>
      </c>
      <c r="D2317" s="37" t="n">
        <f aca="false">Inputs!$B$9-SUMIFS(Cash_Events!$G$6:$G$20,Cash_Events!$C$6:$C$20,"rAGMF",Cash_Events!$B$6:$B$20,"&lt;="&amp;A2317)</f>
        <v>735000</v>
      </c>
      <c r="E2317" s="38" t="n">
        <f aca="false">VLOOKUP(A2317,Inputs!$A$40:$B$48,2,TRUE())</f>
        <v>0.0363225</v>
      </c>
      <c r="F2317" s="38" t="n">
        <f aca="false">E2317+Inputs!$B$10</f>
        <v>0.1038225</v>
      </c>
      <c r="G2317" s="37" t="n">
        <f aca="false">D2317*F2317/C2317</f>
        <v>209.067226027397</v>
      </c>
      <c r="H2317" s="37" t="n">
        <f aca="false">IF(AND(A2317&gt;=Inputs!$B$13,OR(A2317&lt;Inputs!$B$19,Inputs!$B$20=1)),D2317*Inputs!$B$11/C2317,0)</f>
        <v>40.2739726027397</v>
      </c>
      <c r="I2317" s="37" t="n">
        <f aca="false">Inputs!$C$9-SUMIFS(Cash_Events!$G$6:$G$20,Cash_Events!$C$6:$C$20,"FHL",Cash_Events!$B$6:$B$20,"&lt;="&amp;A2317)</f>
        <v>735000</v>
      </c>
      <c r="J2317" s="38" t="n">
        <f aca="false">VLOOKUP(A2317,Inputs!$F$40:$G$48,2,TRUE())</f>
        <v>0.0364054</v>
      </c>
      <c r="K2317" s="38" t="n">
        <f aca="false">J2317+Inputs!$C$10</f>
        <v>0.1039054</v>
      </c>
      <c r="L2317" s="37" t="n">
        <f aca="false">I2317*K2317/C2317</f>
        <v>209.234161643836</v>
      </c>
      <c r="M2317" s="37" t="n">
        <f aca="false">IF(AND(A2317&gt;=Inputs!$C$13,OR(A2317&lt;Inputs!$B$19,Inputs!$B$20=1)),I2317*Inputs!$C$11/C2317,0)</f>
        <v>40.2739726027397</v>
      </c>
    </row>
    <row r="2318" customFormat="false" ht="15" hidden="false" customHeight="false" outlineLevel="0" collapsed="false">
      <c r="A2318" s="35" t="n">
        <f aca="false">A2317+1</f>
        <v>47125</v>
      </c>
      <c r="B2318" s="35" t="n">
        <f aca="false">EOMONTH(A2318+1,0)</f>
        <v>47149</v>
      </c>
      <c r="C2318" s="36" t="n">
        <f aca="false">IF(MOD(YEAR(A2318),4)=0,366,365)</f>
        <v>365</v>
      </c>
      <c r="D2318" s="37" t="n">
        <f aca="false">Inputs!$B$9-SUMIFS(Cash_Events!$G$6:$G$20,Cash_Events!$C$6:$C$20,"rAGMF",Cash_Events!$B$6:$B$20,"&lt;="&amp;A2318)</f>
        <v>735000</v>
      </c>
      <c r="E2318" s="38" t="n">
        <f aca="false">VLOOKUP(A2318,Inputs!$A$40:$B$48,2,TRUE())</f>
        <v>0.0363225</v>
      </c>
      <c r="F2318" s="38" t="n">
        <f aca="false">E2318+Inputs!$B$10</f>
        <v>0.1038225</v>
      </c>
      <c r="G2318" s="37" t="n">
        <f aca="false">D2318*F2318/C2318</f>
        <v>209.067226027397</v>
      </c>
      <c r="H2318" s="37" t="n">
        <f aca="false">IF(AND(A2318&gt;=Inputs!$B$13,OR(A2318&lt;Inputs!$B$19,Inputs!$B$20=1)),D2318*Inputs!$B$11/C2318,0)</f>
        <v>40.2739726027397</v>
      </c>
      <c r="I2318" s="37" t="n">
        <f aca="false">Inputs!$C$9-SUMIFS(Cash_Events!$G$6:$G$20,Cash_Events!$C$6:$C$20,"FHL",Cash_Events!$B$6:$B$20,"&lt;="&amp;A2318)</f>
        <v>735000</v>
      </c>
      <c r="J2318" s="38" t="n">
        <f aca="false">VLOOKUP(A2318,Inputs!$F$40:$G$48,2,TRUE())</f>
        <v>0.0364054</v>
      </c>
      <c r="K2318" s="38" t="n">
        <f aca="false">J2318+Inputs!$C$10</f>
        <v>0.1039054</v>
      </c>
      <c r="L2318" s="37" t="n">
        <f aca="false">I2318*K2318/C2318</f>
        <v>209.234161643836</v>
      </c>
      <c r="M2318" s="37" t="n">
        <f aca="false">IF(AND(A2318&gt;=Inputs!$C$13,OR(A2318&lt;Inputs!$B$19,Inputs!$B$20=1)),I2318*Inputs!$C$11/C2318,0)</f>
        <v>40.2739726027397</v>
      </c>
    </row>
    <row r="2319" customFormat="false" ht="15" hidden="false" customHeight="false" outlineLevel="0" collapsed="false">
      <c r="A2319" s="35" t="n">
        <f aca="false">A2318+1</f>
        <v>47126</v>
      </c>
      <c r="B2319" s="35" t="n">
        <f aca="false">EOMONTH(A2319+1,0)</f>
        <v>47149</v>
      </c>
      <c r="C2319" s="36" t="n">
        <f aca="false">IF(MOD(YEAR(A2319),4)=0,366,365)</f>
        <v>365</v>
      </c>
      <c r="D2319" s="37" t="n">
        <f aca="false">Inputs!$B$9-SUMIFS(Cash_Events!$G$6:$G$20,Cash_Events!$C$6:$C$20,"rAGMF",Cash_Events!$B$6:$B$20,"&lt;="&amp;A2319)</f>
        <v>735000</v>
      </c>
      <c r="E2319" s="38" t="n">
        <f aca="false">VLOOKUP(A2319,Inputs!$A$40:$B$48,2,TRUE())</f>
        <v>0.0363225</v>
      </c>
      <c r="F2319" s="38" t="n">
        <f aca="false">E2319+Inputs!$B$10</f>
        <v>0.1038225</v>
      </c>
      <c r="G2319" s="37" t="n">
        <f aca="false">D2319*F2319/C2319</f>
        <v>209.067226027397</v>
      </c>
      <c r="H2319" s="37" t="n">
        <f aca="false">IF(AND(A2319&gt;=Inputs!$B$13,OR(A2319&lt;Inputs!$B$19,Inputs!$B$20=1)),D2319*Inputs!$B$11/C2319,0)</f>
        <v>40.2739726027397</v>
      </c>
      <c r="I2319" s="37" t="n">
        <f aca="false">Inputs!$C$9-SUMIFS(Cash_Events!$G$6:$G$20,Cash_Events!$C$6:$C$20,"FHL",Cash_Events!$B$6:$B$20,"&lt;="&amp;A2319)</f>
        <v>735000</v>
      </c>
      <c r="J2319" s="38" t="n">
        <f aca="false">VLOOKUP(A2319,Inputs!$F$40:$G$48,2,TRUE())</f>
        <v>0.0364054</v>
      </c>
      <c r="K2319" s="38" t="n">
        <f aca="false">J2319+Inputs!$C$10</f>
        <v>0.1039054</v>
      </c>
      <c r="L2319" s="37" t="n">
        <f aca="false">I2319*K2319/C2319</f>
        <v>209.234161643836</v>
      </c>
      <c r="M2319" s="37" t="n">
        <f aca="false">IF(AND(A2319&gt;=Inputs!$C$13,OR(A2319&lt;Inputs!$B$19,Inputs!$B$20=1)),I2319*Inputs!$C$11/C2319,0)</f>
        <v>40.2739726027397</v>
      </c>
    </row>
    <row r="2320" customFormat="false" ht="15" hidden="false" customHeight="false" outlineLevel="0" collapsed="false">
      <c r="A2320" s="35" t="n">
        <f aca="false">A2319+1</f>
        <v>47127</v>
      </c>
      <c r="B2320" s="35" t="n">
        <f aca="false">EOMONTH(A2320+1,0)</f>
        <v>47149</v>
      </c>
      <c r="C2320" s="36" t="n">
        <f aca="false">IF(MOD(YEAR(A2320),4)=0,366,365)</f>
        <v>365</v>
      </c>
      <c r="D2320" s="37" t="n">
        <f aca="false">Inputs!$B$9-SUMIFS(Cash_Events!$G$6:$G$20,Cash_Events!$C$6:$C$20,"rAGMF",Cash_Events!$B$6:$B$20,"&lt;="&amp;A2320)</f>
        <v>735000</v>
      </c>
      <c r="E2320" s="38" t="n">
        <f aca="false">VLOOKUP(A2320,Inputs!$A$40:$B$48,2,TRUE())</f>
        <v>0.0363225</v>
      </c>
      <c r="F2320" s="38" t="n">
        <f aca="false">E2320+Inputs!$B$10</f>
        <v>0.1038225</v>
      </c>
      <c r="G2320" s="37" t="n">
        <f aca="false">D2320*F2320/C2320</f>
        <v>209.067226027397</v>
      </c>
      <c r="H2320" s="37" t="n">
        <f aca="false">IF(AND(A2320&gt;=Inputs!$B$13,OR(A2320&lt;Inputs!$B$19,Inputs!$B$20=1)),D2320*Inputs!$B$11/C2320,0)</f>
        <v>40.2739726027397</v>
      </c>
      <c r="I2320" s="37" t="n">
        <f aca="false">Inputs!$C$9-SUMIFS(Cash_Events!$G$6:$G$20,Cash_Events!$C$6:$C$20,"FHL",Cash_Events!$B$6:$B$20,"&lt;="&amp;A2320)</f>
        <v>735000</v>
      </c>
      <c r="J2320" s="38" t="n">
        <f aca="false">VLOOKUP(A2320,Inputs!$F$40:$G$48,2,TRUE())</f>
        <v>0.0364054</v>
      </c>
      <c r="K2320" s="38" t="n">
        <f aca="false">J2320+Inputs!$C$10</f>
        <v>0.1039054</v>
      </c>
      <c r="L2320" s="37" t="n">
        <f aca="false">I2320*K2320/C2320</f>
        <v>209.234161643836</v>
      </c>
      <c r="M2320" s="37" t="n">
        <f aca="false">IF(AND(A2320&gt;=Inputs!$C$13,OR(A2320&lt;Inputs!$B$19,Inputs!$B$20=1)),I2320*Inputs!$C$11/C2320,0)</f>
        <v>40.2739726027397</v>
      </c>
    </row>
    <row r="2321" customFormat="false" ht="15" hidden="false" customHeight="false" outlineLevel="0" collapsed="false">
      <c r="A2321" s="35" t="n">
        <f aca="false">A2320+1</f>
        <v>47128</v>
      </c>
      <c r="B2321" s="35" t="n">
        <f aca="false">EOMONTH(A2321+1,0)</f>
        <v>47149</v>
      </c>
      <c r="C2321" s="36" t="n">
        <f aca="false">IF(MOD(YEAR(A2321),4)=0,366,365)</f>
        <v>365</v>
      </c>
      <c r="D2321" s="37" t="n">
        <f aca="false">Inputs!$B$9-SUMIFS(Cash_Events!$G$6:$G$20,Cash_Events!$C$6:$C$20,"rAGMF",Cash_Events!$B$6:$B$20,"&lt;="&amp;A2321)</f>
        <v>735000</v>
      </c>
      <c r="E2321" s="38" t="n">
        <f aca="false">VLOOKUP(A2321,Inputs!$A$40:$B$48,2,TRUE())</f>
        <v>0.0363225</v>
      </c>
      <c r="F2321" s="38" t="n">
        <f aca="false">E2321+Inputs!$B$10</f>
        <v>0.1038225</v>
      </c>
      <c r="G2321" s="37" t="n">
        <f aca="false">D2321*F2321/C2321</f>
        <v>209.067226027397</v>
      </c>
      <c r="H2321" s="37" t="n">
        <f aca="false">IF(AND(A2321&gt;=Inputs!$B$13,OR(A2321&lt;Inputs!$B$19,Inputs!$B$20=1)),D2321*Inputs!$B$11/C2321,0)</f>
        <v>40.2739726027397</v>
      </c>
      <c r="I2321" s="37" t="n">
        <f aca="false">Inputs!$C$9-SUMIFS(Cash_Events!$G$6:$G$20,Cash_Events!$C$6:$C$20,"FHL",Cash_Events!$B$6:$B$20,"&lt;="&amp;A2321)</f>
        <v>735000</v>
      </c>
      <c r="J2321" s="38" t="n">
        <f aca="false">VLOOKUP(A2321,Inputs!$F$40:$G$48,2,TRUE())</f>
        <v>0.0364054</v>
      </c>
      <c r="K2321" s="38" t="n">
        <f aca="false">J2321+Inputs!$C$10</f>
        <v>0.1039054</v>
      </c>
      <c r="L2321" s="37" t="n">
        <f aca="false">I2321*K2321/C2321</f>
        <v>209.234161643836</v>
      </c>
      <c r="M2321" s="37" t="n">
        <f aca="false">IF(AND(A2321&gt;=Inputs!$C$13,OR(A2321&lt;Inputs!$B$19,Inputs!$B$20=1)),I2321*Inputs!$C$11/C2321,0)</f>
        <v>40.2739726027397</v>
      </c>
    </row>
    <row r="2322" customFormat="false" ht="15" hidden="false" customHeight="false" outlineLevel="0" collapsed="false">
      <c r="A2322" s="35" t="n">
        <f aca="false">A2321+1</f>
        <v>47129</v>
      </c>
      <c r="B2322" s="35" t="n">
        <f aca="false">EOMONTH(A2322+1,0)</f>
        <v>47149</v>
      </c>
      <c r="C2322" s="36" t="n">
        <f aca="false">IF(MOD(YEAR(A2322),4)=0,366,365)</f>
        <v>365</v>
      </c>
      <c r="D2322" s="37" t="n">
        <f aca="false">Inputs!$B$9-SUMIFS(Cash_Events!$G$6:$G$20,Cash_Events!$C$6:$C$20,"rAGMF",Cash_Events!$B$6:$B$20,"&lt;="&amp;A2322)</f>
        <v>735000</v>
      </c>
      <c r="E2322" s="38" t="n">
        <f aca="false">VLOOKUP(A2322,Inputs!$A$40:$B$48,2,TRUE())</f>
        <v>0.0363225</v>
      </c>
      <c r="F2322" s="38" t="n">
        <f aca="false">E2322+Inputs!$B$10</f>
        <v>0.1038225</v>
      </c>
      <c r="G2322" s="37" t="n">
        <f aca="false">D2322*F2322/C2322</f>
        <v>209.067226027397</v>
      </c>
      <c r="H2322" s="37" t="n">
        <f aca="false">IF(AND(A2322&gt;=Inputs!$B$13,OR(A2322&lt;Inputs!$B$19,Inputs!$B$20=1)),D2322*Inputs!$B$11/C2322,0)</f>
        <v>40.2739726027397</v>
      </c>
      <c r="I2322" s="37" t="n">
        <f aca="false">Inputs!$C$9-SUMIFS(Cash_Events!$G$6:$G$20,Cash_Events!$C$6:$C$20,"FHL",Cash_Events!$B$6:$B$20,"&lt;="&amp;A2322)</f>
        <v>735000</v>
      </c>
      <c r="J2322" s="38" t="n">
        <f aca="false">VLOOKUP(A2322,Inputs!$F$40:$G$48,2,TRUE())</f>
        <v>0.0364054</v>
      </c>
      <c r="K2322" s="38" t="n">
        <f aca="false">J2322+Inputs!$C$10</f>
        <v>0.1039054</v>
      </c>
      <c r="L2322" s="37" t="n">
        <f aca="false">I2322*K2322/C2322</f>
        <v>209.234161643836</v>
      </c>
      <c r="M2322" s="37" t="n">
        <f aca="false">IF(AND(A2322&gt;=Inputs!$C$13,OR(A2322&lt;Inputs!$B$19,Inputs!$B$20=1)),I2322*Inputs!$C$11/C2322,0)</f>
        <v>40.2739726027397</v>
      </c>
    </row>
    <row r="2323" customFormat="false" ht="15" hidden="false" customHeight="false" outlineLevel="0" collapsed="false">
      <c r="A2323" s="35" t="n">
        <f aca="false">A2322+1</f>
        <v>47130</v>
      </c>
      <c r="B2323" s="35" t="n">
        <f aca="false">EOMONTH(A2323+1,0)</f>
        <v>47149</v>
      </c>
      <c r="C2323" s="36" t="n">
        <f aca="false">IF(MOD(YEAR(A2323),4)=0,366,365)</f>
        <v>365</v>
      </c>
      <c r="D2323" s="37" t="n">
        <f aca="false">Inputs!$B$9-SUMIFS(Cash_Events!$G$6:$G$20,Cash_Events!$C$6:$C$20,"rAGMF",Cash_Events!$B$6:$B$20,"&lt;="&amp;A2323)</f>
        <v>735000</v>
      </c>
      <c r="E2323" s="38" t="n">
        <f aca="false">VLOOKUP(A2323,Inputs!$A$40:$B$48,2,TRUE())</f>
        <v>0.0363225</v>
      </c>
      <c r="F2323" s="38" t="n">
        <f aca="false">E2323+Inputs!$B$10</f>
        <v>0.1038225</v>
      </c>
      <c r="G2323" s="37" t="n">
        <f aca="false">D2323*F2323/C2323</f>
        <v>209.067226027397</v>
      </c>
      <c r="H2323" s="37" t="n">
        <f aca="false">IF(AND(A2323&gt;=Inputs!$B$13,OR(A2323&lt;Inputs!$B$19,Inputs!$B$20=1)),D2323*Inputs!$B$11/C2323,0)</f>
        <v>40.2739726027397</v>
      </c>
      <c r="I2323" s="37" t="n">
        <f aca="false">Inputs!$C$9-SUMIFS(Cash_Events!$G$6:$G$20,Cash_Events!$C$6:$C$20,"FHL",Cash_Events!$B$6:$B$20,"&lt;="&amp;A2323)</f>
        <v>735000</v>
      </c>
      <c r="J2323" s="38" t="n">
        <f aca="false">VLOOKUP(A2323,Inputs!$F$40:$G$48,2,TRUE())</f>
        <v>0.0364054</v>
      </c>
      <c r="K2323" s="38" t="n">
        <f aca="false">J2323+Inputs!$C$10</f>
        <v>0.1039054</v>
      </c>
      <c r="L2323" s="37" t="n">
        <f aca="false">I2323*K2323/C2323</f>
        <v>209.234161643836</v>
      </c>
      <c r="M2323" s="37" t="n">
        <f aca="false">IF(AND(A2323&gt;=Inputs!$C$13,OR(A2323&lt;Inputs!$B$19,Inputs!$B$20=1)),I2323*Inputs!$C$11/C2323,0)</f>
        <v>40.2739726027397</v>
      </c>
    </row>
    <row r="2324" customFormat="false" ht="15" hidden="false" customHeight="false" outlineLevel="0" collapsed="false">
      <c r="A2324" s="35" t="n">
        <f aca="false">A2323+1</f>
        <v>47131</v>
      </c>
      <c r="B2324" s="35" t="n">
        <f aca="false">EOMONTH(A2324+1,0)</f>
        <v>47149</v>
      </c>
      <c r="C2324" s="36" t="n">
        <f aca="false">IF(MOD(YEAR(A2324),4)=0,366,365)</f>
        <v>365</v>
      </c>
      <c r="D2324" s="37" t="n">
        <f aca="false">Inputs!$B$9-SUMIFS(Cash_Events!$G$6:$G$20,Cash_Events!$C$6:$C$20,"rAGMF",Cash_Events!$B$6:$B$20,"&lt;="&amp;A2324)</f>
        <v>735000</v>
      </c>
      <c r="E2324" s="38" t="n">
        <f aca="false">VLOOKUP(A2324,Inputs!$A$40:$B$48,2,TRUE())</f>
        <v>0.0363225</v>
      </c>
      <c r="F2324" s="38" t="n">
        <f aca="false">E2324+Inputs!$B$10</f>
        <v>0.1038225</v>
      </c>
      <c r="G2324" s="37" t="n">
        <f aca="false">D2324*F2324/C2324</f>
        <v>209.067226027397</v>
      </c>
      <c r="H2324" s="37" t="n">
        <f aca="false">IF(AND(A2324&gt;=Inputs!$B$13,OR(A2324&lt;Inputs!$B$19,Inputs!$B$20=1)),D2324*Inputs!$B$11/C2324,0)</f>
        <v>40.2739726027397</v>
      </c>
      <c r="I2324" s="37" t="n">
        <f aca="false">Inputs!$C$9-SUMIFS(Cash_Events!$G$6:$G$20,Cash_Events!$C$6:$C$20,"FHL",Cash_Events!$B$6:$B$20,"&lt;="&amp;A2324)</f>
        <v>735000</v>
      </c>
      <c r="J2324" s="38" t="n">
        <f aca="false">VLOOKUP(A2324,Inputs!$F$40:$G$48,2,TRUE())</f>
        <v>0.0364054</v>
      </c>
      <c r="K2324" s="38" t="n">
        <f aca="false">J2324+Inputs!$C$10</f>
        <v>0.1039054</v>
      </c>
      <c r="L2324" s="37" t="n">
        <f aca="false">I2324*K2324/C2324</f>
        <v>209.234161643836</v>
      </c>
      <c r="M2324" s="37" t="n">
        <f aca="false">IF(AND(A2324&gt;=Inputs!$C$13,OR(A2324&lt;Inputs!$B$19,Inputs!$B$20=1)),I2324*Inputs!$C$11/C2324,0)</f>
        <v>40.2739726027397</v>
      </c>
    </row>
    <row r="2325" customFormat="false" ht="15" hidden="false" customHeight="false" outlineLevel="0" collapsed="false">
      <c r="A2325" s="35" t="n">
        <f aca="false">A2324+1</f>
        <v>47132</v>
      </c>
      <c r="B2325" s="35" t="n">
        <f aca="false">EOMONTH(A2325+1,0)</f>
        <v>47149</v>
      </c>
      <c r="C2325" s="36" t="n">
        <f aca="false">IF(MOD(YEAR(A2325),4)=0,366,365)</f>
        <v>365</v>
      </c>
      <c r="D2325" s="37" t="n">
        <f aca="false">Inputs!$B$9-SUMIFS(Cash_Events!$G$6:$G$20,Cash_Events!$C$6:$C$20,"rAGMF",Cash_Events!$B$6:$B$20,"&lt;="&amp;A2325)</f>
        <v>735000</v>
      </c>
      <c r="E2325" s="38" t="n">
        <f aca="false">VLOOKUP(A2325,Inputs!$A$40:$B$48,2,TRUE())</f>
        <v>0.0363225</v>
      </c>
      <c r="F2325" s="38" t="n">
        <f aca="false">E2325+Inputs!$B$10</f>
        <v>0.1038225</v>
      </c>
      <c r="G2325" s="37" t="n">
        <f aca="false">D2325*F2325/C2325</f>
        <v>209.067226027397</v>
      </c>
      <c r="H2325" s="37" t="n">
        <f aca="false">IF(AND(A2325&gt;=Inputs!$B$13,OR(A2325&lt;Inputs!$B$19,Inputs!$B$20=1)),D2325*Inputs!$B$11/C2325,0)</f>
        <v>40.2739726027397</v>
      </c>
      <c r="I2325" s="37" t="n">
        <f aca="false">Inputs!$C$9-SUMIFS(Cash_Events!$G$6:$G$20,Cash_Events!$C$6:$C$20,"FHL",Cash_Events!$B$6:$B$20,"&lt;="&amp;A2325)</f>
        <v>735000</v>
      </c>
      <c r="J2325" s="38" t="n">
        <f aca="false">VLOOKUP(A2325,Inputs!$F$40:$G$48,2,TRUE())</f>
        <v>0.0364054</v>
      </c>
      <c r="K2325" s="38" t="n">
        <f aca="false">J2325+Inputs!$C$10</f>
        <v>0.1039054</v>
      </c>
      <c r="L2325" s="37" t="n">
        <f aca="false">I2325*K2325/C2325</f>
        <v>209.234161643836</v>
      </c>
      <c r="M2325" s="37" t="n">
        <f aca="false">IF(AND(A2325&gt;=Inputs!$C$13,OR(A2325&lt;Inputs!$B$19,Inputs!$B$20=1)),I2325*Inputs!$C$11/C2325,0)</f>
        <v>40.2739726027397</v>
      </c>
    </row>
    <row r="2326" customFormat="false" ht="15" hidden="false" customHeight="false" outlineLevel="0" collapsed="false">
      <c r="A2326" s="35" t="n">
        <f aca="false">A2325+1</f>
        <v>47133</v>
      </c>
      <c r="B2326" s="35" t="n">
        <f aca="false">EOMONTH(A2326+1,0)</f>
        <v>47149</v>
      </c>
      <c r="C2326" s="36" t="n">
        <f aca="false">IF(MOD(YEAR(A2326),4)=0,366,365)</f>
        <v>365</v>
      </c>
      <c r="D2326" s="37" t="n">
        <f aca="false">Inputs!$B$9-SUMIFS(Cash_Events!$G$6:$G$20,Cash_Events!$C$6:$C$20,"rAGMF",Cash_Events!$B$6:$B$20,"&lt;="&amp;A2326)</f>
        <v>735000</v>
      </c>
      <c r="E2326" s="38" t="n">
        <f aca="false">VLOOKUP(A2326,Inputs!$A$40:$B$48,2,TRUE())</f>
        <v>0.0363225</v>
      </c>
      <c r="F2326" s="38" t="n">
        <f aca="false">E2326+Inputs!$B$10</f>
        <v>0.1038225</v>
      </c>
      <c r="G2326" s="37" t="n">
        <f aca="false">D2326*F2326/C2326</f>
        <v>209.067226027397</v>
      </c>
      <c r="H2326" s="37" t="n">
        <f aca="false">IF(AND(A2326&gt;=Inputs!$B$13,OR(A2326&lt;Inputs!$B$19,Inputs!$B$20=1)),D2326*Inputs!$B$11/C2326,0)</f>
        <v>40.2739726027397</v>
      </c>
      <c r="I2326" s="37" t="n">
        <f aca="false">Inputs!$C$9-SUMIFS(Cash_Events!$G$6:$G$20,Cash_Events!$C$6:$C$20,"FHL",Cash_Events!$B$6:$B$20,"&lt;="&amp;A2326)</f>
        <v>735000</v>
      </c>
      <c r="J2326" s="38" t="n">
        <f aca="false">VLOOKUP(A2326,Inputs!$F$40:$G$48,2,TRUE())</f>
        <v>0.0364054</v>
      </c>
      <c r="K2326" s="38" t="n">
        <f aca="false">J2326+Inputs!$C$10</f>
        <v>0.1039054</v>
      </c>
      <c r="L2326" s="37" t="n">
        <f aca="false">I2326*K2326/C2326</f>
        <v>209.234161643836</v>
      </c>
      <c r="M2326" s="37" t="n">
        <f aca="false">IF(AND(A2326&gt;=Inputs!$C$13,OR(A2326&lt;Inputs!$B$19,Inputs!$B$20=1)),I2326*Inputs!$C$11/C2326,0)</f>
        <v>40.2739726027397</v>
      </c>
    </row>
    <row r="2327" customFormat="false" ht="15" hidden="false" customHeight="false" outlineLevel="0" collapsed="false">
      <c r="A2327" s="35" t="n">
        <f aca="false">A2326+1</f>
        <v>47134</v>
      </c>
      <c r="B2327" s="35" t="n">
        <f aca="false">EOMONTH(A2327+1,0)</f>
        <v>47149</v>
      </c>
      <c r="C2327" s="36" t="n">
        <f aca="false">IF(MOD(YEAR(A2327),4)=0,366,365)</f>
        <v>365</v>
      </c>
      <c r="D2327" s="37" t="n">
        <f aca="false">Inputs!$B$9-SUMIFS(Cash_Events!$G$6:$G$20,Cash_Events!$C$6:$C$20,"rAGMF",Cash_Events!$B$6:$B$20,"&lt;="&amp;A2327)</f>
        <v>735000</v>
      </c>
      <c r="E2327" s="38" t="n">
        <f aca="false">VLOOKUP(A2327,Inputs!$A$40:$B$48,2,TRUE())</f>
        <v>0.0363225</v>
      </c>
      <c r="F2327" s="38" t="n">
        <f aca="false">E2327+Inputs!$B$10</f>
        <v>0.1038225</v>
      </c>
      <c r="G2327" s="37" t="n">
        <f aca="false">D2327*F2327/C2327</f>
        <v>209.067226027397</v>
      </c>
      <c r="H2327" s="37" t="n">
        <f aca="false">IF(AND(A2327&gt;=Inputs!$B$13,OR(A2327&lt;Inputs!$B$19,Inputs!$B$20=1)),D2327*Inputs!$B$11/C2327,0)</f>
        <v>40.2739726027397</v>
      </c>
      <c r="I2327" s="37" t="n">
        <f aca="false">Inputs!$C$9-SUMIFS(Cash_Events!$G$6:$G$20,Cash_Events!$C$6:$C$20,"FHL",Cash_Events!$B$6:$B$20,"&lt;="&amp;A2327)</f>
        <v>735000</v>
      </c>
      <c r="J2327" s="38" t="n">
        <f aca="false">VLOOKUP(A2327,Inputs!$F$40:$G$48,2,TRUE())</f>
        <v>0.0364054</v>
      </c>
      <c r="K2327" s="38" t="n">
        <f aca="false">J2327+Inputs!$C$10</f>
        <v>0.1039054</v>
      </c>
      <c r="L2327" s="37" t="n">
        <f aca="false">I2327*K2327/C2327</f>
        <v>209.234161643836</v>
      </c>
      <c r="M2327" s="37" t="n">
        <f aca="false">IF(AND(A2327&gt;=Inputs!$C$13,OR(A2327&lt;Inputs!$B$19,Inputs!$B$20=1)),I2327*Inputs!$C$11/C2327,0)</f>
        <v>40.2739726027397</v>
      </c>
    </row>
    <row r="2328" customFormat="false" ht="15" hidden="false" customHeight="false" outlineLevel="0" collapsed="false">
      <c r="A2328" s="35" t="n">
        <f aca="false">A2327+1</f>
        <v>47135</v>
      </c>
      <c r="B2328" s="35" t="n">
        <f aca="false">EOMONTH(A2328+1,0)</f>
        <v>47149</v>
      </c>
      <c r="C2328" s="36" t="n">
        <f aca="false">IF(MOD(YEAR(A2328),4)=0,366,365)</f>
        <v>365</v>
      </c>
      <c r="D2328" s="37" t="n">
        <f aca="false">Inputs!$B$9-SUMIFS(Cash_Events!$G$6:$G$20,Cash_Events!$C$6:$C$20,"rAGMF",Cash_Events!$B$6:$B$20,"&lt;="&amp;A2328)</f>
        <v>735000</v>
      </c>
      <c r="E2328" s="38" t="n">
        <f aca="false">VLOOKUP(A2328,Inputs!$A$40:$B$48,2,TRUE())</f>
        <v>0.0363225</v>
      </c>
      <c r="F2328" s="38" t="n">
        <f aca="false">E2328+Inputs!$B$10</f>
        <v>0.1038225</v>
      </c>
      <c r="G2328" s="37" t="n">
        <f aca="false">D2328*F2328/C2328</f>
        <v>209.067226027397</v>
      </c>
      <c r="H2328" s="37" t="n">
        <f aca="false">IF(AND(A2328&gt;=Inputs!$B$13,OR(A2328&lt;Inputs!$B$19,Inputs!$B$20=1)),D2328*Inputs!$B$11/C2328,0)</f>
        <v>40.2739726027397</v>
      </c>
      <c r="I2328" s="37" t="n">
        <f aca="false">Inputs!$C$9-SUMIFS(Cash_Events!$G$6:$G$20,Cash_Events!$C$6:$C$20,"FHL",Cash_Events!$B$6:$B$20,"&lt;="&amp;A2328)</f>
        <v>735000</v>
      </c>
      <c r="J2328" s="38" t="n">
        <f aca="false">VLOOKUP(A2328,Inputs!$F$40:$G$48,2,TRUE())</f>
        <v>0.0364054</v>
      </c>
      <c r="K2328" s="38" t="n">
        <f aca="false">J2328+Inputs!$C$10</f>
        <v>0.1039054</v>
      </c>
      <c r="L2328" s="37" t="n">
        <f aca="false">I2328*K2328/C2328</f>
        <v>209.234161643836</v>
      </c>
      <c r="M2328" s="37" t="n">
        <f aca="false">IF(AND(A2328&gt;=Inputs!$C$13,OR(A2328&lt;Inputs!$B$19,Inputs!$B$20=1)),I2328*Inputs!$C$11/C2328,0)</f>
        <v>40.2739726027397</v>
      </c>
    </row>
    <row r="2329" customFormat="false" ht="15" hidden="false" customHeight="false" outlineLevel="0" collapsed="false">
      <c r="A2329" s="35" t="n">
        <f aca="false">A2328+1</f>
        <v>47136</v>
      </c>
      <c r="B2329" s="35" t="n">
        <f aca="false">EOMONTH(A2329+1,0)</f>
        <v>47149</v>
      </c>
      <c r="C2329" s="36" t="n">
        <f aca="false">IF(MOD(YEAR(A2329),4)=0,366,365)</f>
        <v>365</v>
      </c>
      <c r="D2329" s="37" t="n">
        <f aca="false">Inputs!$B$9-SUMIFS(Cash_Events!$G$6:$G$20,Cash_Events!$C$6:$C$20,"rAGMF",Cash_Events!$B$6:$B$20,"&lt;="&amp;A2329)</f>
        <v>735000</v>
      </c>
      <c r="E2329" s="38" t="n">
        <f aca="false">VLOOKUP(A2329,Inputs!$A$40:$B$48,2,TRUE())</f>
        <v>0.0363225</v>
      </c>
      <c r="F2329" s="38" t="n">
        <f aca="false">E2329+Inputs!$B$10</f>
        <v>0.1038225</v>
      </c>
      <c r="G2329" s="37" t="n">
        <f aca="false">D2329*F2329/C2329</f>
        <v>209.067226027397</v>
      </c>
      <c r="H2329" s="37" t="n">
        <f aca="false">IF(AND(A2329&gt;=Inputs!$B$13,OR(A2329&lt;Inputs!$B$19,Inputs!$B$20=1)),D2329*Inputs!$B$11/C2329,0)</f>
        <v>40.2739726027397</v>
      </c>
      <c r="I2329" s="37" t="n">
        <f aca="false">Inputs!$C$9-SUMIFS(Cash_Events!$G$6:$G$20,Cash_Events!$C$6:$C$20,"FHL",Cash_Events!$B$6:$B$20,"&lt;="&amp;A2329)</f>
        <v>735000</v>
      </c>
      <c r="J2329" s="38" t="n">
        <f aca="false">VLOOKUP(A2329,Inputs!$F$40:$G$48,2,TRUE())</f>
        <v>0.0364054</v>
      </c>
      <c r="K2329" s="38" t="n">
        <f aca="false">J2329+Inputs!$C$10</f>
        <v>0.1039054</v>
      </c>
      <c r="L2329" s="37" t="n">
        <f aca="false">I2329*K2329/C2329</f>
        <v>209.234161643836</v>
      </c>
      <c r="M2329" s="37" t="n">
        <f aca="false">IF(AND(A2329&gt;=Inputs!$C$13,OR(A2329&lt;Inputs!$B$19,Inputs!$B$20=1)),I2329*Inputs!$C$11/C2329,0)</f>
        <v>40.2739726027397</v>
      </c>
    </row>
    <row r="2330" customFormat="false" ht="15" hidden="false" customHeight="false" outlineLevel="0" collapsed="false">
      <c r="A2330" s="35" t="n">
        <f aca="false">A2329+1</f>
        <v>47137</v>
      </c>
      <c r="B2330" s="35" t="n">
        <f aca="false">EOMONTH(A2330+1,0)</f>
        <v>47149</v>
      </c>
      <c r="C2330" s="36" t="n">
        <f aca="false">IF(MOD(YEAR(A2330),4)=0,366,365)</f>
        <v>365</v>
      </c>
      <c r="D2330" s="37" t="n">
        <f aca="false">Inputs!$B$9-SUMIFS(Cash_Events!$G$6:$G$20,Cash_Events!$C$6:$C$20,"rAGMF",Cash_Events!$B$6:$B$20,"&lt;="&amp;A2330)</f>
        <v>735000</v>
      </c>
      <c r="E2330" s="38" t="n">
        <f aca="false">VLOOKUP(A2330,Inputs!$A$40:$B$48,2,TRUE())</f>
        <v>0.0363225</v>
      </c>
      <c r="F2330" s="38" t="n">
        <f aca="false">E2330+Inputs!$B$10</f>
        <v>0.1038225</v>
      </c>
      <c r="G2330" s="37" t="n">
        <f aca="false">D2330*F2330/C2330</f>
        <v>209.067226027397</v>
      </c>
      <c r="H2330" s="37" t="n">
        <f aca="false">IF(AND(A2330&gt;=Inputs!$B$13,OR(A2330&lt;Inputs!$B$19,Inputs!$B$20=1)),D2330*Inputs!$B$11/C2330,0)</f>
        <v>40.2739726027397</v>
      </c>
      <c r="I2330" s="37" t="n">
        <f aca="false">Inputs!$C$9-SUMIFS(Cash_Events!$G$6:$G$20,Cash_Events!$C$6:$C$20,"FHL",Cash_Events!$B$6:$B$20,"&lt;="&amp;A2330)</f>
        <v>735000</v>
      </c>
      <c r="J2330" s="38" t="n">
        <f aca="false">VLOOKUP(A2330,Inputs!$F$40:$G$48,2,TRUE())</f>
        <v>0.0364054</v>
      </c>
      <c r="K2330" s="38" t="n">
        <f aca="false">J2330+Inputs!$C$10</f>
        <v>0.1039054</v>
      </c>
      <c r="L2330" s="37" t="n">
        <f aca="false">I2330*K2330/C2330</f>
        <v>209.234161643836</v>
      </c>
      <c r="M2330" s="37" t="n">
        <f aca="false">IF(AND(A2330&gt;=Inputs!$C$13,OR(A2330&lt;Inputs!$B$19,Inputs!$B$20=1)),I2330*Inputs!$C$11/C2330,0)</f>
        <v>40.2739726027397</v>
      </c>
    </row>
    <row r="2331" customFormat="false" ht="15" hidden="false" customHeight="false" outlineLevel="0" collapsed="false">
      <c r="A2331" s="35" t="n">
        <f aca="false">A2330+1</f>
        <v>47138</v>
      </c>
      <c r="B2331" s="35" t="n">
        <f aca="false">EOMONTH(A2331+1,0)</f>
        <v>47149</v>
      </c>
      <c r="C2331" s="36" t="n">
        <f aca="false">IF(MOD(YEAR(A2331),4)=0,366,365)</f>
        <v>365</v>
      </c>
      <c r="D2331" s="37" t="n">
        <f aca="false">Inputs!$B$9-SUMIFS(Cash_Events!$G$6:$G$20,Cash_Events!$C$6:$C$20,"rAGMF",Cash_Events!$B$6:$B$20,"&lt;="&amp;A2331)</f>
        <v>735000</v>
      </c>
      <c r="E2331" s="38" t="n">
        <f aca="false">VLOOKUP(A2331,Inputs!$A$40:$B$48,2,TRUE())</f>
        <v>0.0363225</v>
      </c>
      <c r="F2331" s="38" t="n">
        <f aca="false">E2331+Inputs!$B$10</f>
        <v>0.1038225</v>
      </c>
      <c r="G2331" s="37" t="n">
        <f aca="false">D2331*F2331/C2331</f>
        <v>209.067226027397</v>
      </c>
      <c r="H2331" s="37" t="n">
        <f aca="false">IF(AND(A2331&gt;=Inputs!$B$13,OR(A2331&lt;Inputs!$B$19,Inputs!$B$20=1)),D2331*Inputs!$B$11/C2331,0)</f>
        <v>40.2739726027397</v>
      </c>
      <c r="I2331" s="37" t="n">
        <f aca="false">Inputs!$C$9-SUMIFS(Cash_Events!$G$6:$G$20,Cash_Events!$C$6:$C$20,"FHL",Cash_Events!$B$6:$B$20,"&lt;="&amp;A2331)</f>
        <v>735000</v>
      </c>
      <c r="J2331" s="38" t="n">
        <f aca="false">VLOOKUP(A2331,Inputs!$F$40:$G$48,2,TRUE())</f>
        <v>0.0364054</v>
      </c>
      <c r="K2331" s="38" t="n">
        <f aca="false">J2331+Inputs!$C$10</f>
        <v>0.1039054</v>
      </c>
      <c r="L2331" s="37" t="n">
        <f aca="false">I2331*K2331/C2331</f>
        <v>209.234161643836</v>
      </c>
      <c r="M2331" s="37" t="n">
        <f aca="false">IF(AND(A2331&gt;=Inputs!$C$13,OR(A2331&lt;Inputs!$B$19,Inputs!$B$20=1)),I2331*Inputs!$C$11/C2331,0)</f>
        <v>40.2739726027397</v>
      </c>
    </row>
    <row r="2332" customFormat="false" ht="15" hidden="false" customHeight="false" outlineLevel="0" collapsed="false">
      <c r="A2332" s="35" t="n">
        <f aca="false">A2331+1</f>
        <v>47139</v>
      </c>
      <c r="B2332" s="35" t="n">
        <f aca="false">EOMONTH(A2332+1,0)</f>
        <v>47149</v>
      </c>
      <c r="C2332" s="36" t="n">
        <f aca="false">IF(MOD(YEAR(A2332),4)=0,366,365)</f>
        <v>365</v>
      </c>
      <c r="D2332" s="37" t="n">
        <f aca="false">Inputs!$B$9-SUMIFS(Cash_Events!$G$6:$G$20,Cash_Events!$C$6:$C$20,"rAGMF",Cash_Events!$B$6:$B$20,"&lt;="&amp;A2332)</f>
        <v>735000</v>
      </c>
      <c r="E2332" s="38" t="n">
        <f aca="false">VLOOKUP(A2332,Inputs!$A$40:$B$48,2,TRUE())</f>
        <v>0.0363225</v>
      </c>
      <c r="F2332" s="38" t="n">
        <f aca="false">E2332+Inputs!$B$10</f>
        <v>0.1038225</v>
      </c>
      <c r="G2332" s="37" t="n">
        <f aca="false">D2332*F2332/C2332</f>
        <v>209.067226027397</v>
      </c>
      <c r="H2332" s="37" t="n">
        <f aca="false">IF(AND(A2332&gt;=Inputs!$B$13,OR(A2332&lt;Inputs!$B$19,Inputs!$B$20=1)),D2332*Inputs!$B$11/C2332,0)</f>
        <v>40.2739726027397</v>
      </c>
      <c r="I2332" s="37" t="n">
        <f aca="false">Inputs!$C$9-SUMIFS(Cash_Events!$G$6:$G$20,Cash_Events!$C$6:$C$20,"FHL",Cash_Events!$B$6:$B$20,"&lt;="&amp;A2332)</f>
        <v>735000</v>
      </c>
      <c r="J2332" s="38" t="n">
        <f aca="false">VLOOKUP(A2332,Inputs!$F$40:$G$48,2,TRUE())</f>
        <v>0.0364054</v>
      </c>
      <c r="K2332" s="38" t="n">
        <f aca="false">J2332+Inputs!$C$10</f>
        <v>0.1039054</v>
      </c>
      <c r="L2332" s="37" t="n">
        <f aca="false">I2332*K2332/C2332</f>
        <v>209.234161643836</v>
      </c>
      <c r="M2332" s="37" t="n">
        <f aca="false">IF(AND(A2332&gt;=Inputs!$C$13,OR(A2332&lt;Inputs!$B$19,Inputs!$B$20=1)),I2332*Inputs!$C$11/C2332,0)</f>
        <v>40.2739726027397</v>
      </c>
    </row>
    <row r="2333" customFormat="false" ht="15" hidden="false" customHeight="false" outlineLevel="0" collapsed="false">
      <c r="A2333" s="35" t="n">
        <f aca="false">A2332+1</f>
        <v>47140</v>
      </c>
      <c r="B2333" s="35" t="n">
        <f aca="false">EOMONTH(A2333+1,0)</f>
        <v>47149</v>
      </c>
      <c r="C2333" s="36" t="n">
        <f aca="false">IF(MOD(YEAR(A2333),4)=0,366,365)</f>
        <v>365</v>
      </c>
      <c r="D2333" s="37" t="n">
        <f aca="false">Inputs!$B$9-SUMIFS(Cash_Events!$G$6:$G$20,Cash_Events!$C$6:$C$20,"rAGMF",Cash_Events!$B$6:$B$20,"&lt;="&amp;A2333)</f>
        <v>735000</v>
      </c>
      <c r="E2333" s="38" t="n">
        <f aca="false">VLOOKUP(A2333,Inputs!$A$40:$B$48,2,TRUE())</f>
        <v>0.0363225</v>
      </c>
      <c r="F2333" s="38" t="n">
        <f aca="false">E2333+Inputs!$B$10</f>
        <v>0.1038225</v>
      </c>
      <c r="G2333" s="37" t="n">
        <f aca="false">D2333*F2333/C2333</f>
        <v>209.067226027397</v>
      </c>
      <c r="H2333" s="37" t="n">
        <f aca="false">IF(AND(A2333&gt;=Inputs!$B$13,OR(A2333&lt;Inputs!$B$19,Inputs!$B$20=1)),D2333*Inputs!$B$11/C2333,0)</f>
        <v>40.2739726027397</v>
      </c>
      <c r="I2333" s="37" t="n">
        <f aca="false">Inputs!$C$9-SUMIFS(Cash_Events!$G$6:$G$20,Cash_Events!$C$6:$C$20,"FHL",Cash_Events!$B$6:$B$20,"&lt;="&amp;A2333)</f>
        <v>735000</v>
      </c>
      <c r="J2333" s="38" t="n">
        <f aca="false">VLOOKUP(A2333,Inputs!$F$40:$G$48,2,TRUE())</f>
        <v>0.0364054</v>
      </c>
      <c r="K2333" s="38" t="n">
        <f aca="false">J2333+Inputs!$C$10</f>
        <v>0.1039054</v>
      </c>
      <c r="L2333" s="37" t="n">
        <f aca="false">I2333*K2333/C2333</f>
        <v>209.234161643836</v>
      </c>
      <c r="M2333" s="37" t="n">
        <f aca="false">IF(AND(A2333&gt;=Inputs!$C$13,OR(A2333&lt;Inputs!$B$19,Inputs!$B$20=1)),I2333*Inputs!$C$11/C2333,0)</f>
        <v>40.2739726027397</v>
      </c>
    </row>
    <row r="2334" customFormat="false" ht="15" hidden="false" customHeight="false" outlineLevel="0" collapsed="false">
      <c r="A2334" s="35" t="n">
        <f aca="false">A2333+1</f>
        <v>47141</v>
      </c>
      <c r="B2334" s="35" t="n">
        <f aca="false">EOMONTH(A2334+1,0)</f>
        <v>47149</v>
      </c>
      <c r="C2334" s="36" t="n">
        <f aca="false">IF(MOD(YEAR(A2334),4)=0,366,365)</f>
        <v>365</v>
      </c>
      <c r="D2334" s="37" t="n">
        <f aca="false">Inputs!$B$9-SUMIFS(Cash_Events!$G$6:$G$20,Cash_Events!$C$6:$C$20,"rAGMF",Cash_Events!$B$6:$B$20,"&lt;="&amp;A2334)</f>
        <v>735000</v>
      </c>
      <c r="E2334" s="38" t="n">
        <f aca="false">VLOOKUP(A2334,Inputs!$A$40:$B$48,2,TRUE())</f>
        <v>0.0363225</v>
      </c>
      <c r="F2334" s="38" t="n">
        <f aca="false">E2334+Inputs!$B$10</f>
        <v>0.1038225</v>
      </c>
      <c r="G2334" s="37" t="n">
        <f aca="false">D2334*F2334/C2334</f>
        <v>209.067226027397</v>
      </c>
      <c r="H2334" s="37" t="n">
        <f aca="false">IF(AND(A2334&gt;=Inputs!$B$13,OR(A2334&lt;Inputs!$B$19,Inputs!$B$20=1)),D2334*Inputs!$B$11/C2334,0)</f>
        <v>40.2739726027397</v>
      </c>
      <c r="I2334" s="37" t="n">
        <f aca="false">Inputs!$C$9-SUMIFS(Cash_Events!$G$6:$G$20,Cash_Events!$C$6:$C$20,"FHL",Cash_Events!$B$6:$B$20,"&lt;="&amp;A2334)</f>
        <v>735000</v>
      </c>
      <c r="J2334" s="38" t="n">
        <f aca="false">VLOOKUP(A2334,Inputs!$F$40:$G$48,2,TRUE())</f>
        <v>0.0364054</v>
      </c>
      <c r="K2334" s="38" t="n">
        <f aca="false">J2334+Inputs!$C$10</f>
        <v>0.1039054</v>
      </c>
      <c r="L2334" s="37" t="n">
        <f aca="false">I2334*K2334/C2334</f>
        <v>209.234161643836</v>
      </c>
      <c r="M2334" s="37" t="n">
        <f aca="false">IF(AND(A2334&gt;=Inputs!$C$13,OR(A2334&lt;Inputs!$B$19,Inputs!$B$20=1)),I2334*Inputs!$C$11/C2334,0)</f>
        <v>40.2739726027397</v>
      </c>
    </row>
    <row r="2335" customFormat="false" ht="15" hidden="false" customHeight="false" outlineLevel="0" collapsed="false">
      <c r="A2335" s="35" t="n">
        <f aca="false">A2334+1</f>
        <v>47142</v>
      </c>
      <c r="B2335" s="35" t="n">
        <f aca="false">EOMONTH(A2335+1,0)</f>
        <v>47149</v>
      </c>
      <c r="C2335" s="36" t="n">
        <f aca="false">IF(MOD(YEAR(A2335),4)=0,366,365)</f>
        <v>365</v>
      </c>
      <c r="D2335" s="37" t="n">
        <f aca="false">Inputs!$B$9-SUMIFS(Cash_Events!$G$6:$G$20,Cash_Events!$C$6:$C$20,"rAGMF",Cash_Events!$B$6:$B$20,"&lt;="&amp;A2335)</f>
        <v>735000</v>
      </c>
      <c r="E2335" s="38" t="n">
        <f aca="false">VLOOKUP(A2335,Inputs!$A$40:$B$48,2,TRUE())</f>
        <v>0.0363225</v>
      </c>
      <c r="F2335" s="38" t="n">
        <f aca="false">E2335+Inputs!$B$10</f>
        <v>0.1038225</v>
      </c>
      <c r="G2335" s="37" t="n">
        <f aca="false">D2335*F2335/C2335</f>
        <v>209.067226027397</v>
      </c>
      <c r="H2335" s="37" t="n">
        <f aca="false">IF(AND(A2335&gt;=Inputs!$B$13,OR(A2335&lt;Inputs!$B$19,Inputs!$B$20=1)),D2335*Inputs!$B$11/C2335,0)</f>
        <v>40.2739726027397</v>
      </c>
      <c r="I2335" s="37" t="n">
        <f aca="false">Inputs!$C$9-SUMIFS(Cash_Events!$G$6:$G$20,Cash_Events!$C$6:$C$20,"FHL",Cash_Events!$B$6:$B$20,"&lt;="&amp;A2335)</f>
        <v>735000</v>
      </c>
      <c r="J2335" s="38" t="n">
        <f aca="false">VLOOKUP(A2335,Inputs!$F$40:$G$48,2,TRUE())</f>
        <v>0.0364054</v>
      </c>
      <c r="K2335" s="38" t="n">
        <f aca="false">J2335+Inputs!$C$10</f>
        <v>0.1039054</v>
      </c>
      <c r="L2335" s="37" t="n">
        <f aca="false">I2335*K2335/C2335</f>
        <v>209.234161643836</v>
      </c>
      <c r="M2335" s="37" t="n">
        <f aca="false">IF(AND(A2335&gt;=Inputs!$C$13,OR(A2335&lt;Inputs!$B$19,Inputs!$B$20=1)),I2335*Inputs!$C$11/C2335,0)</f>
        <v>40.2739726027397</v>
      </c>
    </row>
    <row r="2336" customFormat="false" ht="15" hidden="false" customHeight="false" outlineLevel="0" collapsed="false">
      <c r="A2336" s="35" t="n">
        <f aca="false">A2335+1</f>
        <v>47143</v>
      </c>
      <c r="B2336" s="35" t="n">
        <f aca="false">EOMONTH(A2336+1,0)</f>
        <v>47149</v>
      </c>
      <c r="C2336" s="36" t="n">
        <f aca="false">IF(MOD(YEAR(A2336),4)=0,366,365)</f>
        <v>365</v>
      </c>
      <c r="D2336" s="37" t="n">
        <f aca="false">Inputs!$B$9-SUMIFS(Cash_Events!$G$6:$G$20,Cash_Events!$C$6:$C$20,"rAGMF",Cash_Events!$B$6:$B$20,"&lt;="&amp;A2336)</f>
        <v>735000</v>
      </c>
      <c r="E2336" s="38" t="n">
        <f aca="false">VLOOKUP(A2336,Inputs!$A$40:$B$48,2,TRUE())</f>
        <v>0.0363225</v>
      </c>
      <c r="F2336" s="38" t="n">
        <f aca="false">E2336+Inputs!$B$10</f>
        <v>0.1038225</v>
      </c>
      <c r="G2336" s="37" t="n">
        <f aca="false">D2336*F2336/C2336</f>
        <v>209.067226027397</v>
      </c>
      <c r="H2336" s="37" t="n">
        <f aca="false">IF(AND(A2336&gt;=Inputs!$B$13,OR(A2336&lt;Inputs!$B$19,Inputs!$B$20=1)),D2336*Inputs!$B$11/C2336,0)</f>
        <v>40.2739726027397</v>
      </c>
      <c r="I2336" s="37" t="n">
        <f aca="false">Inputs!$C$9-SUMIFS(Cash_Events!$G$6:$G$20,Cash_Events!$C$6:$C$20,"FHL",Cash_Events!$B$6:$B$20,"&lt;="&amp;A2336)</f>
        <v>735000</v>
      </c>
      <c r="J2336" s="38" t="n">
        <f aca="false">VLOOKUP(A2336,Inputs!$F$40:$G$48,2,TRUE())</f>
        <v>0.0364054</v>
      </c>
      <c r="K2336" s="38" t="n">
        <f aca="false">J2336+Inputs!$C$10</f>
        <v>0.1039054</v>
      </c>
      <c r="L2336" s="37" t="n">
        <f aca="false">I2336*K2336/C2336</f>
        <v>209.234161643836</v>
      </c>
      <c r="M2336" s="37" t="n">
        <f aca="false">IF(AND(A2336&gt;=Inputs!$C$13,OR(A2336&lt;Inputs!$B$19,Inputs!$B$20=1)),I2336*Inputs!$C$11/C2336,0)</f>
        <v>40.2739726027397</v>
      </c>
    </row>
    <row r="2337" customFormat="false" ht="15" hidden="false" customHeight="false" outlineLevel="0" collapsed="false">
      <c r="A2337" s="35" t="n">
        <f aca="false">A2336+1</f>
        <v>47144</v>
      </c>
      <c r="B2337" s="35" t="n">
        <f aca="false">EOMONTH(A2337+1,0)</f>
        <v>47149</v>
      </c>
      <c r="C2337" s="36" t="n">
        <f aca="false">IF(MOD(YEAR(A2337),4)=0,366,365)</f>
        <v>365</v>
      </c>
      <c r="D2337" s="37" t="n">
        <f aca="false">Inputs!$B$9-SUMIFS(Cash_Events!$G$6:$G$20,Cash_Events!$C$6:$C$20,"rAGMF",Cash_Events!$B$6:$B$20,"&lt;="&amp;A2337)</f>
        <v>735000</v>
      </c>
      <c r="E2337" s="38" t="n">
        <f aca="false">VLOOKUP(A2337,Inputs!$A$40:$B$48,2,TRUE())</f>
        <v>0.0363225</v>
      </c>
      <c r="F2337" s="38" t="n">
        <f aca="false">E2337+Inputs!$B$10</f>
        <v>0.1038225</v>
      </c>
      <c r="G2337" s="37" t="n">
        <f aca="false">D2337*F2337/C2337</f>
        <v>209.067226027397</v>
      </c>
      <c r="H2337" s="37" t="n">
        <f aca="false">IF(AND(A2337&gt;=Inputs!$B$13,OR(A2337&lt;Inputs!$B$19,Inputs!$B$20=1)),D2337*Inputs!$B$11/C2337,0)</f>
        <v>40.2739726027397</v>
      </c>
      <c r="I2337" s="37" t="n">
        <f aca="false">Inputs!$C$9-SUMIFS(Cash_Events!$G$6:$G$20,Cash_Events!$C$6:$C$20,"FHL",Cash_Events!$B$6:$B$20,"&lt;="&amp;A2337)</f>
        <v>735000</v>
      </c>
      <c r="J2337" s="38" t="n">
        <f aca="false">VLOOKUP(A2337,Inputs!$F$40:$G$48,2,TRUE())</f>
        <v>0.0364054</v>
      </c>
      <c r="K2337" s="38" t="n">
        <f aca="false">J2337+Inputs!$C$10</f>
        <v>0.1039054</v>
      </c>
      <c r="L2337" s="37" t="n">
        <f aca="false">I2337*K2337/C2337</f>
        <v>209.234161643836</v>
      </c>
      <c r="M2337" s="37" t="n">
        <f aca="false">IF(AND(A2337&gt;=Inputs!$C$13,OR(A2337&lt;Inputs!$B$19,Inputs!$B$20=1)),I2337*Inputs!$C$11/C2337,0)</f>
        <v>40.2739726027397</v>
      </c>
    </row>
    <row r="2338" customFormat="false" ht="15" hidden="false" customHeight="false" outlineLevel="0" collapsed="false">
      <c r="A2338" s="35" t="n">
        <f aca="false">A2337+1</f>
        <v>47145</v>
      </c>
      <c r="B2338" s="35" t="n">
        <f aca="false">EOMONTH(A2338+1,0)</f>
        <v>47149</v>
      </c>
      <c r="C2338" s="36" t="n">
        <f aca="false">IF(MOD(YEAR(A2338),4)=0,366,365)</f>
        <v>365</v>
      </c>
      <c r="D2338" s="37" t="n">
        <f aca="false">Inputs!$B$9-SUMIFS(Cash_Events!$G$6:$G$20,Cash_Events!$C$6:$C$20,"rAGMF",Cash_Events!$B$6:$B$20,"&lt;="&amp;A2338)</f>
        <v>735000</v>
      </c>
      <c r="E2338" s="38" t="n">
        <f aca="false">VLOOKUP(A2338,Inputs!$A$40:$B$48,2,TRUE())</f>
        <v>0.0363225</v>
      </c>
      <c r="F2338" s="38" t="n">
        <f aca="false">E2338+Inputs!$B$10</f>
        <v>0.1038225</v>
      </c>
      <c r="G2338" s="37" t="n">
        <f aca="false">D2338*F2338/C2338</f>
        <v>209.067226027397</v>
      </c>
      <c r="H2338" s="37" t="n">
        <f aca="false">IF(AND(A2338&gt;=Inputs!$B$13,OR(A2338&lt;Inputs!$B$19,Inputs!$B$20=1)),D2338*Inputs!$B$11/C2338,0)</f>
        <v>40.2739726027397</v>
      </c>
      <c r="I2338" s="37" t="n">
        <f aca="false">Inputs!$C$9-SUMIFS(Cash_Events!$G$6:$G$20,Cash_Events!$C$6:$C$20,"FHL",Cash_Events!$B$6:$B$20,"&lt;="&amp;A2338)</f>
        <v>735000</v>
      </c>
      <c r="J2338" s="38" t="n">
        <f aca="false">VLOOKUP(A2338,Inputs!$F$40:$G$48,2,TRUE())</f>
        <v>0.0364054</v>
      </c>
      <c r="K2338" s="38" t="n">
        <f aca="false">J2338+Inputs!$C$10</f>
        <v>0.1039054</v>
      </c>
      <c r="L2338" s="37" t="n">
        <f aca="false">I2338*K2338/C2338</f>
        <v>209.234161643836</v>
      </c>
      <c r="M2338" s="37" t="n">
        <f aca="false">IF(AND(A2338&gt;=Inputs!$C$13,OR(A2338&lt;Inputs!$B$19,Inputs!$B$20=1)),I2338*Inputs!$C$11/C2338,0)</f>
        <v>40.2739726027397</v>
      </c>
    </row>
    <row r="2339" customFormat="false" ht="15" hidden="false" customHeight="false" outlineLevel="0" collapsed="false">
      <c r="A2339" s="35" t="n">
        <f aca="false">A2338+1</f>
        <v>47146</v>
      </c>
      <c r="B2339" s="35" t="n">
        <f aca="false">EOMONTH(A2339+1,0)</f>
        <v>47149</v>
      </c>
      <c r="C2339" s="36" t="n">
        <f aca="false">IF(MOD(YEAR(A2339),4)=0,366,365)</f>
        <v>365</v>
      </c>
      <c r="D2339" s="37" t="n">
        <f aca="false">Inputs!$B$9-SUMIFS(Cash_Events!$G$6:$G$20,Cash_Events!$C$6:$C$20,"rAGMF",Cash_Events!$B$6:$B$20,"&lt;="&amp;A2339)</f>
        <v>735000</v>
      </c>
      <c r="E2339" s="38" t="n">
        <f aca="false">VLOOKUP(A2339,Inputs!$A$40:$B$48,2,TRUE())</f>
        <v>0.0363225</v>
      </c>
      <c r="F2339" s="38" t="n">
        <f aca="false">E2339+Inputs!$B$10</f>
        <v>0.1038225</v>
      </c>
      <c r="G2339" s="37" t="n">
        <f aca="false">D2339*F2339/C2339</f>
        <v>209.067226027397</v>
      </c>
      <c r="H2339" s="37" t="n">
        <f aca="false">IF(AND(A2339&gt;=Inputs!$B$13,OR(A2339&lt;Inputs!$B$19,Inputs!$B$20=1)),D2339*Inputs!$B$11/C2339,0)</f>
        <v>40.2739726027397</v>
      </c>
      <c r="I2339" s="37" t="n">
        <f aca="false">Inputs!$C$9-SUMIFS(Cash_Events!$G$6:$G$20,Cash_Events!$C$6:$C$20,"FHL",Cash_Events!$B$6:$B$20,"&lt;="&amp;A2339)</f>
        <v>735000</v>
      </c>
      <c r="J2339" s="38" t="n">
        <f aca="false">VLOOKUP(A2339,Inputs!$F$40:$G$48,2,TRUE())</f>
        <v>0.0364054</v>
      </c>
      <c r="K2339" s="38" t="n">
        <f aca="false">J2339+Inputs!$C$10</f>
        <v>0.1039054</v>
      </c>
      <c r="L2339" s="37" t="n">
        <f aca="false">I2339*K2339/C2339</f>
        <v>209.234161643836</v>
      </c>
      <c r="M2339" s="37" t="n">
        <f aca="false">IF(AND(A2339&gt;=Inputs!$C$13,OR(A2339&lt;Inputs!$B$19,Inputs!$B$20=1)),I2339*Inputs!$C$11/C2339,0)</f>
        <v>40.2739726027397</v>
      </c>
    </row>
    <row r="2340" customFormat="false" ht="15" hidden="false" customHeight="false" outlineLevel="0" collapsed="false">
      <c r="A2340" s="35" t="n">
        <f aca="false">A2339+1</f>
        <v>47147</v>
      </c>
      <c r="B2340" s="35" t="n">
        <f aca="false">EOMONTH(A2340+1,0)</f>
        <v>47149</v>
      </c>
      <c r="C2340" s="36" t="n">
        <f aca="false">IF(MOD(YEAR(A2340),4)=0,366,365)</f>
        <v>365</v>
      </c>
      <c r="D2340" s="37" t="n">
        <f aca="false">Inputs!$B$9-SUMIFS(Cash_Events!$G$6:$G$20,Cash_Events!$C$6:$C$20,"rAGMF",Cash_Events!$B$6:$B$20,"&lt;="&amp;A2340)</f>
        <v>735000</v>
      </c>
      <c r="E2340" s="38" t="n">
        <f aca="false">VLOOKUP(A2340,Inputs!$A$40:$B$48,2,TRUE())</f>
        <v>0.0363225</v>
      </c>
      <c r="F2340" s="38" t="n">
        <f aca="false">E2340+Inputs!$B$10</f>
        <v>0.1038225</v>
      </c>
      <c r="G2340" s="37" t="n">
        <f aca="false">D2340*F2340/C2340</f>
        <v>209.067226027397</v>
      </c>
      <c r="H2340" s="37" t="n">
        <f aca="false">IF(AND(A2340&gt;=Inputs!$B$13,OR(A2340&lt;Inputs!$B$19,Inputs!$B$20=1)),D2340*Inputs!$B$11/C2340,0)</f>
        <v>40.2739726027397</v>
      </c>
      <c r="I2340" s="37" t="n">
        <f aca="false">Inputs!$C$9-SUMIFS(Cash_Events!$G$6:$G$20,Cash_Events!$C$6:$C$20,"FHL",Cash_Events!$B$6:$B$20,"&lt;="&amp;A2340)</f>
        <v>735000</v>
      </c>
      <c r="J2340" s="38" t="n">
        <f aca="false">VLOOKUP(A2340,Inputs!$F$40:$G$48,2,TRUE())</f>
        <v>0.0364054</v>
      </c>
      <c r="K2340" s="38" t="n">
        <f aca="false">J2340+Inputs!$C$10</f>
        <v>0.1039054</v>
      </c>
      <c r="L2340" s="37" t="n">
        <f aca="false">I2340*K2340/C2340</f>
        <v>209.234161643836</v>
      </c>
      <c r="M2340" s="37" t="n">
        <f aca="false">IF(AND(A2340&gt;=Inputs!$C$13,OR(A2340&lt;Inputs!$B$19,Inputs!$B$20=1)),I2340*Inputs!$C$11/C2340,0)</f>
        <v>40.2739726027397</v>
      </c>
    </row>
    <row r="2341" customFormat="false" ht="15" hidden="false" customHeight="false" outlineLevel="0" collapsed="false">
      <c r="A2341" s="35" t="n">
        <f aca="false">A2340+1</f>
        <v>47148</v>
      </c>
      <c r="B2341" s="35" t="n">
        <f aca="false">EOMONTH(A2341+1,0)</f>
        <v>47149</v>
      </c>
      <c r="C2341" s="36" t="n">
        <f aca="false">IF(MOD(YEAR(A2341),4)=0,366,365)</f>
        <v>365</v>
      </c>
      <c r="D2341" s="37" t="n">
        <f aca="false">Inputs!$B$9-SUMIFS(Cash_Events!$G$6:$G$20,Cash_Events!$C$6:$C$20,"rAGMF",Cash_Events!$B$6:$B$20,"&lt;="&amp;A2341)</f>
        <v>735000</v>
      </c>
      <c r="E2341" s="38" t="n">
        <f aca="false">VLOOKUP(A2341,Inputs!$A$40:$B$48,2,TRUE())</f>
        <v>0.0363225</v>
      </c>
      <c r="F2341" s="38" t="n">
        <f aca="false">E2341+Inputs!$B$10</f>
        <v>0.1038225</v>
      </c>
      <c r="G2341" s="37" t="n">
        <f aca="false">D2341*F2341/C2341</f>
        <v>209.067226027397</v>
      </c>
      <c r="H2341" s="37" t="n">
        <f aca="false">IF(AND(A2341&gt;=Inputs!$B$13,OR(A2341&lt;Inputs!$B$19,Inputs!$B$20=1)),D2341*Inputs!$B$11/C2341,0)</f>
        <v>40.2739726027397</v>
      </c>
      <c r="I2341" s="37" t="n">
        <f aca="false">Inputs!$C$9-SUMIFS(Cash_Events!$G$6:$G$20,Cash_Events!$C$6:$C$20,"FHL",Cash_Events!$B$6:$B$20,"&lt;="&amp;A2341)</f>
        <v>735000</v>
      </c>
      <c r="J2341" s="38" t="n">
        <f aca="false">VLOOKUP(A2341,Inputs!$F$40:$G$48,2,TRUE())</f>
        <v>0.0364054</v>
      </c>
      <c r="K2341" s="38" t="n">
        <f aca="false">J2341+Inputs!$C$10</f>
        <v>0.1039054</v>
      </c>
      <c r="L2341" s="37" t="n">
        <f aca="false">I2341*K2341/C2341</f>
        <v>209.234161643836</v>
      </c>
      <c r="M2341" s="37" t="n">
        <f aca="false">IF(AND(A2341&gt;=Inputs!$C$13,OR(A2341&lt;Inputs!$B$19,Inputs!$B$20=1)),I2341*Inputs!$C$11/C2341,0)</f>
        <v>40.2739726027397</v>
      </c>
    </row>
    <row r="2342" customFormat="false" ht="15" hidden="false" customHeight="false" outlineLevel="0" collapsed="false">
      <c r="A2342" s="35" t="n">
        <f aca="false">A2341+1</f>
        <v>47149</v>
      </c>
      <c r="B2342" s="35" t="n">
        <f aca="false">EOMONTH(A2342+1,0)</f>
        <v>47177</v>
      </c>
      <c r="C2342" s="36" t="n">
        <f aca="false">IF(MOD(YEAR(A2342),4)=0,366,365)</f>
        <v>365</v>
      </c>
      <c r="D2342" s="37" t="n">
        <f aca="false">Inputs!$B$9-SUMIFS(Cash_Events!$G$6:$G$20,Cash_Events!$C$6:$C$20,"rAGMF",Cash_Events!$B$6:$B$20,"&lt;="&amp;A2342)</f>
        <v>735000</v>
      </c>
      <c r="E2342" s="38" t="n">
        <f aca="false">VLOOKUP(A2342,Inputs!$A$40:$B$48,2,TRUE())</f>
        <v>0.0363225</v>
      </c>
      <c r="F2342" s="38" t="n">
        <f aca="false">E2342+Inputs!$B$10</f>
        <v>0.1038225</v>
      </c>
      <c r="G2342" s="37" t="n">
        <f aca="false">D2342*F2342/C2342</f>
        <v>209.067226027397</v>
      </c>
      <c r="H2342" s="37" t="n">
        <f aca="false">IF(AND(A2342&gt;=Inputs!$B$13,OR(A2342&lt;Inputs!$B$19,Inputs!$B$20=1)),D2342*Inputs!$B$11/C2342,0)</f>
        <v>40.2739726027397</v>
      </c>
      <c r="I2342" s="37" t="n">
        <f aca="false">Inputs!$C$9-SUMIFS(Cash_Events!$G$6:$G$20,Cash_Events!$C$6:$C$20,"FHL",Cash_Events!$B$6:$B$20,"&lt;="&amp;A2342)</f>
        <v>735000</v>
      </c>
      <c r="J2342" s="38" t="n">
        <f aca="false">VLOOKUP(A2342,Inputs!$F$40:$G$48,2,TRUE())</f>
        <v>0.0364054</v>
      </c>
      <c r="K2342" s="38" t="n">
        <f aca="false">J2342+Inputs!$C$10</f>
        <v>0.1039054</v>
      </c>
      <c r="L2342" s="37" t="n">
        <f aca="false">I2342*K2342/C2342</f>
        <v>209.234161643836</v>
      </c>
      <c r="M2342" s="37" t="n">
        <f aca="false">IF(AND(A2342&gt;=Inputs!$C$13,OR(A2342&lt;Inputs!$B$19,Inputs!$B$20=1)),I2342*Inputs!$C$11/C2342,0)</f>
        <v>40.2739726027397</v>
      </c>
    </row>
    <row r="2343" customFormat="false" ht="15" hidden="false" customHeight="false" outlineLevel="0" collapsed="false">
      <c r="A2343" s="35" t="n">
        <f aca="false">A2342+1</f>
        <v>47150</v>
      </c>
      <c r="B2343" s="35" t="n">
        <f aca="false">EOMONTH(A2343+1,0)</f>
        <v>47177</v>
      </c>
      <c r="C2343" s="36" t="n">
        <f aca="false">IF(MOD(YEAR(A2343),4)=0,366,365)</f>
        <v>365</v>
      </c>
      <c r="D2343" s="37" t="n">
        <f aca="false">Inputs!$B$9-SUMIFS(Cash_Events!$G$6:$G$20,Cash_Events!$C$6:$C$20,"rAGMF",Cash_Events!$B$6:$B$20,"&lt;="&amp;A2343)</f>
        <v>735000</v>
      </c>
      <c r="E2343" s="38" t="n">
        <f aca="false">VLOOKUP(A2343,Inputs!$A$40:$B$48,2,TRUE())</f>
        <v>0.0363225</v>
      </c>
      <c r="F2343" s="38" t="n">
        <f aca="false">E2343+Inputs!$B$10</f>
        <v>0.1038225</v>
      </c>
      <c r="G2343" s="37" t="n">
        <f aca="false">D2343*F2343/C2343</f>
        <v>209.067226027397</v>
      </c>
      <c r="H2343" s="37" t="n">
        <f aca="false">IF(AND(A2343&gt;=Inputs!$B$13,OR(A2343&lt;Inputs!$B$19,Inputs!$B$20=1)),D2343*Inputs!$B$11/C2343,0)</f>
        <v>40.2739726027397</v>
      </c>
      <c r="I2343" s="37" t="n">
        <f aca="false">Inputs!$C$9-SUMIFS(Cash_Events!$G$6:$G$20,Cash_Events!$C$6:$C$20,"FHL",Cash_Events!$B$6:$B$20,"&lt;="&amp;A2343)</f>
        <v>735000</v>
      </c>
      <c r="J2343" s="38" t="n">
        <f aca="false">VLOOKUP(A2343,Inputs!$F$40:$G$48,2,TRUE())</f>
        <v>0.0364054</v>
      </c>
      <c r="K2343" s="38" t="n">
        <f aca="false">J2343+Inputs!$C$10</f>
        <v>0.1039054</v>
      </c>
      <c r="L2343" s="37" t="n">
        <f aca="false">I2343*K2343/C2343</f>
        <v>209.234161643836</v>
      </c>
      <c r="M2343" s="37" t="n">
        <f aca="false">IF(AND(A2343&gt;=Inputs!$C$13,OR(A2343&lt;Inputs!$B$19,Inputs!$B$20=1)),I2343*Inputs!$C$11/C2343,0)</f>
        <v>40.2739726027397</v>
      </c>
    </row>
    <row r="2344" customFormat="false" ht="15" hidden="false" customHeight="false" outlineLevel="0" collapsed="false">
      <c r="A2344" s="35" t="n">
        <f aca="false">A2343+1</f>
        <v>47151</v>
      </c>
      <c r="B2344" s="35" t="n">
        <f aca="false">EOMONTH(A2344+1,0)</f>
        <v>47177</v>
      </c>
      <c r="C2344" s="36" t="n">
        <f aca="false">IF(MOD(YEAR(A2344),4)=0,366,365)</f>
        <v>365</v>
      </c>
      <c r="D2344" s="37" t="n">
        <f aca="false">Inputs!$B$9-SUMIFS(Cash_Events!$G$6:$G$20,Cash_Events!$C$6:$C$20,"rAGMF",Cash_Events!$B$6:$B$20,"&lt;="&amp;A2344)</f>
        <v>735000</v>
      </c>
      <c r="E2344" s="38" t="n">
        <f aca="false">VLOOKUP(A2344,Inputs!$A$40:$B$48,2,TRUE())</f>
        <v>0.0363225</v>
      </c>
      <c r="F2344" s="38" t="n">
        <f aca="false">E2344+Inputs!$B$10</f>
        <v>0.1038225</v>
      </c>
      <c r="G2344" s="37" t="n">
        <f aca="false">D2344*F2344/C2344</f>
        <v>209.067226027397</v>
      </c>
      <c r="H2344" s="37" t="n">
        <f aca="false">IF(AND(A2344&gt;=Inputs!$B$13,OR(A2344&lt;Inputs!$B$19,Inputs!$B$20=1)),D2344*Inputs!$B$11/C2344,0)</f>
        <v>40.2739726027397</v>
      </c>
      <c r="I2344" s="37" t="n">
        <f aca="false">Inputs!$C$9-SUMIFS(Cash_Events!$G$6:$G$20,Cash_Events!$C$6:$C$20,"FHL",Cash_Events!$B$6:$B$20,"&lt;="&amp;A2344)</f>
        <v>735000</v>
      </c>
      <c r="J2344" s="38" t="n">
        <f aca="false">VLOOKUP(A2344,Inputs!$F$40:$G$48,2,TRUE())</f>
        <v>0.0364054</v>
      </c>
      <c r="K2344" s="38" t="n">
        <f aca="false">J2344+Inputs!$C$10</f>
        <v>0.1039054</v>
      </c>
      <c r="L2344" s="37" t="n">
        <f aca="false">I2344*K2344/C2344</f>
        <v>209.234161643836</v>
      </c>
      <c r="M2344" s="37" t="n">
        <f aca="false">IF(AND(A2344&gt;=Inputs!$C$13,OR(A2344&lt;Inputs!$B$19,Inputs!$B$20=1)),I2344*Inputs!$C$11/C2344,0)</f>
        <v>40.2739726027397</v>
      </c>
    </row>
    <row r="2345" customFormat="false" ht="15" hidden="false" customHeight="false" outlineLevel="0" collapsed="false">
      <c r="A2345" s="35" t="n">
        <f aca="false">A2344+1</f>
        <v>47152</v>
      </c>
      <c r="B2345" s="35" t="n">
        <f aca="false">EOMONTH(A2345+1,0)</f>
        <v>47177</v>
      </c>
      <c r="C2345" s="36" t="n">
        <f aca="false">IF(MOD(YEAR(A2345),4)=0,366,365)</f>
        <v>365</v>
      </c>
      <c r="D2345" s="37" t="n">
        <f aca="false">Inputs!$B$9-SUMIFS(Cash_Events!$G$6:$G$20,Cash_Events!$C$6:$C$20,"rAGMF",Cash_Events!$B$6:$B$20,"&lt;="&amp;A2345)</f>
        <v>735000</v>
      </c>
      <c r="E2345" s="38" t="n">
        <f aca="false">VLOOKUP(A2345,Inputs!$A$40:$B$48,2,TRUE())</f>
        <v>0.0363225</v>
      </c>
      <c r="F2345" s="38" t="n">
        <f aca="false">E2345+Inputs!$B$10</f>
        <v>0.1038225</v>
      </c>
      <c r="G2345" s="37" t="n">
        <f aca="false">D2345*F2345/C2345</f>
        <v>209.067226027397</v>
      </c>
      <c r="H2345" s="37" t="n">
        <f aca="false">IF(AND(A2345&gt;=Inputs!$B$13,OR(A2345&lt;Inputs!$B$19,Inputs!$B$20=1)),D2345*Inputs!$B$11/C2345,0)</f>
        <v>40.2739726027397</v>
      </c>
      <c r="I2345" s="37" t="n">
        <f aca="false">Inputs!$C$9-SUMIFS(Cash_Events!$G$6:$G$20,Cash_Events!$C$6:$C$20,"FHL",Cash_Events!$B$6:$B$20,"&lt;="&amp;A2345)</f>
        <v>735000</v>
      </c>
      <c r="J2345" s="38" t="n">
        <f aca="false">VLOOKUP(A2345,Inputs!$F$40:$G$48,2,TRUE())</f>
        <v>0.0364054</v>
      </c>
      <c r="K2345" s="38" t="n">
        <f aca="false">J2345+Inputs!$C$10</f>
        <v>0.1039054</v>
      </c>
      <c r="L2345" s="37" t="n">
        <f aca="false">I2345*K2345/C2345</f>
        <v>209.234161643836</v>
      </c>
      <c r="M2345" s="37" t="n">
        <f aca="false">IF(AND(A2345&gt;=Inputs!$C$13,OR(A2345&lt;Inputs!$B$19,Inputs!$B$20=1)),I2345*Inputs!$C$11/C2345,0)</f>
        <v>40.2739726027397</v>
      </c>
    </row>
    <row r="2346" customFormat="false" ht="15" hidden="false" customHeight="false" outlineLevel="0" collapsed="false">
      <c r="A2346" s="35" t="n">
        <f aca="false">A2345+1</f>
        <v>47153</v>
      </c>
      <c r="B2346" s="35" t="n">
        <f aca="false">EOMONTH(A2346+1,0)</f>
        <v>47177</v>
      </c>
      <c r="C2346" s="36" t="n">
        <f aca="false">IF(MOD(YEAR(A2346),4)=0,366,365)</f>
        <v>365</v>
      </c>
      <c r="D2346" s="37" t="n">
        <f aca="false">Inputs!$B$9-SUMIFS(Cash_Events!$G$6:$G$20,Cash_Events!$C$6:$C$20,"rAGMF",Cash_Events!$B$6:$B$20,"&lt;="&amp;A2346)</f>
        <v>735000</v>
      </c>
      <c r="E2346" s="38" t="n">
        <f aca="false">VLOOKUP(A2346,Inputs!$A$40:$B$48,2,TRUE())</f>
        <v>0.0363225</v>
      </c>
      <c r="F2346" s="38" t="n">
        <f aca="false">E2346+Inputs!$B$10</f>
        <v>0.1038225</v>
      </c>
      <c r="G2346" s="37" t="n">
        <f aca="false">D2346*F2346/C2346</f>
        <v>209.067226027397</v>
      </c>
      <c r="H2346" s="37" t="n">
        <f aca="false">IF(AND(A2346&gt;=Inputs!$B$13,OR(A2346&lt;Inputs!$B$19,Inputs!$B$20=1)),D2346*Inputs!$B$11/C2346,0)</f>
        <v>40.2739726027397</v>
      </c>
      <c r="I2346" s="37" t="n">
        <f aca="false">Inputs!$C$9-SUMIFS(Cash_Events!$G$6:$G$20,Cash_Events!$C$6:$C$20,"FHL",Cash_Events!$B$6:$B$20,"&lt;="&amp;A2346)</f>
        <v>735000</v>
      </c>
      <c r="J2346" s="38" t="n">
        <f aca="false">VLOOKUP(A2346,Inputs!$F$40:$G$48,2,TRUE())</f>
        <v>0.0364054</v>
      </c>
      <c r="K2346" s="38" t="n">
        <f aca="false">J2346+Inputs!$C$10</f>
        <v>0.1039054</v>
      </c>
      <c r="L2346" s="37" t="n">
        <f aca="false">I2346*K2346/C2346</f>
        <v>209.234161643836</v>
      </c>
      <c r="M2346" s="37" t="n">
        <f aca="false">IF(AND(A2346&gt;=Inputs!$C$13,OR(A2346&lt;Inputs!$B$19,Inputs!$B$20=1)),I2346*Inputs!$C$11/C2346,0)</f>
        <v>40.2739726027397</v>
      </c>
    </row>
    <row r="2347" customFormat="false" ht="15" hidden="false" customHeight="false" outlineLevel="0" collapsed="false">
      <c r="A2347" s="35" t="n">
        <f aca="false">A2346+1</f>
        <v>47154</v>
      </c>
      <c r="B2347" s="35" t="n">
        <f aca="false">EOMONTH(A2347+1,0)</f>
        <v>47177</v>
      </c>
      <c r="C2347" s="36" t="n">
        <f aca="false">IF(MOD(YEAR(A2347),4)=0,366,365)</f>
        <v>365</v>
      </c>
      <c r="D2347" s="37" t="n">
        <f aca="false">Inputs!$B$9-SUMIFS(Cash_Events!$G$6:$G$20,Cash_Events!$C$6:$C$20,"rAGMF",Cash_Events!$B$6:$B$20,"&lt;="&amp;A2347)</f>
        <v>735000</v>
      </c>
      <c r="E2347" s="38" t="n">
        <f aca="false">VLOOKUP(A2347,Inputs!$A$40:$B$48,2,TRUE())</f>
        <v>0.0363225</v>
      </c>
      <c r="F2347" s="38" t="n">
        <f aca="false">E2347+Inputs!$B$10</f>
        <v>0.1038225</v>
      </c>
      <c r="G2347" s="37" t="n">
        <f aca="false">D2347*F2347/C2347</f>
        <v>209.067226027397</v>
      </c>
      <c r="H2347" s="37" t="n">
        <f aca="false">IF(AND(A2347&gt;=Inputs!$B$13,OR(A2347&lt;Inputs!$B$19,Inputs!$B$20=1)),D2347*Inputs!$B$11/C2347,0)</f>
        <v>40.2739726027397</v>
      </c>
      <c r="I2347" s="37" t="n">
        <f aca="false">Inputs!$C$9-SUMIFS(Cash_Events!$G$6:$G$20,Cash_Events!$C$6:$C$20,"FHL",Cash_Events!$B$6:$B$20,"&lt;="&amp;A2347)</f>
        <v>735000</v>
      </c>
      <c r="J2347" s="38" t="n">
        <f aca="false">VLOOKUP(A2347,Inputs!$F$40:$G$48,2,TRUE())</f>
        <v>0.0364054</v>
      </c>
      <c r="K2347" s="38" t="n">
        <f aca="false">J2347+Inputs!$C$10</f>
        <v>0.1039054</v>
      </c>
      <c r="L2347" s="37" t="n">
        <f aca="false">I2347*K2347/C2347</f>
        <v>209.234161643836</v>
      </c>
      <c r="M2347" s="37" t="n">
        <f aca="false">IF(AND(A2347&gt;=Inputs!$C$13,OR(A2347&lt;Inputs!$B$19,Inputs!$B$20=1)),I2347*Inputs!$C$11/C2347,0)</f>
        <v>40.2739726027397</v>
      </c>
    </row>
    <row r="2348" customFormat="false" ht="15" hidden="false" customHeight="false" outlineLevel="0" collapsed="false">
      <c r="A2348" s="35" t="n">
        <f aca="false">A2347+1</f>
        <v>47155</v>
      </c>
      <c r="B2348" s="35" t="n">
        <f aca="false">EOMONTH(A2348+1,0)</f>
        <v>47177</v>
      </c>
      <c r="C2348" s="36" t="n">
        <f aca="false">IF(MOD(YEAR(A2348),4)=0,366,365)</f>
        <v>365</v>
      </c>
      <c r="D2348" s="37" t="n">
        <f aca="false">Inputs!$B$9-SUMIFS(Cash_Events!$G$6:$G$20,Cash_Events!$C$6:$C$20,"rAGMF",Cash_Events!$B$6:$B$20,"&lt;="&amp;A2348)</f>
        <v>735000</v>
      </c>
      <c r="E2348" s="38" t="n">
        <f aca="false">VLOOKUP(A2348,Inputs!$A$40:$B$48,2,TRUE())</f>
        <v>0.0363225</v>
      </c>
      <c r="F2348" s="38" t="n">
        <f aca="false">E2348+Inputs!$B$10</f>
        <v>0.1038225</v>
      </c>
      <c r="G2348" s="37" t="n">
        <f aca="false">D2348*F2348/C2348</f>
        <v>209.067226027397</v>
      </c>
      <c r="H2348" s="37" t="n">
        <f aca="false">IF(AND(A2348&gt;=Inputs!$B$13,OR(A2348&lt;Inputs!$B$19,Inputs!$B$20=1)),D2348*Inputs!$B$11/C2348,0)</f>
        <v>40.2739726027397</v>
      </c>
      <c r="I2348" s="37" t="n">
        <f aca="false">Inputs!$C$9-SUMIFS(Cash_Events!$G$6:$G$20,Cash_Events!$C$6:$C$20,"FHL",Cash_Events!$B$6:$B$20,"&lt;="&amp;A2348)</f>
        <v>735000</v>
      </c>
      <c r="J2348" s="38" t="n">
        <f aca="false">VLOOKUP(A2348,Inputs!$F$40:$G$48,2,TRUE())</f>
        <v>0.0364054</v>
      </c>
      <c r="K2348" s="38" t="n">
        <f aca="false">J2348+Inputs!$C$10</f>
        <v>0.1039054</v>
      </c>
      <c r="L2348" s="37" t="n">
        <f aca="false">I2348*K2348/C2348</f>
        <v>209.234161643836</v>
      </c>
      <c r="M2348" s="37" t="n">
        <f aca="false">IF(AND(A2348&gt;=Inputs!$C$13,OR(A2348&lt;Inputs!$B$19,Inputs!$B$20=1)),I2348*Inputs!$C$11/C2348,0)</f>
        <v>40.2739726027397</v>
      </c>
    </row>
    <row r="2349" customFormat="false" ht="15" hidden="false" customHeight="false" outlineLevel="0" collapsed="false">
      <c r="A2349" s="35" t="n">
        <f aca="false">A2348+1</f>
        <v>47156</v>
      </c>
      <c r="B2349" s="35" t="n">
        <f aca="false">EOMONTH(A2349+1,0)</f>
        <v>47177</v>
      </c>
      <c r="C2349" s="36" t="n">
        <f aca="false">IF(MOD(YEAR(A2349),4)=0,366,365)</f>
        <v>365</v>
      </c>
      <c r="D2349" s="37" t="n">
        <f aca="false">Inputs!$B$9-SUMIFS(Cash_Events!$G$6:$G$20,Cash_Events!$C$6:$C$20,"rAGMF",Cash_Events!$B$6:$B$20,"&lt;="&amp;A2349)</f>
        <v>735000</v>
      </c>
      <c r="E2349" s="38" t="n">
        <f aca="false">VLOOKUP(A2349,Inputs!$A$40:$B$48,2,TRUE())</f>
        <v>0.0363225</v>
      </c>
      <c r="F2349" s="38" t="n">
        <f aca="false">E2349+Inputs!$B$10</f>
        <v>0.1038225</v>
      </c>
      <c r="G2349" s="37" t="n">
        <f aca="false">D2349*F2349/C2349</f>
        <v>209.067226027397</v>
      </c>
      <c r="H2349" s="37" t="n">
        <f aca="false">IF(AND(A2349&gt;=Inputs!$B$13,OR(A2349&lt;Inputs!$B$19,Inputs!$B$20=1)),D2349*Inputs!$B$11/C2349,0)</f>
        <v>40.2739726027397</v>
      </c>
      <c r="I2349" s="37" t="n">
        <f aca="false">Inputs!$C$9-SUMIFS(Cash_Events!$G$6:$G$20,Cash_Events!$C$6:$C$20,"FHL",Cash_Events!$B$6:$B$20,"&lt;="&amp;A2349)</f>
        <v>735000</v>
      </c>
      <c r="J2349" s="38" t="n">
        <f aca="false">VLOOKUP(A2349,Inputs!$F$40:$G$48,2,TRUE())</f>
        <v>0.0364054</v>
      </c>
      <c r="K2349" s="38" t="n">
        <f aca="false">J2349+Inputs!$C$10</f>
        <v>0.1039054</v>
      </c>
      <c r="L2349" s="37" t="n">
        <f aca="false">I2349*K2349/C2349</f>
        <v>209.234161643836</v>
      </c>
      <c r="M2349" s="37" t="n">
        <f aca="false">IF(AND(A2349&gt;=Inputs!$C$13,OR(A2349&lt;Inputs!$B$19,Inputs!$B$20=1)),I2349*Inputs!$C$11/C2349,0)</f>
        <v>40.2739726027397</v>
      </c>
    </row>
    <row r="2350" customFormat="false" ht="15" hidden="false" customHeight="false" outlineLevel="0" collapsed="false">
      <c r="A2350" s="35" t="n">
        <f aca="false">A2349+1</f>
        <v>47157</v>
      </c>
      <c r="B2350" s="35" t="n">
        <f aca="false">EOMONTH(A2350+1,0)</f>
        <v>47177</v>
      </c>
      <c r="C2350" s="36" t="n">
        <f aca="false">IF(MOD(YEAR(A2350),4)=0,366,365)</f>
        <v>365</v>
      </c>
      <c r="D2350" s="37" t="n">
        <f aca="false">Inputs!$B$9-SUMIFS(Cash_Events!$G$6:$G$20,Cash_Events!$C$6:$C$20,"rAGMF",Cash_Events!$B$6:$B$20,"&lt;="&amp;A2350)</f>
        <v>735000</v>
      </c>
      <c r="E2350" s="38" t="n">
        <f aca="false">VLOOKUP(A2350,Inputs!$A$40:$B$48,2,TRUE())</f>
        <v>0.0363225</v>
      </c>
      <c r="F2350" s="38" t="n">
        <f aca="false">E2350+Inputs!$B$10</f>
        <v>0.1038225</v>
      </c>
      <c r="G2350" s="37" t="n">
        <f aca="false">D2350*F2350/C2350</f>
        <v>209.067226027397</v>
      </c>
      <c r="H2350" s="37" t="n">
        <f aca="false">IF(AND(A2350&gt;=Inputs!$B$13,OR(A2350&lt;Inputs!$B$19,Inputs!$B$20=1)),D2350*Inputs!$B$11/C2350,0)</f>
        <v>40.2739726027397</v>
      </c>
      <c r="I2350" s="37" t="n">
        <f aca="false">Inputs!$C$9-SUMIFS(Cash_Events!$G$6:$G$20,Cash_Events!$C$6:$C$20,"FHL",Cash_Events!$B$6:$B$20,"&lt;="&amp;A2350)</f>
        <v>735000</v>
      </c>
      <c r="J2350" s="38" t="n">
        <f aca="false">VLOOKUP(A2350,Inputs!$F$40:$G$48,2,TRUE())</f>
        <v>0.0364054</v>
      </c>
      <c r="K2350" s="38" t="n">
        <f aca="false">J2350+Inputs!$C$10</f>
        <v>0.1039054</v>
      </c>
      <c r="L2350" s="37" t="n">
        <f aca="false">I2350*K2350/C2350</f>
        <v>209.234161643836</v>
      </c>
      <c r="M2350" s="37" t="n">
        <f aca="false">IF(AND(A2350&gt;=Inputs!$C$13,OR(A2350&lt;Inputs!$B$19,Inputs!$B$20=1)),I2350*Inputs!$C$11/C2350,0)</f>
        <v>40.2739726027397</v>
      </c>
    </row>
    <row r="2351" customFormat="false" ht="15" hidden="false" customHeight="false" outlineLevel="0" collapsed="false">
      <c r="A2351" s="35" t="n">
        <f aca="false">A2350+1</f>
        <v>47158</v>
      </c>
      <c r="B2351" s="35" t="n">
        <f aca="false">EOMONTH(A2351+1,0)</f>
        <v>47177</v>
      </c>
      <c r="C2351" s="36" t="n">
        <f aca="false">IF(MOD(YEAR(A2351),4)=0,366,365)</f>
        <v>365</v>
      </c>
      <c r="D2351" s="37" t="n">
        <f aca="false">Inputs!$B$9-SUMIFS(Cash_Events!$G$6:$G$20,Cash_Events!$C$6:$C$20,"rAGMF",Cash_Events!$B$6:$B$20,"&lt;="&amp;A2351)</f>
        <v>735000</v>
      </c>
      <c r="E2351" s="38" t="n">
        <f aca="false">VLOOKUP(A2351,Inputs!$A$40:$B$48,2,TRUE())</f>
        <v>0.0363225</v>
      </c>
      <c r="F2351" s="38" t="n">
        <f aca="false">E2351+Inputs!$B$10</f>
        <v>0.1038225</v>
      </c>
      <c r="G2351" s="37" t="n">
        <f aca="false">D2351*F2351/C2351</f>
        <v>209.067226027397</v>
      </c>
      <c r="H2351" s="37" t="n">
        <f aca="false">IF(AND(A2351&gt;=Inputs!$B$13,OR(A2351&lt;Inputs!$B$19,Inputs!$B$20=1)),D2351*Inputs!$B$11/C2351,0)</f>
        <v>40.2739726027397</v>
      </c>
      <c r="I2351" s="37" t="n">
        <f aca="false">Inputs!$C$9-SUMIFS(Cash_Events!$G$6:$G$20,Cash_Events!$C$6:$C$20,"FHL",Cash_Events!$B$6:$B$20,"&lt;="&amp;A2351)</f>
        <v>735000</v>
      </c>
      <c r="J2351" s="38" t="n">
        <f aca="false">VLOOKUP(A2351,Inputs!$F$40:$G$48,2,TRUE())</f>
        <v>0.0364054</v>
      </c>
      <c r="K2351" s="38" t="n">
        <f aca="false">J2351+Inputs!$C$10</f>
        <v>0.1039054</v>
      </c>
      <c r="L2351" s="37" t="n">
        <f aca="false">I2351*K2351/C2351</f>
        <v>209.234161643836</v>
      </c>
      <c r="M2351" s="37" t="n">
        <f aca="false">IF(AND(A2351&gt;=Inputs!$C$13,OR(A2351&lt;Inputs!$B$19,Inputs!$B$20=1)),I2351*Inputs!$C$11/C2351,0)</f>
        <v>40.2739726027397</v>
      </c>
    </row>
    <row r="2352" customFormat="false" ht="15" hidden="false" customHeight="false" outlineLevel="0" collapsed="false">
      <c r="A2352" s="35" t="n">
        <f aca="false">A2351+1</f>
        <v>47159</v>
      </c>
      <c r="B2352" s="35" t="n">
        <f aca="false">EOMONTH(A2352+1,0)</f>
        <v>47177</v>
      </c>
      <c r="C2352" s="36" t="n">
        <f aca="false">IF(MOD(YEAR(A2352),4)=0,366,365)</f>
        <v>365</v>
      </c>
      <c r="D2352" s="37" t="n">
        <f aca="false">Inputs!$B$9-SUMIFS(Cash_Events!$G$6:$G$20,Cash_Events!$C$6:$C$20,"rAGMF",Cash_Events!$B$6:$B$20,"&lt;="&amp;A2352)</f>
        <v>735000</v>
      </c>
      <c r="E2352" s="38" t="n">
        <f aca="false">VLOOKUP(A2352,Inputs!$A$40:$B$48,2,TRUE())</f>
        <v>0.0363225</v>
      </c>
      <c r="F2352" s="38" t="n">
        <f aca="false">E2352+Inputs!$B$10</f>
        <v>0.1038225</v>
      </c>
      <c r="G2352" s="37" t="n">
        <f aca="false">D2352*F2352/C2352</f>
        <v>209.067226027397</v>
      </c>
      <c r="H2352" s="37" t="n">
        <f aca="false">IF(AND(A2352&gt;=Inputs!$B$13,OR(A2352&lt;Inputs!$B$19,Inputs!$B$20=1)),D2352*Inputs!$B$11/C2352,0)</f>
        <v>40.2739726027397</v>
      </c>
      <c r="I2352" s="37" t="n">
        <f aca="false">Inputs!$C$9-SUMIFS(Cash_Events!$G$6:$G$20,Cash_Events!$C$6:$C$20,"FHL",Cash_Events!$B$6:$B$20,"&lt;="&amp;A2352)</f>
        <v>735000</v>
      </c>
      <c r="J2352" s="38" t="n">
        <f aca="false">VLOOKUP(A2352,Inputs!$F$40:$G$48,2,TRUE())</f>
        <v>0.0364054</v>
      </c>
      <c r="K2352" s="38" t="n">
        <f aca="false">J2352+Inputs!$C$10</f>
        <v>0.1039054</v>
      </c>
      <c r="L2352" s="37" t="n">
        <f aca="false">I2352*K2352/C2352</f>
        <v>209.234161643836</v>
      </c>
      <c r="M2352" s="37" t="n">
        <f aca="false">IF(AND(A2352&gt;=Inputs!$C$13,OR(A2352&lt;Inputs!$B$19,Inputs!$B$20=1)),I2352*Inputs!$C$11/C2352,0)</f>
        <v>40.2739726027397</v>
      </c>
    </row>
    <row r="2353" customFormat="false" ht="15" hidden="false" customHeight="false" outlineLevel="0" collapsed="false">
      <c r="A2353" s="35" t="n">
        <f aca="false">A2352+1</f>
        <v>47160</v>
      </c>
      <c r="B2353" s="35" t="n">
        <f aca="false">EOMONTH(A2353+1,0)</f>
        <v>47177</v>
      </c>
      <c r="C2353" s="36" t="n">
        <f aca="false">IF(MOD(YEAR(A2353),4)=0,366,365)</f>
        <v>365</v>
      </c>
      <c r="D2353" s="37" t="n">
        <f aca="false">Inputs!$B$9-SUMIFS(Cash_Events!$G$6:$G$20,Cash_Events!$C$6:$C$20,"rAGMF",Cash_Events!$B$6:$B$20,"&lt;="&amp;A2353)</f>
        <v>735000</v>
      </c>
      <c r="E2353" s="38" t="n">
        <f aca="false">VLOOKUP(A2353,Inputs!$A$40:$B$48,2,TRUE())</f>
        <v>0.0363225</v>
      </c>
      <c r="F2353" s="38" t="n">
        <f aca="false">E2353+Inputs!$B$10</f>
        <v>0.1038225</v>
      </c>
      <c r="G2353" s="37" t="n">
        <f aca="false">D2353*F2353/C2353</f>
        <v>209.067226027397</v>
      </c>
      <c r="H2353" s="37" t="n">
        <f aca="false">IF(AND(A2353&gt;=Inputs!$B$13,OR(A2353&lt;Inputs!$B$19,Inputs!$B$20=1)),D2353*Inputs!$B$11/C2353,0)</f>
        <v>40.2739726027397</v>
      </c>
      <c r="I2353" s="37" t="n">
        <f aca="false">Inputs!$C$9-SUMIFS(Cash_Events!$G$6:$G$20,Cash_Events!$C$6:$C$20,"FHL",Cash_Events!$B$6:$B$20,"&lt;="&amp;A2353)</f>
        <v>735000</v>
      </c>
      <c r="J2353" s="38" t="n">
        <f aca="false">VLOOKUP(A2353,Inputs!$F$40:$G$48,2,TRUE())</f>
        <v>0.0364054</v>
      </c>
      <c r="K2353" s="38" t="n">
        <f aca="false">J2353+Inputs!$C$10</f>
        <v>0.1039054</v>
      </c>
      <c r="L2353" s="37" t="n">
        <f aca="false">I2353*K2353/C2353</f>
        <v>209.234161643836</v>
      </c>
      <c r="M2353" s="37" t="n">
        <f aca="false">IF(AND(A2353&gt;=Inputs!$C$13,OR(A2353&lt;Inputs!$B$19,Inputs!$B$20=1)),I2353*Inputs!$C$11/C2353,0)</f>
        <v>40.2739726027397</v>
      </c>
    </row>
    <row r="2354" customFormat="false" ht="15" hidden="false" customHeight="false" outlineLevel="0" collapsed="false">
      <c r="A2354" s="35" t="n">
        <f aca="false">A2353+1</f>
        <v>47161</v>
      </c>
      <c r="B2354" s="35" t="n">
        <f aca="false">EOMONTH(A2354+1,0)</f>
        <v>47177</v>
      </c>
      <c r="C2354" s="36" t="n">
        <f aca="false">IF(MOD(YEAR(A2354),4)=0,366,365)</f>
        <v>365</v>
      </c>
      <c r="D2354" s="37" t="n">
        <f aca="false">Inputs!$B$9-SUMIFS(Cash_Events!$G$6:$G$20,Cash_Events!$C$6:$C$20,"rAGMF",Cash_Events!$B$6:$B$20,"&lt;="&amp;A2354)</f>
        <v>735000</v>
      </c>
      <c r="E2354" s="38" t="n">
        <f aca="false">VLOOKUP(A2354,Inputs!$A$40:$B$48,2,TRUE())</f>
        <v>0.0363225</v>
      </c>
      <c r="F2354" s="38" t="n">
        <f aca="false">E2354+Inputs!$B$10</f>
        <v>0.1038225</v>
      </c>
      <c r="G2354" s="37" t="n">
        <f aca="false">D2354*F2354/C2354</f>
        <v>209.067226027397</v>
      </c>
      <c r="H2354" s="37" t="n">
        <f aca="false">IF(AND(A2354&gt;=Inputs!$B$13,OR(A2354&lt;Inputs!$B$19,Inputs!$B$20=1)),D2354*Inputs!$B$11/C2354,0)</f>
        <v>40.2739726027397</v>
      </c>
      <c r="I2354" s="37" t="n">
        <f aca="false">Inputs!$C$9-SUMIFS(Cash_Events!$G$6:$G$20,Cash_Events!$C$6:$C$20,"FHL",Cash_Events!$B$6:$B$20,"&lt;="&amp;A2354)</f>
        <v>735000</v>
      </c>
      <c r="J2354" s="38" t="n">
        <f aca="false">VLOOKUP(A2354,Inputs!$F$40:$G$48,2,TRUE())</f>
        <v>0.0364054</v>
      </c>
      <c r="K2354" s="38" t="n">
        <f aca="false">J2354+Inputs!$C$10</f>
        <v>0.1039054</v>
      </c>
      <c r="L2354" s="37" t="n">
        <f aca="false">I2354*K2354/C2354</f>
        <v>209.234161643836</v>
      </c>
      <c r="M2354" s="37" t="n">
        <f aca="false">IF(AND(A2354&gt;=Inputs!$C$13,OR(A2354&lt;Inputs!$B$19,Inputs!$B$20=1)),I2354*Inputs!$C$11/C2354,0)</f>
        <v>40.2739726027397</v>
      </c>
    </row>
    <row r="2355" customFormat="false" ht="15" hidden="false" customHeight="false" outlineLevel="0" collapsed="false">
      <c r="A2355" s="35" t="n">
        <f aca="false">A2354+1</f>
        <v>47162</v>
      </c>
      <c r="B2355" s="35" t="n">
        <f aca="false">EOMONTH(A2355+1,0)</f>
        <v>47177</v>
      </c>
      <c r="C2355" s="36" t="n">
        <f aca="false">IF(MOD(YEAR(A2355),4)=0,366,365)</f>
        <v>365</v>
      </c>
      <c r="D2355" s="37" t="n">
        <f aca="false">Inputs!$B$9-SUMIFS(Cash_Events!$G$6:$G$20,Cash_Events!$C$6:$C$20,"rAGMF",Cash_Events!$B$6:$B$20,"&lt;="&amp;A2355)</f>
        <v>735000</v>
      </c>
      <c r="E2355" s="38" t="n">
        <f aca="false">VLOOKUP(A2355,Inputs!$A$40:$B$48,2,TRUE())</f>
        <v>0.0363225</v>
      </c>
      <c r="F2355" s="38" t="n">
        <f aca="false">E2355+Inputs!$B$10</f>
        <v>0.1038225</v>
      </c>
      <c r="G2355" s="37" t="n">
        <f aca="false">D2355*F2355/C2355</f>
        <v>209.067226027397</v>
      </c>
      <c r="H2355" s="37" t="n">
        <f aca="false">IF(AND(A2355&gt;=Inputs!$B$13,OR(A2355&lt;Inputs!$B$19,Inputs!$B$20=1)),D2355*Inputs!$B$11/C2355,0)</f>
        <v>40.2739726027397</v>
      </c>
      <c r="I2355" s="37" t="n">
        <f aca="false">Inputs!$C$9-SUMIFS(Cash_Events!$G$6:$G$20,Cash_Events!$C$6:$C$20,"FHL",Cash_Events!$B$6:$B$20,"&lt;="&amp;A2355)</f>
        <v>735000</v>
      </c>
      <c r="J2355" s="38" t="n">
        <f aca="false">VLOOKUP(A2355,Inputs!$F$40:$G$48,2,TRUE())</f>
        <v>0.0364054</v>
      </c>
      <c r="K2355" s="38" t="n">
        <f aca="false">J2355+Inputs!$C$10</f>
        <v>0.1039054</v>
      </c>
      <c r="L2355" s="37" t="n">
        <f aca="false">I2355*K2355/C2355</f>
        <v>209.234161643836</v>
      </c>
      <c r="M2355" s="37" t="n">
        <f aca="false">IF(AND(A2355&gt;=Inputs!$C$13,OR(A2355&lt;Inputs!$B$19,Inputs!$B$20=1)),I2355*Inputs!$C$11/C2355,0)</f>
        <v>40.2739726027397</v>
      </c>
    </row>
    <row r="2356" customFormat="false" ht="15" hidden="false" customHeight="false" outlineLevel="0" collapsed="false">
      <c r="A2356" s="35" t="n">
        <f aca="false">A2355+1</f>
        <v>47163</v>
      </c>
      <c r="B2356" s="35" t="n">
        <f aca="false">EOMONTH(A2356+1,0)</f>
        <v>47177</v>
      </c>
      <c r="C2356" s="36" t="n">
        <f aca="false">IF(MOD(YEAR(A2356),4)=0,366,365)</f>
        <v>365</v>
      </c>
      <c r="D2356" s="37" t="n">
        <f aca="false">Inputs!$B$9-SUMIFS(Cash_Events!$G$6:$G$20,Cash_Events!$C$6:$C$20,"rAGMF",Cash_Events!$B$6:$B$20,"&lt;="&amp;A2356)</f>
        <v>735000</v>
      </c>
      <c r="E2356" s="38" t="n">
        <f aca="false">VLOOKUP(A2356,Inputs!$A$40:$B$48,2,TRUE())</f>
        <v>0.0363225</v>
      </c>
      <c r="F2356" s="38" t="n">
        <f aca="false">E2356+Inputs!$B$10</f>
        <v>0.1038225</v>
      </c>
      <c r="G2356" s="37" t="n">
        <f aca="false">D2356*F2356/C2356</f>
        <v>209.067226027397</v>
      </c>
      <c r="H2356" s="37" t="n">
        <f aca="false">IF(AND(A2356&gt;=Inputs!$B$13,OR(A2356&lt;Inputs!$B$19,Inputs!$B$20=1)),D2356*Inputs!$B$11/C2356,0)</f>
        <v>40.2739726027397</v>
      </c>
      <c r="I2356" s="37" t="n">
        <f aca="false">Inputs!$C$9-SUMIFS(Cash_Events!$G$6:$G$20,Cash_Events!$C$6:$C$20,"FHL",Cash_Events!$B$6:$B$20,"&lt;="&amp;A2356)</f>
        <v>735000</v>
      </c>
      <c r="J2356" s="38" t="n">
        <f aca="false">VLOOKUP(A2356,Inputs!$F$40:$G$48,2,TRUE())</f>
        <v>0.0364054</v>
      </c>
      <c r="K2356" s="38" t="n">
        <f aca="false">J2356+Inputs!$C$10</f>
        <v>0.1039054</v>
      </c>
      <c r="L2356" s="37" t="n">
        <f aca="false">I2356*K2356/C2356</f>
        <v>209.234161643836</v>
      </c>
      <c r="M2356" s="37" t="n">
        <f aca="false">IF(AND(A2356&gt;=Inputs!$C$13,OR(A2356&lt;Inputs!$B$19,Inputs!$B$20=1)),I2356*Inputs!$C$11/C2356,0)</f>
        <v>40.2739726027397</v>
      </c>
    </row>
    <row r="2357" customFormat="false" ht="15" hidden="false" customHeight="false" outlineLevel="0" collapsed="false">
      <c r="A2357" s="35" t="n">
        <f aca="false">A2356+1</f>
        <v>47164</v>
      </c>
      <c r="B2357" s="35" t="n">
        <f aca="false">EOMONTH(A2357+1,0)</f>
        <v>47177</v>
      </c>
      <c r="C2357" s="36" t="n">
        <f aca="false">IF(MOD(YEAR(A2357),4)=0,366,365)</f>
        <v>365</v>
      </c>
      <c r="D2357" s="37" t="n">
        <f aca="false">Inputs!$B$9-SUMIFS(Cash_Events!$G$6:$G$20,Cash_Events!$C$6:$C$20,"rAGMF",Cash_Events!$B$6:$B$20,"&lt;="&amp;A2357)</f>
        <v>735000</v>
      </c>
      <c r="E2357" s="38" t="n">
        <f aca="false">VLOOKUP(A2357,Inputs!$A$40:$B$48,2,TRUE())</f>
        <v>0.0363225</v>
      </c>
      <c r="F2357" s="38" t="n">
        <f aca="false">E2357+Inputs!$B$10</f>
        <v>0.1038225</v>
      </c>
      <c r="G2357" s="37" t="n">
        <f aca="false">D2357*F2357/C2357</f>
        <v>209.067226027397</v>
      </c>
      <c r="H2357" s="37" t="n">
        <f aca="false">IF(AND(A2357&gt;=Inputs!$B$13,OR(A2357&lt;Inputs!$B$19,Inputs!$B$20=1)),D2357*Inputs!$B$11/C2357,0)</f>
        <v>40.2739726027397</v>
      </c>
      <c r="I2357" s="37" t="n">
        <f aca="false">Inputs!$C$9-SUMIFS(Cash_Events!$G$6:$G$20,Cash_Events!$C$6:$C$20,"FHL",Cash_Events!$B$6:$B$20,"&lt;="&amp;A2357)</f>
        <v>735000</v>
      </c>
      <c r="J2357" s="38" t="n">
        <f aca="false">VLOOKUP(A2357,Inputs!$F$40:$G$48,2,TRUE())</f>
        <v>0.0364054</v>
      </c>
      <c r="K2357" s="38" t="n">
        <f aca="false">J2357+Inputs!$C$10</f>
        <v>0.1039054</v>
      </c>
      <c r="L2357" s="37" t="n">
        <f aca="false">I2357*K2357/C2357</f>
        <v>209.234161643836</v>
      </c>
      <c r="M2357" s="37" t="n">
        <f aca="false">IF(AND(A2357&gt;=Inputs!$C$13,OR(A2357&lt;Inputs!$B$19,Inputs!$B$20=1)),I2357*Inputs!$C$11/C2357,0)</f>
        <v>40.2739726027397</v>
      </c>
    </row>
    <row r="2358" customFormat="false" ht="15" hidden="false" customHeight="false" outlineLevel="0" collapsed="false">
      <c r="A2358" s="35" t="n">
        <f aca="false">A2357+1</f>
        <v>47165</v>
      </c>
      <c r="B2358" s="35" t="n">
        <f aca="false">EOMONTH(A2358+1,0)</f>
        <v>47177</v>
      </c>
      <c r="C2358" s="36" t="n">
        <f aca="false">IF(MOD(YEAR(A2358),4)=0,366,365)</f>
        <v>365</v>
      </c>
      <c r="D2358" s="37" t="n">
        <f aca="false">Inputs!$B$9-SUMIFS(Cash_Events!$G$6:$G$20,Cash_Events!$C$6:$C$20,"rAGMF",Cash_Events!$B$6:$B$20,"&lt;="&amp;A2358)</f>
        <v>735000</v>
      </c>
      <c r="E2358" s="38" t="n">
        <f aca="false">VLOOKUP(A2358,Inputs!$A$40:$B$48,2,TRUE())</f>
        <v>0.0363225</v>
      </c>
      <c r="F2358" s="38" t="n">
        <f aca="false">E2358+Inputs!$B$10</f>
        <v>0.1038225</v>
      </c>
      <c r="G2358" s="37" t="n">
        <f aca="false">D2358*F2358/C2358</f>
        <v>209.067226027397</v>
      </c>
      <c r="H2358" s="37" t="n">
        <f aca="false">IF(AND(A2358&gt;=Inputs!$B$13,OR(A2358&lt;Inputs!$B$19,Inputs!$B$20=1)),D2358*Inputs!$B$11/C2358,0)</f>
        <v>40.2739726027397</v>
      </c>
      <c r="I2358" s="37" t="n">
        <f aca="false">Inputs!$C$9-SUMIFS(Cash_Events!$G$6:$G$20,Cash_Events!$C$6:$C$20,"FHL",Cash_Events!$B$6:$B$20,"&lt;="&amp;A2358)</f>
        <v>735000</v>
      </c>
      <c r="J2358" s="38" t="n">
        <f aca="false">VLOOKUP(A2358,Inputs!$F$40:$G$48,2,TRUE())</f>
        <v>0.0364054</v>
      </c>
      <c r="K2358" s="38" t="n">
        <f aca="false">J2358+Inputs!$C$10</f>
        <v>0.1039054</v>
      </c>
      <c r="L2358" s="37" t="n">
        <f aca="false">I2358*K2358/C2358</f>
        <v>209.234161643836</v>
      </c>
      <c r="M2358" s="37" t="n">
        <f aca="false">IF(AND(A2358&gt;=Inputs!$C$13,OR(A2358&lt;Inputs!$B$19,Inputs!$B$20=1)),I2358*Inputs!$C$11/C2358,0)</f>
        <v>40.2739726027397</v>
      </c>
    </row>
    <row r="2359" customFormat="false" ht="15" hidden="false" customHeight="false" outlineLevel="0" collapsed="false">
      <c r="A2359" s="35" t="n">
        <f aca="false">A2358+1</f>
        <v>47166</v>
      </c>
      <c r="B2359" s="35" t="n">
        <f aca="false">EOMONTH(A2359+1,0)</f>
        <v>47177</v>
      </c>
      <c r="C2359" s="36" t="n">
        <f aca="false">IF(MOD(YEAR(A2359),4)=0,366,365)</f>
        <v>365</v>
      </c>
      <c r="D2359" s="37" t="n">
        <f aca="false">Inputs!$B$9-SUMIFS(Cash_Events!$G$6:$G$20,Cash_Events!$C$6:$C$20,"rAGMF",Cash_Events!$B$6:$B$20,"&lt;="&amp;A2359)</f>
        <v>735000</v>
      </c>
      <c r="E2359" s="38" t="n">
        <f aca="false">VLOOKUP(A2359,Inputs!$A$40:$B$48,2,TRUE())</f>
        <v>0.0363225</v>
      </c>
      <c r="F2359" s="38" t="n">
        <f aca="false">E2359+Inputs!$B$10</f>
        <v>0.1038225</v>
      </c>
      <c r="G2359" s="37" t="n">
        <f aca="false">D2359*F2359/C2359</f>
        <v>209.067226027397</v>
      </c>
      <c r="H2359" s="37" t="n">
        <f aca="false">IF(AND(A2359&gt;=Inputs!$B$13,OR(A2359&lt;Inputs!$B$19,Inputs!$B$20=1)),D2359*Inputs!$B$11/C2359,0)</f>
        <v>40.2739726027397</v>
      </c>
      <c r="I2359" s="37" t="n">
        <f aca="false">Inputs!$C$9-SUMIFS(Cash_Events!$G$6:$G$20,Cash_Events!$C$6:$C$20,"FHL",Cash_Events!$B$6:$B$20,"&lt;="&amp;A2359)</f>
        <v>735000</v>
      </c>
      <c r="J2359" s="38" t="n">
        <f aca="false">VLOOKUP(A2359,Inputs!$F$40:$G$48,2,TRUE())</f>
        <v>0.0364054</v>
      </c>
      <c r="K2359" s="38" t="n">
        <f aca="false">J2359+Inputs!$C$10</f>
        <v>0.1039054</v>
      </c>
      <c r="L2359" s="37" t="n">
        <f aca="false">I2359*K2359/C2359</f>
        <v>209.234161643836</v>
      </c>
      <c r="M2359" s="37" t="n">
        <f aca="false">IF(AND(A2359&gt;=Inputs!$C$13,OR(A2359&lt;Inputs!$B$19,Inputs!$B$20=1)),I2359*Inputs!$C$11/C2359,0)</f>
        <v>40.2739726027397</v>
      </c>
    </row>
    <row r="2360" customFormat="false" ht="15" hidden="false" customHeight="false" outlineLevel="0" collapsed="false">
      <c r="A2360" s="35" t="n">
        <f aca="false">A2359+1</f>
        <v>47167</v>
      </c>
      <c r="B2360" s="35" t="n">
        <f aca="false">EOMONTH(A2360+1,0)</f>
        <v>47177</v>
      </c>
      <c r="C2360" s="36" t="n">
        <f aca="false">IF(MOD(YEAR(A2360),4)=0,366,365)</f>
        <v>365</v>
      </c>
      <c r="D2360" s="37" t="n">
        <f aca="false">Inputs!$B$9-SUMIFS(Cash_Events!$G$6:$G$20,Cash_Events!$C$6:$C$20,"rAGMF",Cash_Events!$B$6:$B$20,"&lt;="&amp;A2360)</f>
        <v>735000</v>
      </c>
      <c r="E2360" s="38" t="n">
        <f aca="false">VLOOKUP(A2360,Inputs!$A$40:$B$48,2,TRUE())</f>
        <v>0.0363225</v>
      </c>
      <c r="F2360" s="38" t="n">
        <f aca="false">E2360+Inputs!$B$10</f>
        <v>0.1038225</v>
      </c>
      <c r="G2360" s="37" t="n">
        <f aca="false">D2360*F2360/C2360</f>
        <v>209.067226027397</v>
      </c>
      <c r="H2360" s="37" t="n">
        <f aca="false">IF(AND(A2360&gt;=Inputs!$B$13,OR(A2360&lt;Inputs!$B$19,Inputs!$B$20=1)),D2360*Inputs!$B$11/C2360,0)</f>
        <v>40.2739726027397</v>
      </c>
      <c r="I2360" s="37" t="n">
        <f aca="false">Inputs!$C$9-SUMIFS(Cash_Events!$G$6:$G$20,Cash_Events!$C$6:$C$20,"FHL",Cash_Events!$B$6:$B$20,"&lt;="&amp;A2360)</f>
        <v>735000</v>
      </c>
      <c r="J2360" s="38" t="n">
        <f aca="false">VLOOKUP(A2360,Inputs!$F$40:$G$48,2,TRUE())</f>
        <v>0.0364054</v>
      </c>
      <c r="K2360" s="38" t="n">
        <f aca="false">J2360+Inputs!$C$10</f>
        <v>0.1039054</v>
      </c>
      <c r="L2360" s="37" t="n">
        <f aca="false">I2360*K2360/C2360</f>
        <v>209.234161643836</v>
      </c>
      <c r="M2360" s="37" t="n">
        <f aca="false">IF(AND(A2360&gt;=Inputs!$C$13,OR(A2360&lt;Inputs!$B$19,Inputs!$B$20=1)),I2360*Inputs!$C$11/C2360,0)</f>
        <v>40.2739726027397</v>
      </c>
    </row>
    <row r="2361" customFormat="false" ht="15" hidden="false" customHeight="false" outlineLevel="0" collapsed="false">
      <c r="A2361" s="35" t="n">
        <f aca="false">A2360+1</f>
        <v>47168</v>
      </c>
      <c r="B2361" s="35" t="n">
        <f aca="false">EOMONTH(A2361+1,0)</f>
        <v>47177</v>
      </c>
      <c r="C2361" s="36" t="n">
        <f aca="false">IF(MOD(YEAR(A2361),4)=0,366,365)</f>
        <v>365</v>
      </c>
      <c r="D2361" s="37" t="n">
        <f aca="false">Inputs!$B$9-SUMIFS(Cash_Events!$G$6:$G$20,Cash_Events!$C$6:$C$20,"rAGMF",Cash_Events!$B$6:$B$20,"&lt;="&amp;A2361)</f>
        <v>735000</v>
      </c>
      <c r="E2361" s="38" t="n">
        <f aca="false">VLOOKUP(A2361,Inputs!$A$40:$B$48,2,TRUE())</f>
        <v>0.0363225</v>
      </c>
      <c r="F2361" s="38" t="n">
        <f aca="false">E2361+Inputs!$B$10</f>
        <v>0.1038225</v>
      </c>
      <c r="G2361" s="37" t="n">
        <f aca="false">D2361*F2361/C2361</f>
        <v>209.067226027397</v>
      </c>
      <c r="H2361" s="37" t="n">
        <f aca="false">IF(AND(A2361&gt;=Inputs!$B$13,OR(A2361&lt;Inputs!$B$19,Inputs!$B$20=1)),D2361*Inputs!$B$11/C2361,0)</f>
        <v>40.2739726027397</v>
      </c>
      <c r="I2361" s="37" t="n">
        <f aca="false">Inputs!$C$9-SUMIFS(Cash_Events!$G$6:$G$20,Cash_Events!$C$6:$C$20,"FHL",Cash_Events!$B$6:$B$20,"&lt;="&amp;A2361)</f>
        <v>735000</v>
      </c>
      <c r="J2361" s="38" t="n">
        <f aca="false">VLOOKUP(A2361,Inputs!$F$40:$G$48,2,TRUE())</f>
        <v>0.0364054</v>
      </c>
      <c r="K2361" s="38" t="n">
        <f aca="false">J2361+Inputs!$C$10</f>
        <v>0.1039054</v>
      </c>
      <c r="L2361" s="37" t="n">
        <f aca="false">I2361*K2361/C2361</f>
        <v>209.234161643836</v>
      </c>
      <c r="M2361" s="37" t="n">
        <f aca="false">IF(AND(A2361&gt;=Inputs!$C$13,OR(A2361&lt;Inputs!$B$19,Inputs!$B$20=1)),I2361*Inputs!$C$11/C2361,0)</f>
        <v>40.2739726027397</v>
      </c>
    </row>
    <row r="2362" customFormat="false" ht="15" hidden="false" customHeight="false" outlineLevel="0" collapsed="false">
      <c r="A2362" s="35" t="n">
        <f aca="false">A2361+1</f>
        <v>47169</v>
      </c>
      <c r="B2362" s="35" t="n">
        <f aca="false">EOMONTH(A2362+1,0)</f>
        <v>47177</v>
      </c>
      <c r="C2362" s="36" t="n">
        <f aca="false">IF(MOD(YEAR(A2362),4)=0,366,365)</f>
        <v>365</v>
      </c>
      <c r="D2362" s="37" t="n">
        <f aca="false">Inputs!$B$9-SUMIFS(Cash_Events!$G$6:$G$20,Cash_Events!$C$6:$C$20,"rAGMF",Cash_Events!$B$6:$B$20,"&lt;="&amp;A2362)</f>
        <v>735000</v>
      </c>
      <c r="E2362" s="38" t="n">
        <f aca="false">VLOOKUP(A2362,Inputs!$A$40:$B$48,2,TRUE())</f>
        <v>0.0363225</v>
      </c>
      <c r="F2362" s="38" t="n">
        <f aca="false">E2362+Inputs!$B$10</f>
        <v>0.1038225</v>
      </c>
      <c r="G2362" s="37" t="n">
        <f aca="false">D2362*F2362/C2362</f>
        <v>209.067226027397</v>
      </c>
      <c r="H2362" s="37" t="n">
        <f aca="false">IF(AND(A2362&gt;=Inputs!$B$13,OR(A2362&lt;Inputs!$B$19,Inputs!$B$20=1)),D2362*Inputs!$B$11/C2362,0)</f>
        <v>40.2739726027397</v>
      </c>
      <c r="I2362" s="37" t="n">
        <f aca="false">Inputs!$C$9-SUMIFS(Cash_Events!$G$6:$G$20,Cash_Events!$C$6:$C$20,"FHL",Cash_Events!$B$6:$B$20,"&lt;="&amp;A2362)</f>
        <v>735000</v>
      </c>
      <c r="J2362" s="38" t="n">
        <f aca="false">VLOOKUP(A2362,Inputs!$F$40:$G$48,2,TRUE())</f>
        <v>0.0364054</v>
      </c>
      <c r="K2362" s="38" t="n">
        <f aca="false">J2362+Inputs!$C$10</f>
        <v>0.1039054</v>
      </c>
      <c r="L2362" s="37" t="n">
        <f aca="false">I2362*K2362/C2362</f>
        <v>209.234161643836</v>
      </c>
      <c r="M2362" s="37" t="n">
        <f aca="false">IF(AND(A2362&gt;=Inputs!$C$13,OR(A2362&lt;Inputs!$B$19,Inputs!$B$20=1)),I2362*Inputs!$C$11/C2362,0)</f>
        <v>40.2739726027397</v>
      </c>
    </row>
    <row r="2363" customFormat="false" ht="15" hidden="false" customHeight="false" outlineLevel="0" collapsed="false">
      <c r="A2363" s="35" t="n">
        <f aca="false">A2362+1</f>
        <v>47170</v>
      </c>
      <c r="B2363" s="35" t="n">
        <f aca="false">EOMONTH(A2363+1,0)</f>
        <v>47177</v>
      </c>
      <c r="C2363" s="36" t="n">
        <f aca="false">IF(MOD(YEAR(A2363),4)=0,366,365)</f>
        <v>365</v>
      </c>
      <c r="D2363" s="37" t="n">
        <f aca="false">Inputs!$B$9-SUMIFS(Cash_Events!$G$6:$G$20,Cash_Events!$C$6:$C$20,"rAGMF",Cash_Events!$B$6:$B$20,"&lt;="&amp;A2363)</f>
        <v>735000</v>
      </c>
      <c r="E2363" s="38" t="n">
        <f aca="false">VLOOKUP(A2363,Inputs!$A$40:$B$48,2,TRUE())</f>
        <v>0.0363225</v>
      </c>
      <c r="F2363" s="38" t="n">
        <f aca="false">E2363+Inputs!$B$10</f>
        <v>0.1038225</v>
      </c>
      <c r="G2363" s="37" t="n">
        <f aca="false">D2363*F2363/C2363</f>
        <v>209.067226027397</v>
      </c>
      <c r="H2363" s="37" t="n">
        <f aca="false">IF(AND(A2363&gt;=Inputs!$B$13,OR(A2363&lt;Inputs!$B$19,Inputs!$B$20=1)),D2363*Inputs!$B$11/C2363,0)</f>
        <v>40.2739726027397</v>
      </c>
      <c r="I2363" s="37" t="n">
        <f aca="false">Inputs!$C$9-SUMIFS(Cash_Events!$G$6:$G$20,Cash_Events!$C$6:$C$20,"FHL",Cash_Events!$B$6:$B$20,"&lt;="&amp;A2363)</f>
        <v>735000</v>
      </c>
      <c r="J2363" s="38" t="n">
        <f aca="false">VLOOKUP(A2363,Inputs!$F$40:$G$48,2,TRUE())</f>
        <v>0.0364054</v>
      </c>
      <c r="K2363" s="38" t="n">
        <f aca="false">J2363+Inputs!$C$10</f>
        <v>0.1039054</v>
      </c>
      <c r="L2363" s="37" t="n">
        <f aca="false">I2363*K2363/C2363</f>
        <v>209.234161643836</v>
      </c>
      <c r="M2363" s="37" t="n">
        <f aca="false">IF(AND(A2363&gt;=Inputs!$C$13,OR(A2363&lt;Inputs!$B$19,Inputs!$B$20=1)),I2363*Inputs!$C$11/C2363,0)</f>
        <v>40.2739726027397</v>
      </c>
    </row>
    <row r="2364" customFormat="false" ht="15" hidden="false" customHeight="false" outlineLevel="0" collapsed="false">
      <c r="A2364" s="35" t="n">
        <f aca="false">A2363+1</f>
        <v>47171</v>
      </c>
      <c r="B2364" s="35" t="n">
        <f aca="false">EOMONTH(A2364+1,0)</f>
        <v>47177</v>
      </c>
      <c r="C2364" s="36" t="n">
        <f aca="false">IF(MOD(YEAR(A2364),4)=0,366,365)</f>
        <v>365</v>
      </c>
      <c r="D2364" s="37" t="n">
        <f aca="false">Inputs!$B$9-SUMIFS(Cash_Events!$G$6:$G$20,Cash_Events!$C$6:$C$20,"rAGMF",Cash_Events!$B$6:$B$20,"&lt;="&amp;A2364)</f>
        <v>735000</v>
      </c>
      <c r="E2364" s="38" t="n">
        <f aca="false">VLOOKUP(A2364,Inputs!$A$40:$B$48,2,TRUE())</f>
        <v>0.0363225</v>
      </c>
      <c r="F2364" s="38" t="n">
        <f aca="false">E2364+Inputs!$B$10</f>
        <v>0.1038225</v>
      </c>
      <c r="G2364" s="37" t="n">
        <f aca="false">D2364*F2364/C2364</f>
        <v>209.067226027397</v>
      </c>
      <c r="H2364" s="37" t="n">
        <f aca="false">IF(AND(A2364&gt;=Inputs!$B$13,OR(A2364&lt;Inputs!$B$19,Inputs!$B$20=1)),D2364*Inputs!$B$11/C2364,0)</f>
        <v>40.2739726027397</v>
      </c>
      <c r="I2364" s="37" t="n">
        <f aca="false">Inputs!$C$9-SUMIFS(Cash_Events!$G$6:$G$20,Cash_Events!$C$6:$C$20,"FHL",Cash_Events!$B$6:$B$20,"&lt;="&amp;A2364)</f>
        <v>735000</v>
      </c>
      <c r="J2364" s="38" t="n">
        <f aca="false">VLOOKUP(A2364,Inputs!$F$40:$G$48,2,TRUE())</f>
        <v>0.0364054</v>
      </c>
      <c r="K2364" s="38" t="n">
        <f aca="false">J2364+Inputs!$C$10</f>
        <v>0.1039054</v>
      </c>
      <c r="L2364" s="37" t="n">
        <f aca="false">I2364*K2364/C2364</f>
        <v>209.234161643836</v>
      </c>
      <c r="M2364" s="37" t="n">
        <f aca="false">IF(AND(A2364&gt;=Inputs!$C$13,OR(A2364&lt;Inputs!$B$19,Inputs!$B$20=1)),I2364*Inputs!$C$11/C2364,0)</f>
        <v>40.2739726027397</v>
      </c>
    </row>
    <row r="2365" customFormat="false" ht="15" hidden="false" customHeight="false" outlineLevel="0" collapsed="false">
      <c r="A2365" s="35" t="n">
        <f aca="false">A2364+1</f>
        <v>47172</v>
      </c>
      <c r="B2365" s="35" t="n">
        <f aca="false">EOMONTH(A2365+1,0)</f>
        <v>47177</v>
      </c>
      <c r="C2365" s="36" t="n">
        <f aca="false">IF(MOD(YEAR(A2365),4)=0,366,365)</f>
        <v>365</v>
      </c>
      <c r="D2365" s="37" t="n">
        <f aca="false">Inputs!$B$9-SUMIFS(Cash_Events!$G$6:$G$20,Cash_Events!$C$6:$C$20,"rAGMF",Cash_Events!$B$6:$B$20,"&lt;="&amp;A2365)</f>
        <v>735000</v>
      </c>
      <c r="E2365" s="38" t="n">
        <f aca="false">VLOOKUP(A2365,Inputs!$A$40:$B$48,2,TRUE())</f>
        <v>0.0363225</v>
      </c>
      <c r="F2365" s="38" t="n">
        <f aca="false">E2365+Inputs!$B$10</f>
        <v>0.1038225</v>
      </c>
      <c r="G2365" s="37" t="n">
        <f aca="false">D2365*F2365/C2365</f>
        <v>209.067226027397</v>
      </c>
      <c r="H2365" s="37" t="n">
        <f aca="false">IF(AND(A2365&gt;=Inputs!$B$13,OR(A2365&lt;Inputs!$B$19,Inputs!$B$20=1)),D2365*Inputs!$B$11/C2365,0)</f>
        <v>40.2739726027397</v>
      </c>
      <c r="I2365" s="37" t="n">
        <f aca="false">Inputs!$C$9-SUMIFS(Cash_Events!$G$6:$G$20,Cash_Events!$C$6:$C$20,"FHL",Cash_Events!$B$6:$B$20,"&lt;="&amp;A2365)</f>
        <v>735000</v>
      </c>
      <c r="J2365" s="38" t="n">
        <f aca="false">VLOOKUP(A2365,Inputs!$F$40:$G$48,2,TRUE())</f>
        <v>0.0364054</v>
      </c>
      <c r="K2365" s="38" t="n">
        <f aca="false">J2365+Inputs!$C$10</f>
        <v>0.1039054</v>
      </c>
      <c r="L2365" s="37" t="n">
        <f aca="false">I2365*K2365/C2365</f>
        <v>209.234161643836</v>
      </c>
      <c r="M2365" s="37" t="n">
        <f aca="false">IF(AND(A2365&gt;=Inputs!$C$13,OR(A2365&lt;Inputs!$B$19,Inputs!$B$20=1)),I2365*Inputs!$C$11/C2365,0)</f>
        <v>40.2739726027397</v>
      </c>
    </row>
    <row r="2366" customFormat="false" ht="15" hidden="false" customHeight="false" outlineLevel="0" collapsed="false">
      <c r="A2366" s="35" t="n">
        <f aca="false">A2365+1</f>
        <v>47173</v>
      </c>
      <c r="B2366" s="35" t="n">
        <f aca="false">EOMONTH(A2366+1,0)</f>
        <v>47177</v>
      </c>
      <c r="C2366" s="36" t="n">
        <f aca="false">IF(MOD(YEAR(A2366),4)=0,366,365)</f>
        <v>365</v>
      </c>
      <c r="D2366" s="37" t="n">
        <f aca="false">Inputs!$B$9-SUMIFS(Cash_Events!$G$6:$G$20,Cash_Events!$C$6:$C$20,"rAGMF",Cash_Events!$B$6:$B$20,"&lt;="&amp;A2366)</f>
        <v>735000</v>
      </c>
      <c r="E2366" s="38" t="n">
        <f aca="false">VLOOKUP(A2366,Inputs!$A$40:$B$48,2,TRUE())</f>
        <v>0.0363225</v>
      </c>
      <c r="F2366" s="38" t="n">
        <f aca="false">E2366+Inputs!$B$10</f>
        <v>0.1038225</v>
      </c>
      <c r="G2366" s="37" t="n">
        <f aca="false">D2366*F2366/C2366</f>
        <v>209.067226027397</v>
      </c>
      <c r="H2366" s="37" t="n">
        <f aca="false">IF(AND(A2366&gt;=Inputs!$B$13,OR(A2366&lt;Inputs!$B$19,Inputs!$B$20=1)),D2366*Inputs!$B$11/C2366,0)</f>
        <v>40.2739726027397</v>
      </c>
      <c r="I2366" s="37" t="n">
        <f aca="false">Inputs!$C$9-SUMIFS(Cash_Events!$G$6:$G$20,Cash_Events!$C$6:$C$20,"FHL",Cash_Events!$B$6:$B$20,"&lt;="&amp;A2366)</f>
        <v>735000</v>
      </c>
      <c r="J2366" s="38" t="n">
        <f aca="false">VLOOKUP(A2366,Inputs!$F$40:$G$48,2,TRUE())</f>
        <v>0.0364054</v>
      </c>
      <c r="K2366" s="38" t="n">
        <f aca="false">J2366+Inputs!$C$10</f>
        <v>0.1039054</v>
      </c>
      <c r="L2366" s="37" t="n">
        <f aca="false">I2366*K2366/C2366</f>
        <v>209.234161643836</v>
      </c>
      <c r="M2366" s="37" t="n">
        <f aca="false">IF(AND(A2366&gt;=Inputs!$C$13,OR(A2366&lt;Inputs!$B$19,Inputs!$B$20=1)),I2366*Inputs!$C$11/C2366,0)</f>
        <v>40.2739726027397</v>
      </c>
    </row>
    <row r="2367" customFormat="false" ht="15" hidden="false" customHeight="false" outlineLevel="0" collapsed="false">
      <c r="A2367" s="35" t="n">
        <f aca="false">A2366+1</f>
        <v>47174</v>
      </c>
      <c r="B2367" s="35" t="n">
        <f aca="false">EOMONTH(A2367+1,0)</f>
        <v>47177</v>
      </c>
      <c r="C2367" s="36" t="n">
        <f aca="false">IF(MOD(YEAR(A2367),4)=0,366,365)</f>
        <v>365</v>
      </c>
      <c r="D2367" s="37" t="n">
        <f aca="false">Inputs!$B$9-SUMIFS(Cash_Events!$G$6:$G$20,Cash_Events!$C$6:$C$20,"rAGMF",Cash_Events!$B$6:$B$20,"&lt;="&amp;A2367)</f>
        <v>735000</v>
      </c>
      <c r="E2367" s="38" t="n">
        <f aca="false">VLOOKUP(A2367,Inputs!$A$40:$B$48,2,TRUE())</f>
        <v>0.0363225</v>
      </c>
      <c r="F2367" s="38" t="n">
        <f aca="false">E2367+Inputs!$B$10</f>
        <v>0.1038225</v>
      </c>
      <c r="G2367" s="37" t="n">
        <f aca="false">D2367*F2367/C2367</f>
        <v>209.067226027397</v>
      </c>
      <c r="H2367" s="37" t="n">
        <f aca="false">IF(AND(A2367&gt;=Inputs!$B$13,OR(A2367&lt;Inputs!$B$19,Inputs!$B$20=1)),D2367*Inputs!$B$11/C2367,0)</f>
        <v>40.2739726027397</v>
      </c>
      <c r="I2367" s="37" t="n">
        <f aca="false">Inputs!$C$9-SUMIFS(Cash_Events!$G$6:$G$20,Cash_Events!$C$6:$C$20,"FHL",Cash_Events!$B$6:$B$20,"&lt;="&amp;A2367)</f>
        <v>735000</v>
      </c>
      <c r="J2367" s="38" t="n">
        <f aca="false">VLOOKUP(A2367,Inputs!$F$40:$G$48,2,TRUE())</f>
        <v>0.0364054</v>
      </c>
      <c r="K2367" s="38" t="n">
        <f aca="false">J2367+Inputs!$C$10</f>
        <v>0.1039054</v>
      </c>
      <c r="L2367" s="37" t="n">
        <f aca="false">I2367*K2367/C2367</f>
        <v>209.234161643836</v>
      </c>
      <c r="M2367" s="37" t="n">
        <f aca="false">IF(AND(A2367&gt;=Inputs!$C$13,OR(A2367&lt;Inputs!$B$19,Inputs!$B$20=1)),I2367*Inputs!$C$11/C2367,0)</f>
        <v>40.2739726027397</v>
      </c>
    </row>
    <row r="2368" customFormat="false" ht="15" hidden="false" customHeight="false" outlineLevel="0" collapsed="false">
      <c r="A2368" s="35" t="n">
        <f aca="false">A2367+1</f>
        <v>47175</v>
      </c>
      <c r="B2368" s="35" t="n">
        <f aca="false">EOMONTH(A2368+1,0)</f>
        <v>47177</v>
      </c>
      <c r="C2368" s="36" t="n">
        <f aca="false">IF(MOD(YEAR(A2368),4)=0,366,365)</f>
        <v>365</v>
      </c>
      <c r="D2368" s="37" t="n">
        <f aca="false">Inputs!$B$9-SUMIFS(Cash_Events!$G$6:$G$20,Cash_Events!$C$6:$C$20,"rAGMF",Cash_Events!$B$6:$B$20,"&lt;="&amp;A2368)</f>
        <v>735000</v>
      </c>
      <c r="E2368" s="38" t="n">
        <f aca="false">VLOOKUP(A2368,Inputs!$A$40:$B$48,2,TRUE())</f>
        <v>0.0363225</v>
      </c>
      <c r="F2368" s="38" t="n">
        <f aca="false">E2368+Inputs!$B$10</f>
        <v>0.1038225</v>
      </c>
      <c r="G2368" s="37" t="n">
        <f aca="false">D2368*F2368/C2368</f>
        <v>209.067226027397</v>
      </c>
      <c r="H2368" s="37" t="n">
        <f aca="false">IF(AND(A2368&gt;=Inputs!$B$13,OR(A2368&lt;Inputs!$B$19,Inputs!$B$20=1)),D2368*Inputs!$B$11/C2368,0)</f>
        <v>40.2739726027397</v>
      </c>
      <c r="I2368" s="37" t="n">
        <f aca="false">Inputs!$C$9-SUMIFS(Cash_Events!$G$6:$G$20,Cash_Events!$C$6:$C$20,"FHL",Cash_Events!$B$6:$B$20,"&lt;="&amp;A2368)</f>
        <v>735000</v>
      </c>
      <c r="J2368" s="38" t="n">
        <f aca="false">VLOOKUP(A2368,Inputs!$F$40:$G$48,2,TRUE())</f>
        <v>0.0364054</v>
      </c>
      <c r="K2368" s="38" t="n">
        <f aca="false">J2368+Inputs!$C$10</f>
        <v>0.1039054</v>
      </c>
      <c r="L2368" s="37" t="n">
        <f aca="false">I2368*K2368/C2368</f>
        <v>209.234161643836</v>
      </c>
      <c r="M2368" s="37" t="n">
        <f aca="false">IF(AND(A2368&gt;=Inputs!$C$13,OR(A2368&lt;Inputs!$B$19,Inputs!$B$20=1)),I2368*Inputs!$C$11/C2368,0)</f>
        <v>40.2739726027397</v>
      </c>
    </row>
    <row r="2369" customFormat="false" ht="15" hidden="false" customHeight="false" outlineLevel="0" collapsed="false">
      <c r="A2369" s="35" t="n">
        <f aca="false">A2368+1</f>
        <v>47176</v>
      </c>
      <c r="B2369" s="35" t="n">
        <f aca="false">EOMONTH(A2369+1,0)</f>
        <v>47177</v>
      </c>
      <c r="C2369" s="36" t="n">
        <f aca="false">IF(MOD(YEAR(A2369),4)=0,366,365)</f>
        <v>365</v>
      </c>
      <c r="D2369" s="37" t="n">
        <f aca="false">Inputs!$B$9-SUMIFS(Cash_Events!$G$6:$G$20,Cash_Events!$C$6:$C$20,"rAGMF",Cash_Events!$B$6:$B$20,"&lt;="&amp;A2369)</f>
        <v>735000</v>
      </c>
      <c r="E2369" s="38" t="n">
        <f aca="false">VLOOKUP(A2369,Inputs!$A$40:$B$48,2,TRUE())</f>
        <v>0.0363225</v>
      </c>
      <c r="F2369" s="38" t="n">
        <f aca="false">E2369+Inputs!$B$10</f>
        <v>0.1038225</v>
      </c>
      <c r="G2369" s="37" t="n">
        <f aca="false">D2369*F2369/C2369</f>
        <v>209.067226027397</v>
      </c>
      <c r="H2369" s="37" t="n">
        <f aca="false">IF(AND(A2369&gt;=Inputs!$B$13,OR(A2369&lt;Inputs!$B$19,Inputs!$B$20=1)),D2369*Inputs!$B$11/C2369,0)</f>
        <v>40.2739726027397</v>
      </c>
      <c r="I2369" s="37" t="n">
        <f aca="false">Inputs!$C$9-SUMIFS(Cash_Events!$G$6:$G$20,Cash_Events!$C$6:$C$20,"FHL",Cash_Events!$B$6:$B$20,"&lt;="&amp;A2369)</f>
        <v>735000</v>
      </c>
      <c r="J2369" s="38" t="n">
        <f aca="false">VLOOKUP(A2369,Inputs!$F$40:$G$48,2,TRUE())</f>
        <v>0.0364054</v>
      </c>
      <c r="K2369" s="38" t="n">
        <f aca="false">J2369+Inputs!$C$10</f>
        <v>0.1039054</v>
      </c>
      <c r="L2369" s="37" t="n">
        <f aca="false">I2369*K2369/C2369</f>
        <v>209.234161643836</v>
      </c>
      <c r="M2369" s="37" t="n">
        <f aca="false">IF(AND(A2369&gt;=Inputs!$C$13,OR(A2369&lt;Inputs!$B$19,Inputs!$B$20=1)),I2369*Inputs!$C$11/C2369,0)</f>
        <v>40.2739726027397</v>
      </c>
    </row>
    <row r="2370" customFormat="false" ht="15" hidden="false" customHeight="false" outlineLevel="0" collapsed="false">
      <c r="A2370" s="35" t="n">
        <f aca="false">A2369+1</f>
        <v>47177</v>
      </c>
      <c r="B2370" s="35" t="n">
        <f aca="false">EOMONTH(A2370+1,0)</f>
        <v>47208</v>
      </c>
      <c r="C2370" s="36" t="n">
        <f aca="false">IF(MOD(YEAR(A2370),4)=0,366,365)</f>
        <v>365</v>
      </c>
      <c r="D2370" s="37" t="n">
        <f aca="false">Inputs!$B$9-SUMIFS(Cash_Events!$G$6:$G$20,Cash_Events!$C$6:$C$20,"rAGMF",Cash_Events!$B$6:$B$20,"&lt;="&amp;A2370)</f>
        <v>735000</v>
      </c>
      <c r="E2370" s="38" t="n">
        <f aca="false">VLOOKUP(A2370,Inputs!$A$40:$B$48,2,TRUE())</f>
        <v>0.0363225</v>
      </c>
      <c r="F2370" s="38" t="n">
        <f aca="false">E2370+Inputs!$B$10</f>
        <v>0.1038225</v>
      </c>
      <c r="G2370" s="37" t="n">
        <f aca="false">D2370*F2370/C2370</f>
        <v>209.067226027397</v>
      </c>
      <c r="H2370" s="37" t="n">
        <f aca="false">IF(AND(A2370&gt;=Inputs!$B$13,OR(A2370&lt;Inputs!$B$19,Inputs!$B$20=1)),D2370*Inputs!$B$11/C2370,0)</f>
        <v>40.2739726027397</v>
      </c>
      <c r="I2370" s="37" t="n">
        <f aca="false">Inputs!$C$9-SUMIFS(Cash_Events!$G$6:$G$20,Cash_Events!$C$6:$C$20,"FHL",Cash_Events!$B$6:$B$20,"&lt;="&amp;A2370)</f>
        <v>735000</v>
      </c>
      <c r="J2370" s="38" t="n">
        <f aca="false">VLOOKUP(A2370,Inputs!$F$40:$G$48,2,TRUE())</f>
        <v>0.0364054</v>
      </c>
      <c r="K2370" s="38" t="n">
        <f aca="false">J2370+Inputs!$C$10</f>
        <v>0.1039054</v>
      </c>
      <c r="L2370" s="37" t="n">
        <f aca="false">I2370*K2370/C2370</f>
        <v>209.234161643836</v>
      </c>
      <c r="M2370" s="37" t="n">
        <f aca="false">IF(AND(A2370&gt;=Inputs!$C$13,OR(A2370&lt;Inputs!$B$19,Inputs!$B$20=1)),I2370*Inputs!$C$11/C2370,0)</f>
        <v>40.2739726027397</v>
      </c>
    </row>
    <row r="2371" customFormat="false" ht="15" hidden="false" customHeight="false" outlineLevel="0" collapsed="false">
      <c r="A2371" s="35" t="n">
        <f aca="false">A2370+1</f>
        <v>47178</v>
      </c>
      <c r="B2371" s="35" t="n">
        <f aca="false">EOMONTH(A2371+1,0)</f>
        <v>47208</v>
      </c>
      <c r="C2371" s="36" t="n">
        <f aca="false">IF(MOD(YEAR(A2371),4)=0,366,365)</f>
        <v>365</v>
      </c>
      <c r="D2371" s="37" t="n">
        <f aca="false">Inputs!$B$9-SUMIFS(Cash_Events!$G$6:$G$20,Cash_Events!$C$6:$C$20,"rAGMF",Cash_Events!$B$6:$B$20,"&lt;="&amp;A2371)</f>
        <v>735000</v>
      </c>
      <c r="E2371" s="38" t="n">
        <f aca="false">VLOOKUP(A2371,Inputs!$A$40:$B$48,2,TRUE())</f>
        <v>0.0363225</v>
      </c>
      <c r="F2371" s="38" t="n">
        <f aca="false">E2371+Inputs!$B$10</f>
        <v>0.1038225</v>
      </c>
      <c r="G2371" s="37" t="n">
        <f aca="false">D2371*F2371/C2371</f>
        <v>209.067226027397</v>
      </c>
      <c r="H2371" s="37" t="n">
        <f aca="false">IF(AND(A2371&gt;=Inputs!$B$13,OR(A2371&lt;Inputs!$B$19,Inputs!$B$20=1)),D2371*Inputs!$B$11/C2371,0)</f>
        <v>40.2739726027397</v>
      </c>
      <c r="I2371" s="37" t="n">
        <f aca="false">Inputs!$C$9-SUMIFS(Cash_Events!$G$6:$G$20,Cash_Events!$C$6:$C$20,"FHL",Cash_Events!$B$6:$B$20,"&lt;="&amp;A2371)</f>
        <v>735000</v>
      </c>
      <c r="J2371" s="38" t="n">
        <f aca="false">VLOOKUP(A2371,Inputs!$F$40:$G$48,2,TRUE())</f>
        <v>0.0364054</v>
      </c>
      <c r="K2371" s="38" t="n">
        <f aca="false">J2371+Inputs!$C$10</f>
        <v>0.1039054</v>
      </c>
      <c r="L2371" s="37" t="n">
        <f aca="false">I2371*K2371/C2371</f>
        <v>209.234161643836</v>
      </c>
      <c r="M2371" s="37" t="n">
        <f aca="false">IF(AND(A2371&gt;=Inputs!$C$13,OR(A2371&lt;Inputs!$B$19,Inputs!$B$20=1)),I2371*Inputs!$C$11/C2371,0)</f>
        <v>40.2739726027397</v>
      </c>
    </row>
    <row r="2372" customFormat="false" ht="15" hidden="false" customHeight="false" outlineLevel="0" collapsed="false">
      <c r="A2372" s="35" t="n">
        <f aca="false">A2371+1</f>
        <v>47179</v>
      </c>
      <c r="B2372" s="35" t="n">
        <f aca="false">EOMONTH(A2372+1,0)</f>
        <v>47208</v>
      </c>
      <c r="C2372" s="36" t="n">
        <f aca="false">IF(MOD(YEAR(A2372),4)=0,366,365)</f>
        <v>365</v>
      </c>
      <c r="D2372" s="37" t="n">
        <f aca="false">Inputs!$B$9-SUMIFS(Cash_Events!$G$6:$G$20,Cash_Events!$C$6:$C$20,"rAGMF",Cash_Events!$B$6:$B$20,"&lt;="&amp;A2372)</f>
        <v>735000</v>
      </c>
      <c r="E2372" s="38" t="n">
        <f aca="false">VLOOKUP(A2372,Inputs!$A$40:$B$48,2,TRUE())</f>
        <v>0.0363225</v>
      </c>
      <c r="F2372" s="38" t="n">
        <f aca="false">E2372+Inputs!$B$10</f>
        <v>0.1038225</v>
      </c>
      <c r="G2372" s="37" t="n">
        <f aca="false">D2372*F2372/C2372</f>
        <v>209.067226027397</v>
      </c>
      <c r="H2372" s="37" t="n">
        <f aca="false">IF(AND(A2372&gt;=Inputs!$B$13,OR(A2372&lt;Inputs!$B$19,Inputs!$B$20=1)),D2372*Inputs!$B$11/C2372,0)</f>
        <v>40.2739726027397</v>
      </c>
      <c r="I2372" s="37" t="n">
        <f aca="false">Inputs!$C$9-SUMIFS(Cash_Events!$G$6:$G$20,Cash_Events!$C$6:$C$20,"FHL",Cash_Events!$B$6:$B$20,"&lt;="&amp;A2372)</f>
        <v>735000</v>
      </c>
      <c r="J2372" s="38" t="n">
        <f aca="false">VLOOKUP(A2372,Inputs!$F$40:$G$48,2,TRUE())</f>
        <v>0.0364054</v>
      </c>
      <c r="K2372" s="38" t="n">
        <f aca="false">J2372+Inputs!$C$10</f>
        <v>0.1039054</v>
      </c>
      <c r="L2372" s="37" t="n">
        <f aca="false">I2372*K2372/C2372</f>
        <v>209.234161643836</v>
      </c>
      <c r="M2372" s="37" t="n">
        <f aca="false">IF(AND(A2372&gt;=Inputs!$C$13,OR(A2372&lt;Inputs!$B$19,Inputs!$B$20=1)),I2372*Inputs!$C$11/C2372,0)</f>
        <v>40.2739726027397</v>
      </c>
    </row>
    <row r="2373" customFormat="false" ht="15" hidden="false" customHeight="false" outlineLevel="0" collapsed="false">
      <c r="A2373" s="35" t="n">
        <f aca="false">A2372+1</f>
        <v>47180</v>
      </c>
      <c r="B2373" s="35" t="n">
        <f aca="false">EOMONTH(A2373+1,0)</f>
        <v>47208</v>
      </c>
      <c r="C2373" s="36" t="n">
        <f aca="false">IF(MOD(YEAR(A2373),4)=0,366,365)</f>
        <v>365</v>
      </c>
      <c r="D2373" s="37" t="n">
        <f aca="false">Inputs!$B$9-SUMIFS(Cash_Events!$G$6:$G$20,Cash_Events!$C$6:$C$20,"rAGMF",Cash_Events!$B$6:$B$20,"&lt;="&amp;A2373)</f>
        <v>735000</v>
      </c>
      <c r="E2373" s="38" t="n">
        <f aca="false">VLOOKUP(A2373,Inputs!$A$40:$B$48,2,TRUE())</f>
        <v>0.0363225</v>
      </c>
      <c r="F2373" s="38" t="n">
        <f aca="false">E2373+Inputs!$B$10</f>
        <v>0.1038225</v>
      </c>
      <c r="G2373" s="37" t="n">
        <f aca="false">D2373*F2373/C2373</f>
        <v>209.067226027397</v>
      </c>
      <c r="H2373" s="37" t="n">
        <f aca="false">IF(AND(A2373&gt;=Inputs!$B$13,OR(A2373&lt;Inputs!$B$19,Inputs!$B$20=1)),D2373*Inputs!$B$11/C2373,0)</f>
        <v>40.2739726027397</v>
      </c>
      <c r="I2373" s="37" t="n">
        <f aca="false">Inputs!$C$9-SUMIFS(Cash_Events!$G$6:$G$20,Cash_Events!$C$6:$C$20,"FHL",Cash_Events!$B$6:$B$20,"&lt;="&amp;A2373)</f>
        <v>735000</v>
      </c>
      <c r="J2373" s="38" t="n">
        <f aca="false">VLOOKUP(A2373,Inputs!$F$40:$G$48,2,TRUE())</f>
        <v>0.0364054</v>
      </c>
      <c r="K2373" s="38" t="n">
        <f aca="false">J2373+Inputs!$C$10</f>
        <v>0.1039054</v>
      </c>
      <c r="L2373" s="37" t="n">
        <f aca="false">I2373*K2373/C2373</f>
        <v>209.234161643836</v>
      </c>
      <c r="M2373" s="37" t="n">
        <f aca="false">IF(AND(A2373&gt;=Inputs!$C$13,OR(A2373&lt;Inputs!$B$19,Inputs!$B$20=1)),I2373*Inputs!$C$11/C2373,0)</f>
        <v>40.2739726027397</v>
      </c>
    </row>
    <row r="2374" customFormat="false" ht="15" hidden="false" customHeight="false" outlineLevel="0" collapsed="false">
      <c r="A2374" s="35" t="n">
        <f aca="false">A2373+1</f>
        <v>47181</v>
      </c>
      <c r="B2374" s="35" t="n">
        <f aca="false">EOMONTH(A2374+1,0)</f>
        <v>47208</v>
      </c>
      <c r="C2374" s="36" t="n">
        <f aca="false">IF(MOD(YEAR(A2374),4)=0,366,365)</f>
        <v>365</v>
      </c>
      <c r="D2374" s="37" t="n">
        <f aca="false">Inputs!$B$9-SUMIFS(Cash_Events!$G$6:$G$20,Cash_Events!$C$6:$C$20,"rAGMF",Cash_Events!$B$6:$B$20,"&lt;="&amp;A2374)</f>
        <v>735000</v>
      </c>
      <c r="E2374" s="38" t="n">
        <f aca="false">VLOOKUP(A2374,Inputs!$A$40:$B$48,2,TRUE())</f>
        <v>0.0363225</v>
      </c>
      <c r="F2374" s="38" t="n">
        <f aca="false">E2374+Inputs!$B$10</f>
        <v>0.1038225</v>
      </c>
      <c r="G2374" s="37" t="n">
        <f aca="false">D2374*F2374/C2374</f>
        <v>209.067226027397</v>
      </c>
      <c r="H2374" s="37" t="n">
        <f aca="false">IF(AND(A2374&gt;=Inputs!$B$13,OR(A2374&lt;Inputs!$B$19,Inputs!$B$20=1)),D2374*Inputs!$B$11/C2374,0)</f>
        <v>40.2739726027397</v>
      </c>
      <c r="I2374" s="37" t="n">
        <f aca="false">Inputs!$C$9-SUMIFS(Cash_Events!$G$6:$G$20,Cash_Events!$C$6:$C$20,"FHL",Cash_Events!$B$6:$B$20,"&lt;="&amp;A2374)</f>
        <v>735000</v>
      </c>
      <c r="J2374" s="38" t="n">
        <f aca="false">VLOOKUP(A2374,Inputs!$F$40:$G$48,2,TRUE())</f>
        <v>0.0364054</v>
      </c>
      <c r="K2374" s="38" t="n">
        <f aca="false">J2374+Inputs!$C$10</f>
        <v>0.1039054</v>
      </c>
      <c r="L2374" s="37" t="n">
        <f aca="false">I2374*K2374/C2374</f>
        <v>209.234161643836</v>
      </c>
      <c r="M2374" s="37" t="n">
        <f aca="false">IF(AND(A2374&gt;=Inputs!$C$13,OR(A2374&lt;Inputs!$B$19,Inputs!$B$20=1)),I2374*Inputs!$C$11/C2374,0)</f>
        <v>40.2739726027397</v>
      </c>
    </row>
    <row r="2375" customFormat="false" ht="15" hidden="false" customHeight="false" outlineLevel="0" collapsed="false">
      <c r="A2375" s="35" t="n">
        <f aca="false">A2374+1</f>
        <v>47182</v>
      </c>
      <c r="B2375" s="35" t="n">
        <f aca="false">EOMONTH(A2375+1,0)</f>
        <v>47208</v>
      </c>
      <c r="C2375" s="36" t="n">
        <f aca="false">IF(MOD(YEAR(A2375),4)=0,366,365)</f>
        <v>365</v>
      </c>
      <c r="D2375" s="37" t="n">
        <f aca="false">Inputs!$B$9-SUMIFS(Cash_Events!$G$6:$G$20,Cash_Events!$C$6:$C$20,"rAGMF",Cash_Events!$B$6:$B$20,"&lt;="&amp;A2375)</f>
        <v>735000</v>
      </c>
      <c r="E2375" s="38" t="n">
        <f aca="false">VLOOKUP(A2375,Inputs!$A$40:$B$48,2,TRUE())</f>
        <v>0.0363225</v>
      </c>
      <c r="F2375" s="38" t="n">
        <f aca="false">E2375+Inputs!$B$10</f>
        <v>0.1038225</v>
      </c>
      <c r="G2375" s="37" t="n">
        <f aca="false">D2375*F2375/C2375</f>
        <v>209.067226027397</v>
      </c>
      <c r="H2375" s="37" t="n">
        <f aca="false">IF(AND(A2375&gt;=Inputs!$B$13,OR(A2375&lt;Inputs!$B$19,Inputs!$B$20=1)),D2375*Inputs!$B$11/C2375,0)</f>
        <v>40.2739726027397</v>
      </c>
      <c r="I2375" s="37" t="n">
        <f aca="false">Inputs!$C$9-SUMIFS(Cash_Events!$G$6:$G$20,Cash_Events!$C$6:$C$20,"FHL",Cash_Events!$B$6:$B$20,"&lt;="&amp;A2375)</f>
        <v>735000</v>
      </c>
      <c r="J2375" s="38" t="n">
        <f aca="false">VLOOKUP(A2375,Inputs!$F$40:$G$48,2,TRUE())</f>
        <v>0.0364054</v>
      </c>
      <c r="K2375" s="38" t="n">
        <f aca="false">J2375+Inputs!$C$10</f>
        <v>0.1039054</v>
      </c>
      <c r="L2375" s="37" t="n">
        <f aca="false">I2375*K2375/C2375</f>
        <v>209.234161643836</v>
      </c>
      <c r="M2375" s="37" t="n">
        <f aca="false">IF(AND(A2375&gt;=Inputs!$C$13,OR(A2375&lt;Inputs!$B$19,Inputs!$B$20=1)),I2375*Inputs!$C$11/C2375,0)</f>
        <v>40.2739726027397</v>
      </c>
    </row>
    <row r="2376" customFormat="false" ht="15" hidden="false" customHeight="false" outlineLevel="0" collapsed="false">
      <c r="A2376" s="35" t="n">
        <f aca="false">A2375+1</f>
        <v>47183</v>
      </c>
      <c r="B2376" s="35" t="n">
        <f aca="false">EOMONTH(A2376+1,0)</f>
        <v>47208</v>
      </c>
      <c r="C2376" s="36" t="n">
        <f aca="false">IF(MOD(YEAR(A2376),4)=0,366,365)</f>
        <v>365</v>
      </c>
      <c r="D2376" s="37" t="n">
        <f aca="false">Inputs!$B$9-SUMIFS(Cash_Events!$G$6:$G$20,Cash_Events!$C$6:$C$20,"rAGMF",Cash_Events!$B$6:$B$20,"&lt;="&amp;A2376)</f>
        <v>735000</v>
      </c>
      <c r="E2376" s="38" t="n">
        <f aca="false">VLOOKUP(A2376,Inputs!$A$40:$B$48,2,TRUE())</f>
        <v>0.0363225</v>
      </c>
      <c r="F2376" s="38" t="n">
        <f aca="false">E2376+Inputs!$B$10</f>
        <v>0.1038225</v>
      </c>
      <c r="G2376" s="37" t="n">
        <f aca="false">D2376*F2376/C2376</f>
        <v>209.067226027397</v>
      </c>
      <c r="H2376" s="37" t="n">
        <f aca="false">IF(AND(A2376&gt;=Inputs!$B$13,OR(A2376&lt;Inputs!$B$19,Inputs!$B$20=1)),D2376*Inputs!$B$11/C2376,0)</f>
        <v>40.2739726027397</v>
      </c>
      <c r="I2376" s="37" t="n">
        <f aca="false">Inputs!$C$9-SUMIFS(Cash_Events!$G$6:$G$20,Cash_Events!$C$6:$C$20,"FHL",Cash_Events!$B$6:$B$20,"&lt;="&amp;A2376)</f>
        <v>735000</v>
      </c>
      <c r="J2376" s="38" t="n">
        <f aca="false">VLOOKUP(A2376,Inputs!$F$40:$G$48,2,TRUE())</f>
        <v>0.0364054</v>
      </c>
      <c r="K2376" s="38" t="n">
        <f aca="false">J2376+Inputs!$C$10</f>
        <v>0.1039054</v>
      </c>
      <c r="L2376" s="37" t="n">
        <f aca="false">I2376*K2376/C2376</f>
        <v>209.234161643836</v>
      </c>
      <c r="M2376" s="37" t="n">
        <f aca="false">IF(AND(A2376&gt;=Inputs!$C$13,OR(A2376&lt;Inputs!$B$19,Inputs!$B$20=1)),I2376*Inputs!$C$11/C2376,0)</f>
        <v>40.2739726027397</v>
      </c>
    </row>
    <row r="2377" customFormat="false" ht="15" hidden="false" customHeight="false" outlineLevel="0" collapsed="false">
      <c r="A2377" s="35" t="n">
        <f aca="false">A2376+1</f>
        <v>47184</v>
      </c>
      <c r="B2377" s="35" t="n">
        <f aca="false">EOMONTH(A2377+1,0)</f>
        <v>47208</v>
      </c>
      <c r="C2377" s="36" t="n">
        <f aca="false">IF(MOD(YEAR(A2377),4)=0,366,365)</f>
        <v>365</v>
      </c>
      <c r="D2377" s="37" t="n">
        <f aca="false">Inputs!$B$9-SUMIFS(Cash_Events!$G$6:$G$20,Cash_Events!$C$6:$C$20,"rAGMF",Cash_Events!$B$6:$B$20,"&lt;="&amp;A2377)</f>
        <v>735000</v>
      </c>
      <c r="E2377" s="38" t="n">
        <f aca="false">VLOOKUP(A2377,Inputs!$A$40:$B$48,2,TRUE())</f>
        <v>0.0363225</v>
      </c>
      <c r="F2377" s="38" t="n">
        <f aca="false">E2377+Inputs!$B$10</f>
        <v>0.1038225</v>
      </c>
      <c r="G2377" s="37" t="n">
        <f aca="false">D2377*F2377/C2377</f>
        <v>209.067226027397</v>
      </c>
      <c r="H2377" s="37" t="n">
        <f aca="false">IF(AND(A2377&gt;=Inputs!$B$13,OR(A2377&lt;Inputs!$B$19,Inputs!$B$20=1)),D2377*Inputs!$B$11/C2377,0)</f>
        <v>40.2739726027397</v>
      </c>
      <c r="I2377" s="37" t="n">
        <f aca="false">Inputs!$C$9-SUMIFS(Cash_Events!$G$6:$G$20,Cash_Events!$C$6:$C$20,"FHL",Cash_Events!$B$6:$B$20,"&lt;="&amp;A2377)</f>
        <v>735000</v>
      </c>
      <c r="J2377" s="38" t="n">
        <f aca="false">VLOOKUP(A2377,Inputs!$F$40:$G$48,2,TRUE())</f>
        <v>0.0364054</v>
      </c>
      <c r="K2377" s="38" t="n">
        <f aca="false">J2377+Inputs!$C$10</f>
        <v>0.1039054</v>
      </c>
      <c r="L2377" s="37" t="n">
        <f aca="false">I2377*K2377/C2377</f>
        <v>209.234161643836</v>
      </c>
      <c r="M2377" s="37" t="n">
        <f aca="false">IF(AND(A2377&gt;=Inputs!$C$13,OR(A2377&lt;Inputs!$B$19,Inputs!$B$20=1)),I2377*Inputs!$C$11/C2377,0)</f>
        <v>40.2739726027397</v>
      </c>
    </row>
    <row r="2378" customFormat="false" ht="15" hidden="false" customHeight="false" outlineLevel="0" collapsed="false">
      <c r="A2378" s="35" t="n">
        <f aca="false">A2377+1</f>
        <v>47185</v>
      </c>
      <c r="B2378" s="35" t="n">
        <f aca="false">EOMONTH(A2378+1,0)</f>
        <v>47208</v>
      </c>
      <c r="C2378" s="36" t="n">
        <f aca="false">IF(MOD(YEAR(A2378),4)=0,366,365)</f>
        <v>365</v>
      </c>
      <c r="D2378" s="37" t="n">
        <f aca="false">Inputs!$B$9-SUMIFS(Cash_Events!$G$6:$G$20,Cash_Events!$C$6:$C$20,"rAGMF",Cash_Events!$B$6:$B$20,"&lt;="&amp;A2378)</f>
        <v>735000</v>
      </c>
      <c r="E2378" s="38" t="n">
        <f aca="false">VLOOKUP(A2378,Inputs!$A$40:$B$48,2,TRUE())</f>
        <v>0.0363225</v>
      </c>
      <c r="F2378" s="38" t="n">
        <f aca="false">E2378+Inputs!$B$10</f>
        <v>0.1038225</v>
      </c>
      <c r="G2378" s="37" t="n">
        <f aca="false">D2378*F2378/C2378</f>
        <v>209.067226027397</v>
      </c>
      <c r="H2378" s="37" t="n">
        <f aca="false">IF(AND(A2378&gt;=Inputs!$B$13,OR(A2378&lt;Inputs!$B$19,Inputs!$B$20=1)),D2378*Inputs!$B$11/C2378,0)</f>
        <v>40.2739726027397</v>
      </c>
      <c r="I2378" s="37" t="n">
        <f aca="false">Inputs!$C$9-SUMIFS(Cash_Events!$G$6:$G$20,Cash_Events!$C$6:$C$20,"FHL",Cash_Events!$B$6:$B$20,"&lt;="&amp;A2378)</f>
        <v>735000</v>
      </c>
      <c r="J2378" s="38" t="n">
        <f aca="false">VLOOKUP(A2378,Inputs!$F$40:$G$48,2,TRUE())</f>
        <v>0.0364054</v>
      </c>
      <c r="K2378" s="38" t="n">
        <f aca="false">J2378+Inputs!$C$10</f>
        <v>0.1039054</v>
      </c>
      <c r="L2378" s="37" t="n">
        <f aca="false">I2378*K2378/C2378</f>
        <v>209.234161643836</v>
      </c>
      <c r="M2378" s="37" t="n">
        <f aca="false">IF(AND(A2378&gt;=Inputs!$C$13,OR(A2378&lt;Inputs!$B$19,Inputs!$B$20=1)),I2378*Inputs!$C$11/C2378,0)</f>
        <v>40.2739726027397</v>
      </c>
    </row>
    <row r="2379" customFormat="false" ht="15" hidden="false" customHeight="false" outlineLevel="0" collapsed="false">
      <c r="A2379" s="35" t="n">
        <f aca="false">A2378+1</f>
        <v>47186</v>
      </c>
      <c r="B2379" s="35" t="n">
        <f aca="false">EOMONTH(A2379+1,0)</f>
        <v>47208</v>
      </c>
      <c r="C2379" s="36" t="n">
        <f aca="false">IF(MOD(YEAR(A2379),4)=0,366,365)</f>
        <v>365</v>
      </c>
      <c r="D2379" s="37" t="n">
        <f aca="false">Inputs!$B$9-SUMIFS(Cash_Events!$G$6:$G$20,Cash_Events!$C$6:$C$20,"rAGMF",Cash_Events!$B$6:$B$20,"&lt;="&amp;A2379)</f>
        <v>735000</v>
      </c>
      <c r="E2379" s="38" t="n">
        <f aca="false">VLOOKUP(A2379,Inputs!$A$40:$B$48,2,TRUE())</f>
        <v>0.0363225</v>
      </c>
      <c r="F2379" s="38" t="n">
        <f aca="false">E2379+Inputs!$B$10</f>
        <v>0.1038225</v>
      </c>
      <c r="G2379" s="37" t="n">
        <f aca="false">D2379*F2379/C2379</f>
        <v>209.067226027397</v>
      </c>
      <c r="H2379" s="37" t="n">
        <f aca="false">IF(AND(A2379&gt;=Inputs!$B$13,OR(A2379&lt;Inputs!$B$19,Inputs!$B$20=1)),D2379*Inputs!$B$11/C2379,0)</f>
        <v>40.2739726027397</v>
      </c>
      <c r="I2379" s="37" t="n">
        <f aca="false">Inputs!$C$9-SUMIFS(Cash_Events!$G$6:$G$20,Cash_Events!$C$6:$C$20,"FHL",Cash_Events!$B$6:$B$20,"&lt;="&amp;A2379)</f>
        <v>735000</v>
      </c>
      <c r="J2379" s="38" t="n">
        <f aca="false">VLOOKUP(A2379,Inputs!$F$40:$G$48,2,TRUE())</f>
        <v>0.0364054</v>
      </c>
      <c r="K2379" s="38" t="n">
        <f aca="false">J2379+Inputs!$C$10</f>
        <v>0.1039054</v>
      </c>
      <c r="L2379" s="37" t="n">
        <f aca="false">I2379*K2379/C2379</f>
        <v>209.234161643836</v>
      </c>
      <c r="M2379" s="37" t="n">
        <f aca="false">IF(AND(A2379&gt;=Inputs!$C$13,OR(A2379&lt;Inputs!$B$19,Inputs!$B$20=1)),I2379*Inputs!$C$11/C2379,0)</f>
        <v>40.2739726027397</v>
      </c>
    </row>
    <row r="2380" customFormat="false" ht="15" hidden="false" customHeight="false" outlineLevel="0" collapsed="false">
      <c r="A2380" s="35" t="n">
        <f aca="false">A2379+1</f>
        <v>47187</v>
      </c>
      <c r="B2380" s="35" t="n">
        <f aca="false">EOMONTH(A2380+1,0)</f>
        <v>47208</v>
      </c>
      <c r="C2380" s="36" t="n">
        <f aca="false">IF(MOD(YEAR(A2380),4)=0,366,365)</f>
        <v>365</v>
      </c>
      <c r="D2380" s="37" t="n">
        <f aca="false">Inputs!$B$9-SUMIFS(Cash_Events!$G$6:$G$20,Cash_Events!$C$6:$C$20,"rAGMF",Cash_Events!$B$6:$B$20,"&lt;="&amp;A2380)</f>
        <v>735000</v>
      </c>
      <c r="E2380" s="38" t="n">
        <f aca="false">VLOOKUP(A2380,Inputs!$A$40:$B$48,2,TRUE())</f>
        <v>0.0363225</v>
      </c>
      <c r="F2380" s="38" t="n">
        <f aca="false">E2380+Inputs!$B$10</f>
        <v>0.1038225</v>
      </c>
      <c r="G2380" s="37" t="n">
        <f aca="false">D2380*F2380/C2380</f>
        <v>209.067226027397</v>
      </c>
      <c r="H2380" s="37" t="n">
        <f aca="false">IF(AND(A2380&gt;=Inputs!$B$13,OR(A2380&lt;Inputs!$B$19,Inputs!$B$20=1)),D2380*Inputs!$B$11/C2380,0)</f>
        <v>40.2739726027397</v>
      </c>
      <c r="I2380" s="37" t="n">
        <f aca="false">Inputs!$C$9-SUMIFS(Cash_Events!$G$6:$G$20,Cash_Events!$C$6:$C$20,"FHL",Cash_Events!$B$6:$B$20,"&lt;="&amp;A2380)</f>
        <v>735000</v>
      </c>
      <c r="J2380" s="38" t="n">
        <f aca="false">VLOOKUP(A2380,Inputs!$F$40:$G$48,2,TRUE())</f>
        <v>0.0364054</v>
      </c>
      <c r="K2380" s="38" t="n">
        <f aca="false">J2380+Inputs!$C$10</f>
        <v>0.1039054</v>
      </c>
      <c r="L2380" s="37" t="n">
        <f aca="false">I2380*K2380/C2380</f>
        <v>209.234161643836</v>
      </c>
      <c r="M2380" s="37" t="n">
        <f aca="false">IF(AND(A2380&gt;=Inputs!$C$13,OR(A2380&lt;Inputs!$B$19,Inputs!$B$20=1)),I2380*Inputs!$C$11/C2380,0)</f>
        <v>40.2739726027397</v>
      </c>
    </row>
    <row r="2381" customFormat="false" ht="15" hidden="false" customHeight="false" outlineLevel="0" collapsed="false">
      <c r="A2381" s="35" t="n">
        <f aca="false">A2380+1</f>
        <v>47188</v>
      </c>
      <c r="B2381" s="35" t="n">
        <f aca="false">EOMONTH(A2381+1,0)</f>
        <v>47208</v>
      </c>
      <c r="C2381" s="36" t="n">
        <f aca="false">IF(MOD(YEAR(A2381),4)=0,366,365)</f>
        <v>365</v>
      </c>
      <c r="D2381" s="37" t="n">
        <f aca="false">Inputs!$B$9-SUMIFS(Cash_Events!$G$6:$G$20,Cash_Events!$C$6:$C$20,"rAGMF",Cash_Events!$B$6:$B$20,"&lt;="&amp;A2381)</f>
        <v>735000</v>
      </c>
      <c r="E2381" s="38" t="n">
        <f aca="false">VLOOKUP(A2381,Inputs!$A$40:$B$48,2,TRUE())</f>
        <v>0.0363225</v>
      </c>
      <c r="F2381" s="38" t="n">
        <f aca="false">E2381+Inputs!$B$10</f>
        <v>0.1038225</v>
      </c>
      <c r="G2381" s="37" t="n">
        <f aca="false">D2381*F2381/C2381</f>
        <v>209.067226027397</v>
      </c>
      <c r="H2381" s="37" t="n">
        <f aca="false">IF(AND(A2381&gt;=Inputs!$B$13,OR(A2381&lt;Inputs!$B$19,Inputs!$B$20=1)),D2381*Inputs!$B$11/C2381,0)</f>
        <v>40.2739726027397</v>
      </c>
      <c r="I2381" s="37" t="n">
        <f aca="false">Inputs!$C$9-SUMIFS(Cash_Events!$G$6:$G$20,Cash_Events!$C$6:$C$20,"FHL",Cash_Events!$B$6:$B$20,"&lt;="&amp;A2381)</f>
        <v>735000</v>
      </c>
      <c r="J2381" s="38" t="n">
        <f aca="false">VLOOKUP(A2381,Inputs!$F$40:$G$48,2,TRUE())</f>
        <v>0.0364054</v>
      </c>
      <c r="K2381" s="38" t="n">
        <f aca="false">J2381+Inputs!$C$10</f>
        <v>0.1039054</v>
      </c>
      <c r="L2381" s="37" t="n">
        <f aca="false">I2381*K2381/C2381</f>
        <v>209.234161643836</v>
      </c>
      <c r="M2381" s="37" t="n">
        <f aca="false">IF(AND(A2381&gt;=Inputs!$C$13,OR(A2381&lt;Inputs!$B$19,Inputs!$B$20=1)),I2381*Inputs!$C$11/C2381,0)</f>
        <v>40.2739726027397</v>
      </c>
    </row>
    <row r="2382" customFormat="false" ht="15" hidden="false" customHeight="false" outlineLevel="0" collapsed="false">
      <c r="A2382" s="35" t="n">
        <f aca="false">A2381+1</f>
        <v>47189</v>
      </c>
      <c r="B2382" s="35" t="n">
        <f aca="false">EOMONTH(A2382+1,0)</f>
        <v>47208</v>
      </c>
      <c r="C2382" s="36" t="n">
        <f aca="false">IF(MOD(YEAR(A2382),4)=0,366,365)</f>
        <v>365</v>
      </c>
      <c r="D2382" s="37" t="n">
        <f aca="false">Inputs!$B$9-SUMIFS(Cash_Events!$G$6:$G$20,Cash_Events!$C$6:$C$20,"rAGMF",Cash_Events!$B$6:$B$20,"&lt;="&amp;A2382)</f>
        <v>735000</v>
      </c>
      <c r="E2382" s="38" t="n">
        <f aca="false">VLOOKUP(A2382,Inputs!$A$40:$B$48,2,TRUE())</f>
        <v>0.0363225</v>
      </c>
      <c r="F2382" s="38" t="n">
        <f aca="false">E2382+Inputs!$B$10</f>
        <v>0.1038225</v>
      </c>
      <c r="G2382" s="37" t="n">
        <f aca="false">D2382*F2382/C2382</f>
        <v>209.067226027397</v>
      </c>
      <c r="H2382" s="37" t="n">
        <f aca="false">IF(AND(A2382&gt;=Inputs!$B$13,OR(A2382&lt;Inputs!$B$19,Inputs!$B$20=1)),D2382*Inputs!$B$11/C2382,0)</f>
        <v>40.2739726027397</v>
      </c>
      <c r="I2382" s="37" t="n">
        <f aca="false">Inputs!$C$9-SUMIFS(Cash_Events!$G$6:$G$20,Cash_Events!$C$6:$C$20,"FHL",Cash_Events!$B$6:$B$20,"&lt;="&amp;A2382)</f>
        <v>735000</v>
      </c>
      <c r="J2382" s="38" t="n">
        <f aca="false">VLOOKUP(A2382,Inputs!$F$40:$G$48,2,TRUE())</f>
        <v>0.0364054</v>
      </c>
      <c r="K2382" s="38" t="n">
        <f aca="false">J2382+Inputs!$C$10</f>
        <v>0.1039054</v>
      </c>
      <c r="L2382" s="37" t="n">
        <f aca="false">I2382*K2382/C2382</f>
        <v>209.234161643836</v>
      </c>
      <c r="M2382" s="37" t="n">
        <f aca="false">IF(AND(A2382&gt;=Inputs!$C$13,OR(A2382&lt;Inputs!$B$19,Inputs!$B$20=1)),I2382*Inputs!$C$11/C2382,0)</f>
        <v>40.2739726027397</v>
      </c>
    </row>
    <row r="2383" customFormat="false" ht="15" hidden="false" customHeight="false" outlineLevel="0" collapsed="false">
      <c r="A2383" s="35" t="n">
        <f aca="false">A2382+1</f>
        <v>47190</v>
      </c>
      <c r="B2383" s="35" t="n">
        <f aca="false">EOMONTH(A2383+1,0)</f>
        <v>47208</v>
      </c>
      <c r="C2383" s="36" t="n">
        <f aca="false">IF(MOD(YEAR(A2383),4)=0,366,365)</f>
        <v>365</v>
      </c>
      <c r="D2383" s="37" t="n">
        <f aca="false">Inputs!$B$9-SUMIFS(Cash_Events!$G$6:$G$20,Cash_Events!$C$6:$C$20,"rAGMF",Cash_Events!$B$6:$B$20,"&lt;="&amp;A2383)</f>
        <v>735000</v>
      </c>
      <c r="E2383" s="38" t="n">
        <f aca="false">VLOOKUP(A2383,Inputs!$A$40:$B$48,2,TRUE())</f>
        <v>0.0363225</v>
      </c>
      <c r="F2383" s="38" t="n">
        <f aca="false">E2383+Inputs!$B$10</f>
        <v>0.1038225</v>
      </c>
      <c r="G2383" s="37" t="n">
        <f aca="false">D2383*F2383/C2383</f>
        <v>209.067226027397</v>
      </c>
      <c r="H2383" s="37" t="n">
        <f aca="false">IF(AND(A2383&gt;=Inputs!$B$13,OR(A2383&lt;Inputs!$B$19,Inputs!$B$20=1)),D2383*Inputs!$B$11/C2383,0)</f>
        <v>40.2739726027397</v>
      </c>
      <c r="I2383" s="37" t="n">
        <f aca="false">Inputs!$C$9-SUMIFS(Cash_Events!$G$6:$G$20,Cash_Events!$C$6:$C$20,"FHL",Cash_Events!$B$6:$B$20,"&lt;="&amp;A2383)</f>
        <v>735000</v>
      </c>
      <c r="J2383" s="38" t="n">
        <f aca="false">VLOOKUP(A2383,Inputs!$F$40:$G$48,2,TRUE())</f>
        <v>0.0364054</v>
      </c>
      <c r="K2383" s="38" t="n">
        <f aca="false">J2383+Inputs!$C$10</f>
        <v>0.1039054</v>
      </c>
      <c r="L2383" s="37" t="n">
        <f aca="false">I2383*K2383/C2383</f>
        <v>209.234161643836</v>
      </c>
      <c r="M2383" s="37" t="n">
        <f aca="false">IF(AND(A2383&gt;=Inputs!$C$13,OR(A2383&lt;Inputs!$B$19,Inputs!$B$20=1)),I2383*Inputs!$C$11/C2383,0)</f>
        <v>40.2739726027397</v>
      </c>
    </row>
    <row r="2384" customFormat="false" ht="15" hidden="false" customHeight="false" outlineLevel="0" collapsed="false">
      <c r="A2384" s="35" t="n">
        <f aca="false">A2383+1</f>
        <v>47191</v>
      </c>
      <c r="B2384" s="35" t="n">
        <f aca="false">EOMONTH(A2384+1,0)</f>
        <v>47208</v>
      </c>
      <c r="C2384" s="36" t="n">
        <f aca="false">IF(MOD(YEAR(A2384),4)=0,366,365)</f>
        <v>365</v>
      </c>
      <c r="D2384" s="37" t="n">
        <f aca="false">Inputs!$B$9-SUMIFS(Cash_Events!$G$6:$G$20,Cash_Events!$C$6:$C$20,"rAGMF",Cash_Events!$B$6:$B$20,"&lt;="&amp;A2384)</f>
        <v>735000</v>
      </c>
      <c r="E2384" s="38" t="n">
        <f aca="false">VLOOKUP(A2384,Inputs!$A$40:$B$48,2,TRUE())</f>
        <v>0.0363225</v>
      </c>
      <c r="F2384" s="38" t="n">
        <f aca="false">E2384+Inputs!$B$10</f>
        <v>0.1038225</v>
      </c>
      <c r="G2384" s="37" t="n">
        <f aca="false">D2384*F2384/C2384</f>
        <v>209.067226027397</v>
      </c>
      <c r="H2384" s="37" t="n">
        <f aca="false">IF(AND(A2384&gt;=Inputs!$B$13,OR(A2384&lt;Inputs!$B$19,Inputs!$B$20=1)),D2384*Inputs!$B$11/C2384,0)</f>
        <v>40.2739726027397</v>
      </c>
      <c r="I2384" s="37" t="n">
        <f aca="false">Inputs!$C$9-SUMIFS(Cash_Events!$G$6:$G$20,Cash_Events!$C$6:$C$20,"FHL",Cash_Events!$B$6:$B$20,"&lt;="&amp;A2384)</f>
        <v>735000</v>
      </c>
      <c r="J2384" s="38" t="n">
        <f aca="false">VLOOKUP(A2384,Inputs!$F$40:$G$48,2,TRUE())</f>
        <v>0.0364054</v>
      </c>
      <c r="K2384" s="38" t="n">
        <f aca="false">J2384+Inputs!$C$10</f>
        <v>0.1039054</v>
      </c>
      <c r="L2384" s="37" t="n">
        <f aca="false">I2384*K2384/C2384</f>
        <v>209.234161643836</v>
      </c>
      <c r="M2384" s="37" t="n">
        <f aca="false">IF(AND(A2384&gt;=Inputs!$C$13,OR(A2384&lt;Inputs!$B$19,Inputs!$B$20=1)),I2384*Inputs!$C$11/C2384,0)</f>
        <v>40.2739726027397</v>
      </c>
    </row>
    <row r="2385" customFormat="false" ht="15" hidden="false" customHeight="false" outlineLevel="0" collapsed="false">
      <c r="A2385" s="35" t="n">
        <f aca="false">A2384+1</f>
        <v>47192</v>
      </c>
      <c r="B2385" s="35" t="n">
        <f aca="false">EOMONTH(A2385+1,0)</f>
        <v>47208</v>
      </c>
      <c r="C2385" s="36" t="n">
        <f aca="false">IF(MOD(YEAR(A2385),4)=0,366,365)</f>
        <v>365</v>
      </c>
      <c r="D2385" s="37" t="n">
        <f aca="false">Inputs!$B$9-SUMIFS(Cash_Events!$G$6:$G$20,Cash_Events!$C$6:$C$20,"rAGMF",Cash_Events!$B$6:$B$20,"&lt;="&amp;A2385)</f>
        <v>735000</v>
      </c>
      <c r="E2385" s="38" t="n">
        <f aca="false">VLOOKUP(A2385,Inputs!$A$40:$B$48,2,TRUE())</f>
        <v>0.0363225</v>
      </c>
      <c r="F2385" s="38" t="n">
        <f aca="false">E2385+Inputs!$B$10</f>
        <v>0.1038225</v>
      </c>
      <c r="G2385" s="37" t="n">
        <f aca="false">D2385*F2385/C2385</f>
        <v>209.067226027397</v>
      </c>
      <c r="H2385" s="37" t="n">
        <f aca="false">IF(AND(A2385&gt;=Inputs!$B$13,OR(A2385&lt;Inputs!$B$19,Inputs!$B$20=1)),D2385*Inputs!$B$11/C2385,0)</f>
        <v>40.2739726027397</v>
      </c>
      <c r="I2385" s="37" t="n">
        <f aca="false">Inputs!$C$9-SUMIFS(Cash_Events!$G$6:$G$20,Cash_Events!$C$6:$C$20,"FHL",Cash_Events!$B$6:$B$20,"&lt;="&amp;A2385)</f>
        <v>735000</v>
      </c>
      <c r="J2385" s="38" t="n">
        <f aca="false">VLOOKUP(A2385,Inputs!$F$40:$G$48,2,TRUE())</f>
        <v>0.0364054</v>
      </c>
      <c r="K2385" s="38" t="n">
        <f aca="false">J2385+Inputs!$C$10</f>
        <v>0.1039054</v>
      </c>
      <c r="L2385" s="37" t="n">
        <f aca="false">I2385*K2385/C2385</f>
        <v>209.234161643836</v>
      </c>
      <c r="M2385" s="37" t="n">
        <f aca="false">IF(AND(A2385&gt;=Inputs!$C$13,OR(A2385&lt;Inputs!$B$19,Inputs!$B$20=1)),I2385*Inputs!$C$11/C2385,0)</f>
        <v>40.2739726027397</v>
      </c>
    </row>
    <row r="2386" customFormat="false" ht="15" hidden="false" customHeight="false" outlineLevel="0" collapsed="false">
      <c r="A2386" s="35" t="n">
        <f aca="false">A2385+1</f>
        <v>47193</v>
      </c>
      <c r="B2386" s="35" t="n">
        <f aca="false">EOMONTH(A2386+1,0)</f>
        <v>47208</v>
      </c>
      <c r="C2386" s="36" t="n">
        <f aca="false">IF(MOD(YEAR(A2386),4)=0,366,365)</f>
        <v>365</v>
      </c>
      <c r="D2386" s="37" t="n">
        <f aca="false">Inputs!$B$9-SUMIFS(Cash_Events!$G$6:$G$20,Cash_Events!$C$6:$C$20,"rAGMF",Cash_Events!$B$6:$B$20,"&lt;="&amp;A2386)</f>
        <v>735000</v>
      </c>
      <c r="E2386" s="38" t="n">
        <f aca="false">VLOOKUP(A2386,Inputs!$A$40:$B$48,2,TRUE())</f>
        <v>0.0363225</v>
      </c>
      <c r="F2386" s="38" t="n">
        <f aca="false">E2386+Inputs!$B$10</f>
        <v>0.1038225</v>
      </c>
      <c r="G2386" s="37" t="n">
        <f aca="false">D2386*F2386/C2386</f>
        <v>209.067226027397</v>
      </c>
      <c r="H2386" s="37" t="n">
        <f aca="false">IF(AND(A2386&gt;=Inputs!$B$13,OR(A2386&lt;Inputs!$B$19,Inputs!$B$20=1)),D2386*Inputs!$B$11/C2386,0)</f>
        <v>40.2739726027397</v>
      </c>
      <c r="I2386" s="37" t="n">
        <f aca="false">Inputs!$C$9-SUMIFS(Cash_Events!$G$6:$G$20,Cash_Events!$C$6:$C$20,"FHL",Cash_Events!$B$6:$B$20,"&lt;="&amp;A2386)</f>
        <v>735000</v>
      </c>
      <c r="J2386" s="38" t="n">
        <f aca="false">VLOOKUP(A2386,Inputs!$F$40:$G$48,2,TRUE())</f>
        <v>0.0364054</v>
      </c>
      <c r="K2386" s="38" t="n">
        <f aca="false">J2386+Inputs!$C$10</f>
        <v>0.1039054</v>
      </c>
      <c r="L2386" s="37" t="n">
        <f aca="false">I2386*K2386/C2386</f>
        <v>209.234161643836</v>
      </c>
      <c r="M2386" s="37" t="n">
        <f aca="false">IF(AND(A2386&gt;=Inputs!$C$13,OR(A2386&lt;Inputs!$B$19,Inputs!$B$20=1)),I2386*Inputs!$C$11/C2386,0)</f>
        <v>40.2739726027397</v>
      </c>
    </row>
    <row r="2387" customFormat="false" ht="15" hidden="false" customHeight="false" outlineLevel="0" collapsed="false">
      <c r="A2387" s="35" t="n">
        <f aca="false">A2386+1</f>
        <v>47194</v>
      </c>
      <c r="B2387" s="35" t="n">
        <f aca="false">EOMONTH(A2387+1,0)</f>
        <v>47208</v>
      </c>
      <c r="C2387" s="36" t="n">
        <f aca="false">IF(MOD(YEAR(A2387),4)=0,366,365)</f>
        <v>365</v>
      </c>
      <c r="D2387" s="37" t="n">
        <f aca="false">Inputs!$B$9-SUMIFS(Cash_Events!$G$6:$G$20,Cash_Events!$C$6:$C$20,"rAGMF",Cash_Events!$B$6:$B$20,"&lt;="&amp;A2387)</f>
        <v>735000</v>
      </c>
      <c r="E2387" s="38" t="n">
        <f aca="false">VLOOKUP(A2387,Inputs!$A$40:$B$48,2,TRUE())</f>
        <v>0.0363225</v>
      </c>
      <c r="F2387" s="38" t="n">
        <f aca="false">E2387+Inputs!$B$10</f>
        <v>0.1038225</v>
      </c>
      <c r="G2387" s="37" t="n">
        <f aca="false">D2387*F2387/C2387</f>
        <v>209.067226027397</v>
      </c>
      <c r="H2387" s="37" t="n">
        <f aca="false">IF(AND(A2387&gt;=Inputs!$B$13,OR(A2387&lt;Inputs!$B$19,Inputs!$B$20=1)),D2387*Inputs!$B$11/C2387,0)</f>
        <v>40.2739726027397</v>
      </c>
      <c r="I2387" s="37" t="n">
        <f aca="false">Inputs!$C$9-SUMIFS(Cash_Events!$G$6:$G$20,Cash_Events!$C$6:$C$20,"FHL",Cash_Events!$B$6:$B$20,"&lt;="&amp;A2387)</f>
        <v>735000</v>
      </c>
      <c r="J2387" s="38" t="n">
        <f aca="false">VLOOKUP(A2387,Inputs!$F$40:$G$48,2,TRUE())</f>
        <v>0.0364054</v>
      </c>
      <c r="K2387" s="38" t="n">
        <f aca="false">J2387+Inputs!$C$10</f>
        <v>0.1039054</v>
      </c>
      <c r="L2387" s="37" t="n">
        <f aca="false">I2387*K2387/C2387</f>
        <v>209.234161643836</v>
      </c>
      <c r="M2387" s="37" t="n">
        <f aca="false">IF(AND(A2387&gt;=Inputs!$C$13,OR(A2387&lt;Inputs!$B$19,Inputs!$B$20=1)),I2387*Inputs!$C$11/C2387,0)</f>
        <v>40.2739726027397</v>
      </c>
    </row>
    <row r="2388" customFormat="false" ht="15" hidden="false" customHeight="false" outlineLevel="0" collapsed="false">
      <c r="A2388" s="35" t="n">
        <f aca="false">A2387+1</f>
        <v>47195</v>
      </c>
      <c r="B2388" s="35" t="n">
        <f aca="false">EOMONTH(A2388+1,0)</f>
        <v>47208</v>
      </c>
      <c r="C2388" s="36" t="n">
        <f aca="false">IF(MOD(YEAR(A2388),4)=0,366,365)</f>
        <v>365</v>
      </c>
      <c r="D2388" s="37" t="n">
        <f aca="false">Inputs!$B$9-SUMIFS(Cash_Events!$G$6:$G$20,Cash_Events!$C$6:$C$20,"rAGMF",Cash_Events!$B$6:$B$20,"&lt;="&amp;A2388)</f>
        <v>735000</v>
      </c>
      <c r="E2388" s="38" t="n">
        <f aca="false">VLOOKUP(A2388,Inputs!$A$40:$B$48,2,TRUE())</f>
        <v>0.0363225</v>
      </c>
      <c r="F2388" s="38" t="n">
        <f aca="false">E2388+Inputs!$B$10</f>
        <v>0.1038225</v>
      </c>
      <c r="G2388" s="37" t="n">
        <f aca="false">D2388*F2388/C2388</f>
        <v>209.067226027397</v>
      </c>
      <c r="H2388" s="37" t="n">
        <f aca="false">IF(AND(A2388&gt;=Inputs!$B$13,OR(A2388&lt;Inputs!$B$19,Inputs!$B$20=1)),D2388*Inputs!$B$11/C2388,0)</f>
        <v>40.2739726027397</v>
      </c>
      <c r="I2388" s="37" t="n">
        <f aca="false">Inputs!$C$9-SUMIFS(Cash_Events!$G$6:$G$20,Cash_Events!$C$6:$C$20,"FHL",Cash_Events!$B$6:$B$20,"&lt;="&amp;A2388)</f>
        <v>735000</v>
      </c>
      <c r="J2388" s="38" t="n">
        <f aca="false">VLOOKUP(A2388,Inputs!$F$40:$G$48,2,TRUE())</f>
        <v>0.0364054</v>
      </c>
      <c r="K2388" s="38" t="n">
        <f aca="false">J2388+Inputs!$C$10</f>
        <v>0.1039054</v>
      </c>
      <c r="L2388" s="37" t="n">
        <f aca="false">I2388*K2388/C2388</f>
        <v>209.234161643836</v>
      </c>
      <c r="M2388" s="37" t="n">
        <f aca="false">IF(AND(A2388&gt;=Inputs!$C$13,OR(A2388&lt;Inputs!$B$19,Inputs!$B$20=1)),I2388*Inputs!$C$11/C2388,0)</f>
        <v>40.2739726027397</v>
      </c>
    </row>
    <row r="2389" customFormat="false" ht="15" hidden="false" customHeight="false" outlineLevel="0" collapsed="false">
      <c r="A2389" s="35" t="n">
        <f aca="false">A2388+1</f>
        <v>47196</v>
      </c>
      <c r="B2389" s="35" t="n">
        <f aca="false">EOMONTH(A2389+1,0)</f>
        <v>47208</v>
      </c>
      <c r="C2389" s="36" t="n">
        <f aca="false">IF(MOD(YEAR(A2389),4)=0,366,365)</f>
        <v>365</v>
      </c>
      <c r="D2389" s="37" t="n">
        <f aca="false">Inputs!$B$9-SUMIFS(Cash_Events!$G$6:$G$20,Cash_Events!$C$6:$C$20,"rAGMF",Cash_Events!$B$6:$B$20,"&lt;="&amp;A2389)</f>
        <v>735000</v>
      </c>
      <c r="E2389" s="38" t="n">
        <f aca="false">VLOOKUP(A2389,Inputs!$A$40:$B$48,2,TRUE())</f>
        <v>0.0363225</v>
      </c>
      <c r="F2389" s="38" t="n">
        <f aca="false">E2389+Inputs!$B$10</f>
        <v>0.1038225</v>
      </c>
      <c r="G2389" s="37" t="n">
        <f aca="false">D2389*F2389/C2389</f>
        <v>209.067226027397</v>
      </c>
      <c r="H2389" s="37" t="n">
        <f aca="false">IF(AND(A2389&gt;=Inputs!$B$13,OR(A2389&lt;Inputs!$B$19,Inputs!$B$20=1)),D2389*Inputs!$B$11/C2389,0)</f>
        <v>40.2739726027397</v>
      </c>
      <c r="I2389" s="37" t="n">
        <f aca="false">Inputs!$C$9-SUMIFS(Cash_Events!$G$6:$G$20,Cash_Events!$C$6:$C$20,"FHL",Cash_Events!$B$6:$B$20,"&lt;="&amp;A2389)</f>
        <v>735000</v>
      </c>
      <c r="J2389" s="38" t="n">
        <f aca="false">VLOOKUP(A2389,Inputs!$F$40:$G$48,2,TRUE())</f>
        <v>0.0364054</v>
      </c>
      <c r="K2389" s="38" t="n">
        <f aca="false">J2389+Inputs!$C$10</f>
        <v>0.1039054</v>
      </c>
      <c r="L2389" s="37" t="n">
        <f aca="false">I2389*K2389/C2389</f>
        <v>209.234161643836</v>
      </c>
      <c r="M2389" s="37" t="n">
        <f aca="false">IF(AND(A2389&gt;=Inputs!$C$13,OR(A2389&lt;Inputs!$B$19,Inputs!$B$20=1)),I2389*Inputs!$C$11/C2389,0)</f>
        <v>40.2739726027397</v>
      </c>
    </row>
    <row r="2390" customFormat="false" ht="15" hidden="false" customHeight="false" outlineLevel="0" collapsed="false">
      <c r="A2390" s="35" t="n">
        <f aca="false">A2389+1</f>
        <v>47197</v>
      </c>
      <c r="B2390" s="35" t="n">
        <f aca="false">EOMONTH(A2390+1,0)</f>
        <v>47208</v>
      </c>
      <c r="C2390" s="36" t="n">
        <f aca="false">IF(MOD(YEAR(A2390),4)=0,366,365)</f>
        <v>365</v>
      </c>
      <c r="D2390" s="37" t="n">
        <f aca="false">Inputs!$B$9-SUMIFS(Cash_Events!$G$6:$G$20,Cash_Events!$C$6:$C$20,"rAGMF",Cash_Events!$B$6:$B$20,"&lt;="&amp;A2390)</f>
        <v>735000</v>
      </c>
      <c r="E2390" s="38" t="n">
        <f aca="false">VLOOKUP(A2390,Inputs!$A$40:$B$48,2,TRUE())</f>
        <v>0.0363225</v>
      </c>
      <c r="F2390" s="38" t="n">
        <f aca="false">E2390+Inputs!$B$10</f>
        <v>0.1038225</v>
      </c>
      <c r="G2390" s="37" t="n">
        <f aca="false">D2390*F2390/C2390</f>
        <v>209.067226027397</v>
      </c>
      <c r="H2390" s="37" t="n">
        <f aca="false">IF(AND(A2390&gt;=Inputs!$B$13,OR(A2390&lt;Inputs!$B$19,Inputs!$B$20=1)),D2390*Inputs!$B$11/C2390,0)</f>
        <v>40.2739726027397</v>
      </c>
      <c r="I2390" s="37" t="n">
        <f aca="false">Inputs!$C$9-SUMIFS(Cash_Events!$G$6:$G$20,Cash_Events!$C$6:$C$20,"FHL",Cash_Events!$B$6:$B$20,"&lt;="&amp;A2390)</f>
        <v>735000</v>
      </c>
      <c r="J2390" s="38" t="n">
        <f aca="false">VLOOKUP(A2390,Inputs!$F$40:$G$48,2,TRUE())</f>
        <v>0.0364054</v>
      </c>
      <c r="K2390" s="38" t="n">
        <f aca="false">J2390+Inputs!$C$10</f>
        <v>0.1039054</v>
      </c>
      <c r="L2390" s="37" t="n">
        <f aca="false">I2390*K2390/C2390</f>
        <v>209.234161643836</v>
      </c>
      <c r="M2390" s="37" t="n">
        <f aca="false">IF(AND(A2390&gt;=Inputs!$C$13,OR(A2390&lt;Inputs!$B$19,Inputs!$B$20=1)),I2390*Inputs!$C$11/C2390,0)</f>
        <v>40.2739726027397</v>
      </c>
    </row>
    <row r="2391" customFormat="false" ht="15" hidden="false" customHeight="false" outlineLevel="0" collapsed="false">
      <c r="A2391" s="35" t="n">
        <f aca="false">A2390+1</f>
        <v>47198</v>
      </c>
      <c r="B2391" s="35" t="n">
        <f aca="false">EOMONTH(A2391+1,0)</f>
        <v>47208</v>
      </c>
      <c r="C2391" s="36" t="n">
        <f aca="false">IF(MOD(YEAR(A2391),4)=0,366,365)</f>
        <v>365</v>
      </c>
      <c r="D2391" s="37" t="n">
        <f aca="false">Inputs!$B$9-SUMIFS(Cash_Events!$G$6:$G$20,Cash_Events!$C$6:$C$20,"rAGMF",Cash_Events!$B$6:$B$20,"&lt;="&amp;A2391)</f>
        <v>735000</v>
      </c>
      <c r="E2391" s="38" t="n">
        <f aca="false">VLOOKUP(A2391,Inputs!$A$40:$B$48,2,TRUE())</f>
        <v>0.0363225</v>
      </c>
      <c r="F2391" s="38" t="n">
        <f aca="false">E2391+Inputs!$B$10</f>
        <v>0.1038225</v>
      </c>
      <c r="G2391" s="37" t="n">
        <f aca="false">D2391*F2391/C2391</f>
        <v>209.067226027397</v>
      </c>
      <c r="H2391" s="37" t="n">
        <f aca="false">IF(AND(A2391&gt;=Inputs!$B$13,OR(A2391&lt;Inputs!$B$19,Inputs!$B$20=1)),D2391*Inputs!$B$11/C2391,0)</f>
        <v>40.2739726027397</v>
      </c>
      <c r="I2391" s="37" t="n">
        <f aca="false">Inputs!$C$9-SUMIFS(Cash_Events!$G$6:$G$20,Cash_Events!$C$6:$C$20,"FHL",Cash_Events!$B$6:$B$20,"&lt;="&amp;A2391)</f>
        <v>735000</v>
      </c>
      <c r="J2391" s="38" t="n">
        <f aca="false">VLOOKUP(A2391,Inputs!$F$40:$G$48,2,TRUE())</f>
        <v>0.0364054</v>
      </c>
      <c r="K2391" s="38" t="n">
        <f aca="false">J2391+Inputs!$C$10</f>
        <v>0.1039054</v>
      </c>
      <c r="L2391" s="37" t="n">
        <f aca="false">I2391*K2391/C2391</f>
        <v>209.234161643836</v>
      </c>
      <c r="M2391" s="37" t="n">
        <f aca="false">IF(AND(A2391&gt;=Inputs!$C$13,OR(A2391&lt;Inputs!$B$19,Inputs!$B$20=1)),I2391*Inputs!$C$11/C2391,0)</f>
        <v>40.2739726027397</v>
      </c>
    </row>
    <row r="2392" customFormat="false" ht="15" hidden="false" customHeight="false" outlineLevel="0" collapsed="false">
      <c r="A2392" s="35" t="n">
        <f aca="false">A2391+1</f>
        <v>47199</v>
      </c>
      <c r="B2392" s="35" t="n">
        <f aca="false">EOMONTH(A2392+1,0)</f>
        <v>47208</v>
      </c>
      <c r="C2392" s="36" t="n">
        <f aca="false">IF(MOD(YEAR(A2392),4)=0,366,365)</f>
        <v>365</v>
      </c>
      <c r="D2392" s="37" t="n">
        <f aca="false">Inputs!$B$9-SUMIFS(Cash_Events!$G$6:$G$20,Cash_Events!$C$6:$C$20,"rAGMF",Cash_Events!$B$6:$B$20,"&lt;="&amp;A2392)</f>
        <v>735000</v>
      </c>
      <c r="E2392" s="38" t="n">
        <f aca="false">VLOOKUP(A2392,Inputs!$A$40:$B$48,2,TRUE())</f>
        <v>0.0363225</v>
      </c>
      <c r="F2392" s="38" t="n">
        <f aca="false">E2392+Inputs!$B$10</f>
        <v>0.1038225</v>
      </c>
      <c r="G2392" s="37" t="n">
        <f aca="false">D2392*F2392/C2392</f>
        <v>209.067226027397</v>
      </c>
      <c r="H2392" s="37" t="n">
        <f aca="false">IF(AND(A2392&gt;=Inputs!$B$13,OR(A2392&lt;Inputs!$B$19,Inputs!$B$20=1)),D2392*Inputs!$B$11/C2392,0)</f>
        <v>40.2739726027397</v>
      </c>
      <c r="I2392" s="37" t="n">
        <f aca="false">Inputs!$C$9-SUMIFS(Cash_Events!$G$6:$G$20,Cash_Events!$C$6:$C$20,"FHL",Cash_Events!$B$6:$B$20,"&lt;="&amp;A2392)</f>
        <v>735000</v>
      </c>
      <c r="J2392" s="38" t="n">
        <f aca="false">VLOOKUP(A2392,Inputs!$F$40:$G$48,2,TRUE())</f>
        <v>0.0364054</v>
      </c>
      <c r="K2392" s="38" t="n">
        <f aca="false">J2392+Inputs!$C$10</f>
        <v>0.1039054</v>
      </c>
      <c r="L2392" s="37" t="n">
        <f aca="false">I2392*K2392/C2392</f>
        <v>209.234161643836</v>
      </c>
      <c r="M2392" s="37" t="n">
        <f aca="false">IF(AND(A2392&gt;=Inputs!$C$13,OR(A2392&lt;Inputs!$B$19,Inputs!$B$20=1)),I2392*Inputs!$C$11/C2392,0)</f>
        <v>40.2739726027397</v>
      </c>
    </row>
    <row r="2393" customFormat="false" ht="15" hidden="false" customHeight="false" outlineLevel="0" collapsed="false">
      <c r="A2393" s="35" t="n">
        <f aca="false">A2392+1</f>
        <v>47200</v>
      </c>
      <c r="B2393" s="35" t="n">
        <f aca="false">EOMONTH(A2393+1,0)</f>
        <v>47208</v>
      </c>
      <c r="C2393" s="36" t="n">
        <f aca="false">IF(MOD(YEAR(A2393),4)=0,366,365)</f>
        <v>365</v>
      </c>
      <c r="D2393" s="37" t="n">
        <f aca="false">Inputs!$B$9-SUMIFS(Cash_Events!$G$6:$G$20,Cash_Events!$C$6:$C$20,"rAGMF",Cash_Events!$B$6:$B$20,"&lt;="&amp;A2393)</f>
        <v>735000</v>
      </c>
      <c r="E2393" s="38" t="n">
        <f aca="false">VLOOKUP(A2393,Inputs!$A$40:$B$48,2,TRUE())</f>
        <v>0.0363225</v>
      </c>
      <c r="F2393" s="38" t="n">
        <f aca="false">E2393+Inputs!$B$10</f>
        <v>0.1038225</v>
      </c>
      <c r="G2393" s="37" t="n">
        <f aca="false">D2393*F2393/C2393</f>
        <v>209.067226027397</v>
      </c>
      <c r="H2393" s="37" t="n">
        <f aca="false">IF(AND(A2393&gt;=Inputs!$B$13,OR(A2393&lt;Inputs!$B$19,Inputs!$B$20=1)),D2393*Inputs!$B$11/C2393,0)</f>
        <v>40.2739726027397</v>
      </c>
      <c r="I2393" s="37" t="n">
        <f aca="false">Inputs!$C$9-SUMIFS(Cash_Events!$G$6:$G$20,Cash_Events!$C$6:$C$20,"FHL",Cash_Events!$B$6:$B$20,"&lt;="&amp;A2393)</f>
        <v>735000</v>
      </c>
      <c r="J2393" s="38" t="n">
        <f aca="false">VLOOKUP(A2393,Inputs!$F$40:$G$48,2,TRUE())</f>
        <v>0.0364054</v>
      </c>
      <c r="K2393" s="38" t="n">
        <f aca="false">J2393+Inputs!$C$10</f>
        <v>0.1039054</v>
      </c>
      <c r="L2393" s="37" t="n">
        <f aca="false">I2393*K2393/C2393</f>
        <v>209.234161643836</v>
      </c>
      <c r="M2393" s="37" t="n">
        <f aca="false">IF(AND(A2393&gt;=Inputs!$C$13,OR(A2393&lt;Inputs!$B$19,Inputs!$B$20=1)),I2393*Inputs!$C$11/C2393,0)</f>
        <v>40.2739726027397</v>
      </c>
    </row>
    <row r="2394" customFormat="false" ht="15" hidden="false" customHeight="false" outlineLevel="0" collapsed="false">
      <c r="A2394" s="35" t="n">
        <f aca="false">A2393+1</f>
        <v>47201</v>
      </c>
      <c r="B2394" s="35" t="n">
        <f aca="false">EOMONTH(A2394+1,0)</f>
        <v>47208</v>
      </c>
      <c r="C2394" s="36" t="n">
        <f aca="false">IF(MOD(YEAR(A2394),4)=0,366,365)</f>
        <v>365</v>
      </c>
      <c r="D2394" s="37" t="n">
        <f aca="false">Inputs!$B$9-SUMIFS(Cash_Events!$G$6:$G$20,Cash_Events!$C$6:$C$20,"rAGMF",Cash_Events!$B$6:$B$20,"&lt;="&amp;A2394)</f>
        <v>735000</v>
      </c>
      <c r="E2394" s="38" t="n">
        <f aca="false">VLOOKUP(A2394,Inputs!$A$40:$B$48,2,TRUE())</f>
        <v>0.0363225</v>
      </c>
      <c r="F2394" s="38" t="n">
        <f aca="false">E2394+Inputs!$B$10</f>
        <v>0.1038225</v>
      </c>
      <c r="G2394" s="37" t="n">
        <f aca="false">D2394*F2394/C2394</f>
        <v>209.067226027397</v>
      </c>
      <c r="H2394" s="37" t="n">
        <f aca="false">IF(AND(A2394&gt;=Inputs!$B$13,OR(A2394&lt;Inputs!$B$19,Inputs!$B$20=1)),D2394*Inputs!$B$11/C2394,0)</f>
        <v>40.2739726027397</v>
      </c>
      <c r="I2394" s="37" t="n">
        <f aca="false">Inputs!$C$9-SUMIFS(Cash_Events!$G$6:$G$20,Cash_Events!$C$6:$C$20,"FHL",Cash_Events!$B$6:$B$20,"&lt;="&amp;A2394)</f>
        <v>735000</v>
      </c>
      <c r="J2394" s="38" t="n">
        <f aca="false">VLOOKUP(A2394,Inputs!$F$40:$G$48,2,TRUE())</f>
        <v>0.0364054</v>
      </c>
      <c r="K2394" s="38" t="n">
        <f aca="false">J2394+Inputs!$C$10</f>
        <v>0.1039054</v>
      </c>
      <c r="L2394" s="37" t="n">
        <f aca="false">I2394*K2394/C2394</f>
        <v>209.234161643836</v>
      </c>
      <c r="M2394" s="37" t="n">
        <f aca="false">IF(AND(A2394&gt;=Inputs!$C$13,OR(A2394&lt;Inputs!$B$19,Inputs!$B$20=1)),I2394*Inputs!$C$11/C2394,0)</f>
        <v>40.2739726027397</v>
      </c>
    </row>
    <row r="2395" customFormat="false" ht="15" hidden="false" customHeight="false" outlineLevel="0" collapsed="false">
      <c r="A2395" s="35" t="n">
        <f aca="false">A2394+1</f>
        <v>47202</v>
      </c>
      <c r="B2395" s="35" t="n">
        <f aca="false">EOMONTH(A2395+1,0)</f>
        <v>47208</v>
      </c>
      <c r="C2395" s="36" t="n">
        <f aca="false">IF(MOD(YEAR(A2395),4)=0,366,365)</f>
        <v>365</v>
      </c>
      <c r="D2395" s="37" t="n">
        <f aca="false">Inputs!$B$9-SUMIFS(Cash_Events!$G$6:$G$20,Cash_Events!$C$6:$C$20,"rAGMF",Cash_Events!$B$6:$B$20,"&lt;="&amp;A2395)</f>
        <v>735000</v>
      </c>
      <c r="E2395" s="38" t="n">
        <f aca="false">VLOOKUP(A2395,Inputs!$A$40:$B$48,2,TRUE())</f>
        <v>0.0363225</v>
      </c>
      <c r="F2395" s="38" t="n">
        <f aca="false">E2395+Inputs!$B$10</f>
        <v>0.1038225</v>
      </c>
      <c r="G2395" s="37" t="n">
        <f aca="false">D2395*F2395/C2395</f>
        <v>209.067226027397</v>
      </c>
      <c r="H2395" s="37" t="n">
        <f aca="false">IF(AND(A2395&gt;=Inputs!$B$13,OR(A2395&lt;Inputs!$B$19,Inputs!$B$20=1)),D2395*Inputs!$B$11/C2395,0)</f>
        <v>40.2739726027397</v>
      </c>
      <c r="I2395" s="37" t="n">
        <f aca="false">Inputs!$C$9-SUMIFS(Cash_Events!$G$6:$G$20,Cash_Events!$C$6:$C$20,"FHL",Cash_Events!$B$6:$B$20,"&lt;="&amp;A2395)</f>
        <v>735000</v>
      </c>
      <c r="J2395" s="38" t="n">
        <f aca="false">VLOOKUP(A2395,Inputs!$F$40:$G$48,2,TRUE())</f>
        <v>0.0364054</v>
      </c>
      <c r="K2395" s="38" t="n">
        <f aca="false">J2395+Inputs!$C$10</f>
        <v>0.1039054</v>
      </c>
      <c r="L2395" s="37" t="n">
        <f aca="false">I2395*K2395/C2395</f>
        <v>209.234161643836</v>
      </c>
      <c r="M2395" s="37" t="n">
        <f aca="false">IF(AND(A2395&gt;=Inputs!$C$13,OR(A2395&lt;Inputs!$B$19,Inputs!$B$20=1)),I2395*Inputs!$C$11/C2395,0)</f>
        <v>40.2739726027397</v>
      </c>
    </row>
    <row r="2396" customFormat="false" ht="15" hidden="false" customHeight="false" outlineLevel="0" collapsed="false">
      <c r="A2396" s="35" t="n">
        <f aca="false">A2395+1</f>
        <v>47203</v>
      </c>
      <c r="B2396" s="35" t="n">
        <f aca="false">EOMONTH(A2396+1,0)</f>
        <v>47208</v>
      </c>
      <c r="C2396" s="36" t="n">
        <f aca="false">IF(MOD(YEAR(A2396),4)=0,366,365)</f>
        <v>365</v>
      </c>
      <c r="D2396" s="37" t="n">
        <f aca="false">Inputs!$B$9-SUMIFS(Cash_Events!$G$6:$G$20,Cash_Events!$C$6:$C$20,"rAGMF",Cash_Events!$B$6:$B$20,"&lt;="&amp;A2396)</f>
        <v>735000</v>
      </c>
      <c r="E2396" s="38" t="n">
        <f aca="false">VLOOKUP(A2396,Inputs!$A$40:$B$48,2,TRUE())</f>
        <v>0.0363225</v>
      </c>
      <c r="F2396" s="38" t="n">
        <f aca="false">E2396+Inputs!$B$10</f>
        <v>0.1038225</v>
      </c>
      <c r="G2396" s="37" t="n">
        <f aca="false">D2396*F2396/C2396</f>
        <v>209.067226027397</v>
      </c>
      <c r="H2396" s="37" t="n">
        <f aca="false">IF(AND(A2396&gt;=Inputs!$B$13,OR(A2396&lt;Inputs!$B$19,Inputs!$B$20=1)),D2396*Inputs!$B$11/C2396,0)</f>
        <v>40.2739726027397</v>
      </c>
      <c r="I2396" s="37" t="n">
        <f aca="false">Inputs!$C$9-SUMIFS(Cash_Events!$G$6:$G$20,Cash_Events!$C$6:$C$20,"FHL",Cash_Events!$B$6:$B$20,"&lt;="&amp;A2396)</f>
        <v>735000</v>
      </c>
      <c r="J2396" s="38" t="n">
        <f aca="false">VLOOKUP(A2396,Inputs!$F$40:$G$48,2,TRUE())</f>
        <v>0.0364054</v>
      </c>
      <c r="K2396" s="38" t="n">
        <f aca="false">J2396+Inputs!$C$10</f>
        <v>0.1039054</v>
      </c>
      <c r="L2396" s="37" t="n">
        <f aca="false">I2396*K2396/C2396</f>
        <v>209.234161643836</v>
      </c>
      <c r="M2396" s="37" t="n">
        <f aca="false">IF(AND(A2396&gt;=Inputs!$C$13,OR(A2396&lt;Inputs!$B$19,Inputs!$B$20=1)),I2396*Inputs!$C$11/C2396,0)</f>
        <v>40.2739726027397</v>
      </c>
    </row>
    <row r="2397" customFormat="false" ht="15" hidden="false" customHeight="false" outlineLevel="0" collapsed="false">
      <c r="A2397" s="35" t="n">
        <f aca="false">A2396+1</f>
        <v>47204</v>
      </c>
      <c r="B2397" s="35" t="n">
        <f aca="false">EOMONTH(A2397+1,0)</f>
        <v>47208</v>
      </c>
      <c r="C2397" s="36" t="n">
        <f aca="false">IF(MOD(YEAR(A2397),4)=0,366,365)</f>
        <v>365</v>
      </c>
      <c r="D2397" s="37" t="n">
        <f aca="false">Inputs!$B$9-SUMIFS(Cash_Events!$G$6:$G$20,Cash_Events!$C$6:$C$20,"rAGMF",Cash_Events!$B$6:$B$20,"&lt;="&amp;A2397)</f>
        <v>735000</v>
      </c>
      <c r="E2397" s="38" t="n">
        <f aca="false">VLOOKUP(A2397,Inputs!$A$40:$B$48,2,TRUE())</f>
        <v>0.0363225</v>
      </c>
      <c r="F2397" s="38" t="n">
        <f aca="false">E2397+Inputs!$B$10</f>
        <v>0.1038225</v>
      </c>
      <c r="G2397" s="37" t="n">
        <f aca="false">D2397*F2397/C2397</f>
        <v>209.067226027397</v>
      </c>
      <c r="H2397" s="37" t="n">
        <f aca="false">IF(AND(A2397&gt;=Inputs!$B$13,OR(A2397&lt;Inputs!$B$19,Inputs!$B$20=1)),D2397*Inputs!$B$11/C2397,0)</f>
        <v>40.2739726027397</v>
      </c>
      <c r="I2397" s="37" t="n">
        <f aca="false">Inputs!$C$9-SUMIFS(Cash_Events!$G$6:$G$20,Cash_Events!$C$6:$C$20,"FHL",Cash_Events!$B$6:$B$20,"&lt;="&amp;A2397)</f>
        <v>735000</v>
      </c>
      <c r="J2397" s="38" t="n">
        <f aca="false">VLOOKUP(A2397,Inputs!$F$40:$G$48,2,TRUE())</f>
        <v>0.0364054</v>
      </c>
      <c r="K2397" s="38" t="n">
        <f aca="false">J2397+Inputs!$C$10</f>
        <v>0.1039054</v>
      </c>
      <c r="L2397" s="37" t="n">
        <f aca="false">I2397*K2397/C2397</f>
        <v>209.234161643836</v>
      </c>
      <c r="M2397" s="37" t="n">
        <f aca="false">IF(AND(A2397&gt;=Inputs!$C$13,OR(A2397&lt;Inputs!$B$19,Inputs!$B$20=1)),I2397*Inputs!$C$11/C2397,0)</f>
        <v>40.2739726027397</v>
      </c>
    </row>
    <row r="2398" customFormat="false" ht="15" hidden="false" customHeight="false" outlineLevel="0" collapsed="false">
      <c r="A2398" s="35" t="n">
        <f aca="false">A2397+1</f>
        <v>47205</v>
      </c>
      <c r="B2398" s="35" t="n">
        <f aca="false">EOMONTH(A2398+1,0)</f>
        <v>47208</v>
      </c>
      <c r="C2398" s="36" t="n">
        <f aca="false">IF(MOD(YEAR(A2398),4)=0,366,365)</f>
        <v>365</v>
      </c>
      <c r="D2398" s="37" t="n">
        <f aca="false">Inputs!$B$9-SUMIFS(Cash_Events!$G$6:$G$20,Cash_Events!$C$6:$C$20,"rAGMF",Cash_Events!$B$6:$B$20,"&lt;="&amp;A2398)</f>
        <v>735000</v>
      </c>
      <c r="E2398" s="38" t="n">
        <f aca="false">VLOOKUP(A2398,Inputs!$A$40:$B$48,2,TRUE())</f>
        <v>0.0363225</v>
      </c>
      <c r="F2398" s="38" t="n">
        <f aca="false">E2398+Inputs!$B$10</f>
        <v>0.1038225</v>
      </c>
      <c r="G2398" s="37" t="n">
        <f aca="false">D2398*F2398/C2398</f>
        <v>209.067226027397</v>
      </c>
      <c r="H2398" s="37" t="n">
        <f aca="false">IF(AND(A2398&gt;=Inputs!$B$13,OR(A2398&lt;Inputs!$B$19,Inputs!$B$20=1)),D2398*Inputs!$B$11/C2398,0)</f>
        <v>40.2739726027397</v>
      </c>
      <c r="I2398" s="37" t="n">
        <f aca="false">Inputs!$C$9-SUMIFS(Cash_Events!$G$6:$G$20,Cash_Events!$C$6:$C$20,"FHL",Cash_Events!$B$6:$B$20,"&lt;="&amp;A2398)</f>
        <v>735000</v>
      </c>
      <c r="J2398" s="38" t="n">
        <f aca="false">VLOOKUP(A2398,Inputs!$F$40:$G$48,2,TRUE())</f>
        <v>0.0364054</v>
      </c>
      <c r="K2398" s="38" t="n">
        <f aca="false">J2398+Inputs!$C$10</f>
        <v>0.1039054</v>
      </c>
      <c r="L2398" s="37" t="n">
        <f aca="false">I2398*K2398/C2398</f>
        <v>209.234161643836</v>
      </c>
      <c r="M2398" s="37" t="n">
        <f aca="false">IF(AND(A2398&gt;=Inputs!$C$13,OR(A2398&lt;Inputs!$B$19,Inputs!$B$20=1)),I2398*Inputs!$C$11/C2398,0)</f>
        <v>40.2739726027397</v>
      </c>
    </row>
    <row r="2399" customFormat="false" ht="15" hidden="false" customHeight="false" outlineLevel="0" collapsed="false">
      <c r="A2399" s="35" t="n">
        <f aca="false">A2398+1</f>
        <v>47206</v>
      </c>
      <c r="B2399" s="35" t="n">
        <f aca="false">EOMONTH(A2399+1,0)</f>
        <v>47208</v>
      </c>
      <c r="C2399" s="36" t="n">
        <f aca="false">IF(MOD(YEAR(A2399),4)=0,366,365)</f>
        <v>365</v>
      </c>
      <c r="D2399" s="37" t="n">
        <f aca="false">Inputs!$B$9-SUMIFS(Cash_Events!$G$6:$G$20,Cash_Events!$C$6:$C$20,"rAGMF",Cash_Events!$B$6:$B$20,"&lt;="&amp;A2399)</f>
        <v>735000</v>
      </c>
      <c r="E2399" s="38" t="n">
        <f aca="false">VLOOKUP(A2399,Inputs!$A$40:$B$48,2,TRUE())</f>
        <v>0.0363225</v>
      </c>
      <c r="F2399" s="38" t="n">
        <f aca="false">E2399+Inputs!$B$10</f>
        <v>0.1038225</v>
      </c>
      <c r="G2399" s="37" t="n">
        <f aca="false">D2399*F2399/C2399</f>
        <v>209.067226027397</v>
      </c>
      <c r="H2399" s="37" t="n">
        <f aca="false">IF(AND(A2399&gt;=Inputs!$B$13,OR(A2399&lt;Inputs!$B$19,Inputs!$B$20=1)),D2399*Inputs!$B$11/C2399,0)</f>
        <v>40.2739726027397</v>
      </c>
      <c r="I2399" s="37" t="n">
        <f aca="false">Inputs!$C$9-SUMIFS(Cash_Events!$G$6:$G$20,Cash_Events!$C$6:$C$20,"FHL",Cash_Events!$B$6:$B$20,"&lt;="&amp;A2399)</f>
        <v>735000</v>
      </c>
      <c r="J2399" s="38" t="n">
        <f aca="false">VLOOKUP(A2399,Inputs!$F$40:$G$48,2,TRUE())</f>
        <v>0.0364054</v>
      </c>
      <c r="K2399" s="38" t="n">
        <f aca="false">J2399+Inputs!$C$10</f>
        <v>0.1039054</v>
      </c>
      <c r="L2399" s="37" t="n">
        <f aca="false">I2399*K2399/C2399</f>
        <v>209.234161643836</v>
      </c>
      <c r="M2399" s="37" t="n">
        <f aca="false">IF(AND(A2399&gt;=Inputs!$C$13,OR(A2399&lt;Inputs!$B$19,Inputs!$B$20=1)),I2399*Inputs!$C$11/C2399,0)</f>
        <v>40.2739726027397</v>
      </c>
    </row>
    <row r="2400" customFormat="false" ht="15" hidden="false" customHeight="false" outlineLevel="0" collapsed="false">
      <c r="A2400" s="35" t="n">
        <f aca="false">A2399+1</f>
        <v>47207</v>
      </c>
      <c r="B2400" s="35" t="n">
        <f aca="false">EOMONTH(A2400+1,0)</f>
        <v>47208</v>
      </c>
      <c r="C2400" s="36" t="n">
        <f aca="false">IF(MOD(YEAR(A2400),4)=0,366,365)</f>
        <v>365</v>
      </c>
      <c r="D2400" s="37" t="n">
        <f aca="false">Inputs!$B$9-SUMIFS(Cash_Events!$G$6:$G$20,Cash_Events!$C$6:$C$20,"rAGMF",Cash_Events!$B$6:$B$20,"&lt;="&amp;A2400)</f>
        <v>735000</v>
      </c>
      <c r="E2400" s="38" t="n">
        <f aca="false">VLOOKUP(A2400,Inputs!$A$40:$B$48,2,TRUE())</f>
        <v>0.0363225</v>
      </c>
      <c r="F2400" s="38" t="n">
        <f aca="false">E2400+Inputs!$B$10</f>
        <v>0.1038225</v>
      </c>
      <c r="G2400" s="37" t="n">
        <f aca="false">D2400*F2400/C2400</f>
        <v>209.067226027397</v>
      </c>
      <c r="H2400" s="37" t="n">
        <f aca="false">IF(AND(A2400&gt;=Inputs!$B$13,OR(A2400&lt;Inputs!$B$19,Inputs!$B$20=1)),D2400*Inputs!$B$11/C2400,0)</f>
        <v>40.2739726027397</v>
      </c>
      <c r="I2400" s="37" t="n">
        <f aca="false">Inputs!$C$9-SUMIFS(Cash_Events!$G$6:$G$20,Cash_Events!$C$6:$C$20,"FHL",Cash_Events!$B$6:$B$20,"&lt;="&amp;A2400)</f>
        <v>735000</v>
      </c>
      <c r="J2400" s="38" t="n">
        <f aca="false">VLOOKUP(A2400,Inputs!$F$40:$G$48,2,TRUE())</f>
        <v>0.0364054</v>
      </c>
      <c r="K2400" s="38" t="n">
        <f aca="false">J2400+Inputs!$C$10</f>
        <v>0.1039054</v>
      </c>
      <c r="L2400" s="37" t="n">
        <f aca="false">I2400*K2400/C2400</f>
        <v>209.234161643836</v>
      </c>
      <c r="M2400" s="37" t="n">
        <f aca="false">IF(AND(A2400&gt;=Inputs!$C$13,OR(A2400&lt;Inputs!$B$19,Inputs!$B$20=1)),I2400*Inputs!$C$11/C2400,0)</f>
        <v>40.2739726027397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Y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4" activeCellId="0" sqref="A14"/>
    </sheetView>
  </sheetViews>
  <sheetFormatPr defaultColWidth="8.6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5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1.83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15"/>
    <col collapsed="false" customWidth="true" hidden="false" outlineLevel="0" max="21" min="21" style="0" width="16"/>
    <col collapsed="false" customWidth="true" hidden="false" outlineLevel="0" max="23" min="22" style="0" width="14"/>
    <col collapsed="false" customWidth="true" hidden="false" outlineLevel="0" max="24" min="24" style="0" width="8"/>
    <col collapsed="false" customWidth="true" hidden="false" outlineLevel="0" max="25" min="25" style="0" width="44"/>
  </cols>
  <sheetData>
    <row r="1" customFormat="false" ht="18" hidden="false" customHeight="true" outlineLevel="0" collapsed="false">
      <c r="A1" s="1" t="s">
        <v>213</v>
      </c>
    </row>
    <row r="2" customFormat="false" ht="15" hidden="false" customHeight="false" outlineLevel="0" collapsed="false">
      <c r="A2" s="2" t="s">
        <v>214</v>
      </c>
    </row>
    <row r="4" customFormat="false" ht="15" hidden="false" customHeight="false" outlineLevel="0" collapsed="false">
      <c r="A4" s="3" t="s">
        <v>215</v>
      </c>
      <c r="B4" s="5" t="str">
        <f aca="false">Inputs!B6</f>
        <v>responsAbility Global Micro &amp; SME Finance Fund (M&amp;G Luxembourg S.A.)</v>
      </c>
    </row>
    <row r="5" customFormat="false" ht="15" hidden="false" customHeight="false" outlineLevel="0" collapsed="false">
      <c r="A5" s="2" t="s">
        <v>216</v>
      </c>
    </row>
    <row r="6" customFormat="false" ht="48" hidden="false" customHeight="true" outlineLevel="0" collapsed="false">
      <c r="A6" s="8" t="s">
        <v>217</v>
      </c>
      <c r="B6" s="8" t="s">
        <v>218</v>
      </c>
      <c r="C6" s="8" t="s">
        <v>219</v>
      </c>
      <c r="D6" s="8" t="s">
        <v>220</v>
      </c>
      <c r="E6" s="8" t="s">
        <v>221</v>
      </c>
      <c r="F6" s="8" t="s">
        <v>222</v>
      </c>
      <c r="G6" s="8" t="s">
        <v>223</v>
      </c>
      <c r="H6" s="8" t="s">
        <v>224</v>
      </c>
      <c r="I6" s="8" t="s">
        <v>154</v>
      </c>
      <c r="J6" s="8" t="s">
        <v>225</v>
      </c>
      <c r="K6" s="8" t="s">
        <v>226</v>
      </c>
      <c r="L6" s="8" t="s">
        <v>227</v>
      </c>
      <c r="M6" s="8" t="s">
        <v>228</v>
      </c>
      <c r="N6" s="8" t="s">
        <v>229</v>
      </c>
      <c r="O6" s="8" t="s">
        <v>230</v>
      </c>
      <c r="P6" s="8" t="s">
        <v>231</v>
      </c>
      <c r="Q6" s="8" t="s">
        <v>232</v>
      </c>
      <c r="R6" s="8" t="s">
        <v>233</v>
      </c>
      <c r="S6" s="8" t="s">
        <v>234</v>
      </c>
      <c r="T6" s="8" t="s">
        <v>235</v>
      </c>
      <c r="U6" s="8" t="s">
        <v>236</v>
      </c>
      <c r="V6" s="8" t="s">
        <v>237</v>
      </c>
      <c r="W6" s="8" t="s">
        <v>238</v>
      </c>
      <c r="X6" s="8" t="s">
        <v>239</v>
      </c>
      <c r="Y6" s="8" t="s">
        <v>240</v>
      </c>
    </row>
    <row r="7" customFormat="false" ht="15" hidden="false" customHeight="false" outlineLevel="0" collapsed="false">
      <c r="A7" s="20" t="n">
        <v>44834</v>
      </c>
      <c r="B7" s="4" t="n">
        <f aca="false">Inputs!B8</f>
        <v>44813</v>
      </c>
      <c r="C7" s="39" t="n">
        <f aca="false">A7-B7</f>
        <v>21</v>
      </c>
      <c r="D7" s="9" t="str">
        <f aca="false">IF(A7&lt;=EOMONTH(Inputs!$B$18,-1),"Actual","Projection")</f>
        <v>Actual</v>
      </c>
      <c r="E7" s="10" t="n">
        <f aca="false">Inputs!B9</f>
        <v>1500000</v>
      </c>
      <c r="F7" s="10" t="n">
        <f aca="false">SUMIFS(Cash_Events!$G$6:$G$20,Cash_Events!$C$6:$C$20,"rAGMF",Cash_Events!$M$6:$M$20,A7)</f>
        <v>0</v>
      </c>
      <c r="G7" s="11" t="n">
        <f aca="false">E7-F7</f>
        <v>1500000</v>
      </c>
      <c r="H7" s="28" t="n">
        <f aca="false">VLOOKUP(A7-1,Inputs!$A$40:$B$48,2,TRUE())</f>
        <v>0.034199997053407</v>
      </c>
      <c r="I7" s="28" t="n">
        <f aca="false">H7+Inputs!B10</f>
        <v>0.101699997053407</v>
      </c>
      <c r="J7" s="10" t="n">
        <f aca="false">SUMIFS(Daily!$G$6:$G$2400,Daily!$B$6:$B$2400,A7)</f>
        <v>8776.84906077348</v>
      </c>
      <c r="K7" s="10" t="n">
        <f aca="false">SUMIFS(Daily!$H$6:$H$2400,Daily!$B$6:$B$2400,A7)</f>
        <v>0</v>
      </c>
      <c r="L7" s="11" t="n">
        <f aca="false">J7+K7</f>
        <v>8776.84906077348</v>
      </c>
      <c r="M7" s="11" t="n">
        <v>0</v>
      </c>
      <c r="N7" s="10" t="n">
        <f aca="false">SUMIFS(Cash_Events!$H$6:$H$20,Cash_Events!$C$6:$C$20,"rAGMF",Cash_Events!$D$6:$D$20,"JV",Cash_Events!$M$6:$M$20,A7)</f>
        <v>0</v>
      </c>
      <c r="O7" s="10" t="n">
        <f aca="false">SUMIFS(Cash_Events!$H$6:$H$20,Cash_Events!$C$6:$C$20,"rAGMF",Cash_Events!$D$6:$D$20,"800S",Cash_Events!$M$6:$M$20,A7)</f>
        <v>0</v>
      </c>
      <c r="P7" s="11" t="n">
        <f aca="false">M7+J7-N7-O7</f>
        <v>8776.84906077348</v>
      </c>
      <c r="Q7" s="11" t="n">
        <v>0</v>
      </c>
      <c r="R7" s="10" t="n">
        <f aca="false">SUMIFS(Cash_Events!$I$6:$I$20,Cash_Events!$C$6:$C$20,"rAGMF",Cash_Events!$M$6:$M$20,A7)</f>
        <v>0</v>
      </c>
      <c r="S7" s="11" t="n">
        <f aca="false">Q7+K7-R7</f>
        <v>0</v>
      </c>
      <c r="T7" s="13" t="n">
        <f aca="false">P7+S7</f>
        <v>8776.84906077348</v>
      </c>
      <c r="U7" s="13" t="n">
        <f aca="false">G7+T7</f>
        <v>1508776.84906077</v>
      </c>
      <c r="V7" s="11" t="n">
        <f aca="false">L7</f>
        <v>8776.84906077348</v>
      </c>
      <c r="W7" s="11" t="n">
        <f aca="false">N7+O7+R7</f>
        <v>0</v>
      </c>
      <c r="X7" s="11" t="n">
        <f aca="false">ROUND(V7-W7-T7,2)</f>
        <v>0</v>
      </c>
      <c r="Y7" s="2" t="s">
        <v>241</v>
      </c>
    </row>
    <row r="8" customFormat="false" ht="15" hidden="false" customHeight="false" outlineLevel="0" collapsed="false">
      <c r="A8" s="32" t="n">
        <f aca="false">EOMONTH(A7,1)</f>
        <v>44865</v>
      </c>
      <c r="B8" s="32" t="n">
        <f aca="false">A7</f>
        <v>44834</v>
      </c>
      <c r="C8" s="39" t="n">
        <f aca="false">A8-B8</f>
        <v>31</v>
      </c>
      <c r="D8" s="9" t="str">
        <f aca="false">IF(A8&lt;=EOMONTH(Inputs!$B$18,-1),"Actual","Projection")</f>
        <v>Actual</v>
      </c>
      <c r="E8" s="11" t="n">
        <f aca="false">G7</f>
        <v>1500000</v>
      </c>
      <c r="F8" s="10" t="n">
        <f aca="false">SUMIFS(Cash_Events!$G$6:$G$20,Cash_Events!$C$6:$C$20,"rAGMF",Cash_Events!$M$6:$M$20,A8)</f>
        <v>0</v>
      </c>
      <c r="G8" s="11" t="n">
        <f aca="false">E8-F8</f>
        <v>1500000</v>
      </c>
      <c r="H8" s="28" t="n">
        <f aca="false">VLOOKUP(A8-1,Inputs!$A$40:$B$48,2,TRUE())</f>
        <v>0.034199997053407</v>
      </c>
      <c r="I8" s="28" t="n">
        <f aca="false">H8+Inputs!B10</f>
        <v>0.101699997053407</v>
      </c>
      <c r="J8" s="10" t="n">
        <f aca="false">SUMIFS(Daily!$G$6:$G$2400,Daily!$B$6:$B$2400,A8)</f>
        <v>12956.3009944751</v>
      </c>
      <c r="K8" s="10" t="n">
        <f aca="false">SUMIFS(Daily!$H$6:$H$2400,Daily!$B$6:$B$2400,A8)</f>
        <v>0</v>
      </c>
      <c r="L8" s="11" t="n">
        <f aca="false">J8+K8</f>
        <v>12956.3009944751</v>
      </c>
      <c r="M8" s="11" t="n">
        <f aca="false">P7</f>
        <v>8776.84906077348</v>
      </c>
      <c r="N8" s="10" t="n">
        <f aca="false">SUMIFS(Cash_Events!$H$6:$H$20,Cash_Events!$C$6:$C$20,"rAGMF",Cash_Events!$D$6:$D$20,"JV",Cash_Events!$M$6:$M$20,A8)</f>
        <v>0</v>
      </c>
      <c r="O8" s="10" t="n">
        <f aca="false">SUMIFS(Cash_Events!$H$6:$H$20,Cash_Events!$C$6:$C$20,"rAGMF",Cash_Events!$D$6:$D$20,"800S",Cash_Events!$M$6:$M$20,A8)</f>
        <v>0</v>
      </c>
      <c r="P8" s="11" t="n">
        <f aca="false">M8+J8-N8-O8</f>
        <v>21733.1500552486</v>
      </c>
      <c r="Q8" s="11" t="n">
        <f aca="false">S7</f>
        <v>0</v>
      </c>
      <c r="R8" s="10" t="n">
        <f aca="false">SUMIFS(Cash_Events!$I$6:$I$20,Cash_Events!$C$6:$C$20,"rAGMF",Cash_Events!$M$6:$M$20,A8)</f>
        <v>0</v>
      </c>
      <c r="S8" s="11" t="n">
        <f aca="false">Q8+K8-R8</f>
        <v>0</v>
      </c>
      <c r="T8" s="13" t="n">
        <f aca="false">P8+S8</f>
        <v>21733.1500552486</v>
      </c>
      <c r="U8" s="13" t="n">
        <f aca="false">G8+T8</f>
        <v>1521733.15005525</v>
      </c>
      <c r="V8" s="11" t="n">
        <f aca="false">V7+L8</f>
        <v>21733.1500552486</v>
      </c>
      <c r="W8" s="11" t="n">
        <f aca="false">W7+N8+O8+R8</f>
        <v>0</v>
      </c>
      <c r="X8" s="11" t="n">
        <f aca="false">ROUND(V8-W8-T8,2)</f>
        <v>0</v>
      </c>
      <c r="Y8" s="2"/>
    </row>
    <row r="9" customFormat="false" ht="15" hidden="false" customHeight="false" outlineLevel="0" collapsed="false">
      <c r="A9" s="32" t="n">
        <f aca="false">EOMONTH(A8,1)</f>
        <v>44895</v>
      </c>
      <c r="B9" s="32" t="n">
        <f aca="false">A8</f>
        <v>44865</v>
      </c>
      <c r="C9" s="39" t="n">
        <f aca="false">A9-B9</f>
        <v>30</v>
      </c>
      <c r="D9" s="9" t="str">
        <f aca="false">IF(A9&lt;=EOMONTH(Inputs!$B$18,-1),"Actual","Projection")</f>
        <v>Actual</v>
      </c>
      <c r="E9" s="11" t="n">
        <f aca="false">G8</f>
        <v>1500000</v>
      </c>
      <c r="F9" s="10" t="n">
        <f aca="false">SUMIFS(Cash_Events!$G$6:$G$20,Cash_Events!$C$6:$C$20,"rAGMF",Cash_Events!$M$6:$M$20,A9)</f>
        <v>0</v>
      </c>
      <c r="G9" s="11" t="n">
        <f aca="false">E9-F9</f>
        <v>1500000</v>
      </c>
      <c r="H9" s="28" t="n">
        <f aca="false">VLOOKUP(A9-1,Inputs!$A$40:$B$48,2,TRUE())</f>
        <v>0.034199997053407</v>
      </c>
      <c r="I9" s="28" t="n">
        <f aca="false">H9+Inputs!B10</f>
        <v>0.101699997053407</v>
      </c>
      <c r="J9" s="10" t="n">
        <f aca="false">SUMIFS(Daily!$G$6:$G$2400,Daily!$B$6:$B$2400,A9)</f>
        <v>12538.355801105</v>
      </c>
      <c r="K9" s="10" t="n">
        <f aca="false">SUMIFS(Daily!$H$6:$H$2400,Daily!$B$6:$B$2400,A9)</f>
        <v>0</v>
      </c>
      <c r="L9" s="11" t="n">
        <f aca="false">J9+K9</f>
        <v>12538.355801105</v>
      </c>
      <c r="M9" s="11" t="n">
        <f aca="false">P8</f>
        <v>21733.1500552486</v>
      </c>
      <c r="N9" s="10" t="n">
        <f aca="false">SUMIFS(Cash_Events!$H$6:$H$20,Cash_Events!$C$6:$C$20,"rAGMF",Cash_Events!$D$6:$D$20,"JV",Cash_Events!$M$6:$M$20,A9)</f>
        <v>0</v>
      </c>
      <c r="O9" s="10" t="n">
        <f aca="false">SUMIFS(Cash_Events!$H$6:$H$20,Cash_Events!$C$6:$C$20,"rAGMF",Cash_Events!$D$6:$D$20,"800S",Cash_Events!$M$6:$M$20,A9)</f>
        <v>0</v>
      </c>
      <c r="P9" s="11" t="n">
        <f aca="false">M9+J9-N9-O9</f>
        <v>34271.5058563536</v>
      </c>
      <c r="Q9" s="11" t="n">
        <f aca="false">S8</f>
        <v>0</v>
      </c>
      <c r="R9" s="10" t="n">
        <f aca="false">SUMIFS(Cash_Events!$I$6:$I$20,Cash_Events!$C$6:$C$20,"rAGMF",Cash_Events!$M$6:$M$20,A9)</f>
        <v>0</v>
      </c>
      <c r="S9" s="11" t="n">
        <f aca="false">Q9+K9-R9</f>
        <v>0</v>
      </c>
      <c r="T9" s="13" t="n">
        <f aca="false">P9+S9</f>
        <v>34271.5058563536</v>
      </c>
      <c r="U9" s="13" t="n">
        <f aca="false">G9+T9</f>
        <v>1534271.50585635</v>
      </c>
      <c r="V9" s="11" t="n">
        <f aca="false">V8+L9</f>
        <v>34271.5058563536</v>
      </c>
      <c r="W9" s="11" t="n">
        <f aca="false">W8+N9+O9+R9</f>
        <v>0</v>
      </c>
      <c r="X9" s="11" t="n">
        <f aca="false">ROUND(V9-W9-T9,2)</f>
        <v>0</v>
      </c>
      <c r="Y9" s="2"/>
    </row>
    <row r="10" customFormat="false" ht="15" hidden="false" customHeight="false" outlineLevel="0" collapsed="false">
      <c r="A10" s="32" t="n">
        <f aca="false">EOMONTH(A9,1)</f>
        <v>44926</v>
      </c>
      <c r="B10" s="32" t="n">
        <f aca="false">A9</f>
        <v>44895</v>
      </c>
      <c r="C10" s="39" t="n">
        <f aca="false">A10-B10</f>
        <v>31</v>
      </c>
      <c r="D10" s="9" t="str">
        <f aca="false">IF(A10&lt;=EOMONTH(Inputs!$B$18,-1),"Actual","Projection")</f>
        <v>Actual</v>
      </c>
      <c r="E10" s="11" t="n">
        <f aca="false">G9</f>
        <v>1500000</v>
      </c>
      <c r="F10" s="10" t="n">
        <f aca="false">SUMIFS(Cash_Events!$G$6:$G$20,Cash_Events!$C$6:$C$20,"rAGMF",Cash_Events!$M$6:$M$20,A10)</f>
        <v>0</v>
      </c>
      <c r="G10" s="11" t="n">
        <f aca="false">E10-F10</f>
        <v>1500000</v>
      </c>
      <c r="H10" s="28" t="n">
        <f aca="false">VLOOKUP(A10-1,Inputs!$A$40:$B$48,2,TRUE())</f>
        <v>0.034199997053407</v>
      </c>
      <c r="I10" s="28" t="n">
        <f aca="false">H10+Inputs!B10</f>
        <v>0.101699997053407</v>
      </c>
      <c r="J10" s="10" t="n">
        <f aca="false">SUMIFS(Daily!$G$6:$G$2400,Daily!$B$6:$B$2400,A10)</f>
        <v>12956.3009944751</v>
      </c>
      <c r="K10" s="10" t="n">
        <f aca="false">SUMIFS(Daily!$H$6:$H$2400,Daily!$B$6:$B$2400,A10)</f>
        <v>0</v>
      </c>
      <c r="L10" s="11" t="n">
        <f aca="false">J10+K10</f>
        <v>12956.3009944751</v>
      </c>
      <c r="M10" s="11" t="n">
        <f aca="false">P9</f>
        <v>34271.5058563536</v>
      </c>
      <c r="N10" s="10" t="n">
        <f aca="false">SUMIFS(Cash_Events!$H$6:$H$20,Cash_Events!$C$6:$C$20,"rAGMF",Cash_Events!$D$6:$D$20,"JV",Cash_Events!$M$6:$M$20,A10)</f>
        <v>0</v>
      </c>
      <c r="O10" s="10" t="n">
        <f aca="false">SUMIFS(Cash_Events!$H$6:$H$20,Cash_Events!$C$6:$C$20,"rAGMF",Cash_Events!$D$6:$D$20,"800S",Cash_Events!$M$6:$M$20,A10)</f>
        <v>0</v>
      </c>
      <c r="P10" s="11" t="n">
        <f aca="false">M10+J10-N10-O10</f>
        <v>47227.8068508287</v>
      </c>
      <c r="Q10" s="11" t="n">
        <f aca="false">S9</f>
        <v>0</v>
      </c>
      <c r="R10" s="10" t="n">
        <f aca="false">SUMIFS(Cash_Events!$I$6:$I$20,Cash_Events!$C$6:$C$20,"rAGMF",Cash_Events!$M$6:$M$20,A10)</f>
        <v>0</v>
      </c>
      <c r="S10" s="11" t="n">
        <f aca="false">Q10+K10-R10</f>
        <v>0</v>
      </c>
      <c r="T10" s="13" t="n">
        <f aca="false">P10+S10</f>
        <v>47227.8068508287</v>
      </c>
      <c r="U10" s="13" t="n">
        <f aca="false">G10+T10</f>
        <v>1547227.80685083</v>
      </c>
      <c r="V10" s="11" t="n">
        <f aca="false">V9+L10</f>
        <v>47227.8068508287</v>
      </c>
      <c r="W10" s="11" t="n">
        <f aca="false">W9+N10+O10+R10</f>
        <v>0</v>
      </c>
      <c r="X10" s="11" t="n">
        <f aca="false">ROUND(V10-W10-T10,2)</f>
        <v>0</v>
      </c>
      <c r="Y10" s="2"/>
    </row>
    <row r="11" customFormat="false" ht="15" hidden="false" customHeight="false" outlineLevel="0" collapsed="false">
      <c r="A11" s="32" t="n">
        <f aca="false">EOMONTH(A10,1)</f>
        <v>44957</v>
      </c>
      <c r="B11" s="32" t="n">
        <f aca="false">A10</f>
        <v>44926</v>
      </c>
      <c r="C11" s="39" t="n">
        <f aca="false">A11-B11</f>
        <v>31</v>
      </c>
      <c r="D11" s="9" t="str">
        <f aca="false">IF(A11&lt;=EOMONTH(Inputs!$B$18,-1),"Actual","Projection")</f>
        <v>Actual</v>
      </c>
      <c r="E11" s="11" t="n">
        <f aca="false">G10</f>
        <v>1500000</v>
      </c>
      <c r="F11" s="10" t="n">
        <f aca="false">SUMIFS(Cash_Events!$G$6:$G$20,Cash_Events!$C$6:$C$20,"rAGMF",Cash_Events!$M$6:$M$20,A11)</f>
        <v>0</v>
      </c>
      <c r="G11" s="11" t="n">
        <f aca="false">E11-F11</f>
        <v>1500000</v>
      </c>
      <c r="H11" s="28" t="n">
        <f aca="false">VLOOKUP(A11-1,Inputs!$A$40:$B$48,2,TRUE())</f>
        <v>0.034199997053407</v>
      </c>
      <c r="I11" s="28" t="n">
        <f aca="false">H11+Inputs!B10</f>
        <v>0.101699997053407</v>
      </c>
      <c r="J11" s="10" t="n">
        <f aca="false">SUMIFS(Daily!$G$6:$G$2400,Daily!$B$6:$B$2400,A11)</f>
        <v>12956.3009944751</v>
      </c>
      <c r="K11" s="10" t="n">
        <f aca="false">SUMIFS(Daily!$H$6:$H$2400,Daily!$B$6:$B$2400,A11)</f>
        <v>0</v>
      </c>
      <c r="L11" s="11" t="n">
        <f aca="false">J11+K11</f>
        <v>12956.3009944751</v>
      </c>
      <c r="M11" s="11" t="n">
        <f aca="false">P10</f>
        <v>47227.8068508287</v>
      </c>
      <c r="N11" s="10" t="n">
        <f aca="false">SUMIFS(Cash_Events!$H$6:$H$20,Cash_Events!$C$6:$C$20,"rAGMF",Cash_Events!$D$6:$D$20,"JV",Cash_Events!$M$6:$M$20,A11)</f>
        <v>0</v>
      </c>
      <c r="O11" s="10" t="n">
        <f aca="false">SUMIFS(Cash_Events!$H$6:$H$20,Cash_Events!$C$6:$C$20,"rAGMF",Cash_Events!$D$6:$D$20,"800S",Cash_Events!$M$6:$M$20,A11)</f>
        <v>0</v>
      </c>
      <c r="P11" s="11" t="n">
        <f aca="false">M11+J11-N11-O11</f>
        <v>60184.1078453039</v>
      </c>
      <c r="Q11" s="11" t="n">
        <f aca="false">S10</f>
        <v>0</v>
      </c>
      <c r="R11" s="10" t="n">
        <f aca="false">SUMIFS(Cash_Events!$I$6:$I$20,Cash_Events!$C$6:$C$20,"rAGMF",Cash_Events!$M$6:$M$20,A11)</f>
        <v>0</v>
      </c>
      <c r="S11" s="11" t="n">
        <f aca="false">Q11+K11-R11</f>
        <v>0</v>
      </c>
      <c r="T11" s="13" t="n">
        <f aca="false">P11+S11</f>
        <v>60184.1078453039</v>
      </c>
      <c r="U11" s="13" t="n">
        <f aca="false">G11+T11</f>
        <v>1560184.1078453</v>
      </c>
      <c r="V11" s="11" t="n">
        <f aca="false">V10+L11</f>
        <v>60184.1078453039</v>
      </c>
      <c r="W11" s="11" t="n">
        <f aca="false">W10+N11+O11+R11</f>
        <v>0</v>
      </c>
      <c r="X11" s="11" t="n">
        <f aca="false">ROUND(V11-W11-T11,2)</f>
        <v>0</v>
      </c>
      <c r="Y11" s="2"/>
    </row>
    <row r="12" customFormat="false" ht="15" hidden="false" customHeight="false" outlineLevel="0" collapsed="false">
      <c r="A12" s="32" t="n">
        <f aca="false">EOMONTH(A11,1)</f>
        <v>44985</v>
      </c>
      <c r="B12" s="32" t="n">
        <f aca="false">A11</f>
        <v>44957</v>
      </c>
      <c r="C12" s="39" t="n">
        <f aca="false">A12-B12</f>
        <v>28</v>
      </c>
      <c r="D12" s="9" t="str">
        <f aca="false">IF(A12&lt;=EOMONTH(Inputs!$B$18,-1),"Actual","Projection")</f>
        <v>Actual</v>
      </c>
      <c r="E12" s="11" t="n">
        <f aca="false">G11</f>
        <v>1500000</v>
      </c>
      <c r="F12" s="10" t="n">
        <f aca="false">SUMIFS(Cash_Events!$G$6:$G$20,Cash_Events!$C$6:$C$20,"rAGMF",Cash_Events!$M$6:$M$20,A12)</f>
        <v>0</v>
      </c>
      <c r="G12" s="11" t="n">
        <f aca="false">E12-F12</f>
        <v>1500000</v>
      </c>
      <c r="H12" s="28" t="n">
        <f aca="false">VLOOKUP(A12-1,Inputs!$A$40:$B$48,2,TRUE())</f>
        <v>0.034199997053407</v>
      </c>
      <c r="I12" s="28" t="n">
        <f aca="false">H12+Inputs!B10</f>
        <v>0.101699997053407</v>
      </c>
      <c r="J12" s="10" t="n">
        <f aca="false">SUMIFS(Daily!$G$6:$G$2400,Daily!$B$6:$B$2400,A12)</f>
        <v>11702.4654143646</v>
      </c>
      <c r="K12" s="10" t="n">
        <f aca="false">SUMIFS(Daily!$H$6:$H$2400,Daily!$B$6:$B$2400,A12)</f>
        <v>0</v>
      </c>
      <c r="L12" s="11" t="n">
        <f aca="false">J12+K12</f>
        <v>11702.4654143646</v>
      </c>
      <c r="M12" s="11" t="n">
        <f aca="false">P11</f>
        <v>60184.1078453039</v>
      </c>
      <c r="N12" s="10" t="n">
        <f aca="false">SUMIFS(Cash_Events!$H$6:$H$20,Cash_Events!$C$6:$C$20,"rAGMF",Cash_Events!$D$6:$D$20,"JV",Cash_Events!$M$6:$M$20,A12)</f>
        <v>0</v>
      </c>
      <c r="O12" s="10" t="n">
        <f aca="false">SUMIFS(Cash_Events!$H$6:$H$20,Cash_Events!$C$6:$C$20,"rAGMF",Cash_Events!$D$6:$D$20,"800S",Cash_Events!$M$6:$M$20,A12)</f>
        <v>0</v>
      </c>
      <c r="P12" s="11" t="n">
        <f aca="false">M12+J12-N12-O12</f>
        <v>71886.5732596685</v>
      </c>
      <c r="Q12" s="11" t="n">
        <f aca="false">S11</f>
        <v>0</v>
      </c>
      <c r="R12" s="10" t="n">
        <f aca="false">SUMIFS(Cash_Events!$I$6:$I$20,Cash_Events!$C$6:$C$20,"rAGMF",Cash_Events!$M$6:$M$20,A12)</f>
        <v>0</v>
      </c>
      <c r="S12" s="11" t="n">
        <f aca="false">Q12+K12-R12</f>
        <v>0</v>
      </c>
      <c r="T12" s="13" t="n">
        <f aca="false">P12+S12</f>
        <v>71886.5732596685</v>
      </c>
      <c r="U12" s="13" t="n">
        <f aca="false">G12+T12</f>
        <v>1571886.57325967</v>
      </c>
      <c r="V12" s="11" t="n">
        <f aca="false">V11+L12</f>
        <v>71886.5732596685</v>
      </c>
      <c r="W12" s="11" t="n">
        <f aca="false">W11+N12+O12+R12</f>
        <v>0</v>
      </c>
      <c r="X12" s="11" t="n">
        <f aca="false">ROUND(V12-W12-T12,2)</f>
        <v>0</v>
      </c>
      <c r="Y12" s="2"/>
    </row>
    <row r="13" customFormat="false" ht="15" hidden="false" customHeight="false" outlineLevel="0" collapsed="false">
      <c r="A13" s="32" t="n">
        <f aca="false">EOMONTH(A12,1)</f>
        <v>45016</v>
      </c>
      <c r="B13" s="32" t="n">
        <f aca="false">A12</f>
        <v>44985</v>
      </c>
      <c r="C13" s="39" t="n">
        <f aca="false">A13-B13</f>
        <v>31</v>
      </c>
      <c r="D13" s="9" t="str">
        <f aca="false">IF(A13&lt;=EOMONTH(Inputs!$B$18,-1),"Actual","Projection")</f>
        <v>Actual</v>
      </c>
      <c r="E13" s="11" t="n">
        <f aca="false">G12</f>
        <v>1500000</v>
      </c>
      <c r="F13" s="10" t="n">
        <f aca="false">SUMIFS(Cash_Events!$G$6:$G$20,Cash_Events!$C$6:$C$20,"rAGMF",Cash_Events!$M$6:$M$20,A13)</f>
        <v>0</v>
      </c>
      <c r="G13" s="11" t="n">
        <f aca="false">E13-F13</f>
        <v>1500000</v>
      </c>
      <c r="H13" s="28" t="n">
        <f aca="false">VLOOKUP(A13-1,Inputs!$A$40:$B$48,2,TRUE())</f>
        <v>0.0521501</v>
      </c>
      <c r="I13" s="28" t="n">
        <f aca="false">H13+Inputs!B10</f>
        <v>0.1196501</v>
      </c>
      <c r="J13" s="10" t="n">
        <f aca="false">SUMIFS(Daily!$G$6:$G$2400,Daily!$B$6:$B$2400,A13)</f>
        <v>14579.1870143041</v>
      </c>
      <c r="K13" s="10" t="n">
        <f aca="false">SUMIFS(Daily!$H$6:$H$2400,Daily!$B$6:$B$2400,A13)</f>
        <v>0</v>
      </c>
      <c r="L13" s="11" t="n">
        <f aca="false">J13+K13</f>
        <v>14579.1870143041</v>
      </c>
      <c r="M13" s="11" t="n">
        <f aca="false">P12</f>
        <v>71886.5732596685</v>
      </c>
      <c r="N13" s="10" t="n">
        <f aca="false">SUMIFS(Cash_Events!$H$6:$H$20,Cash_Events!$C$6:$C$20,"rAGMF",Cash_Events!$D$6:$D$20,"JV",Cash_Events!$M$6:$M$20,A13)</f>
        <v>75648.08</v>
      </c>
      <c r="O13" s="10" t="n">
        <f aca="false">SUMIFS(Cash_Events!$H$6:$H$20,Cash_Events!$C$6:$C$20,"rAGMF",Cash_Events!$D$6:$D$20,"800S",Cash_Events!$M$6:$M$20,A13)</f>
        <v>0</v>
      </c>
      <c r="P13" s="11" t="n">
        <f aca="false">M13+J13-N13-O13</f>
        <v>10817.6802739726</v>
      </c>
      <c r="Q13" s="11" t="n">
        <f aca="false">S12</f>
        <v>0</v>
      </c>
      <c r="R13" s="10" t="n">
        <f aca="false">SUMIFS(Cash_Events!$I$6:$I$20,Cash_Events!$C$6:$C$20,"rAGMF",Cash_Events!$M$6:$M$20,A13)</f>
        <v>0</v>
      </c>
      <c r="S13" s="11" t="n">
        <f aca="false">Q13+K13-R13</f>
        <v>0</v>
      </c>
      <c r="T13" s="13" t="n">
        <f aca="false">P13+S13</f>
        <v>10817.6802739726</v>
      </c>
      <c r="U13" s="13" t="n">
        <f aca="false">G13+T13</f>
        <v>1510817.68027397</v>
      </c>
      <c r="V13" s="11" t="n">
        <f aca="false">V12+L13</f>
        <v>86465.7602739726</v>
      </c>
      <c r="W13" s="11" t="n">
        <f aca="false">W12+N13+O13+R13</f>
        <v>75648.08</v>
      </c>
      <c r="X13" s="11" t="n">
        <f aca="false">ROUND(V13-W13-T13,2)</f>
        <v>0</v>
      </c>
      <c r="Y13" s="2" t="s">
        <v>242</v>
      </c>
    </row>
    <row r="14" customFormat="false" ht="15" hidden="false" customHeight="false" outlineLevel="0" collapsed="false">
      <c r="A14" s="32" t="n">
        <f aca="false">EOMONTH(A13,1)</f>
        <v>45046</v>
      </c>
      <c r="B14" s="32" t="n">
        <f aca="false">A13</f>
        <v>45016</v>
      </c>
      <c r="C14" s="39" t="n">
        <f aca="false">A14-B14</f>
        <v>30</v>
      </c>
      <c r="D14" s="9" t="str">
        <f aca="false">IF(A14&lt;=EOMONTH(Inputs!$B$18,-1),"Actual","Projection")</f>
        <v>Actual</v>
      </c>
      <c r="E14" s="11" t="n">
        <f aca="false">G13</f>
        <v>1500000</v>
      </c>
      <c r="F14" s="10" t="n">
        <f aca="false">SUMIFS(Cash_Events!$G$6:$G$20,Cash_Events!$C$6:$C$20,"rAGMF",Cash_Events!$M$6:$M$20,A14)</f>
        <v>0</v>
      </c>
      <c r="G14" s="11" t="n">
        <f aca="false">E14-F14</f>
        <v>1500000</v>
      </c>
      <c r="H14" s="28" t="n">
        <f aca="false">VLOOKUP(A14-1,Inputs!$A$40:$B$48,2,TRUE())</f>
        <v>0.0521501</v>
      </c>
      <c r="I14" s="28" t="n">
        <f aca="false">H14+Inputs!B10</f>
        <v>0.1196501</v>
      </c>
      <c r="J14" s="10" t="n">
        <f aca="false">SUMIFS(Daily!$G$6:$G$2400,Daily!$B$6:$B$2400,A14)</f>
        <v>14751.3821917808</v>
      </c>
      <c r="K14" s="10" t="n">
        <f aca="false">SUMIFS(Daily!$H$6:$H$2400,Daily!$B$6:$B$2400,A14)</f>
        <v>0</v>
      </c>
      <c r="L14" s="11" t="n">
        <f aca="false">J14+K14</f>
        <v>14751.3821917808</v>
      </c>
      <c r="M14" s="11" t="n">
        <f aca="false">P13</f>
        <v>10817.6802739726</v>
      </c>
      <c r="N14" s="10" t="n">
        <f aca="false">SUMIFS(Cash_Events!$H$6:$H$20,Cash_Events!$C$6:$C$20,"rAGMF",Cash_Events!$D$6:$D$20,"JV",Cash_Events!$M$6:$M$20,A14)</f>
        <v>0</v>
      </c>
      <c r="O14" s="10" t="n">
        <f aca="false">SUMIFS(Cash_Events!$H$6:$H$20,Cash_Events!$C$6:$C$20,"rAGMF",Cash_Events!$D$6:$D$20,"800S",Cash_Events!$M$6:$M$20,A14)</f>
        <v>0</v>
      </c>
      <c r="P14" s="11" t="n">
        <f aca="false">M14+J14-N14-O14</f>
        <v>25569.0624657534</v>
      </c>
      <c r="Q14" s="11" t="n">
        <f aca="false">S13</f>
        <v>0</v>
      </c>
      <c r="R14" s="10" t="n">
        <f aca="false">SUMIFS(Cash_Events!$I$6:$I$20,Cash_Events!$C$6:$C$20,"rAGMF",Cash_Events!$M$6:$M$20,A14)</f>
        <v>0</v>
      </c>
      <c r="S14" s="11" t="n">
        <f aca="false">Q14+K14-R14</f>
        <v>0</v>
      </c>
      <c r="T14" s="13" t="n">
        <f aca="false">P14+S14</f>
        <v>25569.0624657534</v>
      </c>
      <c r="U14" s="13" t="n">
        <f aca="false">G14+T14</f>
        <v>1525569.06246575</v>
      </c>
      <c r="V14" s="11" t="n">
        <f aca="false">V13+L14</f>
        <v>101217.142465753</v>
      </c>
      <c r="W14" s="11" t="n">
        <f aca="false">W13+N14+O14+R14</f>
        <v>75648.08</v>
      </c>
      <c r="X14" s="11" t="n">
        <f aca="false">ROUND(V14-W14-T14,2)</f>
        <v>0</v>
      </c>
      <c r="Y14" s="2"/>
    </row>
    <row r="15" customFormat="false" ht="15" hidden="false" customHeight="false" outlineLevel="0" collapsed="false">
      <c r="A15" s="32" t="n">
        <f aca="false">EOMONTH(A14,1)</f>
        <v>45077</v>
      </c>
      <c r="B15" s="32" t="n">
        <f aca="false">A14</f>
        <v>45046</v>
      </c>
      <c r="C15" s="39" t="n">
        <f aca="false">A15-B15</f>
        <v>31</v>
      </c>
      <c r="D15" s="9" t="str">
        <f aca="false">IF(A15&lt;=EOMONTH(Inputs!$B$18,-1),"Actual","Projection")</f>
        <v>Actual</v>
      </c>
      <c r="E15" s="11" t="n">
        <f aca="false">G14</f>
        <v>1500000</v>
      </c>
      <c r="F15" s="10" t="n">
        <f aca="false">SUMIFS(Cash_Events!$G$6:$G$20,Cash_Events!$C$6:$C$20,"rAGMF",Cash_Events!$M$6:$M$20,A15)</f>
        <v>0</v>
      </c>
      <c r="G15" s="11" t="n">
        <f aca="false">E15-F15</f>
        <v>1500000</v>
      </c>
      <c r="H15" s="28" t="n">
        <f aca="false">VLOOKUP(A15-1,Inputs!$A$40:$B$48,2,TRUE())</f>
        <v>0.0521501</v>
      </c>
      <c r="I15" s="28" t="n">
        <f aca="false">H15+Inputs!B10</f>
        <v>0.1196501</v>
      </c>
      <c r="J15" s="10" t="n">
        <f aca="false">SUMIFS(Daily!$G$6:$G$2400,Daily!$B$6:$B$2400,A15)</f>
        <v>15243.0949315069</v>
      </c>
      <c r="K15" s="10" t="n">
        <f aca="false">SUMIFS(Daily!$H$6:$H$2400,Daily!$B$6:$B$2400,A15)</f>
        <v>0</v>
      </c>
      <c r="L15" s="11" t="n">
        <f aca="false">J15+K15</f>
        <v>15243.0949315069</v>
      </c>
      <c r="M15" s="11" t="n">
        <f aca="false">P14</f>
        <v>25569.0624657534</v>
      </c>
      <c r="N15" s="10" t="n">
        <f aca="false">SUMIFS(Cash_Events!$H$6:$H$20,Cash_Events!$C$6:$C$20,"rAGMF",Cash_Events!$D$6:$D$20,"JV",Cash_Events!$M$6:$M$20,A15)</f>
        <v>0</v>
      </c>
      <c r="O15" s="10" t="n">
        <f aca="false">SUMIFS(Cash_Events!$H$6:$H$20,Cash_Events!$C$6:$C$20,"rAGMF",Cash_Events!$D$6:$D$20,"800S",Cash_Events!$M$6:$M$20,A15)</f>
        <v>0</v>
      </c>
      <c r="P15" s="11" t="n">
        <f aca="false">M15+J15-N15-O15</f>
        <v>40812.1573972603</v>
      </c>
      <c r="Q15" s="11" t="n">
        <f aca="false">S14</f>
        <v>0</v>
      </c>
      <c r="R15" s="10" t="n">
        <f aca="false">SUMIFS(Cash_Events!$I$6:$I$20,Cash_Events!$C$6:$C$20,"rAGMF",Cash_Events!$M$6:$M$20,A15)</f>
        <v>0</v>
      </c>
      <c r="S15" s="11" t="n">
        <f aca="false">Q15+K15-R15</f>
        <v>0</v>
      </c>
      <c r="T15" s="13" t="n">
        <f aca="false">P15+S15</f>
        <v>40812.1573972603</v>
      </c>
      <c r="U15" s="13" t="n">
        <f aca="false">G15+T15</f>
        <v>1540812.15739726</v>
      </c>
      <c r="V15" s="11" t="n">
        <f aca="false">V14+L15</f>
        <v>116460.23739726</v>
      </c>
      <c r="W15" s="11" t="n">
        <f aca="false">W14+N15+O15+R15</f>
        <v>75648.08</v>
      </c>
      <c r="X15" s="11" t="n">
        <f aca="false">ROUND(V15-W15-T15,2)</f>
        <v>0</v>
      </c>
      <c r="Y15" s="2"/>
    </row>
    <row r="16" customFormat="false" ht="15" hidden="false" customHeight="false" outlineLevel="0" collapsed="false">
      <c r="A16" s="32" t="n">
        <f aca="false">EOMONTH(A15,1)</f>
        <v>45107</v>
      </c>
      <c r="B16" s="32" t="n">
        <f aca="false">A15</f>
        <v>45077</v>
      </c>
      <c r="C16" s="39" t="n">
        <f aca="false">A16-B16</f>
        <v>30</v>
      </c>
      <c r="D16" s="9" t="str">
        <f aca="false">IF(A16&lt;=EOMONTH(Inputs!$B$18,-1),"Actual","Projection")</f>
        <v>Actual</v>
      </c>
      <c r="E16" s="11" t="n">
        <f aca="false">G15</f>
        <v>1500000</v>
      </c>
      <c r="F16" s="10" t="n">
        <f aca="false">SUMIFS(Cash_Events!$G$6:$G$20,Cash_Events!$C$6:$C$20,"rAGMF",Cash_Events!$M$6:$M$20,A16)</f>
        <v>0</v>
      </c>
      <c r="G16" s="11" t="n">
        <f aca="false">E16-F16</f>
        <v>1500000</v>
      </c>
      <c r="H16" s="28" t="n">
        <f aca="false">VLOOKUP(A16-1,Inputs!$A$40:$B$48,2,TRUE())</f>
        <v>0.0521501</v>
      </c>
      <c r="I16" s="28" t="n">
        <f aca="false">H16+Inputs!B10</f>
        <v>0.1196501</v>
      </c>
      <c r="J16" s="10" t="n">
        <f aca="false">SUMIFS(Daily!$G$6:$G$2400,Daily!$B$6:$B$2400,A16)</f>
        <v>14751.3821917808</v>
      </c>
      <c r="K16" s="10" t="n">
        <f aca="false">SUMIFS(Daily!$H$6:$H$2400,Daily!$B$6:$B$2400,A16)</f>
        <v>0</v>
      </c>
      <c r="L16" s="11" t="n">
        <f aca="false">J16+K16</f>
        <v>14751.3821917808</v>
      </c>
      <c r="M16" s="11" t="n">
        <f aca="false">P15</f>
        <v>40812.1573972603</v>
      </c>
      <c r="N16" s="10" t="n">
        <f aca="false">SUMIFS(Cash_Events!$H$6:$H$20,Cash_Events!$C$6:$C$20,"rAGMF",Cash_Events!$D$6:$D$20,"JV",Cash_Events!$M$6:$M$20,A16)</f>
        <v>0</v>
      </c>
      <c r="O16" s="10" t="n">
        <f aca="false">SUMIFS(Cash_Events!$H$6:$H$20,Cash_Events!$C$6:$C$20,"rAGMF",Cash_Events!$D$6:$D$20,"800S",Cash_Events!$M$6:$M$20,A16)</f>
        <v>0</v>
      </c>
      <c r="P16" s="11" t="n">
        <f aca="false">M16+J16-N16-O16</f>
        <v>55563.5395890411</v>
      </c>
      <c r="Q16" s="11" t="n">
        <f aca="false">S15</f>
        <v>0</v>
      </c>
      <c r="R16" s="10" t="n">
        <f aca="false">SUMIFS(Cash_Events!$I$6:$I$20,Cash_Events!$C$6:$C$20,"rAGMF",Cash_Events!$M$6:$M$20,A16)</f>
        <v>0</v>
      </c>
      <c r="S16" s="11" t="n">
        <f aca="false">Q16+K16-R16</f>
        <v>0</v>
      </c>
      <c r="T16" s="13" t="n">
        <f aca="false">P16+S16</f>
        <v>55563.5395890411</v>
      </c>
      <c r="U16" s="13" t="n">
        <f aca="false">G16+T16</f>
        <v>1555563.53958904</v>
      </c>
      <c r="V16" s="11" t="n">
        <f aca="false">V15+L16</f>
        <v>131211.619589041</v>
      </c>
      <c r="W16" s="11" t="n">
        <f aca="false">W15+N16+O16+R16</f>
        <v>75648.08</v>
      </c>
      <c r="X16" s="11" t="n">
        <f aca="false">ROUND(V16-W16-T16,2)</f>
        <v>0</v>
      </c>
      <c r="Y16" s="2"/>
    </row>
    <row r="17" customFormat="false" ht="15" hidden="false" customHeight="false" outlineLevel="0" collapsed="false">
      <c r="A17" s="32" t="n">
        <f aca="false">EOMONTH(A16,1)</f>
        <v>45138</v>
      </c>
      <c r="B17" s="32" t="n">
        <f aca="false">A16</f>
        <v>45107</v>
      </c>
      <c r="C17" s="39" t="n">
        <f aca="false">A17-B17</f>
        <v>31</v>
      </c>
      <c r="D17" s="9" t="str">
        <f aca="false">IF(A17&lt;=EOMONTH(Inputs!$B$18,-1),"Actual","Projection")</f>
        <v>Actual</v>
      </c>
      <c r="E17" s="11" t="n">
        <f aca="false">G16</f>
        <v>1500000</v>
      </c>
      <c r="F17" s="10" t="n">
        <f aca="false">SUMIFS(Cash_Events!$G$6:$G$20,Cash_Events!$C$6:$C$20,"rAGMF",Cash_Events!$M$6:$M$20,A17)</f>
        <v>0</v>
      </c>
      <c r="G17" s="11" t="n">
        <f aca="false">E17-F17</f>
        <v>1500000</v>
      </c>
      <c r="H17" s="28" t="n">
        <f aca="false">VLOOKUP(A17-1,Inputs!$A$40:$B$48,2,TRUE())</f>
        <v>0.0521501</v>
      </c>
      <c r="I17" s="28" t="n">
        <f aca="false">H17+Inputs!B10</f>
        <v>0.1196501</v>
      </c>
      <c r="J17" s="10" t="n">
        <f aca="false">SUMIFS(Daily!$G$6:$G$2400,Daily!$B$6:$B$2400,A17)</f>
        <v>15243.0949315069</v>
      </c>
      <c r="K17" s="10" t="n">
        <f aca="false">SUMIFS(Daily!$H$6:$H$2400,Daily!$B$6:$B$2400,A17)</f>
        <v>0</v>
      </c>
      <c r="L17" s="11" t="n">
        <f aca="false">J17+K17</f>
        <v>15243.0949315069</v>
      </c>
      <c r="M17" s="11" t="n">
        <f aca="false">P16</f>
        <v>55563.5395890411</v>
      </c>
      <c r="N17" s="10" t="n">
        <f aca="false">SUMIFS(Cash_Events!$H$6:$H$20,Cash_Events!$C$6:$C$20,"rAGMF",Cash_Events!$D$6:$D$20,"JV",Cash_Events!$M$6:$M$20,A17)</f>
        <v>0</v>
      </c>
      <c r="O17" s="10" t="n">
        <f aca="false">SUMIFS(Cash_Events!$H$6:$H$20,Cash_Events!$C$6:$C$20,"rAGMF",Cash_Events!$D$6:$D$20,"800S",Cash_Events!$M$6:$M$20,A17)</f>
        <v>0</v>
      </c>
      <c r="P17" s="11" t="n">
        <f aca="false">M17+J17-N17-O17</f>
        <v>70806.634520548</v>
      </c>
      <c r="Q17" s="11" t="n">
        <f aca="false">S16</f>
        <v>0</v>
      </c>
      <c r="R17" s="10" t="n">
        <f aca="false">SUMIFS(Cash_Events!$I$6:$I$20,Cash_Events!$C$6:$C$20,"rAGMF",Cash_Events!$M$6:$M$20,A17)</f>
        <v>0</v>
      </c>
      <c r="S17" s="11" t="n">
        <f aca="false">Q17+K17-R17</f>
        <v>0</v>
      </c>
      <c r="T17" s="13" t="n">
        <f aca="false">P17+S17</f>
        <v>70806.634520548</v>
      </c>
      <c r="U17" s="13" t="n">
        <f aca="false">G17+T17</f>
        <v>1570806.63452055</v>
      </c>
      <c r="V17" s="11" t="n">
        <f aca="false">V16+L17</f>
        <v>146454.714520548</v>
      </c>
      <c r="W17" s="11" t="n">
        <f aca="false">W16+N17+O17+R17</f>
        <v>75648.08</v>
      </c>
      <c r="X17" s="11" t="n">
        <f aca="false">ROUND(V17-W17-T17,2)</f>
        <v>0</v>
      </c>
      <c r="Y17" s="2"/>
    </row>
    <row r="18" customFormat="false" ht="15" hidden="false" customHeight="false" outlineLevel="0" collapsed="false">
      <c r="A18" s="32" t="n">
        <f aca="false">EOMONTH(A17,1)</f>
        <v>45169</v>
      </c>
      <c r="B18" s="32" t="n">
        <f aca="false">A17</f>
        <v>45138</v>
      </c>
      <c r="C18" s="39" t="n">
        <f aca="false">A18-B18</f>
        <v>31</v>
      </c>
      <c r="D18" s="9" t="str">
        <f aca="false">IF(A18&lt;=EOMONTH(Inputs!$B$18,-1),"Actual","Projection")</f>
        <v>Actual</v>
      </c>
      <c r="E18" s="11" t="n">
        <f aca="false">G17</f>
        <v>1500000</v>
      </c>
      <c r="F18" s="10" t="n">
        <f aca="false">SUMIFS(Cash_Events!$G$6:$G$20,Cash_Events!$C$6:$C$20,"rAGMF",Cash_Events!$M$6:$M$20,A18)</f>
        <v>0</v>
      </c>
      <c r="G18" s="11" t="n">
        <f aca="false">E18-F18</f>
        <v>1500000</v>
      </c>
      <c r="H18" s="28" t="n">
        <f aca="false">VLOOKUP(A18-1,Inputs!$A$40:$B$48,2,TRUE())</f>
        <v>0.0521501</v>
      </c>
      <c r="I18" s="28" t="n">
        <f aca="false">H18+Inputs!B10</f>
        <v>0.1196501</v>
      </c>
      <c r="J18" s="10" t="n">
        <f aca="false">SUMIFS(Daily!$G$6:$G$2400,Daily!$B$6:$B$2400,A18)</f>
        <v>15243.0949315069</v>
      </c>
      <c r="K18" s="10" t="n">
        <f aca="false">SUMIFS(Daily!$H$6:$H$2400,Daily!$B$6:$B$2400,A18)</f>
        <v>0</v>
      </c>
      <c r="L18" s="11" t="n">
        <f aca="false">J18+K18</f>
        <v>15243.0949315069</v>
      </c>
      <c r="M18" s="11" t="n">
        <f aca="false">P17</f>
        <v>70806.634520548</v>
      </c>
      <c r="N18" s="10" t="n">
        <f aca="false">SUMIFS(Cash_Events!$H$6:$H$20,Cash_Events!$C$6:$C$20,"rAGMF",Cash_Events!$D$6:$D$20,"JV",Cash_Events!$M$6:$M$20,A18)</f>
        <v>0</v>
      </c>
      <c r="O18" s="10" t="n">
        <f aca="false">SUMIFS(Cash_Events!$H$6:$H$20,Cash_Events!$C$6:$C$20,"rAGMF",Cash_Events!$D$6:$D$20,"800S",Cash_Events!$M$6:$M$20,A18)</f>
        <v>0</v>
      </c>
      <c r="P18" s="11" t="n">
        <f aca="false">M18+J18-N18-O18</f>
        <v>86049.7294520548</v>
      </c>
      <c r="Q18" s="11" t="n">
        <f aca="false">S17</f>
        <v>0</v>
      </c>
      <c r="R18" s="10" t="n">
        <f aca="false">SUMIFS(Cash_Events!$I$6:$I$20,Cash_Events!$C$6:$C$20,"rAGMF",Cash_Events!$M$6:$M$20,A18)</f>
        <v>0</v>
      </c>
      <c r="S18" s="11" t="n">
        <f aca="false">Q18+K18-R18</f>
        <v>0</v>
      </c>
      <c r="T18" s="13" t="n">
        <f aca="false">P18+S18</f>
        <v>86049.7294520548</v>
      </c>
      <c r="U18" s="13" t="n">
        <f aca="false">G18+T18</f>
        <v>1586049.72945205</v>
      </c>
      <c r="V18" s="11" t="n">
        <f aca="false">V17+L18</f>
        <v>161697.809452055</v>
      </c>
      <c r="W18" s="11" t="n">
        <f aca="false">W17+N18+O18+R18</f>
        <v>75648.08</v>
      </c>
      <c r="X18" s="11" t="n">
        <f aca="false">ROUND(V18-W18-T18,2)</f>
        <v>0</v>
      </c>
      <c r="Y18" s="2"/>
    </row>
    <row r="19" customFormat="false" ht="15" hidden="false" customHeight="false" outlineLevel="0" collapsed="false">
      <c r="A19" s="32" t="n">
        <f aca="false">EOMONTH(A18,1)</f>
        <v>45199</v>
      </c>
      <c r="B19" s="32" t="n">
        <f aca="false">A18</f>
        <v>45169</v>
      </c>
      <c r="C19" s="39" t="n">
        <f aca="false">A19-B19</f>
        <v>30</v>
      </c>
      <c r="D19" s="9" t="str">
        <f aca="false">IF(A19&lt;=EOMONTH(Inputs!$B$18,-1),"Actual","Projection")</f>
        <v>Actual</v>
      </c>
      <c r="E19" s="11" t="n">
        <f aca="false">G18</f>
        <v>1500000</v>
      </c>
      <c r="F19" s="10" t="n">
        <f aca="false">SUMIFS(Cash_Events!$G$6:$G$20,Cash_Events!$C$6:$C$20,"rAGMF",Cash_Events!$M$6:$M$20,A19)</f>
        <v>0</v>
      </c>
      <c r="G19" s="11" t="n">
        <f aca="false">E19-F19</f>
        <v>1500000</v>
      </c>
      <c r="H19" s="28" t="n">
        <f aca="false">VLOOKUP(A19-1,Inputs!$A$40:$B$48,2,TRUE())</f>
        <v>0.0547601</v>
      </c>
      <c r="I19" s="28" t="n">
        <f aca="false">H19+Inputs!B10</f>
        <v>0.1222601</v>
      </c>
      <c r="J19" s="10" t="n">
        <f aca="false">SUMIFS(Daily!$G$6:$G$2400,Daily!$B$6:$B$2400,A19)</f>
        <v>14955.1767123288</v>
      </c>
      <c r="K19" s="10" t="n">
        <f aca="false">SUMIFS(Daily!$H$6:$H$2400,Daily!$B$6:$B$2400,A19)</f>
        <v>1561.64383561644</v>
      </c>
      <c r="L19" s="11" t="n">
        <f aca="false">J19+K19</f>
        <v>16516.8205479452</v>
      </c>
      <c r="M19" s="11" t="n">
        <f aca="false">P18</f>
        <v>86049.7294520548</v>
      </c>
      <c r="N19" s="10" t="n">
        <f aca="false">SUMIFS(Cash_Events!$H$6:$H$20,Cash_Events!$C$6:$C$20,"rAGMF",Cash_Events!$D$6:$D$20,"JV",Cash_Events!$M$6:$M$20,A19)</f>
        <v>0</v>
      </c>
      <c r="O19" s="10" t="n">
        <f aca="false">SUMIFS(Cash_Events!$H$6:$H$20,Cash_Events!$C$6:$C$20,"rAGMF",Cash_Events!$D$6:$D$20,"800S",Cash_Events!$M$6:$M$20,A19)</f>
        <v>0</v>
      </c>
      <c r="P19" s="11" t="n">
        <f aca="false">M19+J19-N19-O19</f>
        <v>101004.906164384</v>
      </c>
      <c r="Q19" s="11" t="n">
        <f aca="false">S18</f>
        <v>0</v>
      </c>
      <c r="R19" s="10" t="n">
        <f aca="false">SUMIFS(Cash_Events!$I$6:$I$20,Cash_Events!$C$6:$C$20,"rAGMF",Cash_Events!$M$6:$M$20,A19)</f>
        <v>0</v>
      </c>
      <c r="S19" s="11" t="n">
        <f aca="false">Q19+K19-R19</f>
        <v>1561.64383561644</v>
      </c>
      <c r="T19" s="13" t="n">
        <f aca="false">P19+S19</f>
        <v>102566.55</v>
      </c>
      <c r="U19" s="13" t="n">
        <f aca="false">G19+T19</f>
        <v>1602566.55</v>
      </c>
      <c r="V19" s="11" t="n">
        <f aca="false">V18+L19</f>
        <v>178214.63</v>
      </c>
      <c r="W19" s="11" t="n">
        <f aca="false">W18+N19+O19+R19</f>
        <v>75648.08</v>
      </c>
      <c r="X19" s="11" t="n">
        <f aca="false">ROUND(V19-W19-T19,2)</f>
        <v>0</v>
      </c>
      <c r="Y19" s="2" t="s">
        <v>243</v>
      </c>
    </row>
    <row r="20" customFormat="false" ht="15" hidden="false" customHeight="false" outlineLevel="0" collapsed="false">
      <c r="A20" s="32" t="n">
        <f aca="false">EOMONTH(A19,1)</f>
        <v>45230</v>
      </c>
      <c r="B20" s="32" t="n">
        <f aca="false">A19</f>
        <v>45199</v>
      </c>
      <c r="C20" s="39" t="n">
        <f aca="false">A20-B20</f>
        <v>31</v>
      </c>
      <c r="D20" s="9" t="str">
        <f aca="false">IF(A20&lt;=EOMONTH(Inputs!$B$18,-1),"Actual","Projection")</f>
        <v>Actual</v>
      </c>
      <c r="E20" s="11" t="n">
        <f aca="false">G19</f>
        <v>1500000</v>
      </c>
      <c r="F20" s="10" t="n">
        <f aca="false">SUMIFS(Cash_Events!$G$6:$G$20,Cash_Events!$C$6:$C$20,"rAGMF",Cash_Events!$M$6:$M$20,A20)</f>
        <v>0</v>
      </c>
      <c r="G20" s="11" t="n">
        <f aca="false">E20-F20</f>
        <v>1500000</v>
      </c>
      <c r="H20" s="28" t="n">
        <f aca="false">VLOOKUP(A20-1,Inputs!$A$40:$B$48,2,TRUE())</f>
        <v>0.0547601</v>
      </c>
      <c r="I20" s="28" t="n">
        <f aca="false">H20+Inputs!B10</f>
        <v>0.1222601</v>
      </c>
      <c r="J20" s="10" t="n">
        <f aca="false">SUMIFS(Daily!$G$6:$G$2400,Daily!$B$6:$B$2400,A20)</f>
        <v>15575.6017808219</v>
      </c>
      <c r="K20" s="10" t="n">
        <f aca="false">SUMIFS(Daily!$H$6:$H$2400,Daily!$B$6:$B$2400,A20)</f>
        <v>2547.94520547945</v>
      </c>
      <c r="L20" s="11" t="n">
        <f aca="false">J20+K20</f>
        <v>18123.5469863014</v>
      </c>
      <c r="M20" s="11" t="n">
        <f aca="false">P19</f>
        <v>101004.906164384</v>
      </c>
      <c r="N20" s="10" t="n">
        <f aca="false">SUMIFS(Cash_Events!$H$6:$H$20,Cash_Events!$C$6:$C$20,"rAGMF",Cash_Events!$D$6:$D$20,"JV",Cash_Events!$M$6:$M$20,A20)</f>
        <v>0</v>
      </c>
      <c r="O20" s="10" t="n">
        <f aca="false">SUMIFS(Cash_Events!$H$6:$H$20,Cash_Events!$C$6:$C$20,"rAGMF",Cash_Events!$D$6:$D$20,"800S",Cash_Events!$M$6:$M$20,A20)</f>
        <v>0</v>
      </c>
      <c r="P20" s="11" t="n">
        <f aca="false">M20+J20-N20-O20</f>
        <v>116580.507945205</v>
      </c>
      <c r="Q20" s="11" t="n">
        <f aca="false">S19</f>
        <v>1561.64383561644</v>
      </c>
      <c r="R20" s="10" t="n">
        <f aca="false">SUMIFS(Cash_Events!$I$6:$I$20,Cash_Events!$C$6:$C$20,"rAGMF",Cash_Events!$M$6:$M$20,A20)</f>
        <v>0</v>
      </c>
      <c r="S20" s="11" t="n">
        <f aca="false">Q20+K20-R20</f>
        <v>4109.58904109589</v>
      </c>
      <c r="T20" s="13" t="n">
        <f aca="false">P20+S20</f>
        <v>120690.096986301</v>
      </c>
      <c r="U20" s="13" t="n">
        <f aca="false">G20+T20</f>
        <v>1620690.0969863</v>
      </c>
      <c r="V20" s="11" t="n">
        <f aca="false">V19+L20</f>
        <v>196338.176986301</v>
      </c>
      <c r="W20" s="11" t="n">
        <f aca="false">W19+N20+O20+R20</f>
        <v>75648.08</v>
      </c>
      <c r="X20" s="11" t="n">
        <f aca="false">ROUND(V20-W20-T20,2)</f>
        <v>0</v>
      </c>
      <c r="Y20" s="2"/>
    </row>
    <row r="21" customFormat="false" ht="15" hidden="false" customHeight="false" outlineLevel="0" collapsed="false">
      <c r="A21" s="32" t="n">
        <f aca="false">EOMONTH(A20,1)</f>
        <v>45260</v>
      </c>
      <c r="B21" s="32" t="n">
        <f aca="false">A20</f>
        <v>45230</v>
      </c>
      <c r="C21" s="39" t="n">
        <f aca="false">A21-B21</f>
        <v>30</v>
      </c>
      <c r="D21" s="9" t="str">
        <f aca="false">IF(A21&lt;=EOMONTH(Inputs!$B$18,-1),"Actual","Projection")</f>
        <v>Actual</v>
      </c>
      <c r="E21" s="11" t="n">
        <f aca="false">G20</f>
        <v>1500000</v>
      </c>
      <c r="F21" s="10" t="n">
        <f aca="false">SUMIFS(Cash_Events!$G$6:$G$20,Cash_Events!$C$6:$C$20,"rAGMF",Cash_Events!$M$6:$M$20,A21)</f>
        <v>0</v>
      </c>
      <c r="G21" s="11" t="n">
        <f aca="false">E21-F21</f>
        <v>1500000</v>
      </c>
      <c r="H21" s="28" t="n">
        <f aca="false">VLOOKUP(A21-1,Inputs!$A$40:$B$48,2,TRUE())</f>
        <v>0.0547601</v>
      </c>
      <c r="I21" s="28" t="n">
        <f aca="false">H21+Inputs!B10</f>
        <v>0.1222601</v>
      </c>
      <c r="J21" s="10" t="n">
        <f aca="false">SUMIFS(Daily!$G$6:$G$2400,Daily!$B$6:$B$2400,A21)</f>
        <v>15073.1630136986</v>
      </c>
      <c r="K21" s="10" t="n">
        <f aca="false">SUMIFS(Daily!$H$6:$H$2400,Daily!$B$6:$B$2400,A21)</f>
        <v>2465.75342465753</v>
      </c>
      <c r="L21" s="11" t="n">
        <f aca="false">J21+K21</f>
        <v>17538.9164383562</v>
      </c>
      <c r="M21" s="11" t="n">
        <f aca="false">P20</f>
        <v>116580.507945205</v>
      </c>
      <c r="N21" s="10" t="n">
        <f aca="false">SUMIFS(Cash_Events!$H$6:$H$20,Cash_Events!$C$6:$C$20,"rAGMF",Cash_Events!$D$6:$D$20,"JV",Cash_Events!$M$6:$M$20,A21)</f>
        <v>0</v>
      </c>
      <c r="O21" s="10" t="n">
        <f aca="false">SUMIFS(Cash_Events!$H$6:$H$20,Cash_Events!$C$6:$C$20,"rAGMF",Cash_Events!$D$6:$D$20,"800S",Cash_Events!$M$6:$M$20,A21)</f>
        <v>0</v>
      </c>
      <c r="P21" s="11" t="n">
        <f aca="false">M21+J21-N21-O21</f>
        <v>131653.670958904</v>
      </c>
      <c r="Q21" s="11" t="n">
        <f aca="false">S20</f>
        <v>4109.58904109589</v>
      </c>
      <c r="R21" s="10" t="n">
        <f aca="false">SUMIFS(Cash_Events!$I$6:$I$20,Cash_Events!$C$6:$C$20,"rAGMF",Cash_Events!$M$6:$M$20,A21)</f>
        <v>0</v>
      </c>
      <c r="S21" s="11" t="n">
        <f aca="false">Q21+K21-R21</f>
        <v>6575.34246575342</v>
      </c>
      <c r="T21" s="13" t="n">
        <f aca="false">P21+S21</f>
        <v>138229.013424658</v>
      </c>
      <c r="U21" s="13" t="n">
        <f aca="false">G21+T21</f>
        <v>1638229.01342466</v>
      </c>
      <c r="V21" s="11" t="n">
        <f aca="false">V20+L21</f>
        <v>213877.093424658</v>
      </c>
      <c r="W21" s="11" t="n">
        <f aca="false">W20+N21+O21+R21</f>
        <v>75648.08</v>
      </c>
      <c r="X21" s="11" t="n">
        <f aca="false">ROUND(V21-W21-T21,2)</f>
        <v>0</v>
      </c>
      <c r="Y21" s="2"/>
    </row>
    <row r="22" customFormat="false" ht="15" hidden="false" customHeight="false" outlineLevel="0" collapsed="false">
      <c r="A22" s="32" t="n">
        <f aca="false">EOMONTH(A21,1)</f>
        <v>45291</v>
      </c>
      <c r="B22" s="32" t="n">
        <f aca="false">A21</f>
        <v>45260</v>
      </c>
      <c r="C22" s="39" t="n">
        <f aca="false">A22-B22</f>
        <v>31</v>
      </c>
      <c r="D22" s="9" t="str">
        <f aca="false">IF(A22&lt;=EOMONTH(Inputs!$B$18,-1),"Actual","Projection")</f>
        <v>Actual</v>
      </c>
      <c r="E22" s="11" t="n">
        <f aca="false">G21</f>
        <v>1500000</v>
      </c>
      <c r="F22" s="10" t="n">
        <f aca="false">SUMIFS(Cash_Events!$G$6:$G$20,Cash_Events!$C$6:$C$20,"rAGMF",Cash_Events!$M$6:$M$20,A22)</f>
        <v>0</v>
      </c>
      <c r="G22" s="11" t="n">
        <f aca="false">E22-F22</f>
        <v>1500000</v>
      </c>
      <c r="H22" s="28" t="n">
        <f aca="false">VLOOKUP(A22-1,Inputs!$A$40:$B$48,2,TRUE())</f>
        <v>0.0547601</v>
      </c>
      <c r="I22" s="28" t="n">
        <f aca="false">H22+Inputs!B10</f>
        <v>0.1222601</v>
      </c>
      <c r="J22" s="10" t="n">
        <f aca="false">SUMIFS(Daily!$G$6:$G$2400,Daily!$B$6:$B$2400,A22)</f>
        <v>15575.6017808219</v>
      </c>
      <c r="K22" s="10" t="n">
        <f aca="false">SUMIFS(Daily!$H$6:$H$2400,Daily!$B$6:$B$2400,A22)</f>
        <v>2547.94520547945</v>
      </c>
      <c r="L22" s="11" t="n">
        <f aca="false">J22+K22</f>
        <v>18123.5469863014</v>
      </c>
      <c r="M22" s="11" t="n">
        <f aca="false">P21</f>
        <v>131653.670958904</v>
      </c>
      <c r="N22" s="10" t="n">
        <f aca="false">SUMIFS(Cash_Events!$H$6:$H$20,Cash_Events!$C$6:$C$20,"rAGMF",Cash_Events!$D$6:$D$20,"JV",Cash_Events!$M$6:$M$20,A22)</f>
        <v>0</v>
      </c>
      <c r="O22" s="10" t="n">
        <f aca="false">SUMIFS(Cash_Events!$H$6:$H$20,Cash_Events!$C$6:$C$20,"rAGMF",Cash_Events!$D$6:$D$20,"800S",Cash_Events!$M$6:$M$20,A22)</f>
        <v>0</v>
      </c>
      <c r="P22" s="11" t="n">
        <f aca="false">M22+J22-N22-O22</f>
        <v>147229.272739726</v>
      </c>
      <c r="Q22" s="11" t="n">
        <f aca="false">S21</f>
        <v>6575.34246575342</v>
      </c>
      <c r="R22" s="10" t="n">
        <f aca="false">SUMIFS(Cash_Events!$I$6:$I$20,Cash_Events!$C$6:$C$20,"rAGMF",Cash_Events!$M$6:$M$20,A22)</f>
        <v>0</v>
      </c>
      <c r="S22" s="11" t="n">
        <f aca="false">Q22+K22-R22</f>
        <v>9123.28767123288</v>
      </c>
      <c r="T22" s="13" t="n">
        <f aca="false">P22+S22</f>
        <v>156352.560410959</v>
      </c>
      <c r="U22" s="13" t="n">
        <f aca="false">G22+T22</f>
        <v>1656352.56041096</v>
      </c>
      <c r="V22" s="11" t="n">
        <f aca="false">V21+L22</f>
        <v>232000.640410959</v>
      </c>
      <c r="W22" s="11" t="n">
        <f aca="false">W21+N22+O22+R22</f>
        <v>75648.08</v>
      </c>
      <c r="X22" s="11" t="n">
        <f aca="false">ROUND(V22-W22-T22,2)</f>
        <v>0</v>
      </c>
      <c r="Y22" s="2"/>
    </row>
    <row r="23" customFormat="false" ht="15" hidden="false" customHeight="false" outlineLevel="0" collapsed="false">
      <c r="A23" s="32" t="n">
        <f aca="false">EOMONTH(A22,1)</f>
        <v>45322</v>
      </c>
      <c r="B23" s="32" t="n">
        <f aca="false">A22</f>
        <v>45291</v>
      </c>
      <c r="C23" s="39" t="n">
        <f aca="false">A23-B23</f>
        <v>31</v>
      </c>
      <c r="D23" s="9" t="str">
        <f aca="false">IF(A23&lt;=EOMONTH(Inputs!$B$18,-1),"Actual","Projection")</f>
        <v>Actual</v>
      </c>
      <c r="E23" s="11" t="n">
        <f aca="false">G22</f>
        <v>1500000</v>
      </c>
      <c r="F23" s="10" t="n">
        <f aca="false">SUMIFS(Cash_Events!$G$6:$G$20,Cash_Events!$C$6:$C$20,"rAGMF",Cash_Events!$M$6:$M$20,A23)</f>
        <v>0</v>
      </c>
      <c r="G23" s="11" t="n">
        <f aca="false">E23-F23</f>
        <v>1500000</v>
      </c>
      <c r="H23" s="28" t="n">
        <f aca="false">VLOOKUP(A23-1,Inputs!$A$40:$B$48,2,TRUE())</f>
        <v>0.0547601</v>
      </c>
      <c r="I23" s="28" t="n">
        <f aca="false">H23+Inputs!B10</f>
        <v>0.1222601</v>
      </c>
      <c r="J23" s="10" t="n">
        <f aca="false">SUMIFS(Daily!$G$6:$G$2400,Daily!$B$6:$B$2400,A23)</f>
        <v>15534.41827532</v>
      </c>
      <c r="K23" s="10" t="n">
        <f aca="false">SUMIFS(Daily!$H$6:$H$2400,Daily!$B$6:$B$2400,A23)</f>
        <v>2541.20817426454</v>
      </c>
      <c r="L23" s="11" t="n">
        <f aca="false">J23+K23</f>
        <v>18075.6264495846</v>
      </c>
      <c r="M23" s="11" t="n">
        <f aca="false">P22</f>
        <v>147229.272739726</v>
      </c>
      <c r="N23" s="10" t="n">
        <f aca="false">SUMIFS(Cash_Events!$H$6:$H$20,Cash_Events!$C$6:$C$20,"rAGMF",Cash_Events!$D$6:$D$20,"JV",Cash_Events!$M$6:$M$20,A23)</f>
        <v>0</v>
      </c>
      <c r="O23" s="10" t="n">
        <f aca="false">SUMIFS(Cash_Events!$H$6:$H$20,Cash_Events!$C$6:$C$20,"rAGMF",Cash_Events!$D$6:$D$20,"800S",Cash_Events!$M$6:$M$20,A23)</f>
        <v>0</v>
      </c>
      <c r="P23" s="11" t="n">
        <f aca="false">M23+J23-N23-O23</f>
        <v>162763.691015046</v>
      </c>
      <c r="Q23" s="11" t="n">
        <f aca="false">S22</f>
        <v>9123.28767123288</v>
      </c>
      <c r="R23" s="10" t="n">
        <f aca="false">SUMIFS(Cash_Events!$I$6:$I$20,Cash_Events!$C$6:$C$20,"rAGMF",Cash_Events!$M$6:$M$20,A23)</f>
        <v>0</v>
      </c>
      <c r="S23" s="11" t="n">
        <f aca="false">Q23+K23-R23</f>
        <v>11664.4958454974</v>
      </c>
      <c r="T23" s="13" t="n">
        <f aca="false">P23+S23</f>
        <v>174428.186860543</v>
      </c>
      <c r="U23" s="13" t="n">
        <f aca="false">G23+T23</f>
        <v>1674428.18686054</v>
      </c>
      <c r="V23" s="11" t="n">
        <f aca="false">V22+L23</f>
        <v>250076.266860543</v>
      </c>
      <c r="W23" s="11" t="n">
        <f aca="false">W22+N23+O23+R23</f>
        <v>75648.08</v>
      </c>
      <c r="X23" s="11" t="n">
        <f aca="false">ROUND(V23-W23-T23,2)</f>
        <v>0</v>
      </c>
      <c r="Y23" s="2"/>
    </row>
    <row r="24" customFormat="false" ht="15" hidden="false" customHeight="false" outlineLevel="0" collapsed="false">
      <c r="A24" s="32" t="n">
        <f aca="false">EOMONTH(A23,1)</f>
        <v>45351</v>
      </c>
      <c r="B24" s="32" t="n">
        <f aca="false">A23</f>
        <v>45322</v>
      </c>
      <c r="C24" s="39" t="n">
        <f aca="false">A24-B24</f>
        <v>29</v>
      </c>
      <c r="D24" s="9" t="str">
        <f aca="false">IF(A24&lt;=EOMONTH(Inputs!$B$18,-1),"Actual","Projection")</f>
        <v>Actual</v>
      </c>
      <c r="E24" s="11" t="n">
        <f aca="false">G23</f>
        <v>1500000</v>
      </c>
      <c r="F24" s="10" t="n">
        <f aca="false">SUMIFS(Cash_Events!$G$6:$G$20,Cash_Events!$C$6:$C$20,"rAGMF",Cash_Events!$M$6:$M$20,A24)</f>
        <v>0</v>
      </c>
      <c r="G24" s="11" t="n">
        <f aca="false">E24-F24</f>
        <v>1500000</v>
      </c>
      <c r="H24" s="28" t="n">
        <f aca="false">VLOOKUP(A24-1,Inputs!$A$40:$B$48,2,TRUE())</f>
        <v>0.0547601</v>
      </c>
      <c r="I24" s="28" t="n">
        <f aca="false">H24+Inputs!B10</f>
        <v>0.1222601</v>
      </c>
      <c r="J24" s="10" t="n">
        <f aca="false">SUMIFS(Daily!$G$6:$G$2400,Daily!$B$6:$B$2400,A24)</f>
        <v>14530.9135245902</v>
      </c>
      <c r="K24" s="10" t="n">
        <f aca="false">SUMIFS(Daily!$H$6:$H$2400,Daily!$B$6:$B$2400,A24)</f>
        <v>2377.04918032787</v>
      </c>
      <c r="L24" s="11" t="n">
        <f aca="false">J24+K24</f>
        <v>16907.962704918</v>
      </c>
      <c r="M24" s="11" t="n">
        <f aca="false">P23</f>
        <v>162763.691015046</v>
      </c>
      <c r="N24" s="10" t="n">
        <f aca="false">SUMIFS(Cash_Events!$H$6:$H$20,Cash_Events!$C$6:$C$20,"rAGMF",Cash_Events!$D$6:$D$20,"JV",Cash_Events!$M$6:$M$20,A24)</f>
        <v>0</v>
      </c>
      <c r="O24" s="10" t="n">
        <f aca="false">SUMIFS(Cash_Events!$H$6:$H$20,Cash_Events!$C$6:$C$20,"rAGMF",Cash_Events!$D$6:$D$20,"800S",Cash_Events!$M$6:$M$20,A24)</f>
        <v>0</v>
      </c>
      <c r="P24" s="11" t="n">
        <f aca="false">M24+J24-N24-O24</f>
        <v>177294.604539636</v>
      </c>
      <c r="Q24" s="11" t="n">
        <f aca="false">S23</f>
        <v>11664.4958454974</v>
      </c>
      <c r="R24" s="10" t="n">
        <f aca="false">SUMIFS(Cash_Events!$I$6:$I$20,Cash_Events!$C$6:$C$20,"rAGMF",Cash_Events!$M$6:$M$20,A24)</f>
        <v>0</v>
      </c>
      <c r="S24" s="11" t="n">
        <f aca="false">Q24+K24-R24</f>
        <v>14041.5450258253</v>
      </c>
      <c r="T24" s="13" t="n">
        <f aca="false">P24+S24</f>
        <v>191336.149565462</v>
      </c>
      <c r="U24" s="13" t="n">
        <f aca="false">G24+T24</f>
        <v>1691336.14956546</v>
      </c>
      <c r="V24" s="11" t="n">
        <f aca="false">V23+L24</f>
        <v>266984.229565462</v>
      </c>
      <c r="W24" s="11" t="n">
        <f aca="false">W23+N24+O24+R24</f>
        <v>75648.08</v>
      </c>
      <c r="X24" s="11" t="n">
        <f aca="false">ROUND(V24-W24-T24,2)</f>
        <v>0</v>
      </c>
      <c r="Y24" s="2"/>
    </row>
    <row r="25" customFormat="false" ht="15" hidden="false" customHeight="false" outlineLevel="0" collapsed="false">
      <c r="A25" s="32" t="n">
        <f aca="false">EOMONTH(A24,1)</f>
        <v>45382</v>
      </c>
      <c r="B25" s="32" t="n">
        <f aca="false">A24</f>
        <v>45351</v>
      </c>
      <c r="C25" s="39" t="n">
        <f aca="false">A25-B25</f>
        <v>31</v>
      </c>
      <c r="D25" s="9" t="str">
        <f aca="false">IF(A25&lt;=EOMONTH(Inputs!$B$18,-1),"Actual","Projection")</f>
        <v>Actual</v>
      </c>
      <c r="E25" s="11" t="n">
        <f aca="false">G24</f>
        <v>1500000</v>
      </c>
      <c r="F25" s="10" t="n">
        <f aca="false">SUMIFS(Cash_Events!$G$6:$G$20,Cash_Events!$C$6:$C$20,"rAGMF",Cash_Events!$M$6:$M$20,A25)</f>
        <v>0</v>
      </c>
      <c r="G25" s="11" t="n">
        <f aca="false">E25-F25</f>
        <v>1500000</v>
      </c>
      <c r="H25" s="28" t="n">
        <f aca="false">VLOOKUP(A25-1,Inputs!$A$40:$B$48,2,TRUE())</f>
        <v>0.0523565</v>
      </c>
      <c r="I25" s="28" t="n">
        <f aca="false">H25+Inputs!B10</f>
        <v>0.1198565</v>
      </c>
      <c r="J25" s="10" t="n">
        <f aca="false">SUMIFS(Daily!$G$6:$G$2400,Daily!$B$6:$B$2400,A25)</f>
        <v>15336.0290983607</v>
      </c>
      <c r="K25" s="10" t="n">
        <f aca="false">SUMIFS(Daily!$H$6:$H$2400,Daily!$B$6:$B$2400,A25)</f>
        <v>2540.98360655738</v>
      </c>
      <c r="L25" s="11" t="n">
        <f aca="false">J25+K25</f>
        <v>17877.012704918</v>
      </c>
      <c r="M25" s="11" t="n">
        <f aca="false">P24</f>
        <v>177294.604539636</v>
      </c>
      <c r="N25" s="10" t="n">
        <f aca="false">SUMIFS(Cash_Events!$H$6:$H$20,Cash_Events!$C$6:$C$20,"rAGMF",Cash_Events!$D$6:$D$20,"JV",Cash_Events!$M$6:$M$20,A25)</f>
        <v>0</v>
      </c>
      <c r="O25" s="10" t="n">
        <f aca="false">SUMIFS(Cash_Events!$H$6:$H$20,Cash_Events!$C$6:$C$20,"rAGMF",Cash_Events!$D$6:$D$20,"800S",Cash_Events!$M$6:$M$20,A25)</f>
        <v>0</v>
      </c>
      <c r="P25" s="11" t="n">
        <f aca="false">M25+J25-N25-O25</f>
        <v>192630.633637997</v>
      </c>
      <c r="Q25" s="11" t="n">
        <f aca="false">S24</f>
        <v>14041.5450258253</v>
      </c>
      <c r="R25" s="10" t="n">
        <f aca="false">SUMIFS(Cash_Events!$I$6:$I$20,Cash_Events!$C$6:$C$20,"rAGMF",Cash_Events!$M$6:$M$20,A25)</f>
        <v>0</v>
      </c>
      <c r="S25" s="11" t="n">
        <f aca="false">Q25+K25-R25</f>
        <v>16582.5286323827</v>
      </c>
      <c r="T25" s="13" t="n">
        <f aca="false">P25+S25</f>
        <v>209213.16227038</v>
      </c>
      <c r="U25" s="13" t="n">
        <f aca="false">G25+T25</f>
        <v>1709213.16227038</v>
      </c>
      <c r="V25" s="11" t="n">
        <f aca="false">V24+L25</f>
        <v>284861.24227038</v>
      </c>
      <c r="W25" s="11" t="n">
        <f aca="false">W24+N25+O25+R25</f>
        <v>75648.08</v>
      </c>
      <c r="X25" s="11" t="n">
        <f aca="false">ROUND(V25-W25-T25,2)</f>
        <v>0</v>
      </c>
      <c r="Y25" s="2" t="s">
        <v>244</v>
      </c>
    </row>
    <row r="26" customFormat="false" ht="15" hidden="false" customHeight="false" outlineLevel="0" collapsed="false">
      <c r="A26" s="32" t="n">
        <f aca="false">EOMONTH(A25,1)</f>
        <v>45412</v>
      </c>
      <c r="B26" s="32" t="n">
        <f aca="false">A25</f>
        <v>45382</v>
      </c>
      <c r="C26" s="39" t="n">
        <f aca="false">A26-B26</f>
        <v>30</v>
      </c>
      <c r="D26" s="9" t="str">
        <f aca="false">IF(A26&lt;=EOMONTH(Inputs!$B$18,-1),"Actual","Projection")</f>
        <v>Actual</v>
      </c>
      <c r="E26" s="11" t="n">
        <f aca="false">G25</f>
        <v>1500000</v>
      </c>
      <c r="F26" s="10" t="n">
        <f aca="false">SUMIFS(Cash_Events!$G$6:$G$20,Cash_Events!$C$6:$C$20,"rAGMF",Cash_Events!$M$6:$M$20,A26)</f>
        <v>0</v>
      </c>
      <c r="G26" s="11" t="n">
        <f aca="false">E26-F26</f>
        <v>1500000</v>
      </c>
      <c r="H26" s="28" t="n">
        <f aca="false">VLOOKUP(A26-1,Inputs!$A$40:$B$48,2,TRUE())</f>
        <v>0.0523565</v>
      </c>
      <c r="I26" s="28" t="n">
        <f aca="false">H26+Inputs!B10</f>
        <v>0.1198565</v>
      </c>
      <c r="J26" s="10" t="n">
        <f aca="false">SUMIFS(Daily!$G$6:$G$2400,Daily!$B$6:$B$2400,A26)</f>
        <v>14736.4549180328</v>
      </c>
      <c r="K26" s="10" t="n">
        <f aca="false">SUMIFS(Daily!$H$6:$H$2400,Daily!$B$6:$B$2400,A26)</f>
        <v>2459.01639344262</v>
      </c>
      <c r="L26" s="11" t="n">
        <f aca="false">J26+K26</f>
        <v>17195.4713114754</v>
      </c>
      <c r="M26" s="11" t="n">
        <f aca="false">P25</f>
        <v>192630.633637997</v>
      </c>
      <c r="N26" s="10" t="n">
        <f aca="false">SUMIFS(Cash_Events!$H$6:$H$20,Cash_Events!$C$6:$C$20,"rAGMF",Cash_Events!$D$6:$D$20,"JV",Cash_Events!$M$6:$M$20,A26)</f>
        <v>0</v>
      </c>
      <c r="O26" s="10" t="n">
        <f aca="false">SUMIFS(Cash_Events!$H$6:$H$20,Cash_Events!$C$6:$C$20,"rAGMF",Cash_Events!$D$6:$D$20,"800S",Cash_Events!$M$6:$M$20,A26)</f>
        <v>0</v>
      </c>
      <c r="P26" s="11" t="n">
        <f aca="false">M26+J26-N26-O26</f>
        <v>207367.08855603</v>
      </c>
      <c r="Q26" s="11" t="n">
        <f aca="false">S25</f>
        <v>16582.5286323827</v>
      </c>
      <c r="R26" s="10" t="n">
        <f aca="false">SUMIFS(Cash_Events!$I$6:$I$20,Cash_Events!$C$6:$C$20,"rAGMF",Cash_Events!$M$6:$M$20,A26)</f>
        <v>0</v>
      </c>
      <c r="S26" s="11" t="n">
        <f aca="false">Q26+K26-R26</f>
        <v>19041.5450258253</v>
      </c>
      <c r="T26" s="13" t="n">
        <f aca="false">P26+S26</f>
        <v>226408.633581855</v>
      </c>
      <c r="U26" s="13" t="n">
        <f aca="false">G26+T26</f>
        <v>1726408.63358185</v>
      </c>
      <c r="V26" s="11" t="n">
        <f aca="false">V25+L26</f>
        <v>302056.713581855</v>
      </c>
      <c r="W26" s="11" t="n">
        <f aca="false">W25+N26+O26+R26</f>
        <v>75648.08</v>
      </c>
      <c r="X26" s="11" t="n">
        <f aca="false">ROUND(V26-W26-T26,2)</f>
        <v>0</v>
      </c>
      <c r="Y26" s="2"/>
    </row>
    <row r="27" customFormat="false" ht="15" hidden="false" customHeight="false" outlineLevel="0" collapsed="false">
      <c r="A27" s="32" t="n">
        <f aca="false">EOMONTH(A26,1)</f>
        <v>45443</v>
      </c>
      <c r="B27" s="32" t="n">
        <f aca="false">A26</f>
        <v>45412</v>
      </c>
      <c r="C27" s="39" t="n">
        <f aca="false">A27-B27</f>
        <v>31</v>
      </c>
      <c r="D27" s="9" t="str">
        <f aca="false">IF(A27&lt;=EOMONTH(Inputs!$B$18,-1),"Actual","Projection")</f>
        <v>Actual</v>
      </c>
      <c r="E27" s="11" t="n">
        <f aca="false">G26</f>
        <v>1500000</v>
      </c>
      <c r="F27" s="10" t="n">
        <f aca="false">SUMIFS(Cash_Events!$G$6:$G$20,Cash_Events!$C$6:$C$20,"rAGMF",Cash_Events!$M$6:$M$20,A27)</f>
        <v>0</v>
      </c>
      <c r="G27" s="11" t="n">
        <f aca="false">E27-F27</f>
        <v>1500000</v>
      </c>
      <c r="H27" s="28" t="n">
        <f aca="false">VLOOKUP(A27-1,Inputs!$A$40:$B$48,2,TRUE())</f>
        <v>0.0523565</v>
      </c>
      <c r="I27" s="28" t="n">
        <f aca="false">H27+Inputs!B10</f>
        <v>0.1198565</v>
      </c>
      <c r="J27" s="10" t="n">
        <f aca="false">SUMIFS(Daily!$G$6:$G$2400,Daily!$B$6:$B$2400,A27)</f>
        <v>15227.6700819672</v>
      </c>
      <c r="K27" s="10" t="n">
        <f aca="false">SUMIFS(Daily!$H$6:$H$2400,Daily!$B$6:$B$2400,A27)</f>
        <v>2540.98360655738</v>
      </c>
      <c r="L27" s="11" t="n">
        <f aca="false">J27+K27</f>
        <v>17768.6536885246</v>
      </c>
      <c r="M27" s="11" t="n">
        <f aca="false">P26</f>
        <v>207367.08855603</v>
      </c>
      <c r="N27" s="10" t="n">
        <f aca="false">SUMIFS(Cash_Events!$H$6:$H$20,Cash_Events!$C$6:$C$20,"rAGMF",Cash_Events!$D$6:$D$20,"JV",Cash_Events!$M$6:$M$20,A27)</f>
        <v>0</v>
      </c>
      <c r="O27" s="10" t="n">
        <f aca="false">SUMIFS(Cash_Events!$H$6:$H$20,Cash_Events!$C$6:$C$20,"rAGMF",Cash_Events!$D$6:$D$20,"800S",Cash_Events!$M$6:$M$20,A27)</f>
        <v>0</v>
      </c>
      <c r="P27" s="11" t="n">
        <f aca="false">M27+J27-N27-O27</f>
        <v>222594.758637997</v>
      </c>
      <c r="Q27" s="11" t="n">
        <f aca="false">S26</f>
        <v>19041.5450258253</v>
      </c>
      <c r="R27" s="10" t="n">
        <f aca="false">SUMIFS(Cash_Events!$I$6:$I$20,Cash_Events!$C$6:$C$20,"rAGMF",Cash_Events!$M$6:$M$20,A27)</f>
        <v>0</v>
      </c>
      <c r="S27" s="11" t="n">
        <f aca="false">Q27+K27-R27</f>
        <v>21582.5286323827</v>
      </c>
      <c r="T27" s="13" t="n">
        <f aca="false">P27+S27</f>
        <v>244177.28727038</v>
      </c>
      <c r="U27" s="13" t="n">
        <f aca="false">G27+T27</f>
        <v>1744177.28727038</v>
      </c>
      <c r="V27" s="11" t="n">
        <f aca="false">V26+L27</f>
        <v>319825.36727038</v>
      </c>
      <c r="W27" s="11" t="n">
        <f aca="false">W26+N27+O27+R27</f>
        <v>75648.08</v>
      </c>
      <c r="X27" s="11" t="n">
        <f aca="false">ROUND(V27-W27-T27,2)</f>
        <v>0</v>
      </c>
      <c r="Y27" s="2"/>
    </row>
    <row r="28" customFormat="false" ht="15" hidden="false" customHeight="false" outlineLevel="0" collapsed="false">
      <c r="A28" s="32" t="n">
        <f aca="false">EOMONTH(A27,1)</f>
        <v>45473</v>
      </c>
      <c r="B28" s="32" t="n">
        <f aca="false">A27</f>
        <v>45443</v>
      </c>
      <c r="C28" s="39" t="n">
        <f aca="false">A28-B28</f>
        <v>30</v>
      </c>
      <c r="D28" s="9" t="str">
        <f aca="false">IF(A28&lt;=EOMONTH(Inputs!$B$18,-1),"Actual","Projection")</f>
        <v>Actual</v>
      </c>
      <c r="E28" s="11" t="n">
        <f aca="false">G27</f>
        <v>1500000</v>
      </c>
      <c r="F28" s="10" t="n">
        <f aca="false">SUMIFS(Cash_Events!$G$6:$G$20,Cash_Events!$C$6:$C$20,"rAGMF",Cash_Events!$M$6:$M$20,A28)</f>
        <v>765000</v>
      </c>
      <c r="G28" s="11" t="n">
        <f aca="false">E28-F28</f>
        <v>735000</v>
      </c>
      <c r="H28" s="28" t="n">
        <f aca="false">VLOOKUP(A28-1,Inputs!$A$40:$B$48,2,TRUE())</f>
        <v>0.0523565</v>
      </c>
      <c r="I28" s="28" t="n">
        <f aca="false">H28+Inputs!B10</f>
        <v>0.1198565</v>
      </c>
      <c r="J28" s="10" t="n">
        <f aca="false">SUMIFS(Daily!$G$6:$G$2400,Daily!$B$6:$B$2400,A28)</f>
        <v>14235.4154508197</v>
      </c>
      <c r="K28" s="10" t="n">
        <f aca="false">SUMIFS(Daily!$H$6:$H$2400,Daily!$B$6:$B$2400,A28)</f>
        <v>2375.40983606557</v>
      </c>
      <c r="L28" s="11" t="n">
        <f aca="false">J28+K28</f>
        <v>16610.8252868852</v>
      </c>
      <c r="M28" s="11" t="n">
        <f aca="false">P27</f>
        <v>222594.758637997</v>
      </c>
      <c r="N28" s="10" t="n">
        <f aca="false">SUMIFS(Cash_Events!$H$6:$H$20,Cash_Events!$C$6:$C$20,"rAGMF",Cash_Events!$D$6:$D$20,"JV",Cash_Events!$M$6:$M$20,A28)</f>
        <v>0</v>
      </c>
      <c r="O28" s="10" t="n">
        <f aca="false">SUMIFS(Cash_Events!$H$6:$H$20,Cash_Events!$C$6:$C$20,"rAGMF",Cash_Events!$D$6:$D$20,"800S",Cash_Events!$M$6:$M$20,A28)</f>
        <v>100477.79</v>
      </c>
      <c r="P28" s="11" t="n">
        <f aca="false">M28+J28-N28-O28</f>
        <v>136352.384088817</v>
      </c>
      <c r="Q28" s="11" t="n">
        <f aca="false">S27</f>
        <v>21582.5286323827</v>
      </c>
      <c r="R28" s="10" t="n">
        <f aca="false">SUMIFS(Cash_Events!$I$6:$I$20,Cash_Events!$C$6:$C$20,"rAGMF",Cash_Events!$M$6:$M$20,A28)</f>
        <v>8687.9</v>
      </c>
      <c r="S28" s="11" t="n">
        <f aca="false">Q28+K28-R28</f>
        <v>15270.0384684482</v>
      </c>
      <c r="T28" s="13" t="n">
        <f aca="false">P28+S28</f>
        <v>151622.422557265</v>
      </c>
      <c r="U28" s="13" t="n">
        <f aca="false">G28+T28</f>
        <v>886622.422557265</v>
      </c>
      <c r="V28" s="11" t="n">
        <f aca="false">V27+L28</f>
        <v>336436.192557265</v>
      </c>
      <c r="W28" s="11" t="n">
        <f aca="false">W27+N28+O28+R28</f>
        <v>184813.77</v>
      </c>
      <c r="X28" s="11" t="n">
        <f aca="false">ROUND(V28-W28-T28,2)</f>
        <v>0</v>
      </c>
      <c r="Y28" s="2" t="s">
        <v>245</v>
      </c>
    </row>
    <row r="29" customFormat="false" ht="15" hidden="false" customHeight="false" outlineLevel="0" collapsed="false">
      <c r="A29" s="32" t="n">
        <f aca="false">EOMONTH(A28,1)</f>
        <v>45504</v>
      </c>
      <c r="B29" s="32" t="n">
        <f aca="false">A28</f>
        <v>45473</v>
      </c>
      <c r="C29" s="39" t="n">
        <f aca="false">A29-B29</f>
        <v>31</v>
      </c>
      <c r="D29" s="9" t="str">
        <f aca="false">IF(A29&lt;=EOMONTH(Inputs!$B$18,-1),"Actual","Projection")</f>
        <v>Actual</v>
      </c>
      <c r="E29" s="11" t="n">
        <f aca="false">G28</f>
        <v>735000</v>
      </c>
      <c r="F29" s="10" t="n">
        <f aca="false">SUMIFS(Cash_Events!$G$6:$G$20,Cash_Events!$C$6:$C$20,"rAGMF",Cash_Events!$M$6:$M$20,A29)</f>
        <v>0</v>
      </c>
      <c r="G29" s="11" t="n">
        <f aca="false">E29-F29</f>
        <v>735000</v>
      </c>
      <c r="H29" s="28" t="n">
        <f aca="false">VLOOKUP(A29-1,Inputs!$A$40:$B$48,2,TRUE())</f>
        <v>0.0523565</v>
      </c>
      <c r="I29" s="28" t="n">
        <f aca="false">H29+Inputs!B10</f>
        <v>0.1198565</v>
      </c>
      <c r="J29" s="10" t="n">
        <f aca="false">SUMIFS(Daily!$G$6:$G$2400,Daily!$B$6:$B$2400,A29)</f>
        <v>7461.55834016393</v>
      </c>
      <c r="K29" s="10" t="n">
        <f aca="false">SUMIFS(Daily!$H$6:$H$2400,Daily!$B$6:$B$2400,A29)</f>
        <v>1245.08196721311</v>
      </c>
      <c r="L29" s="11" t="n">
        <f aca="false">J29+K29</f>
        <v>8706.64030737705</v>
      </c>
      <c r="M29" s="11" t="n">
        <f aca="false">P28</f>
        <v>136352.384088817</v>
      </c>
      <c r="N29" s="10" t="n">
        <f aca="false">SUMIFS(Cash_Events!$H$6:$H$20,Cash_Events!$C$6:$C$20,"rAGMF",Cash_Events!$D$6:$D$20,"JV",Cash_Events!$M$6:$M$20,A29)</f>
        <v>0</v>
      </c>
      <c r="O29" s="10" t="n">
        <f aca="false">SUMIFS(Cash_Events!$H$6:$H$20,Cash_Events!$C$6:$C$20,"rAGMF",Cash_Events!$D$6:$D$20,"800S",Cash_Events!$M$6:$M$20,A29)</f>
        <v>0</v>
      </c>
      <c r="P29" s="11" t="n">
        <f aca="false">M29+J29-N29-O29</f>
        <v>143813.94242898</v>
      </c>
      <c r="Q29" s="11" t="n">
        <f aca="false">S28</f>
        <v>15270.0384684482</v>
      </c>
      <c r="R29" s="10" t="n">
        <f aca="false">SUMIFS(Cash_Events!$I$6:$I$20,Cash_Events!$C$6:$C$20,"rAGMF",Cash_Events!$M$6:$M$20,A29)</f>
        <v>0</v>
      </c>
      <c r="S29" s="11" t="n">
        <f aca="false">Q29+K29-R29</f>
        <v>16515.1204356614</v>
      </c>
      <c r="T29" s="13" t="n">
        <f aca="false">P29+S29</f>
        <v>160329.062864642</v>
      </c>
      <c r="U29" s="13" t="n">
        <f aca="false">G29+T29</f>
        <v>895329.062864642</v>
      </c>
      <c r="V29" s="11" t="n">
        <f aca="false">V28+L29</f>
        <v>345142.832864642</v>
      </c>
      <c r="W29" s="11" t="n">
        <f aca="false">W28+N29+O29+R29</f>
        <v>184813.77</v>
      </c>
      <c r="X29" s="11" t="n">
        <f aca="false">ROUND(V29-W29-T29,2)</f>
        <v>0</v>
      </c>
      <c r="Y29" s="2"/>
    </row>
    <row r="30" customFormat="false" ht="15" hidden="false" customHeight="false" outlineLevel="0" collapsed="false">
      <c r="A30" s="32" t="n">
        <f aca="false">EOMONTH(A29,1)</f>
        <v>45535</v>
      </c>
      <c r="B30" s="32" t="n">
        <f aca="false">A29</f>
        <v>45504</v>
      </c>
      <c r="C30" s="39" t="n">
        <f aca="false">A30-B30</f>
        <v>31</v>
      </c>
      <c r="D30" s="9" t="str">
        <f aca="false">IF(A30&lt;=EOMONTH(Inputs!$B$18,-1),"Actual","Projection")</f>
        <v>Actual</v>
      </c>
      <c r="E30" s="11" t="n">
        <f aca="false">G29</f>
        <v>735000</v>
      </c>
      <c r="F30" s="10" t="n">
        <f aca="false">SUMIFS(Cash_Events!$G$6:$G$20,Cash_Events!$C$6:$C$20,"rAGMF",Cash_Events!$M$6:$M$20,A30)</f>
        <v>0</v>
      </c>
      <c r="G30" s="11" t="n">
        <f aca="false">E30-F30</f>
        <v>735000</v>
      </c>
      <c r="H30" s="28" t="n">
        <f aca="false">VLOOKUP(A30-1,Inputs!$A$40:$B$48,2,TRUE())</f>
        <v>0.0523565</v>
      </c>
      <c r="I30" s="28" t="n">
        <f aca="false">H30+Inputs!B10</f>
        <v>0.1198565</v>
      </c>
      <c r="J30" s="10" t="n">
        <f aca="false">SUMIFS(Daily!$G$6:$G$2400,Daily!$B$6:$B$2400,A30)</f>
        <v>7461.55834016393</v>
      </c>
      <c r="K30" s="10" t="n">
        <f aca="false">SUMIFS(Daily!$H$6:$H$2400,Daily!$B$6:$B$2400,A30)</f>
        <v>1245.08196721311</v>
      </c>
      <c r="L30" s="11" t="n">
        <f aca="false">J30+K30</f>
        <v>8706.64030737705</v>
      </c>
      <c r="M30" s="11" t="n">
        <f aca="false">P29</f>
        <v>143813.94242898</v>
      </c>
      <c r="N30" s="10" t="n">
        <f aca="false">SUMIFS(Cash_Events!$H$6:$H$20,Cash_Events!$C$6:$C$20,"rAGMF",Cash_Events!$D$6:$D$20,"JV",Cash_Events!$M$6:$M$20,A30)</f>
        <v>0</v>
      </c>
      <c r="O30" s="10" t="n">
        <f aca="false">SUMIFS(Cash_Events!$H$6:$H$20,Cash_Events!$C$6:$C$20,"rAGMF",Cash_Events!$D$6:$D$20,"800S",Cash_Events!$M$6:$M$20,A30)</f>
        <v>0</v>
      </c>
      <c r="P30" s="11" t="n">
        <f aca="false">M30+J30-N30-O30</f>
        <v>151275.500769144</v>
      </c>
      <c r="Q30" s="11" t="n">
        <f aca="false">S29</f>
        <v>16515.1204356614</v>
      </c>
      <c r="R30" s="10" t="n">
        <f aca="false">SUMIFS(Cash_Events!$I$6:$I$20,Cash_Events!$C$6:$C$20,"rAGMF",Cash_Events!$M$6:$M$20,A30)</f>
        <v>0</v>
      </c>
      <c r="S30" s="11" t="n">
        <f aca="false">Q30+K30-R30</f>
        <v>17760.2024028745</v>
      </c>
      <c r="T30" s="13" t="n">
        <f aca="false">P30+S30</f>
        <v>169035.703172019</v>
      </c>
      <c r="U30" s="13" t="n">
        <f aca="false">G30+T30</f>
        <v>904035.703172019</v>
      </c>
      <c r="V30" s="11" t="n">
        <f aca="false">V29+L30</f>
        <v>353849.473172019</v>
      </c>
      <c r="W30" s="11" t="n">
        <f aca="false">W29+N30+O30+R30</f>
        <v>184813.77</v>
      </c>
      <c r="X30" s="11" t="n">
        <f aca="false">ROUND(V30-W30-T30,2)</f>
        <v>0</v>
      </c>
      <c r="Y30" s="2"/>
    </row>
    <row r="31" customFormat="false" ht="15" hidden="false" customHeight="false" outlineLevel="0" collapsed="false">
      <c r="A31" s="32" t="n">
        <f aca="false">EOMONTH(A30,1)</f>
        <v>45565</v>
      </c>
      <c r="B31" s="32" t="n">
        <f aca="false">A30</f>
        <v>45535</v>
      </c>
      <c r="C31" s="39" t="n">
        <f aca="false">A31-B31</f>
        <v>30</v>
      </c>
      <c r="D31" s="9" t="str">
        <f aca="false">IF(A31&lt;=EOMONTH(Inputs!$B$18,-1),"Actual","Projection")</f>
        <v>Actual</v>
      </c>
      <c r="E31" s="11" t="n">
        <f aca="false">G30</f>
        <v>735000</v>
      </c>
      <c r="F31" s="10" t="n">
        <f aca="false">SUMIFS(Cash_Events!$G$6:$G$20,Cash_Events!$C$6:$C$20,"rAGMF",Cash_Events!$M$6:$M$20,A31)</f>
        <v>0</v>
      </c>
      <c r="G31" s="11" t="n">
        <f aca="false">E31-F31</f>
        <v>735000</v>
      </c>
      <c r="H31" s="28" t="n">
        <f aca="false">VLOOKUP(A31-1,Inputs!$A$40:$B$48,2,TRUE())</f>
        <v>0.0461541</v>
      </c>
      <c r="I31" s="28" t="n">
        <f aca="false">H31+Inputs!B10</f>
        <v>0.1136541</v>
      </c>
      <c r="J31" s="10" t="n">
        <f aca="false">SUMIFS(Daily!$G$6:$G$2400,Daily!$B$6:$B$2400,A31)</f>
        <v>6959.29448360656</v>
      </c>
      <c r="K31" s="10" t="n">
        <f aca="false">SUMIFS(Daily!$H$6:$H$2400,Daily!$B$6:$B$2400,A31)</f>
        <v>1204.91803278689</v>
      </c>
      <c r="L31" s="11" t="n">
        <f aca="false">J31+K31</f>
        <v>8164.21251639344</v>
      </c>
      <c r="M31" s="11" t="n">
        <f aca="false">P30</f>
        <v>151275.500769144</v>
      </c>
      <c r="N31" s="10" t="n">
        <f aca="false">SUMIFS(Cash_Events!$H$6:$H$20,Cash_Events!$C$6:$C$20,"rAGMF",Cash_Events!$D$6:$D$20,"JV",Cash_Events!$M$6:$M$20,A31)</f>
        <v>0</v>
      </c>
      <c r="O31" s="10" t="n">
        <f aca="false">SUMIFS(Cash_Events!$H$6:$H$20,Cash_Events!$C$6:$C$20,"rAGMF",Cash_Events!$D$6:$D$20,"800S",Cash_Events!$M$6:$M$20,A31)</f>
        <v>0</v>
      </c>
      <c r="P31" s="11" t="n">
        <f aca="false">M31+J31-N31-O31</f>
        <v>158234.795252751</v>
      </c>
      <c r="Q31" s="11" t="n">
        <f aca="false">S30</f>
        <v>17760.2024028745</v>
      </c>
      <c r="R31" s="10" t="n">
        <f aca="false">SUMIFS(Cash_Events!$I$6:$I$20,Cash_Events!$C$6:$C$20,"rAGMF",Cash_Events!$M$6:$M$20,A31)</f>
        <v>0</v>
      </c>
      <c r="S31" s="11" t="n">
        <f aca="false">Q31+K31-R31</f>
        <v>18965.1204356614</v>
      </c>
      <c r="T31" s="13" t="n">
        <f aca="false">P31+S31</f>
        <v>177199.915688412</v>
      </c>
      <c r="U31" s="13" t="n">
        <f aca="false">G31+T31</f>
        <v>912199.915688412</v>
      </c>
      <c r="V31" s="11" t="n">
        <f aca="false">V30+L31</f>
        <v>362013.685688412</v>
      </c>
      <c r="W31" s="11" t="n">
        <f aca="false">W30+N31+O31+R31</f>
        <v>184813.77</v>
      </c>
      <c r="X31" s="11" t="n">
        <f aca="false">ROUND(V31-W31-T31,2)</f>
        <v>0</v>
      </c>
      <c r="Y31" s="2" t="s">
        <v>246</v>
      </c>
    </row>
    <row r="32" customFormat="false" ht="15" hidden="false" customHeight="false" outlineLevel="0" collapsed="false">
      <c r="A32" s="32" t="n">
        <f aca="false">EOMONTH(A31,1)</f>
        <v>45596</v>
      </c>
      <c r="B32" s="32" t="n">
        <f aca="false">A31</f>
        <v>45565</v>
      </c>
      <c r="C32" s="39" t="n">
        <f aca="false">A32-B32</f>
        <v>31</v>
      </c>
      <c r="D32" s="9" t="str">
        <f aca="false">IF(A32&lt;=EOMONTH(Inputs!$B$18,-1),"Actual","Projection")</f>
        <v>Actual</v>
      </c>
      <c r="E32" s="11" t="n">
        <f aca="false">G31</f>
        <v>735000</v>
      </c>
      <c r="F32" s="10" t="n">
        <f aca="false">SUMIFS(Cash_Events!$G$6:$G$20,Cash_Events!$C$6:$C$20,"rAGMF",Cash_Events!$M$6:$M$20,A32)</f>
        <v>0</v>
      </c>
      <c r="G32" s="11" t="n">
        <f aca="false">E32-F32</f>
        <v>735000</v>
      </c>
      <c r="H32" s="28" t="n">
        <f aca="false">VLOOKUP(A32-1,Inputs!$A$40:$B$48,2,TRUE())</f>
        <v>0.0461541</v>
      </c>
      <c r="I32" s="28" t="n">
        <f aca="false">H32+Inputs!B10</f>
        <v>0.1136541</v>
      </c>
      <c r="J32" s="10" t="n">
        <f aca="false">SUMIFS(Daily!$G$6:$G$2400,Daily!$B$6:$B$2400,A32)</f>
        <v>7075.4335204918</v>
      </c>
      <c r="K32" s="10" t="n">
        <f aca="false">SUMIFS(Daily!$H$6:$H$2400,Daily!$B$6:$B$2400,A32)</f>
        <v>1245.08196721311</v>
      </c>
      <c r="L32" s="11" t="n">
        <f aca="false">J32+K32</f>
        <v>8320.51548770492</v>
      </c>
      <c r="M32" s="11" t="n">
        <f aca="false">P31</f>
        <v>158234.795252751</v>
      </c>
      <c r="N32" s="10" t="n">
        <f aca="false">SUMIFS(Cash_Events!$H$6:$H$20,Cash_Events!$C$6:$C$20,"rAGMF",Cash_Events!$D$6:$D$20,"JV",Cash_Events!$M$6:$M$20,A32)</f>
        <v>0</v>
      </c>
      <c r="O32" s="10" t="n">
        <f aca="false">SUMIFS(Cash_Events!$H$6:$H$20,Cash_Events!$C$6:$C$20,"rAGMF",Cash_Events!$D$6:$D$20,"800S",Cash_Events!$M$6:$M$20,A32)</f>
        <v>0</v>
      </c>
      <c r="P32" s="11" t="n">
        <f aca="false">M32+J32-N32-O32</f>
        <v>165310.228773243</v>
      </c>
      <c r="Q32" s="11" t="n">
        <f aca="false">S31</f>
        <v>18965.1204356614</v>
      </c>
      <c r="R32" s="10" t="n">
        <f aca="false">SUMIFS(Cash_Events!$I$6:$I$20,Cash_Events!$C$6:$C$20,"rAGMF",Cash_Events!$M$6:$M$20,A32)</f>
        <v>0</v>
      </c>
      <c r="S32" s="11" t="n">
        <f aca="false">Q32+K32-R32</f>
        <v>20210.2024028745</v>
      </c>
      <c r="T32" s="13" t="n">
        <f aca="false">P32+S32</f>
        <v>185520.431176117</v>
      </c>
      <c r="U32" s="13" t="n">
        <f aca="false">G32+T32</f>
        <v>920520.431176117</v>
      </c>
      <c r="V32" s="11" t="n">
        <f aca="false">V31+L32</f>
        <v>370334.201176117</v>
      </c>
      <c r="W32" s="11" t="n">
        <f aca="false">W31+N32+O32+R32</f>
        <v>184813.77</v>
      </c>
      <c r="X32" s="11" t="n">
        <f aca="false">ROUND(V32-W32-T32,2)</f>
        <v>0</v>
      </c>
      <c r="Y32" s="2"/>
    </row>
    <row r="33" customFormat="false" ht="15" hidden="false" customHeight="false" outlineLevel="0" collapsed="false">
      <c r="A33" s="32" t="n">
        <f aca="false">EOMONTH(A32,1)</f>
        <v>45626</v>
      </c>
      <c r="B33" s="32" t="n">
        <f aca="false">A32</f>
        <v>45596</v>
      </c>
      <c r="C33" s="39" t="n">
        <f aca="false">A33-B33</f>
        <v>30</v>
      </c>
      <c r="D33" s="9" t="str">
        <f aca="false">IF(A33&lt;=EOMONTH(Inputs!$B$18,-1),"Actual","Projection")</f>
        <v>Actual</v>
      </c>
      <c r="E33" s="11" t="n">
        <f aca="false">G32</f>
        <v>735000</v>
      </c>
      <c r="F33" s="10" t="n">
        <f aca="false">SUMIFS(Cash_Events!$G$6:$G$20,Cash_Events!$C$6:$C$20,"rAGMF",Cash_Events!$M$6:$M$20,A33)</f>
        <v>0</v>
      </c>
      <c r="G33" s="11" t="n">
        <f aca="false">E33-F33</f>
        <v>735000</v>
      </c>
      <c r="H33" s="28" t="n">
        <f aca="false">VLOOKUP(A33-1,Inputs!$A$40:$B$48,2,TRUE())</f>
        <v>0.0461541</v>
      </c>
      <c r="I33" s="28" t="n">
        <f aca="false">H33+Inputs!B10</f>
        <v>0.1136541</v>
      </c>
      <c r="J33" s="10" t="n">
        <f aca="false">SUMIFS(Daily!$G$6:$G$2400,Daily!$B$6:$B$2400,A33)</f>
        <v>6847.1937295082</v>
      </c>
      <c r="K33" s="10" t="n">
        <f aca="false">SUMIFS(Daily!$H$6:$H$2400,Daily!$B$6:$B$2400,A33)</f>
        <v>1204.91803278689</v>
      </c>
      <c r="L33" s="11" t="n">
        <f aca="false">J33+K33</f>
        <v>8052.11176229508</v>
      </c>
      <c r="M33" s="11" t="n">
        <f aca="false">P32</f>
        <v>165310.228773243</v>
      </c>
      <c r="N33" s="10" t="n">
        <f aca="false">SUMIFS(Cash_Events!$H$6:$H$20,Cash_Events!$C$6:$C$20,"rAGMF",Cash_Events!$D$6:$D$20,"JV",Cash_Events!$M$6:$M$20,A33)</f>
        <v>0</v>
      </c>
      <c r="O33" s="10" t="n">
        <f aca="false">SUMIFS(Cash_Events!$H$6:$H$20,Cash_Events!$C$6:$C$20,"rAGMF",Cash_Events!$D$6:$D$20,"800S",Cash_Events!$M$6:$M$20,A33)</f>
        <v>0</v>
      </c>
      <c r="P33" s="11" t="n">
        <f aca="false">M33+J33-N33-O33</f>
        <v>172157.422502751</v>
      </c>
      <c r="Q33" s="11" t="n">
        <f aca="false">S32</f>
        <v>20210.2024028745</v>
      </c>
      <c r="R33" s="10" t="n">
        <f aca="false">SUMIFS(Cash_Events!$I$6:$I$20,Cash_Events!$C$6:$C$20,"rAGMF",Cash_Events!$M$6:$M$20,A33)</f>
        <v>0</v>
      </c>
      <c r="S33" s="11" t="n">
        <f aca="false">Q33+K33-R33</f>
        <v>21415.1204356614</v>
      </c>
      <c r="T33" s="13" t="n">
        <f aca="false">P33+S33</f>
        <v>193572.542938412</v>
      </c>
      <c r="U33" s="13" t="n">
        <f aca="false">G33+T33</f>
        <v>928572.542938412</v>
      </c>
      <c r="V33" s="11" t="n">
        <f aca="false">V32+L33</f>
        <v>378386.312938412</v>
      </c>
      <c r="W33" s="11" t="n">
        <f aca="false">W32+N33+O33+R33</f>
        <v>184813.77</v>
      </c>
      <c r="X33" s="11" t="n">
        <f aca="false">ROUND(V33-W33-T33,2)</f>
        <v>0</v>
      </c>
      <c r="Y33" s="2"/>
    </row>
    <row r="34" customFormat="false" ht="15" hidden="false" customHeight="false" outlineLevel="0" collapsed="false">
      <c r="A34" s="32" t="n">
        <f aca="false">EOMONTH(A33,1)</f>
        <v>45657</v>
      </c>
      <c r="B34" s="32" t="n">
        <f aca="false">A33</f>
        <v>45626</v>
      </c>
      <c r="C34" s="39" t="n">
        <f aca="false">A34-B34</f>
        <v>31</v>
      </c>
      <c r="D34" s="9" t="str">
        <f aca="false">IF(A34&lt;=EOMONTH(Inputs!$B$18,-1),"Actual","Projection")</f>
        <v>Actual</v>
      </c>
      <c r="E34" s="11" t="n">
        <f aca="false">G33</f>
        <v>735000</v>
      </c>
      <c r="F34" s="10" t="n">
        <f aca="false">SUMIFS(Cash_Events!$G$6:$G$20,Cash_Events!$C$6:$C$20,"rAGMF",Cash_Events!$M$6:$M$20,A34)</f>
        <v>0</v>
      </c>
      <c r="G34" s="11" t="n">
        <f aca="false">E34-F34</f>
        <v>735000</v>
      </c>
      <c r="H34" s="28" t="n">
        <f aca="false">VLOOKUP(A34-1,Inputs!$A$40:$B$48,2,TRUE())</f>
        <v>0.0461541</v>
      </c>
      <c r="I34" s="28" t="n">
        <f aca="false">H34+Inputs!B10</f>
        <v>0.1136541</v>
      </c>
      <c r="J34" s="10" t="n">
        <f aca="false">SUMIFS(Daily!$G$6:$G$2400,Daily!$B$6:$B$2400,A34)</f>
        <v>7075.4335204918</v>
      </c>
      <c r="K34" s="10" t="n">
        <f aca="false">SUMIFS(Daily!$H$6:$H$2400,Daily!$B$6:$B$2400,A34)</f>
        <v>1245.08196721311</v>
      </c>
      <c r="L34" s="11" t="n">
        <f aca="false">J34+K34</f>
        <v>8320.51548770492</v>
      </c>
      <c r="M34" s="11" t="n">
        <f aca="false">P33</f>
        <v>172157.422502751</v>
      </c>
      <c r="N34" s="10" t="n">
        <f aca="false">SUMIFS(Cash_Events!$H$6:$H$20,Cash_Events!$C$6:$C$20,"rAGMF",Cash_Events!$D$6:$D$20,"JV",Cash_Events!$M$6:$M$20,A34)</f>
        <v>0</v>
      </c>
      <c r="O34" s="10" t="n">
        <f aca="false">SUMIFS(Cash_Events!$H$6:$H$20,Cash_Events!$C$6:$C$20,"rAGMF",Cash_Events!$D$6:$D$20,"800S",Cash_Events!$M$6:$M$20,A34)</f>
        <v>0</v>
      </c>
      <c r="P34" s="11" t="n">
        <f aca="false">M34+J34-N34-O34</f>
        <v>179232.856023243</v>
      </c>
      <c r="Q34" s="11" t="n">
        <f aca="false">S33</f>
        <v>21415.1204356614</v>
      </c>
      <c r="R34" s="10" t="n">
        <f aca="false">SUMIFS(Cash_Events!$I$6:$I$20,Cash_Events!$C$6:$C$20,"rAGMF",Cash_Events!$M$6:$M$20,A34)</f>
        <v>0</v>
      </c>
      <c r="S34" s="11" t="n">
        <f aca="false">Q34+K34-R34</f>
        <v>22660.2024028745</v>
      </c>
      <c r="T34" s="13" t="n">
        <f aca="false">P34+S34</f>
        <v>201893.058426117</v>
      </c>
      <c r="U34" s="13" t="n">
        <f aca="false">G34+T34</f>
        <v>936893.058426117</v>
      </c>
      <c r="V34" s="11" t="n">
        <f aca="false">V33+L34</f>
        <v>386706.828426117</v>
      </c>
      <c r="W34" s="11" t="n">
        <f aca="false">W33+N34+O34+R34</f>
        <v>184813.77</v>
      </c>
      <c r="X34" s="11" t="n">
        <f aca="false">ROUND(V34-W34-T34,2)</f>
        <v>0</v>
      </c>
      <c r="Y34" s="2"/>
    </row>
    <row r="35" customFormat="false" ht="15" hidden="false" customHeight="false" outlineLevel="0" collapsed="false">
      <c r="A35" s="32" t="n">
        <f aca="false">EOMONTH(A34,1)</f>
        <v>45688</v>
      </c>
      <c r="B35" s="32" t="n">
        <f aca="false">A34</f>
        <v>45657</v>
      </c>
      <c r="C35" s="39" t="n">
        <f aca="false">A35-B35</f>
        <v>31</v>
      </c>
      <c r="D35" s="9" t="str">
        <f aca="false">IF(A35&lt;=EOMONTH(Inputs!$B$18,-1),"Actual","Projection")</f>
        <v>Actual</v>
      </c>
      <c r="E35" s="11" t="n">
        <f aca="false">G34</f>
        <v>735000</v>
      </c>
      <c r="F35" s="10" t="n">
        <f aca="false">SUMIFS(Cash_Events!$G$6:$G$20,Cash_Events!$C$6:$C$20,"rAGMF",Cash_Events!$M$6:$M$20,A35)</f>
        <v>0</v>
      </c>
      <c r="G35" s="11" t="n">
        <f aca="false">E35-F35</f>
        <v>735000</v>
      </c>
      <c r="H35" s="28" t="n">
        <f aca="false">VLOOKUP(A35-1,Inputs!$A$40:$B$48,2,TRUE())</f>
        <v>0.0461541</v>
      </c>
      <c r="I35" s="28" t="n">
        <f aca="false">H35+Inputs!B10</f>
        <v>0.1136541</v>
      </c>
      <c r="J35" s="10" t="n">
        <f aca="false">SUMIFS(Daily!$G$6:$G$2400,Daily!$B$6:$B$2400,A35)</f>
        <v>7094.19295536717</v>
      </c>
      <c r="K35" s="10" t="n">
        <f aca="false">SUMIFS(Daily!$H$6:$H$2400,Daily!$B$6:$B$2400,A35)</f>
        <v>1248.38311250842</v>
      </c>
      <c r="L35" s="11" t="n">
        <f aca="false">J35+K35</f>
        <v>8342.57606787559</v>
      </c>
      <c r="M35" s="11" t="n">
        <f aca="false">P34</f>
        <v>179232.856023243</v>
      </c>
      <c r="N35" s="10" t="n">
        <f aca="false">SUMIFS(Cash_Events!$H$6:$H$20,Cash_Events!$C$6:$C$20,"rAGMF",Cash_Events!$D$6:$D$20,"JV",Cash_Events!$M$6:$M$20,A35)</f>
        <v>0</v>
      </c>
      <c r="O35" s="10" t="n">
        <f aca="false">SUMIFS(Cash_Events!$H$6:$H$20,Cash_Events!$C$6:$C$20,"rAGMF",Cash_Events!$D$6:$D$20,"800S",Cash_Events!$M$6:$M$20,A35)</f>
        <v>0</v>
      </c>
      <c r="P35" s="11" t="n">
        <f aca="false">M35+J35-N35-O35</f>
        <v>186327.04897861</v>
      </c>
      <c r="Q35" s="11" t="n">
        <f aca="false">S34</f>
        <v>22660.2024028745</v>
      </c>
      <c r="R35" s="10" t="n">
        <f aca="false">SUMIFS(Cash_Events!$I$6:$I$20,Cash_Events!$C$6:$C$20,"rAGMF",Cash_Events!$M$6:$M$20,A35)</f>
        <v>0</v>
      </c>
      <c r="S35" s="11" t="n">
        <f aca="false">Q35+K35-R35</f>
        <v>23908.5855153829</v>
      </c>
      <c r="T35" s="13" t="n">
        <f aca="false">P35+S35</f>
        <v>210235.634493993</v>
      </c>
      <c r="U35" s="13" t="n">
        <f aca="false">G35+T35</f>
        <v>945235.634493993</v>
      </c>
      <c r="V35" s="11" t="n">
        <f aca="false">V34+L35</f>
        <v>395049.404493993</v>
      </c>
      <c r="W35" s="11" t="n">
        <f aca="false">W34+N35+O35+R35</f>
        <v>184813.77</v>
      </c>
      <c r="X35" s="11" t="n">
        <f aca="false">ROUND(V35-W35-T35,2)</f>
        <v>0</v>
      </c>
      <c r="Y35" s="2"/>
    </row>
    <row r="36" customFormat="false" ht="15" hidden="false" customHeight="false" outlineLevel="0" collapsed="false">
      <c r="A36" s="32" t="n">
        <f aca="false">EOMONTH(A35,1)</f>
        <v>45716</v>
      </c>
      <c r="B36" s="32" t="n">
        <f aca="false">A35</f>
        <v>45688</v>
      </c>
      <c r="C36" s="39" t="n">
        <f aca="false">A36-B36</f>
        <v>28</v>
      </c>
      <c r="D36" s="9" t="str">
        <f aca="false">IF(A36&lt;=EOMONTH(Inputs!$B$18,-1),"Actual","Projection")</f>
        <v>Actual</v>
      </c>
      <c r="E36" s="11" t="n">
        <f aca="false">G35</f>
        <v>735000</v>
      </c>
      <c r="F36" s="10" t="n">
        <f aca="false">SUMIFS(Cash_Events!$G$6:$G$20,Cash_Events!$C$6:$C$20,"rAGMF",Cash_Events!$M$6:$M$20,A36)</f>
        <v>0</v>
      </c>
      <c r="G36" s="11" t="n">
        <f aca="false">E36-F36</f>
        <v>735000</v>
      </c>
      <c r="H36" s="28" t="n">
        <f aca="false">VLOOKUP(A36-1,Inputs!$A$40:$B$48,2,TRUE())</f>
        <v>0.0461541</v>
      </c>
      <c r="I36" s="28" t="n">
        <f aca="false">H36+Inputs!B10</f>
        <v>0.1136541</v>
      </c>
      <c r="J36" s="10" t="n">
        <f aca="false">SUMIFS(Daily!$G$6:$G$2400,Daily!$B$6:$B$2400,A36)</f>
        <v>6408.22295342466</v>
      </c>
      <c r="K36" s="10" t="n">
        <f aca="false">SUMIFS(Daily!$H$6:$H$2400,Daily!$B$6:$B$2400,A36)</f>
        <v>1127.67123287671</v>
      </c>
      <c r="L36" s="11" t="n">
        <f aca="false">J36+K36</f>
        <v>7535.89418630137</v>
      </c>
      <c r="M36" s="11" t="n">
        <f aca="false">P35</f>
        <v>186327.04897861</v>
      </c>
      <c r="N36" s="10" t="n">
        <f aca="false">SUMIFS(Cash_Events!$H$6:$H$20,Cash_Events!$C$6:$C$20,"rAGMF",Cash_Events!$D$6:$D$20,"JV",Cash_Events!$M$6:$M$20,A36)</f>
        <v>0</v>
      </c>
      <c r="O36" s="10" t="n">
        <f aca="false">SUMIFS(Cash_Events!$H$6:$H$20,Cash_Events!$C$6:$C$20,"rAGMF",Cash_Events!$D$6:$D$20,"800S",Cash_Events!$M$6:$M$20,A36)</f>
        <v>0</v>
      </c>
      <c r="P36" s="11" t="n">
        <f aca="false">M36+J36-N36-O36</f>
        <v>192735.271932035</v>
      </c>
      <c r="Q36" s="11" t="n">
        <f aca="false">S35</f>
        <v>23908.5855153829</v>
      </c>
      <c r="R36" s="10" t="n">
        <f aca="false">SUMIFS(Cash_Events!$I$6:$I$20,Cash_Events!$C$6:$C$20,"rAGMF",Cash_Events!$M$6:$M$20,A36)</f>
        <v>0</v>
      </c>
      <c r="S36" s="11" t="n">
        <f aca="false">Q36+K36-R36</f>
        <v>25036.2567482596</v>
      </c>
      <c r="T36" s="13" t="n">
        <f aca="false">P36+S36</f>
        <v>217771.528680294</v>
      </c>
      <c r="U36" s="13" t="n">
        <f aca="false">G36+T36</f>
        <v>952771.528680294</v>
      </c>
      <c r="V36" s="11" t="n">
        <f aca="false">V35+L36</f>
        <v>402585.298680294</v>
      </c>
      <c r="W36" s="11" t="n">
        <f aca="false">W35+N36+O36+R36</f>
        <v>184813.77</v>
      </c>
      <c r="X36" s="11" t="n">
        <f aca="false">ROUND(V36-W36-T36,2)</f>
        <v>0</v>
      </c>
      <c r="Y36" s="2"/>
    </row>
    <row r="37" customFormat="false" ht="15" hidden="false" customHeight="false" outlineLevel="0" collapsed="false">
      <c r="A37" s="32" t="n">
        <f aca="false">EOMONTH(A36,1)</f>
        <v>45747</v>
      </c>
      <c r="B37" s="32" t="n">
        <f aca="false">A36</f>
        <v>45716</v>
      </c>
      <c r="C37" s="39" t="n">
        <f aca="false">A37-B37</f>
        <v>31</v>
      </c>
      <c r="D37" s="9" t="str">
        <f aca="false">IF(A37&lt;=EOMONTH(Inputs!$B$18,-1),"Actual","Projection")</f>
        <v>Actual</v>
      </c>
      <c r="E37" s="11" t="n">
        <f aca="false">G36</f>
        <v>735000</v>
      </c>
      <c r="F37" s="10" t="n">
        <f aca="false">SUMIFS(Cash_Events!$G$6:$G$20,Cash_Events!$C$6:$C$20,"rAGMF",Cash_Events!$M$6:$M$20,A37)</f>
        <v>0</v>
      </c>
      <c r="G37" s="11" t="n">
        <f aca="false">E37-F37</f>
        <v>735000</v>
      </c>
      <c r="H37" s="28" t="n">
        <f aca="false">VLOOKUP(A37-1,Inputs!$A$40:$B$48,2,TRUE())</f>
        <v>0.0419027</v>
      </c>
      <c r="I37" s="28" t="n">
        <f aca="false">H37+Inputs!B10</f>
        <v>0.1094027</v>
      </c>
      <c r="J37" s="10" t="n">
        <f aca="false">SUMIFS(Daily!$G$6:$G$2400,Daily!$B$6:$B$2400,A37)</f>
        <v>6915.03646438356</v>
      </c>
      <c r="K37" s="10" t="n">
        <f aca="false">SUMIFS(Daily!$H$6:$H$2400,Daily!$B$6:$B$2400,A37)</f>
        <v>1248.49315068493</v>
      </c>
      <c r="L37" s="11" t="n">
        <f aca="false">J37+K37</f>
        <v>8163.52961506849</v>
      </c>
      <c r="M37" s="11" t="n">
        <f aca="false">P36</f>
        <v>192735.271932035</v>
      </c>
      <c r="N37" s="10" t="n">
        <f aca="false">SUMIFS(Cash_Events!$H$6:$H$20,Cash_Events!$C$6:$C$20,"rAGMF",Cash_Events!$D$6:$D$20,"JV",Cash_Events!$M$6:$M$20,A37)</f>
        <v>0</v>
      </c>
      <c r="O37" s="10" t="n">
        <f aca="false">SUMIFS(Cash_Events!$H$6:$H$20,Cash_Events!$C$6:$C$20,"rAGMF",Cash_Events!$D$6:$D$20,"800S",Cash_Events!$M$6:$M$20,A37)</f>
        <v>0</v>
      </c>
      <c r="P37" s="11" t="n">
        <f aca="false">M37+J37-N37-O37</f>
        <v>199650.308396418</v>
      </c>
      <c r="Q37" s="11" t="n">
        <f aca="false">S36</f>
        <v>25036.2567482596</v>
      </c>
      <c r="R37" s="10" t="n">
        <f aca="false">SUMIFS(Cash_Events!$I$6:$I$20,Cash_Events!$C$6:$C$20,"rAGMF",Cash_Events!$M$6:$M$20,A37)</f>
        <v>0</v>
      </c>
      <c r="S37" s="11" t="n">
        <f aca="false">Q37+K37-R37</f>
        <v>26284.7498989445</v>
      </c>
      <c r="T37" s="13" t="n">
        <f aca="false">P37+S37</f>
        <v>225935.058295363</v>
      </c>
      <c r="U37" s="13" t="n">
        <f aca="false">G37+T37</f>
        <v>960935.058295363</v>
      </c>
      <c r="V37" s="11" t="n">
        <f aca="false">V36+L37</f>
        <v>410748.828295363</v>
      </c>
      <c r="W37" s="11" t="n">
        <f aca="false">W36+N37+O37+R37</f>
        <v>184813.77</v>
      </c>
      <c r="X37" s="11" t="n">
        <f aca="false">ROUND(V37-W37-T37,2)</f>
        <v>0</v>
      </c>
      <c r="Y37" s="2" t="s">
        <v>247</v>
      </c>
    </row>
    <row r="38" customFormat="false" ht="15" hidden="false" customHeight="false" outlineLevel="0" collapsed="false">
      <c r="A38" s="32" t="n">
        <f aca="false">EOMONTH(A37,1)</f>
        <v>45777</v>
      </c>
      <c r="B38" s="32" t="n">
        <f aca="false">A37</f>
        <v>45747</v>
      </c>
      <c r="C38" s="39" t="n">
        <f aca="false">A38-B38</f>
        <v>30</v>
      </c>
      <c r="D38" s="9" t="str">
        <f aca="false">IF(A38&lt;=EOMONTH(Inputs!$B$18,-1),"Actual","Projection")</f>
        <v>Actual</v>
      </c>
      <c r="E38" s="11" t="n">
        <f aca="false">G37</f>
        <v>735000</v>
      </c>
      <c r="F38" s="10" t="n">
        <f aca="false">SUMIFS(Cash_Events!$G$6:$G$20,Cash_Events!$C$6:$C$20,"rAGMF",Cash_Events!$M$6:$M$20,A38)</f>
        <v>0</v>
      </c>
      <c r="G38" s="11" t="n">
        <f aca="false">E38-F38</f>
        <v>735000</v>
      </c>
      <c r="H38" s="28" t="n">
        <f aca="false">VLOOKUP(A38-1,Inputs!$A$40:$B$48,2,TRUE())</f>
        <v>0.0419027</v>
      </c>
      <c r="I38" s="28" t="n">
        <f aca="false">H38+Inputs!B10</f>
        <v>0.1094027</v>
      </c>
      <c r="J38" s="10" t="n">
        <f aca="false">SUMIFS(Daily!$G$6:$G$2400,Daily!$B$6:$B$2400,A38)</f>
        <v>6609.12201369863</v>
      </c>
      <c r="K38" s="10" t="n">
        <f aca="false">SUMIFS(Daily!$H$6:$H$2400,Daily!$B$6:$B$2400,A38)</f>
        <v>1208.21917808219</v>
      </c>
      <c r="L38" s="11" t="n">
        <f aca="false">J38+K38</f>
        <v>7817.34119178082</v>
      </c>
      <c r="M38" s="11" t="n">
        <f aca="false">P37</f>
        <v>199650.308396418</v>
      </c>
      <c r="N38" s="10" t="n">
        <f aca="false">SUMIFS(Cash_Events!$H$6:$H$20,Cash_Events!$C$6:$C$20,"rAGMF",Cash_Events!$D$6:$D$20,"JV",Cash_Events!$M$6:$M$20,A38)</f>
        <v>0</v>
      </c>
      <c r="O38" s="10" t="n">
        <f aca="false">SUMIFS(Cash_Events!$H$6:$H$20,Cash_Events!$C$6:$C$20,"rAGMF",Cash_Events!$D$6:$D$20,"800S",Cash_Events!$M$6:$M$20,A38)</f>
        <v>0</v>
      </c>
      <c r="P38" s="11" t="n">
        <f aca="false">M38+J38-N38-O38</f>
        <v>206259.430410117</v>
      </c>
      <c r="Q38" s="11" t="n">
        <f aca="false">S37</f>
        <v>26284.7498989445</v>
      </c>
      <c r="R38" s="10" t="n">
        <f aca="false">SUMIFS(Cash_Events!$I$6:$I$20,Cash_Events!$C$6:$C$20,"rAGMF",Cash_Events!$M$6:$M$20,A38)</f>
        <v>0</v>
      </c>
      <c r="S38" s="11" t="n">
        <f aca="false">Q38+K38-R38</f>
        <v>27492.9690770267</v>
      </c>
      <c r="T38" s="13" t="n">
        <f aca="false">P38+S38</f>
        <v>233752.399487144</v>
      </c>
      <c r="U38" s="13" t="n">
        <f aca="false">G38+T38</f>
        <v>968752.399487144</v>
      </c>
      <c r="V38" s="11" t="n">
        <f aca="false">V37+L38</f>
        <v>418566.169487144</v>
      </c>
      <c r="W38" s="11" t="n">
        <f aca="false">W37+N38+O38+R38</f>
        <v>184813.77</v>
      </c>
      <c r="X38" s="11" t="n">
        <f aca="false">ROUND(V38-W38-T38,2)</f>
        <v>0</v>
      </c>
      <c r="Y38" s="2"/>
    </row>
    <row r="39" customFormat="false" ht="15" hidden="false" customHeight="false" outlineLevel="0" collapsed="false">
      <c r="A39" s="32" t="n">
        <f aca="false">EOMONTH(A38,1)</f>
        <v>45808</v>
      </c>
      <c r="B39" s="32" t="n">
        <f aca="false">A38</f>
        <v>45777</v>
      </c>
      <c r="C39" s="39" t="n">
        <f aca="false">A39-B39</f>
        <v>31</v>
      </c>
      <c r="D39" s="9" t="str">
        <f aca="false">IF(A39&lt;=EOMONTH(Inputs!$B$18,-1),"Actual","Projection")</f>
        <v>Actual</v>
      </c>
      <c r="E39" s="11" t="n">
        <f aca="false">G38</f>
        <v>735000</v>
      </c>
      <c r="F39" s="10" t="n">
        <f aca="false">SUMIFS(Cash_Events!$G$6:$G$20,Cash_Events!$C$6:$C$20,"rAGMF",Cash_Events!$M$6:$M$20,A39)</f>
        <v>0</v>
      </c>
      <c r="G39" s="11" t="n">
        <f aca="false">E39-F39</f>
        <v>735000</v>
      </c>
      <c r="H39" s="28" t="n">
        <f aca="false">VLOOKUP(A39-1,Inputs!$A$40:$B$48,2,TRUE())</f>
        <v>0.0419027</v>
      </c>
      <c r="I39" s="28" t="n">
        <f aca="false">H39+Inputs!B10</f>
        <v>0.1094027</v>
      </c>
      <c r="J39" s="10" t="n">
        <f aca="false">SUMIFS(Daily!$G$6:$G$2400,Daily!$B$6:$B$2400,A39)</f>
        <v>6829.42608082192</v>
      </c>
      <c r="K39" s="10" t="n">
        <f aca="false">SUMIFS(Daily!$H$6:$H$2400,Daily!$B$6:$B$2400,A39)</f>
        <v>1248.49315068493</v>
      </c>
      <c r="L39" s="11" t="n">
        <f aca="false">J39+K39</f>
        <v>8077.91923150685</v>
      </c>
      <c r="M39" s="11" t="n">
        <f aca="false">P38</f>
        <v>206259.430410117</v>
      </c>
      <c r="N39" s="10" t="n">
        <f aca="false">SUMIFS(Cash_Events!$H$6:$H$20,Cash_Events!$C$6:$C$20,"rAGMF",Cash_Events!$D$6:$D$20,"JV",Cash_Events!$M$6:$M$20,A39)</f>
        <v>0</v>
      </c>
      <c r="O39" s="10" t="n">
        <f aca="false">SUMIFS(Cash_Events!$H$6:$H$20,Cash_Events!$C$6:$C$20,"rAGMF",Cash_Events!$D$6:$D$20,"800S",Cash_Events!$M$6:$M$20,A39)</f>
        <v>0</v>
      </c>
      <c r="P39" s="11" t="n">
        <f aca="false">M39+J39-N39-O39</f>
        <v>213088.856490939</v>
      </c>
      <c r="Q39" s="11" t="n">
        <f aca="false">S38</f>
        <v>27492.9690770267</v>
      </c>
      <c r="R39" s="10" t="n">
        <f aca="false">SUMIFS(Cash_Events!$I$6:$I$20,Cash_Events!$C$6:$C$20,"rAGMF",Cash_Events!$M$6:$M$20,A39)</f>
        <v>0</v>
      </c>
      <c r="S39" s="11" t="n">
        <f aca="false">Q39+K39-R39</f>
        <v>28741.4622277117</v>
      </c>
      <c r="T39" s="13" t="n">
        <f aca="false">P39+S39</f>
        <v>241830.31871865</v>
      </c>
      <c r="U39" s="13" t="n">
        <f aca="false">G39+T39</f>
        <v>976830.31871865</v>
      </c>
      <c r="V39" s="11" t="n">
        <f aca="false">V38+L39</f>
        <v>426644.08871865</v>
      </c>
      <c r="W39" s="11" t="n">
        <f aca="false">W38+N39+O39+R39</f>
        <v>184813.77</v>
      </c>
      <c r="X39" s="11" t="n">
        <f aca="false">ROUND(V39-W39-T39,2)</f>
        <v>0</v>
      </c>
      <c r="Y39" s="2"/>
    </row>
    <row r="40" customFormat="false" ht="15" hidden="false" customHeight="false" outlineLevel="0" collapsed="false">
      <c r="A40" s="32" t="n">
        <f aca="false">EOMONTH(A39,1)</f>
        <v>45838</v>
      </c>
      <c r="B40" s="32" t="n">
        <f aca="false">A39</f>
        <v>45808</v>
      </c>
      <c r="C40" s="39" t="n">
        <f aca="false">A40-B40</f>
        <v>30</v>
      </c>
      <c r="D40" s="9" t="str">
        <f aca="false">IF(A40&lt;=EOMONTH(Inputs!$B$18,-1),"Actual","Projection")</f>
        <v>Actual</v>
      </c>
      <c r="E40" s="11" t="n">
        <f aca="false">G39</f>
        <v>735000</v>
      </c>
      <c r="F40" s="10" t="n">
        <f aca="false">SUMIFS(Cash_Events!$G$6:$G$20,Cash_Events!$C$6:$C$20,"rAGMF",Cash_Events!$M$6:$M$20,A40)</f>
        <v>0</v>
      </c>
      <c r="G40" s="11" t="n">
        <f aca="false">E40-F40</f>
        <v>735000</v>
      </c>
      <c r="H40" s="28" t="n">
        <f aca="false">VLOOKUP(A40-1,Inputs!$A$40:$B$48,2,TRUE())</f>
        <v>0.0419027</v>
      </c>
      <c r="I40" s="28" t="n">
        <f aca="false">H40+Inputs!B10</f>
        <v>0.1094027</v>
      </c>
      <c r="J40" s="10" t="n">
        <f aca="false">SUMIFS(Daily!$G$6:$G$2400,Daily!$B$6:$B$2400,A40)</f>
        <v>6609.12201369863</v>
      </c>
      <c r="K40" s="10" t="n">
        <f aca="false">SUMIFS(Daily!$H$6:$H$2400,Daily!$B$6:$B$2400,A40)</f>
        <v>1208.21917808219</v>
      </c>
      <c r="L40" s="11" t="n">
        <f aca="false">J40+K40</f>
        <v>7817.34119178082</v>
      </c>
      <c r="M40" s="11" t="n">
        <f aca="false">P39</f>
        <v>213088.856490939</v>
      </c>
      <c r="N40" s="10" t="n">
        <f aca="false">SUMIFS(Cash_Events!$H$6:$H$20,Cash_Events!$C$6:$C$20,"rAGMF",Cash_Events!$D$6:$D$20,"JV",Cash_Events!$M$6:$M$20,A40)</f>
        <v>0</v>
      </c>
      <c r="O40" s="10" t="n">
        <f aca="false">SUMIFS(Cash_Events!$H$6:$H$20,Cash_Events!$C$6:$C$20,"rAGMF",Cash_Events!$D$6:$D$20,"800S",Cash_Events!$M$6:$M$20,A40)</f>
        <v>0</v>
      </c>
      <c r="P40" s="11" t="n">
        <f aca="false">M40+J40-N40-O40</f>
        <v>219697.978504637</v>
      </c>
      <c r="Q40" s="11" t="n">
        <f aca="false">S39</f>
        <v>28741.4622277117</v>
      </c>
      <c r="R40" s="10" t="n">
        <f aca="false">SUMIFS(Cash_Events!$I$6:$I$20,Cash_Events!$C$6:$C$20,"rAGMF",Cash_Events!$M$6:$M$20,A40)</f>
        <v>0</v>
      </c>
      <c r="S40" s="11" t="n">
        <f aca="false">Q40+K40-R40</f>
        <v>29949.6814057939</v>
      </c>
      <c r="T40" s="13" t="n">
        <f aca="false">P40+S40</f>
        <v>249647.659910431</v>
      </c>
      <c r="U40" s="13" t="n">
        <f aca="false">G40+T40</f>
        <v>984647.659910431</v>
      </c>
      <c r="V40" s="11" t="n">
        <f aca="false">V39+L40</f>
        <v>434461.429910431</v>
      </c>
      <c r="W40" s="11" t="n">
        <f aca="false">W39+N40+O40+R40</f>
        <v>184813.77</v>
      </c>
      <c r="X40" s="11" t="n">
        <f aca="false">ROUND(V40-W40-T40,2)</f>
        <v>0</v>
      </c>
      <c r="Y40" s="2"/>
    </row>
    <row r="41" customFormat="false" ht="15" hidden="false" customHeight="false" outlineLevel="0" collapsed="false">
      <c r="A41" s="32" t="n">
        <f aca="false">EOMONTH(A40,1)</f>
        <v>45869</v>
      </c>
      <c r="B41" s="32" t="n">
        <f aca="false">A40</f>
        <v>45838</v>
      </c>
      <c r="C41" s="39" t="n">
        <f aca="false">A41-B41</f>
        <v>31</v>
      </c>
      <c r="D41" s="9" t="str">
        <f aca="false">IF(A41&lt;=EOMONTH(Inputs!$B$18,-1),"Actual","Projection")</f>
        <v>Actual</v>
      </c>
      <c r="E41" s="11" t="n">
        <f aca="false">G40</f>
        <v>735000</v>
      </c>
      <c r="F41" s="10" t="n">
        <f aca="false">SUMIFS(Cash_Events!$G$6:$G$20,Cash_Events!$C$6:$C$20,"rAGMF",Cash_Events!$M$6:$M$20,A41)</f>
        <v>0</v>
      </c>
      <c r="G41" s="11" t="n">
        <f aca="false">E41-F41</f>
        <v>735000</v>
      </c>
      <c r="H41" s="28" t="n">
        <f aca="false">VLOOKUP(A41-1,Inputs!$A$40:$B$48,2,TRUE())</f>
        <v>0.0419027</v>
      </c>
      <c r="I41" s="28" t="n">
        <f aca="false">H41+Inputs!B10</f>
        <v>0.1094027</v>
      </c>
      <c r="J41" s="10" t="n">
        <f aca="false">SUMIFS(Daily!$G$6:$G$2400,Daily!$B$6:$B$2400,A41)</f>
        <v>6829.42608082192</v>
      </c>
      <c r="K41" s="10" t="n">
        <f aca="false">SUMIFS(Daily!$H$6:$H$2400,Daily!$B$6:$B$2400,A41)</f>
        <v>1248.49315068493</v>
      </c>
      <c r="L41" s="11" t="n">
        <f aca="false">J41+K41</f>
        <v>8077.91923150685</v>
      </c>
      <c r="M41" s="11" t="n">
        <f aca="false">P40</f>
        <v>219697.978504637</v>
      </c>
      <c r="N41" s="10" t="n">
        <f aca="false">SUMIFS(Cash_Events!$H$6:$H$20,Cash_Events!$C$6:$C$20,"rAGMF",Cash_Events!$D$6:$D$20,"JV",Cash_Events!$M$6:$M$20,A41)</f>
        <v>0</v>
      </c>
      <c r="O41" s="10" t="n">
        <f aca="false">SUMIFS(Cash_Events!$H$6:$H$20,Cash_Events!$C$6:$C$20,"rAGMF",Cash_Events!$D$6:$D$20,"800S",Cash_Events!$M$6:$M$20,A41)</f>
        <v>0</v>
      </c>
      <c r="P41" s="11" t="n">
        <f aca="false">M41+J41-N41-O41</f>
        <v>226527.404585459</v>
      </c>
      <c r="Q41" s="11" t="n">
        <f aca="false">S40</f>
        <v>29949.6814057939</v>
      </c>
      <c r="R41" s="10" t="n">
        <f aca="false">SUMIFS(Cash_Events!$I$6:$I$20,Cash_Events!$C$6:$C$20,"rAGMF",Cash_Events!$M$6:$M$20,A41)</f>
        <v>0</v>
      </c>
      <c r="S41" s="11" t="n">
        <f aca="false">Q41+K41-R41</f>
        <v>31198.1745564788</v>
      </c>
      <c r="T41" s="13" t="n">
        <f aca="false">P41+S41</f>
        <v>257725.579141938</v>
      </c>
      <c r="U41" s="13" t="n">
        <f aca="false">G41+T41</f>
        <v>992725.579141938</v>
      </c>
      <c r="V41" s="11" t="n">
        <f aca="false">V40+L41</f>
        <v>442539.349141938</v>
      </c>
      <c r="W41" s="11" t="n">
        <f aca="false">W40+N41+O41+R41</f>
        <v>184813.77</v>
      </c>
      <c r="X41" s="11" t="n">
        <f aca="false">ROUND(V41-W41-T41,2)</f>
        <v>0</v>
      </c>
      <c r="Y41" s="2"/>
    </row>
    <row r="42" customFormat="false" ht="15" hidden="false" customHeight="false" outlineLevel="0" collapsed="false">
      <c r="A42" s="32" t="n">
        <f aca="false">EOMONTH(A41,1)</f>
        <v>45900</v>
      </c>
      <c r="B42" s="32" t="n">
        <f aca="false">A41</f>
        <v>45869</v>
      </c>
      <c r="C42" s="39" t="n">
        <f aca="false">A42-B42</f>
        <v>31</v>
      </c>
      <c r="D42" s="9" t="str">
        <f aca="false">IF(A42&lt;=EOMONTH(Inputs!$B$18,-1),"Actual","Projection")</f>
        <v>Actual</v>
      </c>
      <c r="E42" s="11" t="n">
        <f aca="false">G41</f>
        <v>735000</v>
      </c>
      <c r="F42" s="10" t="n">
        <f aca="false">SUMIFS(Cash_Events!$G$6:$G$20,Cash_Events!$C$6:$C$20,"rAGMF",Cash_Events!$M$6:$M$20,A42)</f>
        <v>0</v>
      </c>
      <c r="G42" s="11" t="n">
        <f aca="false">E42-F42</f>
        <v>735000</v>
      </c>
      <c r="H42" s="28" t="n">
        <f aca="false">VLOOKUP(A42-1,Inputs!$A$40:$B$48,2,TRUE())</f>
        <v>0.0419027</v>
      </c>
      <c r="I42" s="28" t="n">
        <f aca="false">H42+Inputs!B10</f>
        <v>0.1094027</v>
      </c>
      <c r="J42" s="10" t="n">
        <f aca="false">SUMIFS(Daily!$G$6:$G$2400,Daily!$B$6:$B$2400,A42)</f>
        <v>6829.42608082192</v>
      </c>
      <c r="K42" s="10" t="n">
        <f aca="false">SUMIFS(Daily!$H$6:$H$2400,Daily!$B$6:$B$2400,A42)</f>
        <v>1248.49315068493</v>
      </c>
      <c r="L42" s="11" t="n">
        <f aca="false">J42+K42</f>
        <v>8077.91923150685</v>
      </c>
      <c r="M42" s="11" t="n">
        <f aca="false">P41</f>
        <v>226527.404585459</v>
      </c>
      <c r="N42" s="10" t="n">
        <f aca="false">SUMIFS(Cash_Events!$H$6:$H$20,Cash_Events!$C$6:$C$20,"rAGMF",Cash_Events!$D$6:$D$20,"JV",Cash_Events!$M$6:$M$20,A42)</f>
        <v>0</v>
      </c>
      <c r="O42" s="10" t="n">
        <f aca="false">SUMIFS(Cash_Events!$H$6:$H$20,Cash_Events!$C$6:$C$20,"rAGMF",Cash_Events!$D$6:$D$20,"800S",Cash_Events!$M$6:$M$20,A42)</f>
        <v>0</v>
      </c>
      <c r="P42" s="11" t="n">
        <f aca="false">M42+J42-N42-O42</f>
        <v>233356.830666281</v>
      </c>
      <c r="Q42" s="11" t="n">
        <f aca="false">S41</f>
        <v>31198.1745564788</v>
      </c>
      <c r="R42" s="10" t="n">
        <f aca="false">SUMIFS(Cash_Events!$I$6:$I$20,Cash_Events!$C$6:$C$20,"rAGMF",Cash_Events!$M$6:$M$20,A42)</f>
        <v>0</v>
      </c>
      <c r="S42" s="11" t="n">
        <f aca="false">Q42+K42-R42</f>
        <v>32446.6677071637</v>
      </c>
      <c r="T42" s="13" t="n">
        <f aca="false">P42+S42</f>
        <v>265803.498373445</v>
      </c>
      <c r="U42" s="13" t="n">
        <f aca="false">G42+T42</f>
        <v>1000803.49837344</v>
      </c>
      <c r="V42" s="11" t="n">
        <f aca="false">V41+L42</f>
        <v>450617.268373445</v>
      </c>
      <c r="W42" s="11" t="n">
        <f aca="false">W41+N42+O42+R42</f>
        <v>184813.77</v>
      </c>
      <c r="X42" s="11" t="n">
        <f aca="false">ROUND(V42-W42-T42,2)</f>
        <v>0</v>
      </c>
      <c r="Y42" s="2"/>
    </row>
    <row r="43" customFormat="false" ht="15" hidden="false" customHeight="false" outlineLevel="0" collapsed="false">
      <c r="A43" s="32" t="n">
        <f aca="false">EOMONTH(A42,1)</f>
        <v>45930</v>
      </c>
      <c r="B43" s="32" t="n">
        <f aca="false">A42</f>
        <v>45900</v>
      </c>
      <c r="C43" s="39" t="n">
        <f aca="false">A43-B43</f>
        <v>30</v>
      </c>
      <c r="D43" s="9" t="str">
        <f aca="false">IF(A43&lt;=EOMONTH(Inputs!$B$18,-1),"Actual","Projection")</f>
        <v>Actual</v>
      </c>
      <c r="E43" s="11" t="n">
        <f aca="false">G42</f>
        <v>735000</v>
      </c>
      <c r="F43" s="10" t="n">
        <f aca="false">SUMIFS(Cash_Events!$G$6:$G$20,Cash_Events!$C$6:$C$20,"rAGMF",Cash_Events!$M$6:$M$20,A43)</f>
        <v>0</v>
      </c>
      <c r="G43" s="11" t="n">
        <f aca="false">E43-F43</f>
        <v>735000</v>
      </c>
      <c r="H43" s="28" t="n">
        <f aca="false">VLOOKUP(A43-1,Inputs!$A$40:$B$48,2,TRUE())</f>
        <v>0.0396676</v>
      </c>
      <c r="I43" s="28" t="n">
        <f aca="false">H43+Inputs!B10</f>
        <v>0.1071676</v>
      </c>
      <c r="J43" s="10" t="n">
        <f aca="false">SUMIFS(Daily!$G$6:$G$2400,Daily!$B$6:$B$2400,A43)</f>
        <v>6514.60483972603</v>
      </c>
      <c r="K43" s="10" t="n">
        <f aca="false">SUMIFS(Daily!$H$6:$H$2400,Daily!$B$6:$B$2400,A43)</f>
        <v>1208.21917808219</v>
      </c>
      <c r="L43" s="11" t="n">
        <f aca="false">J43+K43</f>
        <v>7722.82401780822</v>
      </c>
      <c r="M43" s="11" t="n">
        <f aca="false">P42</f>
        <v>233356.830666281</v>
      </c>
      <c r="N43" s="10" t="n">
        <f aca="false">SUMIFS(Cash_Events!$H$6:$H$20,Cash_Events!$C$6:$C$20,"rAGMF",Cash_Events!$D$6:$D$20,"JV",Cash_Events!$M$6:$M$20,A43)</f>
        <v>0</v>
      </c>
      <c r="O43" s="10" t="n">
        <f aca="false">SUMIFS(Cash_Events!$H$6:$H$20,Cash_Events!$C$6:$C$20,"rAGMF",Cash_Events!$D$6:$D$20,"800S",Cash_Events!$M$6:$M$20,A43)</f>
        <v>0</v>
      </c>
      <c r="P43" s="11" t="n">
        <f aca="false">M43+J43-N43-O43</f>
        <v>239871.435506007</v>
      </c>
      <c r="Q43" s="11" t="n">
        <f aca="false">S42</f>
        <v>32446.6677071637</v>
      </c>
      <c r="R43" s="10" t="n">
        <f aca="false">SUMIFS(Cash_Events!$I$6:$I$20,Cash_Events!$C$6:$C$20,"rAGMF",Cash_Events!$M$6:$M$20,A43)</f>
        <v>0</v>
      </c>
      <c r="S43" s="11" t="n">
        <f aca="false">Q43+K43-R43</f>
        <v>33654.8868852459</v>
      </c>
      <c r="T43" s="13" t="n">
        <f aca="false">P43+S43</f>
        <v>273526.322391253</v>
      </c>
      <c r="U43" s="13" t="n">
        <f aca="false">G43+T43</f>
        <v>1008526.32239125</v>
      </c>
      <c r="V43" s="11" t="n">
        <f aca="false">V42+L43</f>
        <v>458340.092391253</v>
      </c>
      <c r="W43" s="11" t="n">
        <f aca="false">W42+N43+O43+R43</f>
        <v>184813.77</v>
      </c>
      <c r="X43" s="11" t="n">
        <f aca="false">ROUND(V43-W43-T43,2)</f>
        <v>0</v>
      </c>
      <c r="Y43" s="2" t="s">
        <v>248</v>
      </c>
    </row>
    <row r="44" customFormat="false" ht="15" hidden="false" customHeight="false" outlineLevel="0" collapsed="false">
      <c r="A44" s="32" t="n">
        <f aca="false">EOMONTH(A43,1)</f>
        <v>45961</v>
      </c>
      <c r="B44" s="32" t="n">
        <f aca="false">A43</f>
        <v>45930</v>
      </c>
      <c r="C44" s="39" t="n">
        <f aca="false">A44-B44</f>
        <v>31</v>
      </c>
      <c r="D44" s="9" t="str">
        <f aca="false">IF(A44&lt;=EOMONTH(Inputs!$B$18,-1),"Actual","Projection")</f>
        <v>Actual</v>
      </c>
      <c r="E44" s="11" t="n">
        <f aca="false">G43</f>
        <v>735000</v>
      </c>
      <c r="F44" s="10" t="n">
        <f aca="false">SUMIFS(Cash_Events!$G$6:$G$20,Cash_Events!$C$6:$C$20,"rAGMF",Cash_Events!$M$6:$M$20,A44)</f>
        <v>0</v>
      </c>
      <c r="G44" s="11" t="n">
        <f aca="false">E44-F44</f>
        <v>735000</v>
      </c>
      <c r="H44" s="28" t="n">
        <f aca="false">VLOOKUP(A44-1,Inputs!$A$40:$B$48,2,TRUE())</f>
        <v>0.0396676</v>
      </c>
      <c r="I44" s="28" t="n">
        <f aca="false">H44+Inputs!B10</f>
        <v>0.1071676</v>
      </c>
      <c r="J44" s="10" t="n">
        <f aca="false">SUMIFS(Daily!$G$6:$G$2400,Daily!$B$6:$B$2400,A44)</f>
        <v>6689.90072876712</v>
      </c>
      <c r="K44" s="10" t="n">
        <f aca="false">SUMIFS(Daily!$H$6:$H$2400,Daily!$B$6:$B$2400,A44)</f>
        <v>1248.49315068493</v>
      </c>
      <c r="L44" s="11" t="n">
        <f aca="false">J44+K44</f>
        <v>7938.39387945205</v>
      </c>
      <c r="M44" s="11" t="n">
        <f aca="false">P43</f>
        <v>239871.435506007</v>
      </c>
      <c r="N44" s="10" t="n">
        <f aca="false">SUMIFS(Cash_Events!$H$6:$H$20,Cash_Events!$C$6:$C$20,"rAGMF",Cash_Events!$D$6:$D$20,"JV",Cash_Events!$M$6:$M$20,A44)</f>
        <v>0</v>
      </c>
      <c r="O44" s="10" t="n">
        <f aca="false">SUMIFS(Cash_Events!$H$6:$H$20,Cash_Events!$C$6:$C$20,"rAGMF",Cash_Events!$D$6:$D$20,"800S",Cash_Events!$M$6:$M$20,A44)</f>
        <v>0</v>
      </c>
      <c r="P44" s="11" t="n">
        <f aca="false">M44+J44-N44-O44</f>
        <v>246561.336234774</v>
      </c>
      <c r="Q44" s="11" t="n">
        <f aca="false">S43</f>
        <v>33654.8868852459</v>
      </c>
      <c r="R44" s="10" t="n">
        <f aca="false">SUMIFS(Cash_Events!$I$6:$I$20,Cash_Events!$C$6:$C$20,"rAGMF",Cash_Events!$M$6:$M$20,A44)</f>
        <v>0</v>
      </c>
      <c r="S44" s="11" t="n">
        <f aca="false">Q44+K44-R44</f>
        <v>34903.3800359308</v>
      </c>
      <c r="T44" s="13" t="n">
        <f aca="false">P44+S44</f>
        <v>281464.716270705</v>
      </c>
      <c r="U44" s="13" t="n">
        <f aca="false">G44+T44</f>
        <v>1016464.71627071</v>
      </c>
      <c r="V44" s="11" t="n">
        <f aca="false">V43+L44</f>
        <v>466278.486270705</v>
      </c>
      <c r="W44" s="11" t="n">
        <f aca="false">W43+N44+O44+R44</f>
        <v>184813.77</v>
      </c>
      <c r="X44" s="11" t="n">
        <f aca="false">ROUND(V44-W44-T44,2)</f>
        <v>0</v>
      </c>
      <c r="Y44" s="2"/>
    </row>
    <row r="45" customFormat="false" ht="15" hidden="false" customHeight="false" outlineLevel="0" collapsed="false">
      <c r="A45" s="32" t="n">
        <f aca="false">EOMONTH(A44,1)</f>
        <v>45991</v>
      </c>
      <c r="B45" s="32" t="n">
        <f aca="false">A44</f>
        <v>45961</v>
      </c>
      <c r="C45" s="39" t="n">
        <f aca="false">A45-B45</f>
        <v>30</v>
      </c>
      <c r="D45" s="9" t="str">
        <f aca="false">IF(A45&lt;=EOMONTH(Inputs!$B$18,-1),"Actual","Projection")</f>
        <v>Actual</v>
      </c>
      <c r="E45" s="11" t="n">
        <f aca="false">G44</f>
        <v>735000</v>
      </c>
      <c r="F45" s="10" t="n">
        <f aca="false">SUMIFS(Cash_Events!$G$6:$G$20,Cash_Events!$C$6:$C$20,"rAGMF",Cash_Events!$M$6:$M$20,A45)</f>
        <v>0</v>
      </c>
      <c r="G45" s="11" t="n">
        <f aca="false">E45-F45</f>
        <v>735000</v>
      </c>
      <c r="H45" s="28" t="n">
        <f aca="false">VLOOKUP(A45-1,Inputs!$A$40:$B$48,2,TRUE())</f>
        <v>0.0396676</v>
      </c>
      <c r="I45" s="28" t="n">
        <f aca="false">H45+Inputs!B10</f>
        <v>0.1071676</v>
      </c>
      <c r="J45" s="10" t="n">
        <f aca="false">SUMIFS(Daily!$G$6:$G$2400,Daily!$B$6:$B$2400,A45)</f>
        <v>6474.09747945205</v>
      </c>
      <c r="K45" s="10" t="n">
        <f aca="false">SUMIFS(Daily!$H$6:$H$2400,Daily!$B$6:$B$2400,A45)</f>
        <v>1208.21917808219</v>
      </c>
      <c r="L45" s="11" t="n">
        <f aca="false">J45+K45</f>
        <v>7682.31665753425</v>
      </c>
      <c r="M45" s="11" t="n">
        <f aca="false">P44</f>
        <v>246561.336234774</v>
      </c>
      <c r="N45" s="10" t="n">
        <f aca="false">SUMIFS(Cash_Events!$H$6:$H$20,Cash_Events!$C$6:$C$20,"rAGMF",Cash_Events!$D$6:$D$20,"JV",Cash_Events!$M$6:$M$20,A45)</f>
        <v>0</v>
      </c>
      <c r="O45" s="10" t="n">
        <f aca="false">SUMIFS(Cash_Events!$H$6:$H$20,Cash_Events!$C$6:$C$20,"rAGMF",Cash_Events!$D$6:$D$20,"800S",Cash_Events!$M$6:$M$20,A45)</f>
        <v>0</v>
      </c>
      <c r="P45" s="11" t="n">
        <f aca="false">M45+J45-N45-O45</f>
        <v>253035.433714226</v>
      </c>
      <c r="Q45" s="11" t="n">
        <f aca="false">S44</f>
        <v>34903.3800359308</v>
      </c>
      <c r="R45" s="10" t="n">
        <f aca="false">SUMIFS(Cash_Events!$I$6:$I$20,Cash_Events!$C$6:$C$20,"rAGMF",Cash_Events!$M$6:$M$20,A45)</f>
        <v>0</v>
      </c>
      <c r="S45" s="11" t="n">
        <f aca="false">Q45+K45-R45</f>
        <v>36111.599214013</v>
      </c>
      <c r="T45" s="13" t="n">
        <f aca="false">P45+S45</f>
        <v>289147.032928239</v>
      </c>
      <c r="U45" s="13" t="n">
        <f aca="false">G45+T45</f>
        <v>1024147.03292824</v>
      </c>
      <c r="V45" s="11" t="n">
        <f aca="false">V44+L45</f>
        <v>473960.802928239</v>
      </c>
      <c r="W45" s="11" t="n">
        <f aca="false">W44+N45+O45+R45</f>
        <v>184813.77</v>
      </c>
      <c r="X45" s="11" t="n">
        <f aca="false">ROUND(V45-W45-T45,2)</f>
        <v>0</v>
      </c>
      <c r="Y45" s="2"/>
    </row>
    <row r="46" customFormat="false" ht="15" hidden="false" customHeight="false" outlineLevel="0" collapsed="false">
      <c r="A46" s="32" t="n">
        <f aca="false">EOMONTH(A45,1)</f>
        <v>46022</v>
      </c>
      <c r="B46" s="32" t="n">
        <f aca="false">A45</f>
        <v>45991</v>
      </c>
      <c r="C46" s="39" t="n">
        <f aca="false">A46-B46</f>
        <v>31</v>
      </c>
      <c r="D46" s="9" t="str">
        <f aca="false">IF(A46&lt;=EOMONTH(Inputs!$B$18,-1),"Actual","Projection")</f>
        <v>Actual</v>
      </c>
      <c r="E46" s="11" t="n">
        <f aca="false">G45</f>
        <v>735000</v>
      </c>
      <c r="F46" s="10" t="n">
        <f aca="false">SUMIFS(Cash_Events!$G$6:$G$20,Cash_Events!$C$6:$C$20,"rAGMF",Cash_Events!$M$6:$M$20,A46)</f>
        <v>0</v>
      </c>
      <c r="G46" s="11" t="n">
        <f aca="false">E46-F46</f>
        <v>735000</v>
      </c>
      <c r="H46" s="28" t="n">
        <f aca="false">VLOOKUP(A46-1,Inputs!$A$40:$B$48,2,TRUE())</f>
        <v>0.0396676</v>
      </c>
      <c r="I46" s="28" t="n">
        <f aca="false">H46+Inputs!B10</f>
        <v>0.1071676</v>
      </c>
      <c r="J46" s="10" t="n">
        <f aca="false">SUMIFS(Daily!$G$6:$G$2400,Daily!$B$6:$B$2400,A46)</f>
        <v>6689.90072876712</v>
      </c>
      <c r="K46" s="10" t="n">
        <f aca="false">SUMIFS(Daily!$H$6:$H$2400,Daily!$B$6:$B$2400,A46)</f>
        <v>1248.49315068493</v>
      </c>
      <c r="L46" s="11" t="n">
        <f aca="false">J46+K46</f>
        <v>7938.39387945205</v>
      </c>
      <c r="M46" s="11" t="n">
        <f aca="false">P45</f>
        <v>253035.433714226</v>
      </c>
      <c r="N46" s="10" t="n">
        <f aca="false">SUMIFS(Cash_Events!$H$6:$H$20,Cash_Events!$C$6:$C$20,"rAGMF",Cash_Events!$D$6:$D$20,"JV",Cash_Events!$M$6:$M$20,A46)</f>
        <v>0</v>
      </c>
      <c r="O46" s="10" t="n">
        <f aca="false">SUMIFS(Cash_Events!$H$6:$H$20,Cash_Events!$C$6:$C$20,"rAGMF",Cash_Events!$D$6:$D$20,"800S",Cash_Events!$M$6:$M$20,A46)</f>
        <v>0</v>
      </c>
      <c r="P46" s="11" t="n">
        <f aca="false">M46+J46-N46-O46</f>
        <v>259725.334442994</v>
      </c>
      <c r="Q46" s="11" t="n">
        <f aca="false">S45</f>
        <v>36111.599214013</v>
      </c>
      <c r="R46" s="10" t="n">
        <f aca="false">SUMIFS(Cash_Events!$I$6:$I$20,Cash_Events!$C$6:$C$20,"rAGMF",Cash_Events!$M$6:$M$20,A46)</f>
        <v>0</v>
      </c>
      <c r="S46" s="11" t="n">
        <f aca="false">Q46+K46-R46</f>
        <v>37360.092364698</v>
      </c>
      <c r="T46" s="13" t="n">
        <f aca="false">P46+S46</f>
        <v>297085.426807691</v>
      </c>
      <c r="U46" s="13" t="n">
        <f aca="false">G46+T46</f>
        <v>1032085.42680769</v>
      </c>
      <c r="V46" s="11" t="n">
        <f aca="false">V45+L46</f>
        <v>481899.196807692</v>
      </c>
      <c r="W46" s="11" t="n">
        <f aca="false">W45+N46+O46+R46</f>
        <v>184813.77</v>
      </c>
      <c r="X46" s="11" t="n">
        <f aca="false">ROUND(V46-W46-T46,2)</f>
        <v>0</v>
      </c>
      <c r="Y46" s="2"/>
    </row>
    <row r="47" customFormat="false" ht="15" hidden="false" customHeight="false" outlineLevel="0" collapsed="false">
      <c r="A47" s="32" t="n">
        <f aca="false">EOMONTH(A46,1)</f>
        <v>46053</v>
      </c>
      <c r="B47" s="32" t="n">
        <f aca="false">A46</f>
        <v>46022</v>
      </c>
      <c r="C47" s="39" t="n">
        <f aca="false">A47-B47</f>
        <v>31</v>
      </c>
      <c r="D47" s="9" t="str">
        <f aca="false">IF(A47&lt;=EOMONTH(Inputs!$B$18,-1),"Actual","Projection")</f>
        <v>Actual</v>
      </c>
      <c r="E47" s="11" t="n">
        <f aca="false">G46</f>
        <v>735000</v>
      </c>
      <c r="F47" s="10" t="n">
        <f aca="false">SUMIFS(Cash_Events!$G$6:$G$20,Cash_Events!$C$6:$C$20,"rAGMF",Cash_Events!$M$6:$M$20,A47)</f>
        <v>0</v>
      </c>
      <c r="G47" s="11" t="n">
        <f aca="false">E47-F47</f>
        <v>735000</v>
      </c>
      <c r="H47" s="28" t="n">
        <f aca="false">VLOOKUP(A47-1,Inputs!$A$40:$B$48,2,TRUE())</f>
        <v>0.0396676</v>
      </c>
      <c r="I47" s="28" t="n">
        <f aca="false">H47+Inputs!B10</f>
        <v>0.1071676</v>
      </c>
      <c r="J47" s="10" t="n">
        <f aca="false">SUMIFS(Daily!$G$6:$G$2400,Daily!$B$6:$B$2400,A47)</f>
        <v>6689.90072876712</v>
      </c>
      <c r="K47" s="10" t="n">
        <f aca="false">SUMIFS(Daily!$H$6:$H$2400,Daily!$B$6:$B$2400,A47)</f>
        <v>1248.49315068493</v>
      </c>
      <c r="L47" s="11" t="n">
        <f aca="false">J47+K47</f>
        <v>7938.39387945205</v>
      </c>
      <c r="M47" s="11" t="n">
        <f aca="false">P46</f>
        <v>259725.334442994</v>
      </c>
      <c r="N47" s="10" t="n">
        <f aca="false">SUMIFS(Cash_Events!$H$6:$H$20,Cash_Events!$C$6:$C$20,"rAGMF",Cash_Events!$D$6:$D$20,"JV",Cash_Events!$M$6:$M$20,A47)</f>
        <v>0</v>
      </c>
      <c r="O47" s="10" t="n">
        <f aca="false">SUMIFS(Cash_Events!$H$6:$H$20,Cash_Events!$C$6:$C$20,"rAGMF",Cash_Events!$D$6:$D$20,"800S",Cash_Events!$M$6:$M$20,A47)</f>
        <v>0</v>
      </c>
      <c r="P47" s="11" t="n">
        <f aca="false">M47+J47-N47-O47</f>
        <v>266415.235171761</v>
      </c>
      <c r="Q47" s="11" t="n">
        <f aca="false">S46</f>
        <v>37360.092364698</v>
      </c>
      <c r="R47" s="10" t="n">
        <f aca="false">SUMIFS(Cash_Events!$I$6:$I$20,Cash_Events!$C$6:$C$20,"rAGMF",Cash_Events!$M$6:$M$20,A47)</f>
        <v>0</v>
      </c>
      <c r="S47" s="11" t="n">
        <f aca="false">Q47+K47-R47</f>
        <v>38608.5855153829</v>
      </c>
      <c r="T47" s="13" t="n">
        <f aca="false">P47+S47</f>
        <v>305023.820687144</v>
      </c>
      <c r="U47" s="13" t="n">
        <f aca="false">G47+T47</f>
        <v>1040023.82068714</v>
      </c>
      <c r="V47" s="11" t="n">
        <f aca="false">V46+L47</f>
        <v>489837.590687144</v>
      </c>
      <c r="W47" s="11" t="n">
        <f aca="false">W46+N47+O47+R47</f>
        <v>184813.77</v>
      </c>
      <c r="X47" s="11" t="n">
        <f aca="false">ROUND(V47-W47-T47,2)</f>
        <v>0</v>
      </c>
      <c r="Y47" s="2"/>
    </row>
    <row r="48" customFormat="false" ht="15" hidden="false" customHeight="false" outlineLevel="0" collapsed="false">
      <c r="A48" s="32" t="n">
        <f aca="false">EOMONTH(A47,1)</f>
        <v>46081</v>
      </c>
      <c r="B48" s="32" t="n">
        <f aca="false">A47</f>
        <v>46053</v>
      </c>
      <c r="C48" s="39" t="n">
        <f aca="false">A48-B48</f>
        <v>28</v>
      </c>
      <c r="D48" s="9" t="str">
        <f aca="false">IF(A48&lt;=EOMONTH(Inputs!$B$18,-1),"Actual","Projection")</f>
        <v>Actual</v>
      </c>
      <c r="E48" s="11" t="n">
        <f aca="false">G47</f>
        <v>735000</v>
      </c>
      <c r="F48" s="10" t="n">
        <f aca="false">SUMIFS(Cash_Events!$G$6:$G$20,Cash_Events!$C$6:$C$20,"rAGMF",Cash_Events!$M$6:$M$20,A48)</f>
        <v>0</v>
      </c>
      <c r="G48" s="11" t="n">
        <f aca="false">E48-F48</f>
        <v>735000</v>
      </c>
      <c r="H48" s="28" t="n">
        <f aca="false">VLOOKUP(A48-1,Inputs!$A$40:$B$48,2,TRUE())</f>
        <v>0.0396676</v>
      </c>
      <c r="I48" s="28" t="n">
        <f aca="false">H48+Inputs!B10</f>
        <v>0.1071676</v>
      </c>
      <c r="J48" s="10" t="n">
        <f aca="false">SUMIFS(Daily!$G$6:$G$2400,Daily!$B$6:$B$2400,A48)</f>
        <v>6042.49098082192</v>
      </c>
      <c r="K48" s="10" t="n">
        <f aca="false">SUMIFS(Daily!$H$6:$H$2400,Daily!$B$6:$B$2400,A48)</f>
        <v>1127.67123287671</v>
      </c>
      <c r="L48" s="11" t="n">
        <f aca="false">J48+K48</f>
        <v>7170.16221369863</v>
      </c>
      <c r="M48" s="11" t="n">
        <f aca="false">P47</f>
        <v>266415.235171761</v>
      </c>
      <c r="N48" s="10" t="n">
        <f aca="false">SUMIFS(Cash_Events!$H$6:$H$20,Cash_Events!$C$6:$C$20,"rAGMF",Cash_Events!$D$6:$D$20,"JV",Cash_Events!$M$6:$M$20,A48)</f>
        <v>0</v>
      </c>
      <c r="O48" s="10" t="n">
        <f aca="false">SUMIFS(Cash_Events!$H$6:$H$20,Cash_Events!$C$6:$C$20,"rAGMF",Cash_Events!$D$6:$D$20,"800S",Cash_Events!$M$6:$M$20,A48)</f>
        <v>0</v>
      </c>
      <c r="P48" s="11" t="n">
        <f aca="false">M48+J48-N48-O48</f>
        <v>272457.726152583</v>
      </c>
      <c r="Q48" s="11" t="n">
        <f aca="false">S47</f>
        <v>38608.5855153829</v>
      </c>
      <c r="R48" s="10" t="n">
        <f aca="false">SUMIFS(Cash_Events!$I$6:$I$20,Cash_Events!$C$6:$C$20,"rAGMF",Cash_Events!$M$6:$M$20,A48)</f>
        <v>0</v>
      </c>
      <c r="S48" s="11" t="n">
        <f aca="false">Q48+K48-R48</f>
        <v>39736.2567482596</v>
      </c>
      <c r="T48" s="13" t="n">
        <f aca="false">P48+S48</f>
        <v>312193.982900842</v>
      </c>
      <c r="U48" s="13" t="n">
        <f aca="false">G48+T48</f>
        <v>1047193.98290084</v>
      </c>
      <c r="V48" s="11" t="n">
        <f aca="false">V47+L48</f>
        <v>497007.752900842</v>
      </c>
      <c r="W48" s="11" t="n">
        <f aca="false">W47+N48+O48+R48</f>
        <v>184813.77</v>
      </c>
      <c r="X48" s="11" t="n">
        <f aca="false">ROUND(V48-W48-T48,2)</f>
        <v>0</v>
      </c>
      <c r="Y48" s="2"/>
    </row>
    <row r="49" customFormat="false" ht="15" hidden="false" customHeight="false" outlineLevel="0" collapsed="false">
      <c r="A49" s="32" t="n">
        <f aca="false">EOMONTH(A48,1)</f>
        <v>46112</v>
      </c>
      <c r="B49" s="32" t="n">
        <f aca="false">A48</f>
        <v>46081</v>
      </c>
      <c r="C49" s="39" t="n">
        <f aca="false">A49-B49</f>
        <v>31</v>
      </c>
      <c r="D49" s="9" t="str">
        <f aca="false">IF(A49&lt;=EOMONTH(Inputs!$B$18,-1),"Actual","Projection")</f>
        <v>Actual</v>
      </c>
      <c r="E49" s="11" t="n">
        <f aca="false">G48</f>
        <v>735000</v>
      </c>
      <c r="F49" s="10" t="n">
        <f aca="false">SUMIFS(Cash_Events!$G$6:$G$20,Cash_Events!$C$6:$C$20,"rAGMF",Cash_Events!$M$6:$M$20,A49)</f>
        <v>0</v>
      </c>
      <c r="G49" s="11" t="n">
        <f aca="false">E49-F49</f>
        <v>735000</v>
      </c>
      <c r="H49" s="28" t="n">
        <f aca="false">VLOOKUP(A49-1,Inputs!$A$40:$B$48,2,TRUE())</f>
        <v>0.0363225</v>
      </c>
      <c r="I49" s="28" t="n">
        <f aca="false">H49+Inputs!B10</f>
        <v>0.1038225</v>
      </c>
      <c r="J49" s="10" t="n">
        <f aca="false">SUMIFS(Daily!$G$6:$G$2400,Daily!$B$6:$B$2400,A49)</f>
        <v>6541.70821643836</v>
      </c>
      <c r="K49" s="10" t="n">
        <f aca="false">SUMIFS(Daily!$H$6:$H$2400,Daily!$B$6:$B$2400,A49)</f>
        <v>1248.49315068493</v>
      </c>
      <c r="L49" s="11" t="n">
        <f aca="false">J49+K49</f>
        <v>7790.20136712329</v>
      </c>
      <c r="M49" s="11" t="n">
        <f aca="false">P48</f>
        <v>272457.726152583</v>
      </c>
      <c r="N49" s="10" t="n">
        <f aca="false">SUMIFS(Cash_Events!$H$6:$H$20,Cash_Events!$C$6:$C$20,"rAGMF",Cash_Events!$D$6:$D$20,"JV",Cash_Events!$M$6:$M$20,A49)</f>
        <v>0</v>
      </c>
      <c r="O49" s="10" t="n">
        <f aca="false">SUMIFS(Cash_Events!$H$6:$H$20,Cash_Events!$C$6:$C$20,"rAGMF",Cash_Events!$D$6:$D$20,"800S",Cash_Events!$M$6:$M$20,A49)</f>
        <v>0</v>
      </c>
      <c r="P49" s="11" t="n">
        <f aca="false">M49+J49-N49-O49</f>
        <v>278999.434369021</v>
      </c>
      <c r="Q49" s="11" t="n">
        <f aca="false">S48</f>
        <v>39736.2567482596</v>
      </c>
      <c r="R49" s="10" t="n">
        <f aca="false">SUMIFS(Cash_Events!$I$6:$I$20,Cash_Events!$C$6:$C$20,"rAGMF",Cash_Events!$M$6:$M$20,A49)</f>
        <v>0</v>
      </c>
      <c r="S49" s="11" t="n">
        <f aca="false">Q49+K49-R49</f>
        <v>40984.7498989445</v>
      </c>
      <c r="T49" s="13" t="n">
        <f aca="false">P49+S49</f>
        <v>319984.184267965</v>
      </c>
      <c r="U49" s="13" t="n">
        <f aca="false">G49+T49</f>
        <v>1054984.18426797</v>
      </c>
      <c r="V49" s="11" t="n">
        <f aca="false">V48+L49</f>
        <v>504797.954267965</v>
      </c>
      <c r="W49" s="11" t="n">
        <f aca="false">W48+N49+O49+R49</f>
        <v>184813.77</v>
      </c>
      <c r="X49" s="11" t="n">
        <f aca="false">ROUND(V49-W49-T49,2)</f>
        <v>0</v>
      </c>
      <c r="Y49" s="2" t="s">
        <v>249</v>
      </c>
    </row>
    <row r="50" customFormat="false" ht="15" hidden="false" customHeight="false" outlineLevel="0" collapsed="false">
      <c r="A50" s="32" t="n">
        <f aca="false">EOMONTH(A49,1)</f>
        <v>46142</v>
      </c>
      <c r="B50" s="32" t="n">
        <f aca="false">A49</f>
        <v>46112</v>
      </c>
      <c r="C50" s="39" t="n">
        <f aca="false">A50-B50</f>
        <v>30</v>
      </c>
      <c r="D50" s="9" t="str">
        <f aca="false">IF(A50&lt;=EOMONTH(Inputs!$B$18,-1),"Actual","Projection")</f>
        <v>Actual</v>
      </c>
      <c r="E50" s="11" t="n">
        <f aca="false">G49</f>
        <v>735000</v>
      </c>
      <c r="F50" s="10" t="n">
        <f aca="false">SUMIFS(Cash_Events!$G$6:$G$20,Cash_Events!$C$6:$C$20,"rAGMF",Cash_Events!$M$6:$M$20,A50)</f>
        <v>0</v>
      </c>
      <c r="G50" s="11" t="n">
        <f aca="false">E50-F50</f>
        <v>735000</v>
      </c>
      <c r="H50" s="28" t="n">
        <f aca="false">VLOOKUP(A50-1,Inputs!$A$40:$B$48,2,TRUE())</f>
        <v>0.0363225</v>
      </c>
      <c r="I50" s="28" t="n">
        <f aca="false">H50+Inputs!B10</f>
        <v>0.1038225</v>
      </c>
      <c r="J50" s="10" t="n">
        <f aca="false">SUMIFS(Daily!$G$6:$G$2400,Daily!$B$6:$B$2400,A50)</f>
        <v>6272.01678082192</v>
      </c>
      <c r="K50" s="10" t="n">
        <f aca="false">SUMIFS(Daily!$H$6:$H$2400,Daily!$B$6:$B$2400,A50)</f>
        <v>1208.21917808219</v>
      </c>
      <c r="L50" s="11" t="n">
        <f aca="false">J50+K50</f>
        <v>7480.23595890411</v>
      </c>
      <c r="M50" s="11" t="n">
        <f aca="false">P49</f>
        <v>278999.434369021</v>
      </c>
      <c r="N50" s="10" t="n">
        <f aca="false">SUMIFS(Cash_Events!$H$6:$H$20,Cash_Events!$C$6:$C$20,"rAGMF",Cash_Events!$D$6:$D$20,"JV",Cash_Events!$M$6:$M$20,A50)</f>
        <v>0</v>
      </c>
      <c r="O50" s="10" t="n">
        <f aca="false">SUMIFS(Cash_Events!$H$6:$H$20,Cash_Events!$C$6:$C$20,"rAGMF",Cash_Events!$D$6:$D$20,"800S",Cash_Events!$M$6:$M$20,A50)</f>
        <v>0</v>
      </c>
      <c r="P50" s="11" t="n">
        <f aca="false">M50+J50-N50-O50</f>
        <v>285271.451149843</v>
      </c>
      <c r="Q50" s="11" t="n">
        <f aca="false">S49</f>
        <v>40984.7498989445</v>
      </c>
      <c r="R50" s="10" t="n">
        <f aca="false">SUMIFS(Cash_Events!$I$6:$I$20,Cash_Events!$C$6:$C$20,"rAGMF",Cash_Events!$M$6:$M$20,A50)</f>
        <v>0</v>
      </c>
      <c r="S50" s="11" t="n">
        <f aca="false">Q50+K50-R50</f>
        <v>42192.9690770267</v>
      </c>
      <c r="T50" s="13" t="n">
        <f aca="false">P50+S50</f>
        <v>327464.420226869</v>
      </c>
      <c r="U50" s="13" t="n">
        <f aca="false">G50+T50</f>
        <v>1062464.42022687</v>
      </c>
      <c r="V50" s="11" t="n">
        <f aca="false">V49+L50</f>
        <v>512278.19022687</v>
      </c>
      <c r="W50" s="11" t="n">
        <f aca="false">W49+N50+O50+R50</f>
        <v>184813.77</v>
      </c>
      <c r="X50" s="11" t="n">
        <f aca="false">ROUND(V50-W50-T50,2)</f>
        <v>0</v>
      </c>
      <c r="Y50" s="2"/>
    </row>
    <row r="51" customFormat="false" ht="15" hidden="false" customHeight="false" outlineLevel="0" collapsed="false">
      <c r="A51" s="32" t="n">
        <f aca="false">EOMONTH(A50,1)</f>
        <v>46173</v>
      </c>
      <c r="B51" s="32" t="n">
        <f aca="false">A50</f>
        <v>46142</v>
      </c>
      <c r="C51" s="39" t="n">
        <f aca="false">A51-B51</f>
        <v>31</v>
      </c>
      <c r="D51" s="9" t="str">
        <f aca="false">IF(A51&lt;=EOMONTH(Inputs!$B$18,-1),"Actual","Projection")</f>
        <v>Actual</v>
      </c>
      <c r="E51" s="11" t="n">
        <f aca="false">G50</f>
        <v>735000</v>
      </c>
      <c r="F51" s="10" t="n">
        <f aca="false">SUMIFS(Cash_Events!$G$6:$G$20,Cash_Events!$C$6:$C$20,"rAGMF",Cash_Events!$M$6:$M$20,A51)</f>
        <v>0</v>
      </c>
      <c r="G51" s="11" t="n">
        <f aca="false">E51-F51</f>
        <v>735000</v>
      </c>
      <c r="H51" s="28" t="n">
        <f aca="false">VLOOKUP(A51-1,Inputs!$A$40:$B$48,2,TRUE())</f>
        <v>0.0363225</v>
      </c>
      <c r="I51" s="28" t="n">
        <f aca="false">H51+Inputs!B10</f>
        <v>0.1038225</v>
      </c>
      <c r="J51" s="10" t="n">
        <f aca="false">SUMIFS(Daily!$G$6:$G$2400,Daily!$B$6:$B$2400,A51)</f>
        <v>6481.08400684932</v>
      </c>
      <c r="K51" s="10" t="n">
        <f aca="false">SUMIFS(Daily!$H$6:$H$2400,Daily!$B$6:$B$2400,A51)</f>
        <v>1248.49315068493</v>
      </c>
      <c r="L51" s="11" t="n">
        <f aca="false">J51+K51</f>
        <v>7729.57715753425</v>
      </c>
      <c r="M51" s="11" t="n">
        <f aca="false">P50</f>
        <v>285271.451149843</v>
      </c>
      <c r="N51" s="10" t="n">
        <f aca="false">SUMIFS(Cash_Events!$H$6:$H$20,Cash_Events!$C$6:$C$20,"rAGMF",Cash_Events!$D$6:$D$20,"JV",Cash_Events!$M$6:$M$20,A51)</f>
        <v>0</v>
      </c>
      <c r="O51" s="10" t="n">
        <f aca="false">SUMIFS(Cash_Events!$H$6:$H$20,Cash_Events!$C$6:$C$20,"rAGMF",Cash_Events!$D$6:$D$20,"800S",Cash_Events!$M$6:$M$20,A51)</f>
        <v>0</v>
      </c>
      <c r="P51" s="11" t="n">
        <f aca="false">M51+J51-N51-O51</f>
        <v>291752.535156692</v>
      </c>
      <c r="Q51" s="11" t="n">
        <f aca="false">S50</f>
        <v>42192.9690770267</v>
      </c>
      <c r="R51" s="10" t="n">
        <f aca="false">SUMIFS(Cash_Events!$I$6:$I$20,Cash_Events!$C$6:$C$20,"rAGMF",Cash_Events!$M$6:$M$20,A51)</f>
        <v>0</v>
      </c>
      <c r="S51" s="11" t="n">
        <f aca="false">Q51+K51-R51</f>
        <v>43441.4622277117</v>
      </c>
      <c r="T51" s="13" t="n">
        <f aca="false">P51+S51</f>
        <v>335193.997384404</v>
      </c>
      <c r="U51" s="13" t="n">
        <f aca="false">G51+T51</f>
        <v>1070193.9973844</v>
      </c>
      <c r="V51" s="11" t="n">
        <f aca="false">V50+L51</f>
        <v>520007.767384404</v>
      </c>
      <c r="W51" s="11" t="n">
        <f aca="false">W50+N51+O51+R51</f>
        <v>184813.77</v>
      </c>
      <c r="X51" s="11" t="n">
        <f aca="false">ROUND(V51-W51-T51,2)</f>
        <v>0</v>
      </c>
      <c r="Y51" s="2"/>
    </row>
    <row r="52" customFormat="false" ht="15" hidden="false" customHeight="false" outlineLevel="0" collapsed="false">
      <c r="A52" s="40" t="n">
        <f aca="false">EOMONTH(A51,1)</f>
        <v>46203</v>
      </c>
      <c r="B52" s="40" t="n">
        <f aca="false">A51</f>
        <v>46173</v>
      </c>
      <c r="C52" s="41" t="n">
        <f aca="false">A52-B52</f>
        <v>30</v>
      </c>
      <c r="D52" s="42" t="str">
        <f aca="false">IF(A52&lt;=EOMONTH(Inputs!$B$18,-1),"Actual","Projection")</f>
        <v>Actual</v>
      </c>
      <c r="E52" s="16" t="n">
        <f aca="false">G51</f>
        <v>735000</v>
      </c>
      <c r="F52" s="43" t="n">
        <f aca="false">SUMIFS(Cash_Events!$G$6:$G$20,Cash_Events!$C$6:$C$20,"rAGMF",Cash_Events!$M$6:$M$20,A52)</f>
        <v>0</v>
      </c>
      <c r="G52" s="16" t="n">
        <f aca="false">E52-F52</f>
        <v>735000</v>
      </c>
      <c r="H52" s="44" t="n">
        <f aca="false">VLOOKUP(A52-1,Inputs!$A$40:$B$48,2,TRUE())</f>
        <v>0.0363225</v>
      </c>
      <c r="I52" s="44" t="n">
        <f aca="false">H52+Inputs!B10</f>
        <v>0.1038225</v>
      </c>
      <c r="J52" s="43" t="n">
        <f aca="false">SUMIFS(Daily!$G$6:$G$2400,Daily!$B$6:$B$2400,A52)</f>
        <v>6272.01678082192</v>
      </c>
      <c r="K52" s="43" t="n">
        <f aca="false">SUMIFS(Daily!$H$6:$H$2400,Daily!$B$6:$B$2400,A52)</f>
        <v>1208.21917808219</v>
      </c>
      <c r="L52" s="16" t="n">
        <f aca="false">J52+K52</f>
        <v>7480.23595890411</v>
      </c>
      <c r="M52" s="16" t="n">
        <f aca="false">P51</f>
        <v>291752.535156692</v>
      </c>
      <c r="N52" s="43" t="n">
        <f aca="false">SUMIFS(Cash_Events!$H$6:$H$20,Cash_Events!$C$6:$C$20,"rAGMF",Cash_Events!$D$6:$D$20,"JV",Cash_Events!$M$6:$M$20,A52)</f>
        <v>0</v>
      </c>
      <c r="O52" s="43" t="n">
        <f aca="false">SUMIFS(Cash_Events!$H$6:$H$20,Cash_Events!$C$6:$C$20,"rAGMF",Cash_Events!$D$6:$D$20,"800S",Cash_Events!$M$6:$M$20,A52)</f>
        <v>0</v>
      </c>
      <c r="P52" s="16" t="n">
        <f aca="false">M52+J52-N52-O52</f>
        <v>298024.551937514</v>
      </c>
      <c r="Q52" s="16" t="n">
        <f aca="false">S51</f>
        <v>43441.4622277117</v>
      </c>
      <c r="R52" s="43" t="n">
        <f aca="false">SUMIFS(Cash_Events!$I$6:$I$20,Cash_Events!$C$6:$C$20,"rAGMF",Cash_Events!$M$6:$M$20,A52)</f>
        <v>0</v>
      </c>
      <c r="S52" s="16" t="n">
        <f aca="false">Q52+K52-R52</f>
        <v>44649.6814057938</v>
      </c>
      <c r="T52" s="17" t="n">
        <f aca="false">P52+S52</f>
        <v>342674.233343308</v>
      </c>
      <c r="U52" s="17" t="n">
        <f aca="false">G52+T52</f>
        <v>1077674.23334331</v>
      </c>
      <c r="V52" s="16" t="n">
        <f aca="false">V51+L52</f>
        <v>527488.003343308</v>
      </c>
      <c r="W52" s="16" t="n">
        <f aca="false">W51+N52+O52+R52</f>
        <v>184813.77</v>
      </c>
      <c r="X52" s="16" t="n">
        <f aca="false">ROUND(V52-W52-T52,2)</f>
        <v>0</v>
      </c>
      <c r="Y52" s="45" t="s">
        <v>250</v>
      </c>
    </row>
    <row r="53" customFormat="false" ht="15" hidden="false" customHeight="false" outlineLevel="0" collapsed="false">
      <c r="A53" s="32" t="n">
        <f aca="false">EOMONTH(A52,1)</f>
        <v>46234</v>
      </c>
      <c r="B53" s="32" t="n">
        <f aca="false">A52</f>
        <v>46203</v>
      </c>
      <c r="C53" s="39" t="n">
        <f aca="false">A53-B53</f>
        <v>31</v>
      </c>
      <c r="D53" s="9" t="str">
        <f aca="false">IF(A53&lt;=EOMONTH(Inputs!$B$18,-1),"Actual","Projection")</f>
        <v>Actual</v>
      </c>
      <c r="E53" s="11" t="n">
        <f aca="false">G52</f>
        <v>735000</v>
      </c>
      <c r="F53" s="10" t="n">
        <f aca="false">SUMIFS(Cash_Events!$G$6:$G$20,Cash_Events!$C$6:$C$20,"rAGMF",Cash_Events!$M$6:$M$20,A53)</f>
        <v>0</v>
      </c>
      <c r="G53" s="11" t="n">
        <f aca="false">E53-F53</f>
        <v>735000</v>
      </c>
      <c r="H53" s="28" t="n">
        <f aca="false">VLOOKUP(A53-1,Inputs!$A$40:$B$48,2,TRUE())</f>
        <v>0.0363225</v>
      </c>
      <c r="I53" s="28" t="n">
        <f aca="false">H53+Inputs!B10</f>
        <v>0.1038225</v>
      </c>
      <c r="J53" s="10" t="n">
        <f aca="false">SUMIFS(Daily!$G$6:$G$2400,Daily!$B$6:$B$2400,A53)</f>
        <v>6481.08400684932</v>
      </c>
      <c r="K53" s="10" t="n">
        <f aca="false">SUMIFS(Daily!$H$6:$H$2400,Daily!$B$6:$B$2400,A53)</f>
        <v>1248.49315068493</v>
      </c>
      <c r="L53" s="11" t="n">
        <f aca="false">J53+K53</f>
        <v>7729.57715753425</v>
      </c>
      <c r="M53" s="11" t="n">
        <f aca="false">P52</f>
        <v>298024.551937514</v>
      </c>
      <c r="N53" s="10" t="n">
        <f aca="false">SUMIFS(Cash_Events!$H$6:$H$20,Cash_Events!$C$6:$C$20,"rAGMF",Cash_Events!$D$6:$D$20,"JV",Cash_Events!$M$6:$M$20,A53)</f>
        <v>0</v>
      </c>
      <c r="O53" s="10" t="n">
        <f aca="false">SUMIFS(Cash_Events!$H$6:$H$20,Cash_Events!$C$6:$C$20,"rAGMF",Cash_Events!$D$6:$D$20,"800S",Cash_Events!$M$6:$M$20,A53)</f>
        <v>0</v>
      </c>
      <c r="P53" s="11" t="n">
        <f aca="false">M53+J53-N53-O53</f>
        <v>304505.635944363</v>
      </c>
      <c r="Q53" s="11" t="n">
        <f aca="false">S52</f>
        <v>44649.6814057938</v>
      </c>
      <c r="R53" s="10" t="n">
        <f aca="false">SUMIFS(Cash_Events!$I$6:$I$20,Cash_Events!$C$6:$C$20,"rAGMF",Cash_Events!$M$6:$M$20,A53)</f>
        <v>0</v>
      </c>
      <c r="S53" s="11" t="n">
        <f aca="false">Q53+K53-R53</f>
        <v>45898.1745564788</v>
      </c>
      <c r="T53" s="13" t="n">
        <f aca="false">P53+S53</f>
        <v>350403.810500842</v>
      </c>
      <c r="U53" s="13" t="n">
        <f aca="false">G53+T53</f>
        <v>1085403.81050084</v>
      </c>
      <c r="V53" s="11" t="n">
        <f aca="false">V52+L53</f>
        <v>535217.580500842</v>
      </c>
      <c r="W53" s="11" t="n">
        <f aca="false">W52+N53+O53+R53</f>
        <v>184813.77</v>
      </c>
      <c r="X53" s="11" t="n">
        <f aca="false">ROUND(V53-W53-T53,2)</f>
        <v>0</v>
      </c>
      <c r="Y53" s="2"/>
    </row>
    <row r="54" customFormat="false" ht="15" hidden="false" customHeight="false" outlineLevel="0" collapsed="false">
      <c r="A54" s="32" t="n">
        <f aca="false">EOMONTH(A53,1)</f>
        <v>46265</v>
      </c>
      <c r="B54" s="32" t="n">
        <f aca="false">A53</f>
        <v>46234</v>
      </c>
      <c r="C54" s="39" t="n">
        <f aca="false">A54-B54</f>
        <v>31</v>
      </c>
      <c r="D54" s="9" t="str">
        <f aca="false">IF(A54&lt;=EOMONTH(Inputs!$B$18,-1),"Actual","Projection")</f>
        <v>Actual</v>
      </c>
      <c r="E54" s="11" t="n">
        <f aca="false">G53</f>
        <v>735000</v>
      </c>
      <c r="F54" s="10" t="n">
        <f aca="false">SUMIFS(Cash_Events!$G$6:$G$20,Cash_Events!$C$6:$C$20,"rAGMF",Cash_Events!$M$6:$M$20,A54)</f>
        <v>0</v>
      </c>
      <c r="G54" s="11" t="n">
        <f aca="false">E54-F54</f>
        <v>735000</v>
      </c>
      <c r="H54" s="28" t="n">
        <f aca="false">VLOOKUP(A54-1,Inputs!$A$40:$B$48,2,TRUE())</f>
        <v>0.0363225</v>
      </c>
      <c r="I54" s="28" t="n">
        <f aca="false">H54+Inputs!B10</f>
        <v>0.1038225</v>
      </c>
      <c r="J54" s="10" t="n">
        <f aca="false">SUMIFS(Daily!$G$6:$G$2400,Daily!$B$6:$B$2400,A54)</f>
        <v>6481.08400684932</v>
      </c>
      <c r="K54" s="10" t="n">
        <f aca="false">SUMIFS(Daily!$H$6:$H$2400,Daily!$B$6:$B$2400,A54)</f>
        <v>1248.49315068493</v>
      </c>
      <c r="L54" s="11" t="n">
        <f aca="false">J54+K54</f>
        <v>7729.57715753425</v>
      </c>
      <c r="M54" s="11" t="n">
        <f aca="false">P53</f>
        <v>304505.635944363</v>
      </c>
      <c r="N54" s="10" t="n">
        <f aca="false">SUMIFS(Cash_Events!$H$6:$H$20,Cash_Events!$C$6:$C$20,"rAGMF",Cash_Events!$D$6:$D$20,"JV",Cash_Events!$M$6:$M$20,A54)</f>
        <v>0</v>
      </c>
      <c r="O54" s="10" t="n">
        <f aca="false">SUMIFS(Cash_Events!$H$6:$H$20,Cash_Events!$C$6:$C$20,"rAGMF",Cash_Events!$D$6:$D$20,"800S",Cash_Events!$M$6:$M$20,A54)</f>
        <v>0</v>
      </c>
      <c r="P54" s="11" t="n">
        <f aca="false">M54+J54-N54-O54</f>
        <v>310986.719951213</v>
      </c>
      <c r="Q54" s="11" t="n">
        <f aca="false">S53</f>
        <v>45898.1745564788</v>
      </c>
      <c r="R54" s="10" t="n">
        <f aca="false">SUMIFS(Cash_Events!$I$6:$I$20,Cash_Events!$C$6:$C$20,"rAGMF",Cash_Events!$M$6:$M$20,A54)</f>
        <v>0</v>
      </c>
      <c r="S54" s="11" t="n">
        <f aca="false">Q54+K54-R54</f>
        <v>47146.6677071637</v>
      </c>
      <c r="T54" s="13" t="n">
        <f aca="false">P54+S54</f>
        <v>358133.387658376</v>
      </c>
      <c r="U54" s="13" t="n">
        <f aca="false">G54+T54</f>
        <v>1093133.38765838</v>
      </c>
      <c r="V54" s="11" t="n">
        <f aca="false">V53+L54</f>
        <v>542947.157658376</v>
      </c>
      <c r="W54" s="11" t="n">
        <f aca="false">W53+N54+O54+R54</f>
        <v>184813.77</v>
      </c>
      <c r="X54" s="11" t="n">
        <f aca="false">ROUND(V54-W54-T54,2)</f>
        <v>0</v>
      </c>
      <c r="Y54" s="2"/>
    </row>
    <row r="55" customFormat="false" ht="15" hidden="false" customHeight="false" outlineLevel="0" collapsed="false">
      <c r="A55" s="32" t="n">
        <f aca="false">EOMONTH(A54,1)</f>
        <v>46295</v>
      </c>
      <c r="B55" s="32" t="n">
        <f aca="false">A54</f>
        <v>46265</v>
      </c>
      <c r="C55" s="39" t="n">
        <f aca="false">A55-B55</f>
        <v>30</v>
      </c>
      <c r="D55" s="9" t="str">
        <f aca="false">IF(A55&lt;=EOMONTH(Inputs!$B$18,-1),"Actual","Projection")</f>
        <v>Actual</v>
      </c>
      <c r="E55" s="11" t="n">
        <f aca="false">G54</f>
        <v>735000</v>
      </c>
      <c r="F55" s="10" t="n">
        <f aca="false">SUMIFS(Cash_Events!$G$6:$G$20,Cash_Events!$C$6:$C$20,"rAGMF",Cash_Events!$M$6:$M$20,A55)</f>
        <v>0</v>
      </c>
      <c r="G55" s="11" t="n">
        <f aca="false">E55-F55</f>
        <v>735000</v>
      </c>
      <c r="H55" s="28" t="n">
        <f aca="false">VLOOKUP(A55-1,Inputs!$A$40:$B$48,2,TRUE())</f>
        <v>0.0363225</v>
      </c>
      <c r="I55" s="28" t="n">
        <f aca="false">H55+Inputs!B10</f>
        <v>0.1038225</v>
      </c>
      <c r="J55" s="10" t="n">
        <f aca="false">SUMIFS(Daily!$G$6:$G$2400,Daily!$B$6:$B$2400,A55)</f>
        <v>6272.01678082192</v>
      </c>
      <c r="K55" s="10" t="n">
        <f aca="false">SUMIFS(Daily!$H$6:$H$2400,Daily!$B$6:$B$2400,A55)</f>
        <v>1208.21917808219</v>
      </c>
      <c r="L55" s="11" t="n">
        <f aca="false">J55+K55</f>
        <v>7480.23595890411</v>
      </c>
      <c r="M55" s="11" t="n">
        <f aca="false">P54</f>
        <v>310986.719951213</v>
      </c>
      <c r="N55" s="10" t="n">
        <f aca="false">SUMIFS(Cash_Events!$H$6:$H$20,Cash_Events!$C$6:$C$20,"rAGMF",Cash_Events!$D$6:$D$20,"JV",Cash_Events!$M$6:$M$20,A55)</f>
        <v>0</v>
      </c>
      <c r="O55" s="10" t="n">
        <f aca="false">SUMIFS(Cash_Events!$H$6:$H$20,Cash_Events!$C$6:$C$20,"rAGMF",Cash_Events!$D$6:$D$20,"800S",Cash_Events!$M$6:$M$20,A55)</f>
        <v>0</v>
      </c>
      <c r="P55" s="11" t="n">
        <f aca="false">M55+J55-N55-O55</f>
        <v>317258.736732035</v>
      </c>
      <c r="Q55" s="11" t="n">
        <f aca="false">S54</f>
        <v>47146.6677071637</v>
      </c>
      <c r="R55" s="10" t="n">
        <f aca="false">SUMIFS(Cash_Events!$I$6:$I$20,Cash_Events!$C$6:$C$20,"rAGMF",Cash_Events!$M$6:$M$20,A55)</f>
        <v>0</v>
      </c>
      <c r="S55" s="11" t="n">
        <f aca="false">Q55+K55-R55</f>
        <v>48354.8868852459</v>
      </c>
      <c r="T55" s="13" t="n">
        <f aca="false">P55+S55</f>
        <v>365613.62361728</v>
      </c>
      <c r="U55" s="13" t="n">
        <f aca="false">G55+T55</f>
        <v>1100613.62361728</v>
      </c>
      <c r="V55" s="11" t="n">
        <f aca="false">V54+L55</f>
        <v>550427.39361728</v>
      </c>
      <c r="W55" s="11" t="n">
        <f aca="false">W54+N55+O55+R55</f>
        <v>184813.77</v>
      </c>
      <c r="X55" s="11" t="n">
        <f aca="false">ROUND(V55-W55-T55,2)</f>
        <v>0</v>
      </c>
      <c r="Y55" s="2" t="s">
        <v>251</v>
      </c>
    </row>
    <row r="56" customFormat="false" ht="15" hidden="false" customHeight="false" outlineLevel="0" collapsed="false">
      <c r="A56" s="46" t="n">
        <f aca="false">EOMONTH(A55,1)</f>
        <v>46326</v>
      </c>
      <c r="B56" s="46" t="n">
        <f aca="false">A55</f>
        <v>46295</v>
      </c>
      <c r="C56" s="47" t="n">
        <f aca="false">A56-B56</f>
        <v>31</v>
      </c>
      <c r="D56" s="48" t="str">
        <f aca="false">IF(A56&lt;=EOMONTH(Inputs!$B$18,-1),"Actual","Projection")</f>
        <v>Projection</v>
      </c>
      <c r="E56" s="49" t="n">
        <f aca="false">G55</f>
        <v>735000</v>
      </c>
      <c r="F56" s="50" t="n">
        <f aca="false">SUMIFS(Cash_Events!$G$6:$G$20,Cash_Events!$C$6:$C$20,"rAGMF",Cash_Events!$M$6:$M$20,A56)</f>
        <v>0</v>
      </c>
      <c r="G56" s="49" t="n">
        <f aca="false">E56-F56</f>
        <v>735000</v>
      </c>
      <c r="H56" s="51" t="n">
        <f aca="false">VLOOKUP(A56-1,Inputs!$A$40:$B$48,2,TRUE())</f>
        <v>0.0363225</v>
      </c>
      <c r="I56" s="51" t="n">
        <f aca="false">H56+Inputs!B10</f>
        <v>0.1038225</v>
      </c>
      <c r="J56" s="50" t="n">
        <f aca="false">SUMIFS(Daily!$G$6:$G$2400,Daily!$B$6:$B$2400,A56)</f>
        <v>6481.08400684932</v>
      </c>
      <c r="K56" s="50" t="n">
        <f aca="false">SUMIFS(Daily!$H$6:$H$2400,Daily!$B$6:$B$2400,A56)</f>
        <v>1248.49315068493</v>
      </c>
      <c r="L56" s="49" t="n">
        <f aca="false">J56+K56</f>
        <v>7729.57715753425</v>
      </c>
      <c r="M56" s="49" t="n">
        <f aca="false">P55</f>
        <v>317258.736732035</v>
      </c>
      <c r="N56" s="50" t="n">
        <f aca="false">SUMIFS(Cash_Events!$H$6:$H$20,Cash_Events!$C$6:$C$20,"rAGMF",Cash_Events!$D$6:$D$20,"JV",Cash_Events!$M$6:$M$20,A56)</f>
        <v>0</v>
      </c>
      <c r="O56" s="50" t="n">
        <f aca="false">SUMIFS(Cash_Events!$H$6:$H$20,Cash_Events!$C$6:$C$20,"rAGMF",Cash_Events!$D$6:$D$20,"800S",Cash_Events!$M$6:$M$20,A56)</f>
        <v>0</v>
      </c>
      <c r="P56" s="49" t="n">
        <f aca="false">M56+J56-N56-O56</f>
        <v>323739.820738884</v>
      </c>
      <c r="Q56" s="49" t="n">
        <f aca="false">S55</f>
        <v>48354.8868852459</v>
      </c>
      <c r="R56" s="50" t="n">
        <f aca="false">SUMIFS(Cash_Events!$I$6:$I$20,Cash_Events!$C$6:$C$20,"rAGMF",Cash_Events!$M$6:$M$20,A56)</f>
        <v>0</v>
      </c>
      <c r="S56" s="49" t="n">
        <f aca="false">Q56+K56-R56</f>
        <v>49603.3800359308</v>
      </c>
      <c r="T56" s="52" t="n">
        <f aca="false">P56+S56</f>
        <v>373343.200774815</v>
      </c>
      <c r="U56" s="52" t="n">
        <f aca="false">G56+T56</f>
        <v>1108343.20077481</v>
      </c>
      <c r="V56" s="49" t="n">
        <f aca="false">V55+L56</f>
        <v>558156.970774815</v>
      </c>
      <c r="W56" s="49" t="n">
        <f aca="false">W55+N56+O56+R56</f>
        <v>184813.77</v>
      </c>
      <c r="X56" s="49" t="n">
        <f aca="false">ROUND(V56-W56-T56,2)</f>
        <v>0</v>
      </c>
      <c r="Y56" s="2"/>
    </row>
    <row r="57" customFormat="false" ht="15" hidden="false" customHeight="false" outlineLevel="0" collapsed="false">
      <c r="A57" s="46" t="n">
        <f aca="false">EOMONTH(A56,1)</f>
        <v>46356</v>
      </c>
      <c r="B57" s="46" t="n">
        <f aca="false">A56</f>
        <v>46326</v>
      </c>
      <c r="C57" s="47" t="n">
        <f aca="false">A57-B57</f>
        <v>30</v>
      </c>
      <c r="D57" s="48" t="str">
        <f aca="false">IF(A57&lt;=EOMONTH(Inputs!$B$18,-1),"Actual","Projection")</f>
        <v>Projection</v>
      </c>
      <c r="E57" s="49" t="n">
        <f aca="false">G56</f>
        <v>735000</v>
      </c>
      <c r="F57" s="50" t="n">
        <f aca="false">SUMIFS(Cash_Events!$G$6:$G$20,Cash_Events!$C$6:$C$20,"rAGMF",Cash_Events!$M$6:$M$20,A57)</f>
        <v>0</v>
      </c>
      <c r="G57" s="49" t="n">
        <f aca="false">E57-F57</f>
        <v>735000</v>
      </c>
      <c r="H57" s="51" t="n">
        <f aca="false">VLOOKUP(A57-1,Inputs!$A$40:$B$48,2,TRUE())</f>
        <v>0.0363225</v>
      </c>
      <c r="I57" s="51" t="n">
        <f aca="false">H57+Inputs!B10</f>
        <v>0.1038225</v>
      </c>
      <c r="J57" s="50" t="n">
        <f aca="false">SUMIFS(Daily!$G$6:$G$2400,Daily!$B$6:$B$2400,A57)</f>
        <v>6272.01678082192</v>
      </c>
      <c r="K57" s="50" t="n">
        <f aca="false">SUMIFS(Daily!$H$6:$H$2400,Daily!$B$6:$B$2400,A57)</f>
        <v>1208.21917808219</v>
      </c>
      <c r="L57" s="49" t="n">
        <f aca="false">J57+K57</f>
        <v>7480.23595890411</v>
      </c>
      <c r="M57" s="49" t="n">
        <f aca="false">P56</f>
        <v>323739.820738884</v>
      </c>
      <c r="N57" s="50" t="n">
        <f aca="false">SUMIFS(Cash_Events!$H$6:$H$20,Cash_Events!$C$6:$C$20,"rAGMF",Cash_Events!$D$6:$D$20,"JV",Cash_Events!$M$6:$M$20,A57)</f>
        <v>0</v>
      </c>
      <c r="O57" s="50" t="n">
        <f aca="false">SUMIFS(Cash_Events!$H$6:$H$20,Cash_Events!$C$6:$C$20,"rAGMF",Cash_Events!$D$6:$D$20,"800S",Cash_Events!$M$6:$M$20,A57)</f>
        <v>0</v>
      </c>
      <c r="P57" s="49" t="n">
        <f aca="false">M57+J57-N57-O57</f>
        <v>330011.837519706</v>
      </c>
      <c r="Q57" s="49" t="n">
        <f aca="false">S56</f>
        <v>49603.3800359308</v>
      </c>
      <c r="R57" s="50" t="n">
        <f aca="false">SUMIFS(Cash_Events!$I$6:$I$20,Cash_Events!$C$6:$C$20,"rAGMF",Cash_Events!$M$6:$M$20,A57)</f>
        <v>0</v>
      </c>
      <c r="S57" s="49" t="n">
        <f aca="false">Q57+K57-R57</f>
        <v>50811.599214013</v>
      </c>
      <c r="T57" s="52" t="n">
        <f aca="false">P57+S57</f>
        <v>380823.436733719</v>
      </c>
      <c r="U57" s="52" t="n">
        <f aca="false">G57+T57</f>
        <v>1115823.43673372</v>
      </c>
      <c r="V57" s="49" t="n">
        <f aca="false">V56+L57</f>
        <v>565637.206733719</v>
      </c>
      <c r="W57" s="49" t="n">
        <f aca="false">W56+N57+O57+R57</f>
        <v>184813.77</v>
      </c>
      <c r="X57" s="49" t="n">
        <f aca="false">ROUND(V57-W57-T57,2)</f>
        <v>0</v>
      </c>
      <c r="Y57" s="2"/>
    </row>
    <row r="58" customFormat="false" ht="15" hidden="false" customHeight="false" outlineLevel="0" collapsed="false">
      <c r="A58" s="46" t="n">
        <f aca="false">EOMONTH(A57,1)</f>
        <v>46387</v>
      </c>
      <c r="B58" s="46" t="n">
        <f aca="false">A57</f>
        <v>46356</v>
      </c>
      <c r="C58" s="47" t="n">
        <f aca="false">A58-B58</f>
        <v>31</v>
      </c>
      <c r="D58" s="48" t="str">
        <f aca="false">IF(A58&lt;=EOMONTH(Inputs!$B$18,-1),"Actual","Projection")</f>
        <v>Projection</v>
      </c>
      <c r="E58" s="49" t="n">
        <f aca="false">G57</f>
        <v>735000</v>
      </c>
      <c r="F58" s="50" t="n">
        <f aca="false">SUMIFS(Cash_Events!$G$6:$G$20,Cash_Events!$C$6:$C$20,"rAGMF",Cash_Events!$M$6:$M$20,A58)</f>
        <v>0</v>
      </c>
      <c r="G58" s="49" t="n">
        <f aca="false">E58-F58</f>
        <v>735000</v>
      </c>
      <c r="H58" s="51" t="n">
        <f aca="false">VLOOKUP(A58-1,Inputs!$A$40:$B$48,2,TRUE())</f>
        <v>0.0363225</v>
      </c>
      <c r="I58" s="51" t="n">
        <f aca="false">H58+Inputs!B10</f>
        <v>0.1038225</v>
      </c>
      <c r="J58" s="50" t="n">
        <f aca="false">SUMIFS(Daily!$G$6:$G$2400,Daily!$B$6:$B$2400,A58)</f>
        <v>6481.08400684932</v>
      </c>
      <c r="K58" s="50" t="n">
        <f aca="false">SUMIFS(Daily!$H$6:$H$2400,Daily!$B$6:$B$2400,A58)</f>
        <v>1248.49315068493</v>
      </c>
      <c r="L58" s="49" t="n">
        <f aca="false">J58+K58</f>
        <v>7729.57715753425</v>
      </c>
      <c r="M58" s="49" t="n">
        <f aca="false">P57</f>
        <v>330011.837519706</v>
      </c>
      <c r="N58" s="50" t="n">
        <f aca="false">SUMIFS(Cash_Events!$H$6:$H$20,Cash_Events!$C$6:$C$20,"rAGMF",Cash_Events!$D$6:$D$20,"JV",Cash_Events!$M$6:$M$20,A58)</f>
        <v>0</v>
      </c>
      <c r="O58" s="50" t="n">
        <f aca="false">SUMIFS(Cash_Events!$H$6:$H$20,Cash_Events!$C$6:$C$20,"rAGMF",Cash_Events!$D$6:$D$20,"800S",Cash_Events!$M$6:$M$20,A58)</f>
        <v>0</v>
      </c>
      <c r="P58" s="49" t="n">
        <f aca="false">M58+J58-N58-O58</f>
        <v>336492.921526555</v>
      </c>
      <c r="Q58" s="49" t="n">
        <f aca="false">S57</f>
        <v>50811.599214013</v>
      </c>
      <c r="R58" s="50" t="n">
        <f aca="false">SUMIFS(Cash_Events!$I$6:$I$20,Cash_Events!$C$6:$C$20,"rAGMF",Cash_Events!$M$6:$M$20,A58)</f>
        <v>0</v>
      </c>
      <c r="S58" s="49" t="n">
        <f aca="false">Q58+K58-R58</f>
        <v>52060.0923646979</v>
      </c>
      <c r="T58" s="52" t="n">
        <f aca="false">P58+S58</f>
        <v>388553.013891253</v>
      </c>
      <c r="U58" s="52" t="n">
        <f aca="false">G58+T58</f>
        <v>1123553.01389125</v>
      </c>
      <c r="V58" s="49" t="n">
        <f aca="false">V57+L58</f>
        <v>573366.783891253</v>
      </c>
      <c r="W58" s="49" t="n">
        <f aca="false">W57+N58+O58+R58</f>
        <v>184813.77</v>
      </c>
      <c r="X58" s="49" t="n">
        <f aca="false">ROUND(V58-W58-T58,2)</f>
        <v>0</v>
      </c>
      <c r="Y58" s="2"/>
    </row>
    <row r="59" customFormat="false" ht="15" hidden="false" customHeight="false" outlineLevel="0" collapsed="false">
      <c r="A59" s="46" t="n">
        <f aca="false">EOMONTH(A58,1)</f>
        <v>46418</v>
      </c>
      <c r="B59" s="46" t="n">
        <f aca="false">A58</f>
        <v>46387</v>
      </c>
      <c r="C59" s="47" t="n">
        <f aca="false">A59-B59</f>
        <v>31</v>
      </c>
      <c r="D59" s="48" t="str">
        <f aca="false">IF(A59&lt;=EOMONTH(Inputs!$B$18,-1),"Actual","Projection")</f>
        <v>Projection</v>
      </c>
      <c r="E59" s="49" t="n">
        <f aca="false">G58</f>
        <v>735000</v>
      </c>
      <c r="F59" s="50" t="n">
        <f aca="false">SUMIFS(Cash_Events!$G$6:$G$20,Cash_Events!$C$6:$C$20,"rAGMF",Cash_Events!$M$6:$M$20,A59)</f>
        <v>0</v>
      </c>
      <c r="G59" s="49" t="n">
        <f aca="false">E59-F59</f>
        <v>735000</v>
      </c>
      <c r="H59" s="51" t="n">
        <f aca="false">VLOOKUP(A59-1,Inputs!$A$40:$B$48,2,TRUE())</f>
        <v>0.0363225</v>
      </c>
      <c r="I59" s="51" t="n">
        <f aca="false">H59+Inputs!B10</f>
        <v>0.1038225</v>
      </c>
      <c r="J59" s="50" t="n">
        <f aca="false">SUMIFS(Daily!$G$6:$G$2400,Daily!$B$6:$B$2400,A59)</f>
        <v>6481.08400684932</v>
      </c>
      <c r="K59" s="50" t="n">
        <f aca="false">SUMIFS(Daily!$H$6:$H$2400,Daily!$B$6:$B$2400,A59)</f>
        <v>1248.49315068493</v>
      </c>
      <c r="L59" s="49" t="n">
        <f aca="false">J59+K59</f>
        <v>7729.57715753425</v>
      </c>
      <c r="M59" s="49" t="n">
        <f aca="false">P58</f>
        <v>336492.921526555</v>
      </c>
      <c r="N59" s="50" t="n">
        <f aca="false">SUMIFS(Cash_Events!$H$6:$H$20,Cash_Events!$C$6:$C$20,"rAGMF",Cash_Events!$D$6:$D$20,"JV",Cash_Events!$M$6:$M$20,A59)</f>
        <v>0</v>
      </c>
      <c r="O59" s="50" t="n">
        <f aca="false">SUMIFS(Cash_Events!$H$6:$H$20,Cash_Events!$C$6:$C$20,"rAGMF",Cash_Events!$D$6:$D$20,"800S",Cash_Events!$M$6:$M$20,A59)</f>
        <v>0</v>
      </c>
      <c r="P59" s="49" t="n">
        <f aca="false">M59+J59-N59-O59</f>
        <v>342974.005533404</v>
      </c>
      <c r="Q59" s="49" t="n">
        <f aca="false">S58</f>
        <v>52060.0923646979</v>
      </c>
      <c r="R59" s="50" t="n">
        <f aca="false">SUMIFS(Cash_Events!$I$6:$I$20,Cash_Events!$C$6:$C$20,"rAGMF",Cash_Events!$M$6:$M$20,A59)</f>
        <v>0</v>
      </c>
      <c r="S59" s="49" t="n">
        <f aca="false">Q59+K59-R59</f>
        <v>53308.5855153829</v>
      </c>
      <c r="T59" s="52" t="n">
        <f aca="false">P59+S59</f>
        <v>396282.591048787</v>
      </c>
      <c r="U59" s="52" t="n">
        <f aca="false">G59+T59</f>
        <v>1131282.59104879</v>
      </c>
      <c r="V59" s="49" t="n">
        <f aca="false">V58+L59</f>
        <v>581096.361048787</v>
      </c>
      <c r="W59" s="49" t="n">
        <f aca="false">W58+N59+O59+R59</f>
        <v>184813.77</v>
      </c>
      <c r="X59" s="49" t="n">
        <f aca="false">ROUND(V59-W59-T59,2)</f>
        <v>0</v>
      </c>
      <c r="Y59" s="2"/>
    </row>
    <row r="60" customFormat="false" ht="15" hidden="false" customHeight="false" outlineLevel="0" collapsed="false">
      <c r="A60" s="46" t="n">
        <f aca="false">EOMONTH(A59,1)</f>
        <v>46446</v>
      </c>
      <c r="B60" s="46" t="n">
        <f aca="false">A59</f>
        <v>46418</v>
      </c>
      <c r="C60" s="47" t="n">
        <f aca="false">A60-B60</f>
        <v>28</v>
      </c>
      <c r="D60" s="48" t="str">
        <f aca="false">IF(A60&lt;=EOMONTH(Inputs!$B$18,-1),"Actual","Projection")</f>
        <v>Projection</v>
      </c>
      <c r="E60" s="49" t="n">
        <f aca="false">G59</f>
        <v>735000</v>
      </c>
      <c r="F60" s="50" t="n">
        <f aca="false">SUMIFS(Cash_Events!$G$6:$G$20,Cash_Events!$C$6:$C$20,"rAGMF",Cash_Events!$M$6:$M$20,A60)</f>
        <v>0</v>
      </c>
      <c r="G60" s="49" t="n">
        <f aca="false">E60-F60</f>
        <v>735000</v>
      </c>
      <c r="H60" s="51" t="n">
        <f aca="false">VLOOKUP(A60-1,Inputs!$A$40:$B$48,2,TRUE())</f>
        <v>0.0363225</v>
      </c>
      <c r="I60" s="51" t="n">
        <f aca="false">H60+Inputs!B10</f>
        <v>0.1038225</v>
      </c>
      <c r="J60" s="50" t="n">
        <f aca="false">SUMIFS(Daily!$G$6:$G$2400,Daily!$B$6:$B$2400,A60)</f>
        <v>5853.88232876712</v>
      </c>
      <c r="K60" s="50" t="n">
        <f aca="false">SUMIFS(Daily!$H$6:$H$2400,Daily!$B$6:$B$2400,A60)</f>
        <v>1127.67123287671</v>
      </c>
      <c r="L60" s="49" t="n">
        <f aca="false">J60+K60</f>
        <v>6981.55356164384</v>
      </c>
      <c r="M60" s="49" t="n">
        <f aca="false">P59</f>
        <v>342974.005533404</v>
      </c>
      <c r="N60" s="50" t="n">
        <f aca="false">SUMIFS(Cash_Events!$H$6:$H$20,Cash_Events!$C$6:$C$20,"rAGMF",Cash_Events!$D$6:$D$20,"JV",Cash_Events!$M$6:$M$20,A60)</f>
        <v>0</v>
      </c>
      <c r="O60" s="50" t="n">
        <f aca="false">SUMIFS(Cash_Events!$H$6:$H$20,Cash_Events!$C$6:$C$20,"rAGMF",Cash_Events!$D$6:$D$20,"800S",Cash_Events!$M$6:$M$20,A60)</f>
        <v>0</v>
      </c>
      <c r="P60" s="49" t="n">
        <f aca="false">M60+J60-N60-O60</f>
        <v>348827.887862172</v>
      </c>
      <c r="Q60" s="49" t="n">
        <f aca="false">S59</f>
        <v>53308.5855153829</v>
      </c>
      <c r="R60" s="50" t="n">
        <f aca="false">SUMIFS(Cash_Events!$I$6:$I$20,Cash_Events!$C$6:$C$20,"rAGMF",Cash_Events!$M$6:$M$20,A60)</f>
        <v>0</v>
      </c>
      <c r="S60" s="49" t="n">
        <f aca="false">Q60+K60-R60</f>
        <v>54436.2567482596</v>
      </c>
      <c r="T60" s="52" t="n">
        <f aca="false">P60+S60</f>
        <v>403264.144610431</v>
      </c>
      <c r="U60" s="52" t="n">
        <f aca="false">G60+T60</f>
        <v>1138264.14461043</v>
      </c>
      <c r="V60" s="49" t="n">
        <f aca="false">V59+L60</f>
        <v>588077.914610431</v>
      </c>
      <c r="W60" s="49" t="n">
        <f aca="false">W59+N60+O60+R60</f>
        <v>184813.77</v>
      </c>
      <c r="X60" s="49" t="n">
        <f aca="false">ROUND(V60-W60-T60,2)</f>
        <v>0</v>
      </c>
      <c r="Y60" s="2"/>
    </row>
    <row r="61" customFormat="false" ht="15" hidden="false" customHeight="false" outlineLevel="0" collapsed="false">
      <c r="A61" s="46" t="n">
        <f aca="false">EOMONTH(A60,1)</f>
        <v>46477</v>
      </c>
      <c r="B61" s="46" t="n">
        <f aca="false">A60</f>
        <v>46446</v>
      </c>
      <c r="C61" s="47" t="n">
        <f aca="false">A61-B61</f>
        <v>31</v>
      </c>
      <c r="D61" s="48" t="str">
        <f aca="false">IF(A61&lt;=EOMONTH(Inputs!$B$18,-1),"Actual","Projection")</f>
        <v>Projection</v>
      </c>
      <c r="E61" s="49" t="n">
        <f aca="false">G60</f>
        <v>735000</v>
      </c>
      <c r="F61" s="50" t="n">
        <f aca="false">SUMIFS(Cash_Events!$G$6:$G$20,Cash_Events!$C$6:$C$20,"rAGMF",Cash_Events!$M$6:$M$20,A61)</f>
        <v>0</v>
      </c>
      <c r="G61" s="49" t="n">
        <f aca="false">E61-F61</f>
        <v>735000</v>
      </c>
      <c r="H61" s="51" t="n">
        <f aca="false">VLOOKUP(A61-1,Inputs!$A$40:$B$48,2,TRUE())</f>
        <v>0.0363225</v>
      </c>
      <c r="I61" s="51" t="n">
        <f aca="false">H61+Inputs!B10</f>
        <v>0.1038225</v>
      </c>
      <c r="J61" s="50" t="n">
        <f aca="false">SUMIFS(Daily!$G$6:$G$2400,Daily!$B$6:$B$2400,A61)</f>
        <v>6481.08400684932</v>
      </c>
      <c r="K61" s="50" t="n">
        <f aca="false">SUMIFS(Daily!$H$6:$H$2400,Daily!$B$6:$B$2400,A61)</f>
        <v>1248.49315068493</v>
      </c>
      <c r="L61" s="49" t="n">
        <f aca="false">J61+K61</f>
        <v>7729.57715753425</v>
      </c>
      <c r="M61" s="49" t="n">
        <f aca="false">P60</f>
        <v>348827.887862172</v>
      </c>
      <c r="N61" s="50" t="n">
        <f aca="false">SUMIFS(Cash_Events!$H$6:$H$20,Cash_Events!$C$6:$C$20,"rAGMF",Cash_Events!$D$6:$D$20,"JV",Cash_Events!$M$6:$M$20,A61)</f>
        <v>0</v>
      </c>
      <c r="O61" s="50" t="n">
        <f aca="false">SUMIFS(Cash_Events!$H$6:$H$20,Cash_Events!$C$6:$C$20,"rAGMF",Cash_Events!$D$6:$D$20,"800S",Cash_Events!$M$6:$M$20,A61)</f>
        <v>0</v>
      </c>
      <c r="P61" s="49" t="n">
        <f aca="false">M61+J61-N61-O61</f>
        <v>355308.971869021</v>
      </c>
      <c r="Q61" s="49" t="n">
        <f aca="false">S60</f>
        <v>54436.2567482596</v>
      </c>
      <c r="R61" s="50" t="n">
        <f aca="false">SUMIFS(Cash_Events!$I$6:$I$20,Cash_Events!$C$6:$C$20,"rAGMF",Cash_Events!$M$6:$M$20,A61)</f>
        <v>0</v>
      </c>
      <c r="S61" s="49" t="n">
        <f aca="false">Q61+K61-R61</f>
        <v>55684.7498989445</v>
      </c>
      <c r="T61" s="52" t="n">
        <f aca="false">P61+S61</f>
        <v>410993.721767965</v>
      </c>
      <c r="U61" s="52" t="n">
        <f aca="false">G61+T61</f>
        <v>1145993.72176797</v>
      </c>
      <c r="V61" s="49" t="n">
        <f aca="false">V60+L61</f>
        <v>595807.491767965</v>
      </c>
      <c r="W61" s="49" t="n">
        <f aca="false">W60+N61+O61+R61</f>
        <v>184813.77</v>
      </c>
      <c r="X61" s="49" t="n">
        <f aca="false">ROUND(V61-W61-T61,2)</f>
        <v>0</v>
      </c>
      <c r="Y61" s="2"/>
    </row>
    <row r="62" customFormat="false" ht="15" hidden="false" customHeight="false" outlineLevel="0" collapsed="false">
      <c r="A62" s="46" t="n">
        <f aca="false">EOMONTH(A61,1)</f>
        <v>46507</v>
      </c>
      <c r="B62" s="46" t="n">
        <f aca="false">A61</f>
        <v>46477</v>
      </c>
      <c r="C62" s="47" t="n">
        <f aca="false">A62-B62</f>
        <v>30</v>
      </c>
      <c r="D62" s="48" t="str">
        <f aca="false">IF(A62&lt;=EOMONTH(Inputs!$B$18,-1),"Actual","Projection")</f>
        <v>Projection</v>
      </c>
      <c r="E62" s="49" t="n">
        <f aca="false">G61</f>
        <v>735000</v>
      </c>
      <c r="F62" s="50" t="n">
        <f aca="false">SUMIFS(Cash_Events!$G$6:$G$20,Cash_Events!$C$6:$C$20,"rAGMF",Cash_Events!$M$6:$M$20,A62)</f>
        <v>0</v>
      </c>
      <c r="G62" s="49" t="n">
        <f aca="false">E62-F62</f>
        <v>735000</v>
      </c>
      <c r="H62" s="51" t="n">
        <f aca="false">VLOOKUP(A62-1,Inputs!$A$40:$B$48,2,TRUE())</f>
        <v>0.0363225</v>
      </c>
      <c r="I62" s="51" t="n">
        <f aca="false">H62+Inputs!B10</f>
        <v>0.1038225</v>
      </c>
      <c r="J62" s="50" t="n">
        <f aca="false">SUMIFS(Daily!$G$6:$G$2400,Daily!$B$6:$B$2400,A62)</f>
        <v>6272.01678082192</v>
      </c>
      <c r="K62" s="50" t="n">
        <f aca="false">SUMIFS(Daily!$H$6:$H$2400,Daily!$B$6:$B$2400,A62)</f>
        <v>1208.21917808219</v>
      </c>
      <c r="L62" s="49" t="n">
        <f aca="false">J62+K62</f>
        <v>7480.23595890411</v>
      </c>
      <c r="M62" s="49" t="n">
        <f aca="false">P61</f>
        <v>355308.971869021</v>
      </c>
      <c r="N62" s="50" t="n">
        <f aca="false">SUMIFS(Cash_Events!$H$6:$H$20,Cash_Events!$C$6:$C$20,"rAGMF",Cash_Events!$D$6:$D$20,"JV",Cash_Events!$M$6:$M$20,A62)</f>
        <v>0</v>
      </c>
      <c r="O62" s="50" t="n">
        <f aca="false">SUMIFS(Cash_Events!$H$6:$H$20,Cash_Events!$C$6:$C$20,"rAGMF",Cash_Events!$D$6:$D$20,"800S",Cash_Events!$M$6:$M$20,A62)</f>
        <v>0</v>
      </c>
      <c r="P62" s="49" t="n">
        <f aca="false">M62+J62-N62-O62</f>
        <v>361580.988649843</v>
      </c>
      <c r="Q62" s="49" t="n">
        <f aca="false">S61</f>
        <v>55684.7498989445</v>
      </c>
      <c r="R62" s="50" t="n">
        <f aca="false">SUMIFS(Cash_Events!$I$6:$I$20,Cash_Events!$C$6:$C$20,"rAGMF",Cash_Events!$M$6:$M$20,A62)</f>
        <v>0</v>
      </c>
      <c r="S62" s="49" t="n">
        <f aca="false">Q62+K62-R62</f>
        <v>56892.9690770267</v>
      </c>
      <c r="T62" s="52" t="n">
        <f aca="false">P62+S62</f>
        <v>418473.957726869</v>
      </c>
      <c r="U62" s="52" t="n">
        <f aca="false">G62+T62</f>
        <v>1153473.95772687</v>
      </c>
      <c r="V62" s="49" t="n">
        <f aca="false">V61+L62</f>
        <v>603287.727726869</v>
      </c>
      <c r="W62" s="49" t="n">
        <f aca="false">W61+N62+O62+R62</f>
        <v>184813.77</v>
      </c>
      <c r="X62" s="49" t="n">
        <f aca="false">ROUND(V62-W62-T62,2)</f>
        <v>0</v>
      </c>
      <c r="Y62" s="2"/>
    </row>
    <row r="63" customFormat="false" ht="15" hidden="false" customHeight="false" outlineLevel="0" collapsed="false">
      <c r="A63" s="46" t="n">
        <f aca="false">EOMONTH(A62,1)</f>
        <v>46538</v>
      </c>
      <c r="B63" s="46" t="n">
        <f aca="false">A62</f>
        <v>46507</v>
      </c>
      <c r="C63" s="47" t="n">
        <f aca="false">A63-B63</f>
        <v>31</v>
      </c>
      <c r="D63" s="48" t="str">
        <f aca="false">IF(A63&lt;=EOMONTH(Inputs!$B$18,-1),"Actual","Projection")</f>
        <v>Projection</v>
      </c>
      <c r="E63" s="49" t="n">
        <f aca="false">G62</f>
        <v>735000</v>
      </c>
      <c r="F63" s="50" t="n">
        <f aca="false">SUMIFS(Cash_Events!$G$6:$G$20,Cash_Events!$C$6:$C$20,"rAGMF",Cash_Events!$M$6:$M$20,A63)</f>
        <v>0</v>
      </c>
      <c r="G63" s="49" t="n">
        <f aca="false">E63-F63</f>
        <v>735000</v>
      </c>
      <c r="H63" s="51" t="n">
        <f aca="false">VLOOKUP(A63-1,Inputs!$A$40:$B$48,2,TRUE())</f>
        <v>0.0363225</v>
      </c>
      <c r="I63" s="51" t="n">
        <f aca="false">H63+Inputs!B10</f>
        <v>0.1038225</v>
      </c>
      <c r="J63" s="50" t="n">
        <f aca="false">SUMIFS(Daily!$G$6:$G$2400,Daily!$B$6:$B$2400,A63)</f>
        <v>6481.08400684932</v>
      </c>
      <c r="K63" s="50" t="n">
        <f aca="false">SUMIFS(Daily!$H$6:$H$2400,Daily!$B$6:$B$2400,A63)</f>
        <v>1248.49315068493</v>
      </c>
      <c r="L63" s="49" t="n">
        <f aca="false">J63+K63</f>
        <v>7729.57715753425</v>
      </c>
      <c r="M63" s="49" t="n">
        <f aca="false">P62</f>
        <v>361580.988649843</v>
      </c>
      <c r="N63" s="50" t="n">
        <f aca="false">SUMIFS(Cash_Events!$H$6:$H$20,Cash_Events!$C$6:$C$20,"rAGMF",Cash_Events!$D$6:$D$20,"JV",Cash_Events!$M$6:$M$20,A63)</f>
        <v>0</v>
      </c>
      <c r="O63" s="50" t="n">
        <f aca="false">SUMIFS(Cash_Events!$H$6:$H$20,Cash_Events!$C$6:$C$20,"rAGMF",Cash_Events!$D$6:$D$20,"800S",Cash_Events!$M$6:$M$20,A63)</f>
        <v>0</v>
      </c>
      <c r="P63" s="49" t="n">
        <f aca="false">M63+J63-N63-O63</f>
        <v>368062.072656692</v>
      </c>
      <c r="Q63" s="49" t="n">
        <f aca="false">S62</f>
        <v>56892.9690770267</v>
      </c>
      <c r="R63" s="50" t="n">
        <f aca="false">SUMIFS(Cash_Events!$I$6:$I$20,Cash_Events!$C$6:$C$20,"rAGMF",Cash_Events!$M$6:$M$20,A63)</f>
        <v>0</v>
      </c>
      <c r="S63" s="49" t="n">
        <f aca="false">Q63+K63-R63</f>
        <v>58141.4622277116</v>
      </c>
      <c r="T63" s="52" t="n">
        <f aca="false">P63+S63</f>
        <v>426203.534884404</v>
      </c>
      <c r="U63" s="52" t="n">
        <f aca="false">G63+T63</f>
        <v>1161203.5348844</v>
      </c>
      <c r="V63" s="49" t="n">
        <f aca="false">V62+L63</f>
        <v>611017.304884404</v>
      </c>
      <c r="W63" s="49" t="n">
        <f aca="false">W62+N63+O63+R63</f>
        <v>184813.77</v>
      </c>
      <c r="X63" s="49" t="n">
        <f aca="false">ROUND(V63-W63-T63,2)</f>
        <v>0</v>
      </c>
      <c r="Y63" s="2"/>
    </row>
    <row r="64" customFormat="false" ht="15" hidden="false" customHeight="false" outlineLevel="0" collapsed="false">
      <c r="A64" s="46" t="n">
        <f aca="false">EOMONTH(A63,1)</f>
        <v>46568</v>
      </c>
      <c r="B64" s="46" t="n">
        <f aca="false">A63</f>
        <v>46538</v>
      </c>
      <c r="C64" s="47" t="n">
        <f aca="false">A64-B64</f>
        <v>30</v>
      </c>
      <c r="D64" s="48" t="str">
        <f aca="false">IF(A64&lt;=EOMONTH(Inputs!$B$18,-1),"Actual","Projection")</f>
        <v>Projection</v>
      </c>
      <c r="E64" s="49" t="n">
        <f aca="false">G63</f>
        <v>735000</v>
      </c>
      <c r="F64" s="50" t="n">
        <f aca="false">SUMIFS(Cash_Events!$G$6:$G$20,Cash_Events!$C$6:$C$20,"rAGMF",Cash_Events!$M$6:$M$20,A64)</f>
        <v>0</v>
      </c>
      <c r="G64" s="49" t="n">
        <f aca="false">E64-F64</f>
        <v>735000</v>
      </c>
      <c r="H64" s="51" t="n">
        <f aca="false">VLOOKUP(A64-1,Inputs!$A$40:$B$48,2,TRUE())</f>
        <v>0.0363225</v>
      </c>
      <c r="I64" s="51" t="n">
        <f aca="false">H64+Inputs!B10</f>
        <v>0.1038225</v>
      </c>
      <c r="J64" s="50" t="n">
        <f aca="false">SUMIFS(Daily!$G$6:$G$2400,Daily!$B$6:$B$2400,A64)</f>
        <v>6272.01678082192</v>
      </c>
      <c r="K64" s="50" t="n">
        <f aca="false">SUMIFS(Daily!$H$6:$H$2400,Daily!$B$6:$B$2400,A64)</f>
        <v>1208.21917808219</v>
      </c>
      <c r="L64" s="49" t="n">
        <f aca="false">J64+K64</f>
        <v>7480.23595890411</v>
      </c>
      <c r="M64" s="49" t="n">
        <f aca="false">P63</f>
        <v>368062.072656692</v>
      </c>
      <c r="N64" s="50" t="n">
        <f aca="false">SUMIFS(Cash_Events!$H$6:$H$20,Cash_Events!$C$6:$C$20,"rAGMF",Cash_Events!$D$6:$D$20,"JV",Cash_Events!$M$6:$M$20,A64)</f>
        <v>0</v>
      </c>
      <c r="O64" s="50" t="n">
        <f aca="false">SUMIFS(Cash_Events!$H$6:$H$20,Cash_Events!$C$6:$C$20,"rAGMF",Cash_Events!$D$6:$D$20,"800S",Cash_Events!$M$6:$M$20,A64)</f>
        <v>0</v>
      </c>
      <c r="P64" s="49" t="n">
        <f aca="false">M64+J64-N64-O64</f>
        <v>374334.089437514</v>
      </c>
      <c r="Q64" s="49" t="n">
        <f aca="false">S63</f>
        <v>58141.4622277116</v>
      </c>
      <c r="R64" s="50" t="n">
        <f aca="false">SUMIFS(Cash_Events!$I$6:$I$20,Cash_Events!$C$6:$C$20,"rAGMF",Cash_Events!$M$6:$M$20,A64)</f>
        <v>0</v>
      </c>
      <c r="S64" s="49" t="n">
        <f aca="false">Q64+K64-R64</f>
        <v>59349.6814057938</v>
      </c>
      <c r="T64" s="52" t="n">
        <f aca="false">P64+S64</f>
        <v>433683.770843308</v>
      </c>
      <c r="U64" s="52" t="n">
        <f aca="false">G64+T64</f>
        <v>1168683.77084331</v>
      </c>
      <c r="V64" s="49" t="n">
        <f aca="false">V63+L64</f>
        <v>618497.540843308</v>
      </c>
      <c r="W64" s="49" t="n">
        <f aca="false">W63+N64+O64+R64</f>
        <v>184813.77</v>
      </c>
      <c r="X64" s="49" t="n">
        <f aca="false">ROUND(V64-W64-T64,2)</f>
        <v>0</v>
      </c>
      <c r="Y64" s="2"/>
    </row>
    <row r="65" customFormat="false" ht="15" hidden="false" customHeight="false" outlineLevel="0" collapsed="false">
      <c r="A65" s="46" t="n">
        <f aca="false">EOMONTH(A64,1)</f>
        <v>46599</v>
      </c>
      <c r="B65" s="46" t="n">
        <f aca="false">A64</f>
        <v>46568</v>
      </c>
      <c r="C65" s="47" t="n">
        <f aca="false">A65-B65</f>
        <v>31</v>
      </c>
      <c r="D65" s="48" t="str">
        <f aca="false">IF(A65&lt;=EOMONTH(Inputs!$B$18,-1),"Actual","Projection")</f>
        <v>Projection</v>
      </c>
      <c r="E65" s="49" t="n">
        <f aca="false">G64</f>
        <v>735000</v>
      </c>
      <c r="F65" s="50" t="n">
        <f aca="false">SUMIFS(Cash_Events!$G$6:$G$20,Cash_Events!$C$6:$C$20,"rAGMF",Cash_Events!$M$6:$M$20,A65)</f>
        <v>0</v>
      </c>
      <c r="G65" s="49" t="n">
        <f aca="false">E65-F65</f>
        <v>735000</v>
      </c>
      <c r="H65" s="51" t="n">
        <f aca="false">VLOOKUP(A65-1,Inputs!$A$40:$B$48,2,TRUE())</f>
        <v>0.0363225</v>
      </c>
      <c r="I65" s="51" t="n">
        <f aca="false">H65+Inputs!B10</f>
        <v>0.1038225</v>
      </c>
      <c r="J65" s="50" t="n">
        <f aca="false">SUMIFS(Daily!$G$6:$G$2400,Daily!$B$6:$B$2400,A65)</f>
        <v>6481.08400684932</v>
      </c>
      <c r="K65" s="50" t="n">
        <f aca="false">SUMIFS(Daily!$H$6:$H$2400,Daily!$B$6:$B$2400,A65)</f>
        <v>1248.49315068493</v>
      </c>
      <c r="L65" s="49" t="n">
        <f aca="false">J65+K65</f>
        <v>7729.57715753425</v>
      </c>
      <c r="M65" s="49" t="n">
        <f aca="false">P64</f>
        <v>374334.089437514</v>
      </c>
      <c r="N65" s="50" t="n">
        <f aca="false">SUMIFS(Cash_Events!$H$6:$H$20,Cash_Events!$C$6:$C$20,"rAGMF",Cash_Events!$D$6:$D$20,"JV",Cash_Events!$M$6:$M$20,A65)</f>
        <v>0</v>
      </c>
      <c r="O65" s="50" t="n">
        <f aca="false">SUMIFS(Cash_Events!$H$6:$H$20,Cash_Events!$C$6:$C$20,"rAGMF",Cash_Events!$D$6:$D$20,"800S",Cash_Events!$M$6:$M$20,A65)</f>
        <v>0</v>
      </c>
      <c r="P65" s="49" t="n">
        <f aca="false">M65+J65-N65-O65</f>
        <v>380815.173444363</v>
      </c>
      <c r="Q65" s="49" t="n">
        <f aca="false">S64</f>
        <v>59349.6814057938</v>
      </c>
      <c r="R65" s="50" t="n">
        <f aca="false">SUMIFS(Cash_Events!$I$6:$I$20,Cash_Events!$C$6:$C$20,"rAGMF",Cash_Events!$M$6:$M$20,A65)</f>
        <v>0</v>
      </c>
      <c r="S65" s="49" t="n">
        <f aca="false">Q65+K65-R65</f>
        <v>60598.1745564788</v>
      </c>
      <c r="T65" s="52" t="n">
        <f aca="false">P65+S65</f>
        <v>441413.348000842</v>
      </c>
      <c r="U65" s="52" t="n">
        <f aca="false">G65+T65</f>
        <v>1176413.34800084</v>
      </c>
      <c r="V65" s="49" t="n">
        <f aca="false">V64+L65</f>
        <v>626227.118000842</v>
      </c>
      <c r="W65" s="49" t="n">
        <f aca="false">W64+N65+O65+R65</f>
        <v>184813.77</v>
      </c>
      <c r="X65" s="49" t="n">
        <f aca="false">ROUND(V65-W65-T65,2)</f>
        <v>0</v>
      </c>
      <c r="Y65" s="2"/>
    </row>
    <row r="66" customFormat="false" ht="15" hidden="false" customHeight="false" outlineLevel="0" collapsed="false">
      <c r="A66" s="46" t="n">
        <f aca="false">EOMONTH(A65,1)</f>
        <v>46630</v>
      </c>
      <c r="B66" s="46" t="n">
        <f aca="false">A65</f>
        <v>46599</v>
      </c>
      <c r="C66" s="47" t="n">
        <f aca="false">A66-B66</f>
        <v>31</v>
      </c>
      <c r="D66" s="48" t="str">
        <f aca="false">IF(A66&lt;=EOMONTH(Inputs!$B$18,-1),"Actual","Projection")</f>
        <v>Projection</v>
      </c>
      <c r="E66" s="49" t="n">
        <f aca="false">G65</f>
        <v>735000</v>
      </c>
      <c r="F66" s="50" t="n">
        <f aca="false">SUMIFS(Cash_Events!$G$6:$G$20,Cash_Events!$C$6:$C$20,"rAGMF",Cash_Events!$M$6:$M$20,A66)</f>
        <v>0</v>
      </c>
      <c r="G66" s="49" t="n">
        <f aca="false">E66-F66</f>
        <v>735000</v>
      </c>
      <c r="H66" s="51" t="n">
        <f aca="false">VLOOKUP(A66-1,Inputs!$A$40:$B$48,2,TRUE())</f>
        <v>0.0363225</v>
      </c>
      <c r="I66" s="51" t="n">
        <f aca="false">H66+Inputs!B10</f>
        <v>0.1038225</v>
      </c>
      <c r="J66" s="50" t="n">
        <f aca="false">SUMIFS(Daily!$G$6:$G$2400,Daily!$B$6:$B$2400,A66)</f>
        <v>6481.08400684932</v>
      </c>
      <c r="K66" s="50" t="n">
        <f aca="false">SUMIFS(Daily!$H$6:$H$2400,Daily!$B$6:$B$2400,A66)</f>
        <v>1248.49315068493</v>
      </c>
      <c r="L66" s="49" t="n">
        <f aca="false">J66+K66</f>
        <v>7729.57715753425</v>
      </c>
      <c r="M66" s="49" t="n">
        <f aca="false">P65</f>
        <v>380815.173444363</v>
      </c>
      <c r="N66" s="50" t="n">
        <f aca="false">SUMIFS(Cash_Events!$H$6:$H$20,Cash_Events!$C$6:$C$20,"rAGMF",Cash_Events!$D$6:$D$20,"JV",Cash_Events!$M$6:$M$20,A66)</f>
        <v>0</v>
      </c>
      <c r="O66" s="50" t="n">
        <f aca="false">SUMIFS(Cash_Events!$H$6:$H$20,Cash_Events!$C$6:$C$20,"rAGMF",Cash_Events!$D$6:$D$20,"800S",Cash_Events!$M$6:$M$20,A66)</f>
        <v>0</v>
      </c>
      <c r="P66" s="49" t="n">
        <f aca="false">M66+J66-N66-O66</f>
        <v>387296.257451213</v>
      </c>
      <c r="Q66" s="49" t="n">
        <f aca="false">S65</f>
        <v>60598.1745564788</v>
      </c>
      <c r="R66" s="50" t="n">
        <f aca="false">SUMIFS(Cash_Events!$I$6:$I$20,Cash_Events!$C$6:$C$20,"rAGMF",Cash_Events!$M$6:$M$20,A66)</f>
        <v>0</v>
      </c>
      <c r="S66" s="49" t="n">
        <f aca="false">Q66+K66-R66</f>
        <v>61846.6677071637</v>
      </c>
      <c r="T66" s="52" t="n">
        <f aca="false">P66+S66</f>
        <v>449142.925158376</v>
      </c>
      <c r="U66" s="52" t="n">
        <f aca="false">G66+T66</f>
        <v>1184142.92515838</v>
      </c>
      <c r="V66" s="49" t="n">
        <f aca="false">V65+L66</f>
        <v>633956.695158376</v>
      </c>
      <c r="W66" s="49" t="n">
        <f aca="false">W65+N66+O66+R66</f>
        <v>184813.77</v>
      </c>
      <c r="X66" s="49" t="n">
        <f aca="false">ROUND(V66-W66-T66,2)</f>
        <v>0</v>
      </c>
      <c r="Y66" s="2"/>
    </row>
    <row r="67" customFormat="false" ht="15" hidden="false" customHeight="false" outlineLevel="0" collapsed="false">
      <c r="A67" s="46" t="n">
        <f aca="false">EOMONTH(A66,1)</f>
        <v>46660</v>
      </c>
      <c r="B67" s="46" t="n">
        <f aca="false">A66</f>
        <v>46630</v>
      </c>
      <c r="C67" s="47" t="n">
        <f aca="false">A67-B67</f>
        <v>30</v>
      </c>
      <c r="D67" s="48" t="str">
        <f aca="false">IF(A67&lt;=EOMONTH(Inputs!$B$18,-1),"Actual","Projection")</f>
        <v>Projection</v>
      </c>
      <c r="E67" s="49" t="n">
        <f aca="false">G66</f>
        <v>735000</v>
      </c>
      <c r="F67" s="50" t="n">
        <f aca="false">SUMIFS(Cash_Events!$G$6:$G$20,Cash_Events!$C$6:$C$20,"rAGMF",Cash_Events!$M$6:$M$20,A67)</f>
        <v>0</v>
      </c>
      <c r="G67" s="49" t="n">
        <f aca="false">E67-F67</f>
        <v>735000</v>
      </c>
      <c r="H67" s="51" t="n">
        <f aca="false">VLOOKUP(A67-1,Inputs!$A$40:$B$48,2,TRUE())</f>
        <v>0.0363225</v>
      </c>
      <c r="I67" s="51" t="n">
        <f aca="false">H67+Inputs!B10</f>
        <v>0.1038225</v>
      </c>
      <c r="J67" s="50" t="n">
        <f aca="false">SUMIFS(Daily!$G$6:$G$2400,Daily!$B$6:$B$2400,A67)</f>
        <v>6272.01678082192</v>
      </c>
      <c r="K67" s="50" t="n">
        <f aca="false">SUMIFS(Daily!$H$6:$H$2400,Daily!$B$6:$B$2400,A67)</f>
        <v>1208.21917808219</v>
      </c>
      <c r="L67" s="49" t="n">
        <f aca="false">J67+K67</f>
        <v>7480.23595890411</v>
      </c>
      <c r="M67" s="49" t="n">
        <f aca="false">P66</f>
        <v>387296.257451213</v>
      </c>
      <c r="N67" s="50" t="n">
        <f aca="false">SUMIFS(Cash_Events!$H$6:$H$20,Cash_Events!$C$6:$C$20,"rAGMF",Cash_Events!$D$6:$D$20,"JV",Cash_Events!$M$6:$M$20,A67)</f>
        <v>0</v>
      </c>
      <c r="O67" s="50" t="n">
        <f aca="false">SUMIFS(Cash_Events!$H$6:$H$20,Cash_Events!$C$6:$C$20,"rAGMF",Cash_Events!$D$6:$D$20,"800S",Cash_Events!$M$6:$M$20,A67)</f>
        <v>0</v>
      </c>
      <c r="P67" s="49" t="n">
        <f aca="false">M67+J67-N67-O67</f>
        <v>393568.274232035</v>
      </c>
      <c r="Q67" s="49" t="n">
        <f aca="false">S66</f>
        <v>61846.6677071637</v>
      </c>
      <c r="R67" s="50" t="n">
        <f aca="false">SUMIFS(Cash_Events!$I$6:$I$20,Cash_Events!$C$6:$C$20,"rAGMF",Cash_Events!$M$6:$M$20,A67)</f>
        <v>0</v>
      </c>
      <c r="S67" s="49" t="n">
        <f aca="false">Q67+K67-R67</f>
        <v>63054.8868852459</v>
      </c>
      <c r="T67" s="52" t="n">
        <f aca="false">P67+S67</f>
        <v>456623.16111728</v>
      </c>
      <c r="U67" s="52" t="n">
        <f aca="false">G67+T67</f>
        <v>1191623.16111728</v>
      </c>
      <c r="V67" s="49" t="n">
        <f aca="false">V66+L67</f>
        <v>641436.93111728</v>
      </c>
      <c r="W67" s="49" t="n">
        <f aca="false">W66+N67+O67+R67</f>
        <v>184813.77</v>
      </c>
      <c r="X67" s="49" t="n">
        <f aca="false">ROUND(V67-W67-T67,2)</f>
        <v>0</v>
      </c>
      <c r="Y67" s="2"/>
    </row>
    <row r="68" customFormat="false" ht="15" hidden="false" customHeight="false" outlineLevel="0" collapsed="false">
      <c r="A68" s="46" t="n">
        <f aca="false">EOMONTH(A67,1)</f>
        <v>46691</v>
      </c>
      <c r="B68" s="46" t="n">
        <f aca="false">A67</f>
        <v>46660</v>
      </c>
      <c r="C68" s="47" t="n">
        <f aca="false">A68-B68</f>
        <v>31</v>
      </c>
      <c r="D68" s="48" t="str">
        <f aca="false">IF(A68&lt;=EOMONTH(Inputs!$B$18,-1),"Actual","Projection")</f>
        <v>Projection</v>
      </c>
      <c r="E68" s="49" t="n">
        <f aca="false">G67</f>
        <v>735000</v>
      </c>
      <c r="F68" s="50" t="n">
        <f aca="false">SUMIFS(Cash_Events!$G$6:$G$20,Cash_Events!$C$6:$C$20,"rAGMF",Cash_Events!$M$6:$M$20,A68)</f>
        <v>0</v>
      </c>
      <c r="G68" s="49" t="n">
        <f aca="false">E68-F68</f>
        <v>735000</v>
      </c>
      <c r="H68" s="51" t="n">
        <f aca="false">VLOOKUP(A68-1,Inputs!$A$40:$B$48,2,TRUE())</f>
        <v>0.0363225</v>
      </c>
      <c r="I68" s="51" t="n">
        <f aca="false">H68+Inputs!B10</f>
        <v>0.1038225</v>
      </c>
      <c r="J68" s="50" t="n">
        <f aca="false">SUMIFS(Daily!$G$6:$G$2400,Daily!$B$6:$B$2400,A68)</f>
        <v>6481.08400684932</v>
      </c>
      <c r="K68" s="50" t="n">
        <f aca="false">SUMIFS(Daily!$H$6:$H$2400,Daily!$B$6:$B$2400,A68)</f>
        <v>1248.49315068493</v>
      </c>
      <c r="L68" s="49" t="n">
        <f aca="false">J68+K68</f>
        <v>7729.57715753425</v>
      </c>
      <c r="M68" s="49" t="n">
        <f aca="false">P67</f>
        <v>393568.274232035</v>
      </c>
      <c r="N68" s="50" t="n">
        <f aca="false">SUMIFS(Cash_Events!$H$6:$H$20,Cash_Events!$C$6:$C$20,"rAGMF",Cash_Events!$D$6:$D$20,"JV",Cash_Events!$M$6:$M$20,A68)</f>
        <v>0</v>
      </c>
      <c r="O68" s="50" t="n">
        <f aca="false">SUMIFS(Cash_Events!$H$6:$H$20,Cash_Events!$C$6:$C$20,"rAGMF",Cash_Events!$D$6:$D$20,"800S",Cash_Events!$M$6:$M$20,A68)</f>
        <v>0</v>
      </c>
      <c r="P68" s="49" t="n">
        <f aca="false">M68+J68-N68-O68</f>
        <v>400049.358238884</v>
      </c>
      <c r="Q68" s="49" t="n">
        <f aca="false">S67</f>
        <v>63054.8868852459</v>
      </c>
      <c r="R68" s="50" t="n">
        <f aca="false">SUMIFS(Cash_Events!$I$6:$I$20,Cash_Events!$C$6:$C$20,"rAGMF",Cash_Events!$M$6:$M$20,A68)</f>
        <v>0</v>
      </c>
      <c r="S68" s="49" t="n">
        <f aca="false">Q68+K68-R68</f>
        <v>64303.3800359308</v>
      </c>
      <c r="T68" s="52" t="n">
        <f aca="false">P68+S68</f>
        <v>464352.738274815</v>
      </c>
      <c r="U68" s="52" t="n">
        <f aca="false">G68+T68</f>
        <v>1199352.73827481</v>
      </c>
      <c r="V68" s="49" t="n">
        <f aca="false">V67+L68</f>
        <v>649166.508274814</v>
      </c>
      <c r="W68" s="49" t="n">
        <f aca="false">W67+N68+O68+R68</f>
        <v>184813.77</v>
      </c>
      <c r="X68" s="49" t="n">
        <f aca="false">ROUND(V68-W68-T68,2)</f>
        <v>0</v>
      </c>
      <c r="Y68" s="2"/>
    </row>
    <row r="69" customFormat="false" ht="15" hidden="false" customHeight="false" outlineLevel="0" collapsed="false">
      <c r="A69" s="46" t="n">
        <f aca="false">EOMONTH(A68,1)</f>
        <v>46721</v>
      </c>
      <c r="B69" s="46" t="n">
        <f aca="false">A68</f>
        <v>46691</v>
      </c>
      <c r="C69" s="47" t="n">
        <f aca="false">A69-B69</f>
        <v>30</v>
      </c>
      <c r="D69" s="48" t="str">
        <f aca="false">IF(A69&lt;=EOMONTH(Inputs!$B$18,-1),"Actual","Projection")</f>
        <v>Projection</v>
      </c>
      <c r="E69" s="49" t="n">
        <f aca="false">G68</f>
        <v>735000</v>
      </c>
      <c r="F69" s="50" t="n">
        <f aca="false">SUMIFS(Cash_Events!$G$6:$G$20,Cash_Events!$C$6:$C$20,"rAGMF",Cash_Events!$M$6:$M$20,A69)</f>
        <v>0</v>
      </c>
      <c r="G69" s="49" t="n">
        <f aca="false">E69-F69</f>
        <v>735000</v>
      </c>
      <c r="H69" s="51" t="n">
        <f aca="false">VLOOKUP(A69-1,Inputs!$A$40:$B$48,2,TRUE())</f>
        <v>0.0363225</v>
      </c>
      <c r="I69" s="51" t="n">
        <f aca="false">H69+Inputs!B10</f>
        <v>0.1038225</v>
      </c>
      <c r="J69" s="50" t="n">
        <f aca="false">SUMIFS(Daily!$G$6:$G$2400,Daily!$B$6:$B$2400,A69)</f>
        <v>6272.01678082192</v>
      </c>
      <c r="K69" s="50" t="n">
        <f aca="false">SUMIFS(Daily!$H$6:$H$2400,Daily!$B$6:$B$2400,A69)</f>
        <v>1208.21917808219</v>
      </c>
      <c r="L69" s="49" t="n">
        <f aca="false">J69+K69</f>
        <v>7480.23595890411</v>
      </c>
      <c r="M69" s="49" t="n">
        <f aca="false">P68</f>
        <v>400049.358238884</v>
      </c>
      <c r="N69" s="50" t="n">
        <f aca="false">SUMIFS(Cash_Events!$H$6:$H$20,Cash_Events!$C$6:$C$20,"rAGMF",Cash_Events!$D$6:$D$20,"JV",Cash_Events!$M$6:$M$20,A69)</f>
        <v>0</v>
      </c>
      <c r="O69" s="50" t="n">
        <f aca="false">SUMIFS(Cash_Events!$H$6:$H$20,Cash_Events!$C$6:$C$20,"rAGMF",Cash_Events!$D$6:$D$20,"800S",Cash_Events!$M$6:$M$20,A69)</f>
        <v>0</v>
      </c>
      <c r="P69" s="49" t="n">
        <f aca="false">M69+J69-N69-O69</f>
        <v>406321.375019706</v>
      </c>
      <c r="Q69" s="49" t="n">
        <f aca="false">S68</f>
        <v>64303.3800359308</v>
      </c>
      <c r="R69" s="50" t="n">
        <f aca="false">SUMIFS(Cash_Events!$I$6:$I$20,Cash_Events!$C$6:$C$20,"rAGMF",Cash_Events!$M$6:$M$20,A69)</f>
        <v>0</v>
      </c>
      <c r="S69" s="49" t="n">
        <f aca="false">Q69+K69-R69</f>
        <v>65511.599214013</v>
      </c>
      <c r="T69" s="52" t="n">
        <f aca="false">P69+S69</f>
        <v>471832.974233719</v>
      </c>
      <c r="U69" s="52" t="n">
        <f aca="false">G69+T69</f>
        <v>1206832.97423372</v>
      </c>
      <c r="V69" s="49" t="n">
        <f aca="false">V68+L69</f>
        <v>656646.744233719</v>
      </c>
      <c r="W69" s="49" t="n">
        <f aca="false">W68+N69+O69+R69</f>
        <v>184813.77</v>
      </c>
      <c r="X69" s="49" t="n">
        <f aca="false">ROUND(V69-W69-T69,2)</f>
        <v>0</v>
      </c>
      <c r="Y69" s="2"/>
    </row>
    <row r="70" customFormat="false" ht="15" hidden="false" customHeight="false" outlineLevel="0" collapsed="false">
      <c r="A70" s="46" t="n">
        <f aca="false">EOMONTH(A69,1)</f>
        <v>46752</v>
      </c>
      <c r="B70" s="46" t="n">
        <f aca="false">A69</f>
        <v>46721</v>
      </c>
      <c r="C70" s="47" t="n">
        <f aca="false">A70-B70</f>
        <v>31</v>
      </c>
      <c r="D70" s="48" t="str">
        <f aca="false">IF(A70&lt;=EOMONTH(Inputs!$B$18,-1),"Actual","Projection")</f>
        <v>Projection</v>
      </c>
      <c r="E70" s="49" t="n">
        <f aca="false">G69</f>
        <v>735000</v>
      </c>
      <c r="F70" s="50" t="n">
        <f aca="false">SUMIFS(Cash_Events!$G$6:$G$20,Cash_Events!$C$6:$C$20,"rAGMF",Cash_Events!$M$6:$M$20,A70)</f>
        <v>0</v>
      </c>
      <c r="G70" s="49" t="n">
        <f aca="false">E70-F70</f>
        <v>735000</v>
      </c>
      <c r="H70" s="51" t="n">
        <f aca="false">VLOOKUP(A70-1,Inputs!$A$40:$B$48,2,TRUE())</f>
        <v>0.0363225</v>
      </c>
      <c r="I70" s="51" t="n">
        <f aca="false">H70+Inputs!B10</f>
        <v>0.1038225</v>
      </c>
      <c r="J70" s="50" t="n">
        <f aca="false">SUMIFS(Daily!$G$6:$G$2400,Daily!$B$6:$B$2400,A70)</f>
        <v>6481.08400684932</v>
      </c>
      <c r="K70" s="50" t="n">
        <f aca="false">SUMIFS(Daily!$H$6:$H$2400,Daily!$B$6:$B$2400,A70)</f>
        <v>1248.49315068493</v>
      </c>
      <c r="L70" s="49" t="n">
        <f aca="false">J70+K70</f>
        <v>7729.57715753425</v>
      </c>
      <c r="M70" s="49" t="n">
        <f aca="false">P69</f>
        <v>406321.375019706</v>
      </c>
      <c r="N70" s="50" t="n">
        <f aca="false">SUMIFS(Cash_Events!$H$6:$H$20,Cash_Events!$C$6:$C$20,"rAGMF",Cash_Events!$D$6:$D$20,"JV",Cash_Events!$M$6:$M$20,A70)</f>
        <v>0</v>
      </c>
      <c r="O70" s="50" t="n">
        <f aca="false">SUMIFS(Cash_Events!$H$6:$H$20,Cash_Events!$C$6:$C$20,"rAGMF",Cash_Events!$D$6:$D$20,"800S",Cash_Events!$M$6:$M$20,A70)</f>
        <v>0</v>
      </c>
      <c r="P70" s="49" t="n">
        <f aca="false">M70+J70-N70-O70</f>
        <v>412802.459026555</v>
      </c>
      <c r="Q70" s="49" t="n">
        <f aca="false">S69</f>
        <v>65511.599214013</v>
      </c>
      <c r="R70" s="50" t="n">
        <f aca="false">SUMIFS(Cash_Events!$I$6:$I$20,Cash_Events!$C$6:$C$20,"rAGMF",Cash_Events!$M$6:$M$20,A70)</f>
        <v>0</v>
      </c>
      <c r="S70" s="49" t="n">
        <f aca="false">Q70+K70-R70</f>
        <v>66760.0923646979</v>
      </c>
      <c r="T70" s="52" t="n">
        <f aca="false">P70+S70</f>
        <v>479562.551391253</v>
      </c>
      <c r="U70" s="52" t="n">
        <f aca="false">G70+T70</f>
        <v>1214562.55139125</v>
      </c>
      <c r="V70" s="49" t="n">
        <f aca="false">V69+L70</f>
        <v>664376.321391253</v>
      </c>
      <c r="W70" s="49" t="n">
        <f aca="false">W69+N70+O70+R70</f>
        <v>184813.77</v>
      </c>
      <c r="X70" s="49" t="n">
        <f aca="false">ROUND(V70-W70-T70,2)</f>
        <v>0</v>
      </c>
      <c r="Y70" s="2"/>
    </row>
    <row r="71" customFormat="false" ht="15" hidden="false" customHeight="false" outlineLevel="0" collapsed="false">
      <c r="A71" s="46" t="n">
        <f aca="false">EOMONTH(A70,1)</f>
        <v>46783</v>
      </c>
      <c r="B71" s="46" t="n">
        <f aca="false">A70</f>
        <v>46752</v>
      </c>
      <c r="C71" s="47" t="n">
        <f aca="false">A71-B71</f>
        <v>31</v>
      </c>
      <c r="D71" s="48" t="str">
        <f aca="false">IF(A71&lt;=EOMONTH(Inputs!$B$18,-1),"Actual","Projection")</f>
        <v>Projection</v>
      </c>
      <c r="E71" s="49" t="n">
        <f aca="false">G70</f>
        <v>735000</v>
      </c>
      <c r="F71" s="50" t="n">
        <f aca="false">SUMIFS(Cash_Events!$G$6:$G$20,Cash_Events!$C$6:$C$20,"rAGMF",Cash_Events!$M$6:$M$20,A71)</f>
        <v>0</v>
      </c>
      <c r="G71" s="49" t="n">
        <f aca="false">E71-F71</f>
        <v>735000</v>
      </c>
      <c r="H71" s="51" t="n">
        <f aca="false">VLOOKUP(A71-1,Inputs!$A$40:$B$48,2,TRUE())</f>
        <v>0.0363225</v>
      </c>
      <c r="I71" s="51" t="n">
        <f aca="false">H71+Inputs!B10</f>
        <v>0.1038225</v>
      </c>
      <c r="J71" s="50" t="n">
        <f aca="false">SUMIFS(Daily!$G$6:$G$2400,Daily!$B$6:$B$2400,A71)</f>
        <v>6463.94734897822</v>
      </c>
      <c r="K71" s="50" t="n">
        <f aca="false">SUMIFS(Daily!$H$6:$H$2400,Daily!$B$6:$B$2400,A71)</f>
        <v>1245.19200538963</v>
      </c>
      <c r="L71" s="49" t="n">
        <f aca="false">J71+K71</f>
        <v>7709.13935436784</v>
      </c>
      <c r="M71" s="49" t="n">
        <f aca="false">P70</f>
        <v>412802.459026555</v>
      </c>
      <c r="N71" s="50" t="n">
        <f aca="false">SUMIFS(Cash_Events!$H$6:$H$20,Cash_Events!$C$6:$C$20,"rAGMF",Cash_Events!$D$6:$D$20,"JV",Cash_Events!$M$6:$M$20,A71)</f>
        <v>0</v>
      </c>
      <c r="O71" s="50" t="n">
        <f aca="false">SUMIFS(Cash_Events!$H$6:$H$20,Cash_Events!$C$6:$C$20,"rAGMF",Cash_Events!$D$6:$D$20,"800S",Cash_Events!$M$6:$M$20,A71)</f>
        <v>0</v>
      </c>
      <c r="P71" s="49" t="n">
        <f aca="false">M71+J71-N71-O71</f>
        <v>419266.406375533</v>
      </c>
      <c r="Q71" s="49" t="n">
        <f aca="false">S70</f>
        <v>66760.0923646979</v>
      </c>
      <c r="R71" s="50" t="n">
        <f aca="false">SUMIFS(Cash_Events!$I$6:$I$20,Cash_Events!$C$6:$C$20,"rAGMF",Cash_Events!$M$6:$M$20,A71)</f>
        <v>0</v>
      </c>
      <c r="S71" s="49" t="n">
        <f aca="false">Q71+K71-R71</f>
        <v>68005.2843700876</v>
      </c>
      <c r="T71" s="52" t="n">
        <f aca="false">P71+S71</f>
        <v>487271.690745621</v>
      </c>
      <c r="U71" s="52" t="n">
        <f aca="false">G71+T71</f>
        <v>1222271.69074562</v>
      </c>
      <c r="V71" s="49" t="n">
        <f aca="false">V70+L71</f>
        <v>672085.460745621</v>
      </c>
      <c r="W71" s="49" t="n">
        <f aca="false">W70+N71+O71+R71</f>
        <v>184813.77</v>
      </c>
      <c r="X71" s="49" t="n">
        <f aca="false">ROUND(V71-W71-T71,2)</f>
        <v>0</v>
      </c>
      <c r="Y71" s="2"/>
    </row>
    <row r="72" customFormat="false" ht="15" hidden="false" customHeight="false" outlineLevel="0" collapsed="false">
      <c r="A72" s="46" t="n">
        <f aca="false">EOMONTH(A71,1)</f>
        <v>46812</v>
      </c>
      <c r="B72" s="46" t="n">
        <f aca="false">A71</f>
        <v>46783</v>
      </c>
      <c r="C72" s="47" t="n">
        <f aca="false">A72-B72</f>
        <v>29</v>
      </c>
      <c r="D72" s="48" t="str">
        <f aca="false">IF(A72&lt;=EOMONTH(Inputs!$B$18,-1),"Actual","Projection")</f>
        <v>Projection</v>
      </c>
      <c r="E72" s="49" t="n">
        <f aca="false">G71</f>
        <v>735000</v>
      </c>
      <c r="F72" s="50" t="n">
        <f aca="false">SUMIFS(Cash_Events!$G$6:$G$20,Cash_Events!$C$6:$C$20,"rAGMF",Cash_Events!$M$6:$M$20,A72)</f>
        <v>0</v>
      </c>
      <c r="G72" s="49" t="n">
        <f aca="false">E72-F72</f>
        <v>735000</v>
      </c>
      <c r="H72" s="51" t="n">
        <f aca="false">VLOOKUP(A72-1,Inputs!$A$40:$B$48,2,TRUE())</f>
        <v>0.0363225</v>
      </c>
      <c r="I72" s="51" t="n">
        <f aca="false">H72+Inputs!B10</f>
        <v>0.1038225</v>
      </c>
      <c r="J72" s="50" t="n">
        <f aca="false">SUMIFS(Daily!$G$6:$G$2400,Daily!$B$6:$B$2400,A72)</f>
        <v>6046.38411885246</v>
      </c>
      <c r="K72" s="50" t="n">
        <f aca="false">SUMIFS(Daily!$H$6:$H$2400,Daily!$B$6:$B$2400,A72)</f>
        <v>1164.75409836066</v>
      </c>
      <c r="L72" s="49" t="n">
        <f aca="false">J72+K72</f>
        <v>7211.13821721312</v>
      </c>
      <c r="M72" s="49" t="n">
        <f aca="false">P71</f>
        <v>419266.406375533</v>
      </c>
      <c r="N72" s="50" t="n">
        <f aca="false">SUMIFS(Cash_Events!$H$6:$H$20,Cash_Events!$C$6:$C$20,"rAGMF",Cash_Events!$D$6:$D$20,"JV",Cash_Events!$M$6:$M$20,A72)</f>
        <v>0</v>
      </c>
      <c r="O72" s="50" t="n">
        <f aca="false">SUMIFS(Cash_Events!$H$6:$H$20,Cash_Events!$C$6:$C$20,"rAGMF",Cash_Events!$D$6:$D$20,"800S",Cash_Events!$M$6:$M$20,A72)</f>
        <v>0</v>
      </c>
      <c r="P72" s="49" t="n">
        <f aca="false">M72+J72-N72-O72</f>
        <v>425312.790494386</v>
      </c>
      <c r="Q72" s="49" t="n">
        <f aca="false">S71</f>
        <v>68005.2843700876</v>
      </c>
      <c r="R72" s="50" t="n">
        <f aca="false">SUMIFS(Cash_Events!$I$6:$I$20,Cash_Events!$C$6:$C$20,"rAGMF",Cash_Events!$M$6:$M$20,A72)</f>
        <v>0</v>
      </c>
      <c r="S72" s="49" t="n">
        <f aca="false">Q72+K72-R72</f>
        <v>69170.0384684482</v>
      </c>
      <c r="T72" s="52" t="n">
        <f aca="false">P72+S72</f>
        <v>494482.828962834</v>
      </c>
      <c r="U72" s="52" t="n">
        <f aca="false">G72+T72</f>
        <v>1229482.82896283</v>
      </c>
      <c r="V72" s="49" t="n">
        <f aca="false">V71+L72</f>
        <v>679296.598962834</v>
      </c>
      <c r="W72" s="49" t="n">
        <f aca="false">W71+N72+O72+R72</f>
        <v>184813.77</v>
      </c>
      <c r="X72" s="49" t="n">
        <f aca="false">ROUND(V72-W72-T72,2)</f>
        <v>0</v>
      </c>
      <c r="Y72" s="2"/>
    </row>
    <row r="73" customFormat="false" ht="15" hidden="false" customHeight="false" outlineLevel="0" collapsed="false">
      <c r="A73" s="46" t="n">
        <f aca="false">EOMONTH(A72,1)</f>
        <v>46843</v>
      </c>
      <c r="B73" s="46" t="n">
        <f aca="false">A72</f>
        <v>46812</v>
      </c>
      <c r="C73" s="47" t="n">
        <f aca="false">A73-B73</f>
        <v>31</v>
      </c>
      <c r="D73" s="48" t="str">
        <f aca="false">IF(A73&lt;=EOMONTH(Inputs!$B$18,-1),"Actual","Projection")</f>
        <v>Projection</v>
      </c>
      <c r="E73" s="49" t="n">
        <f aca="false">G72</f>
        <v>735000</v>
      </c>
      <c r="F73" s="50" t="n">
        <f aca="false">SUMIFS(Cash_Events!$G$6:$G$20,Cash_Events!$C$6:$C$20,"rAGMF",Cash_Events!$M$6:$M$20,A73)</f>
        <v>0</v>
      </c>
      <c r="G73" s="49" t="n">
        <f aca="false">E73-F73</f>
        <v>735000</v>
      </c>
      <c r="H73" s="51" t="n">
        <f aca="false">VLOOKUP(A73-1,Inputs!$A$40:$B$48,2,TRUE())</f>
        <v>0.0363225</v>
      </c>
      <c r="I73" s="51" t="n">
        <f aca="false">H73+Inputs!B10</f>
        <v>0.1038225</v>
      </c>
      <c r="J73" s="50" t="n">
        <f aca="false">SUMIFS(Daily!$G$6:$G$2400,Daily!$B$6:$B$2400,A73)</f>
        <v>6463.37612704918</v>
      </c>
      <c r="K73" s="50" t="n">
        <f aca="false">SUMIFS(Daily!$H$6:$H$2400,Daily!$B$6:$B$2400,A73)</f>
        <v>1245.08196721311</v>
      </c>
      <c r="L73" s="49" t="n">
        <f aca="false">J73+K73</f>
        <v>7708.4580942623</v>
      </c>
      <c r="M73" s="49" t="n">
        <f aca="false">P72</f>
        <v>425312.790494386</v>
      </c>
      <c r="N73" s="50" t="n">
        <f aca="false">SUMIFS(Cash_Events!$H$6:$H$20,Cash_Events!$C$6:$C$20,"rAGMF",Cash_Events!$D$6:$D$20,"JV",Cash_Events!$M$6:$M$20,A73)</f>
        <v>0</v>
      </c>
      <c r="O73" s="50" t="n">
        <f aca="false">SUMIFS(Cash_Events!$H$6:$H$20,Cash_Events!$C$6:$C$20,"rAGMF",Cash_Events!$D$6:$D$20,"800S",Cash_Events!$M$6:$M$20,A73)</f>
        <v>0</v>
      </c>
      <c r="P73" s="49" t="n">
        <f aca="false">M73+J73-N73-O73</f>
        <v>431776.166621435</v>
      </c>
      <c r="Q73" s="49" t="n">
        <f aca="false">S72</f>
        <v>69170.0384684482</v>
      </c>
      <c r="R73" s="50" t="n">
        <f aca="false">SUMIFS(Cash_Events!$I$6:$I$20,Cash_Events!$C$6:$C$20,"rAGMF",Cash_Events!$M$6:$M$20,A73)</f>
        <v>0</v>
      </c>
      <c r="S73" s="49" t="n">
        <f aca="false">Q73+K73-R73</f>
        <v>70415.1204356613</v>
      </c>
      <c r="T73" s="52" t="n">
        <f aca="false">P73+S73</f>
        <v>502191.287057096</v>
      </c>
      <c r="U73" s="52" t="n">
        <f aca="false">G73+T73</f>
        <v>1237191.2870571</v>
      </c>
      <c r="V73" s="49" t="n">
        <f aca="false">V72+L73</f>
        <v>687005.057057096</v>
      </c>
      <c r="W73" s="49" t="n">
        <f aca="false">W72+N73+O73+R73</f>
        <v>184813.77</v>
      </c>
      <c r="X73" s="49" t="n">
        <f aca="false">ROUND(V73-W73-T73,2)</f>
        <v>0</v>
      </c>
      <c r="Y73" s="2"/>
    </row>
    <row r="74" customFormat="false" ht="15" hidden="false" customHeight="false" outlineLevel="0" collapsed="false">
      <c r="A74" s="46" t="n">
        <f aca="false">EOMONTH(A73,1)</f>
        <v>46873</v>
      </c>
      <c r="B74" s="46" t="n">
        <f aca="false">A73</f>
        <v>46843</v>
      </c>
      <c r="C74" s="47" t="n">
        <f aca="false">A74-B74</f>
        <v>30</v>
      </c>
      <c r="D74" s="48" t="str">
        <f aca="false">IF(A74&lt;=EOMONTH(Inputs!$B$18,-1),"Actual","Projection")</f>
        <v>Projection</v>
      </c>
      <c r="E74" s="49" t="n">
        <f aca="false">G73</f>
        <v>735000</v>
      </c>
      <c r="F74" s="50" t="n">
        <f aca="false">SUMIFS(Cash_Events!$G$6:$G$20,Cash_Events!$C$6:$C$20,"rAGMF",Cash_Events!$M$6:$M$20,A74)</f>
        <v>0</v>
      </c>
      <c r="G74" s="49" t="n">
        <f aca="false">E74-F74</f>
        <v>735000</v>
      </c>
      <c r="H74" s="51" t="n">
        <f aca="false">VLOOKUP(A74-1,Inputs!$A$40:$B$48,2,TRUE())</f>
        <v>0.0363225</v>
      </c>
      <c r="I74" s="51" t="n">
        <f aca="false">H74+Inputs!B10</f>
        <v>0.1038225</v>
      </c>
      <c r="J74" s="50" t="n">
        <f aca="false">SUMIFS(Daily!$G$6:$G$2400,Daily!$B$6:$B$2400,A74)</f>
        <v>6254.88012295082</v>
      </c>
      <c r="K74" s="50" t="n">
        <f aca="false">SUMIFS(Daily!$H$6:$H$2400,Daily!$B$6:$B$2400,A74)</f>
        <v>1204.91803278689</v>
      </c>
      <c r="L74" s="49" t="n">
        <f aca="false">J74+K74</f>
        <v>7459.79815573771</v>
      </c>
      <c r="M74" s="49" t="n">
        <f aca="false">P73</f>
        <v>431776.166621435</v>
      </c>
      <c r="N74" s="50" t="n">
        <f aca="false">SUMIFS(Cash_Events!$H$6:$H$20,Cash_Events!$C$6:$C$20,"rAGMF",Cash_Events!$D$6:$D$20,"JV",Cash_Events!$M$6:$M$20,A74)</f>
        <v>0</v>
      </c>
      <c r="O74" s="50" t="n">
        <f aca="false">SUMIFS(Cash_Events!$H$6:$H$20,Cash_Events!$C$6:$C$20,"rAGMF",Cash_Events!$D$6:$D$20,"800S",Cash_Events!$M$6:$M$20,A74)</f>
        <v>0</v>
      </c>
      <c r="P74" s="49" t="n">
        <f aca="false">M74+J74-N74-O74</f>
        <v>438031.046744386</v>
      </c>
      <c r="Q74" s="49" t="n">
        <f aca="false">S73</f>
        <v>70415.1204356613</v>
      </c>
      <c r="R74" s="50" t="n">
        <f aca="false">SUMIFS(Cash_Events!$I$6:$I$20,Cash_Events!$C$6:$C$20,"rAGMF",Cash_Events!$M$6:$M$20,A74)</f>
        <v>0</v>
      </c>
      <c r="S74" s="49" t="n">
        <f aca="false">Q74+K74-R74</f>
        <v>71620.0384684482</v>
      </c>
      <c r="T74" s="52" t="n">
        <f aca="false">P74+S74</f>
        <v>509651.085212834</v>
      </c>
      <c r="U74" s="52" t="n">
        <f aca="false">G74+T74</f>
        <v>1244651.08521283</v>
      </c>
      <c r="V74" s="49" t="n">
        <f aca="false">V73+L74</f>
        <v>694464.855212834</v>
      </c>
      <c r="W74" s="49" t="n">
        <f aca="false">W73+N74+O74+R74</f>
        <v>184813.77</v>
      </c>
      <c r="X74" s="49" t="n">
        <f aca="false">ROUND(V74-W74-T74,2)</f>
        <v>0</v>
      </c>
      <c r="Y74" s="2"/>
    </row>
    <row r="75" customFormat="false" ht="15" hidden="false" customHeight="false" outlineLevel="0" collapsed="false">
      <c r="A75" s="46" t="n">
        <f aca="false">EOMONTH(A74,1)</f>
        <v>46904</v>
      </c>
      <c r="B75" s="46" t="n">
        <f aca="false">A74</f>
        <v>46873</v>
      </c>
      <c r="C75" s="47" t="n">
        <f aca="false">A75-B75</f>
        <v>31</v>
      </c>
      <c r="D75" s="48" t="str">
        <f aca="false">IF(A75&lt;=EOMONTH(Inputs!$B$18,-1),"Actual","Projection")</f>
        <v>Projection</v>
      </c>
      <c r="E75" s="49" t="n">
        <f aca="false">G74</f>
        <v>735000</v>
      </c>
      <c r="F75" s="50" t="n">
        <f aca="false">SUMIFS(Cash_Events!$G$6:$G$20,Cash_Events!$C$6:$C$20,"rAGMF",Cash_Events!$M$6:$M$20,A75)</f>
        <v>0</v>
      </c>
      <c r="G75" s="49" t="n">
        <f aca="false">E75-F75</f>
        <v>735000</v>
      </c>
      <c r="H75" s="51" t="n">
        <f aca="false">VLOOKUP(A75-1,Inputs!$A$40:$B$48,2,TRUE())</f>
        <v>0.0363225</v>
      </c>
      <c r="I75" s="51" t="n">
        <f aca="false">H75+Inputs!B10</f>
        <v>0.1038225</v>
      </c>
      <c r="J75" s="50" t="n">
        <f aca="false">SUMIFS(Daily!$G$6:$G$2400,Daily!$B$6:$B$2400,A75)</f>
        <v>6463.37612704918</v>
      </c>
      <c r="K75" s="50" t="n">
        <f aca="false">SUMIFS(Daily!$H$6:$H$2400,Daily!$B$6:$B$2400,A75)</f>
        <v>1245.08196721311</v>
      </c>
      <c r="L75" s="49" t="n">
        <f aca="false">J75+K75</f>
        <v>7708.4580942623</v>
      </c>
      <c r="M75" s="49" t="n">
        <f aca="false">P74</f>
        <v>438031.046744386</v>
      </c>
      <c r="N75" s="50" t="n">
        <f aca="false">SUMIFS(Cash_Events!$H$6:$H$20,Cash_Events!$C$6:$C$20,"rAGMF",Cash_Events!$D$6:$D$20,"JV",Cash_Events!$M$6:$M$20,A75)</f>
        <v>0</v>
      </c>
      <c r="O75" s="50" t="n">
        <f aca="false">SUMIFS(Cash_Events!$H$6:$H$20,Cash_Events!$C$6:$C$20,"rAGMF",Cash_Events!$D$6:$D$20,"800S",Cash_Events!$M$6:$M$20,A75)</f>
        <v>0</v>
      </c>
      <c r="P75" s="49" t="n">
        <f aca="false">M75+J75-N75-O75</f>
        <v>444494.422871435</v>
      </c>
      <c r="Q75" s="49" t="n">
        <f aca="false">S74</f>
        <v>71620.0384684482</v>
      </c>
      <c r="R75" s="50" t="n">
        <f aca="false">SUMIFS(Cash_Events!$I$6:$I$20,Cash_Events!$C$6:$C$20,"rAGMF",Cash_Events!$M$6:$M$20,A75)</f>
        <v>0</v>
      </c>
      <c r="S75" s="49" t="n">
        <f aca="false">Q75+K75-R75</f>
        <v>72865.1204356613</v>
      </c>
      <c r="T75" s="52" t="n">
        <f aca="false">P75+S75</f>
        <v>517359.543307096</v>
      </c>
      <c r="U75" s="52" t="n">
        <f aca="false">G75+T75</f>
        <v>1252359.5433071</v>
      </c>
      <c r="V75" s="49" t="n">
        <f aca="false">V74+L75</f>
        <v>702173.313307096</v>
      </c>
      <c r="W75" s="49" t="n">
        <f aca="false">W74+N75+O75+R75</f>
        <v>184813.77</v>
      </c>
      <c r="X75" s="49" t="n">
        <f aca="false">ROUND(V75-W75-T75,2)</f>
        <v>0</v>
      </c>
      <c r="Y75" s="2"/>
    </row>
    <row r="76" customFormat="false" ht="15" hidden="false" customHeight="false" outlineLevel="0" collapsed="false">
      <c r="A76" s="46" t="n">
        <f aca="false">EOMONTH(A75,1)</f>
        <v>46934</v>
      </c>
      <c r="B76" s="46" t="n">
        <f aca="false">A75</f>
        <v>46904</v>
      </c>
      <c r="C76" s="47" t="n">
        <f aca="false">A76-B76</f>
        <v>30</v>
      </c>
      <c r="D76" s="48" t="str">
        <f aca="false">IF(A76&lt;=EOMONTH(Inputs!$B$18,-1),"Actual","Projection")</f>
        <v>Projection</v>
      </c>
      <c r="E76" s="49" t="n">
        <f aca="false">G75</f>
        <v>735000</v>
      </c>
      <c r="F76" s="50" t="n">
        <f aca="false">SUMIFS(Cash_Events!$G$6:$G$20,Cash_Events!$C$6:$C$20,"rAGMF",Cash_Events!$M$6:$M$20,A76)</f>
        <v>0</v>
      </c>
      <c r="G76" s="49" t="n">
        <f aca="false">E76-F76</f>
        <v>735000</v>
      </c>
      <c r="H76" s="51" t="n">
        <f aca="false">VLOOKUP(A76-1,Inputs!$A$40:$B$48,2,TRUE())</f>
        <v>0.0363225</v>
      </c>
      <c r="I76" s="51" t="n">
        <f aca="false">H76+Inputs!B10</f>
        <v>0.1038225</v>
      </c>
      <c r="J76" s="50" t="n">
        <f aca="false">SUMIFS(Daily!$G$6:$G$2400,Daily!$B$6:$B$2400,A76)</f>
        <v>6254.88012295082</v>
      </c>
      <c r="K76" s="50" t="n">
        <f aca="false">SUMIFS(Daily!$H$6:$H$2400,Daily!$B$6:$B$2400,A76)</f>
        <v>1204.91803278689</v>
      </c>
      <c r="L76" s="49" t="n">
        <f aca="false">J76+K76</f>
        <v>7459.79815573771</v>
      </c>
      <c r="M76" s="49" t="n">
        <f aca="false">P75</f>
        <v>444494.422871435</v>
      </c>
      <c r="N76" s="50" t="n">
        <f aca="false">SUMIFS(Cash_Events!$H$6:$H$20,Cash_Events!$C$6:$C$20,"rAGMF",Cash_Events!$D$6:$D$20,"JV",Cash_Events!$M$6:$M$20,A76)</f>
        <v>0</v>
      </c>
      <c r="O76" s="50" t="n">
        <f aca="false">SUMIFS(Cash_Events!$H$6:$H$20,Cash_Events!$C$6:$C$20,"rAGMF",Cash_Events!$D$6:$D$20,"800S",Cash_Events!$M$6:$M$20,A76)</f>
        <v>0</v>
      </c>
      <c r="P76" s="49" t="n">
        <f aca="false">M76+J76-N76-O76</f>
        <v>450749.302994386</v>
      </c>
      <c r="Q76" s="49" t="n">
        <f aca="false">S75</f>
        <v>72865.1204356613</v>
      </c>
      <c r="R76" s="50" t="n">
        <f aca="false">SUMIFS(Cash_Events!$I$6:$I$20,Cash_Events!$C$6:$C$20,"rAGMF",Cash_Events!$M$6:$M$20,A76)</f>
        <v>0</v>
      </c>
      <c r="S76" s="49" t="n">
        <f aca="false">Q76+K76-R76</f>
        <v>74070.0384684482</v>
      </c>
      <c r="T76" s="52" t="n">
        <f aca="false">P76+S76</f>
        <v>524819.341462834</v>
      </c>
      <c r="U76" s="52" t="n">
        <f aca="false">G76+T76</f>
        <v>1259819.34146283</v>
      </c>
      <c r="V76" s="49" t="n">
        <f aca="false">V75+L76</f>
        <v>709633.111462834</v>
      </c>
      <c r="W76" s="49" t="n">
        <f aca="false">W75+N76+O76+R76</f>
        <v>184813.77</v>
      </c>
      <c r="X76" s="49" t="n">
        <f aca="false">ROUND(V76-W76-T76,2)</f>
        <v>0</v>
      </c>
      <c r="Y76" s="2"/>
    </row>
    <row r="77" customFormat="false" ht="15" hidden="false" customHeight="false" outlineLevel="0" collapsed="false">
      <c r="A77" s="46" t="n">
        <f aca="false">EOMONTH(A76,1)</f>
        <v>46965</v>
      </c>
      <c r="B77" s="46" t="n">
        <f aca="false">A76</f>
        <v>46934</v>
      </c>
      <c r="C77" s="47" t="n">
        <f aca="false">A77-B77</f>
        <v>31</v>
      </c>
      <c r="D77" s="48" t="str">
        <f aca="false">IF(A77&lt;=EOMONTH(Inputs!$B$18,-1),"Actual","Projection")</f>
        <v>Projection</v>
      </c>
      <c r="E77" s="49" t="n">
        <f aca="false">G76</f>
        <v>735000</v>
      </c>
      <c r="F77" s="50" t="n">
        <f aca="false">SUMIFS(Cash_Events!$G$6:$G$20,Cash_Events!$C$6:$C$20,"rAGMF",Cash_Events!$M$6:$M$20,A77)</f>
        <v>0</v>
      </c>
      <c r="G77" s="49" t="n">
        <f aca="false">E77-F77</f>
        <v>735000</v>
      </c>
      <c r="H77" s="51" t="n">
        <f aca="false">VLOOKUP(A77-1,Inputs!$A$40:$B$48,2,TRUE())</f>
        <v>0.0363225</v>
      </c>
      <c r="I77" s="51" t="n">
        <f aca="false">H77+Inputs!B10</f>
        <v>0.1038225</v>
      </c>
      <c r="J77" s="50" t="n">
        <f aca="false">SUMIFS(Daily!$G$6:$G$2400,Daily!$B$6:$B$2400,A77)</f>
        <v>6463.37612704918</v>
      </c>
      <c r="K77" s="50" t="n">
        <f aca="false">SUMIFS(Daily!$H$6:$H$2400,Daily!$B$6:$B$2400,A77)</f>
        <v>1245.08196721311</v>
      </c>
      <c r="L77" s="49" t="n">
        <f aca="false">J77+K77</f>
        <v>7708.4580942623</v>
      </c>
      <c r="M77" s="49" t="n">
        <f aca="false">P76</f>
        <v>450749.302994386</v>
      </c>
      <c r="N77" s="50" t="n">
        <f aca="false">SUMIFS(Cash_Events!$H$6:$H$20,Cash_Events!$C$6:$C$20,"rAGMF",Cash_Events!$D$6:$D$20,"JV",Cash_Events!$M$6:$M$20,A77)</f>
        <v>0</v>
      </c>
      <c r="O77" s="50" t="n">
        <f aca="false">SUMIFS(Cash_Events!$H$6:$H$20,Cash_Events!$C$6:$C$20,"rAGMF",Cash_Events!$D$6:$D$20,"800S",Cash_Events!$M$6:$M$20,A77)</f>
        <v>0</v>
      </c>
      <c r="P77" s="49" t="n">
        <f aca="false">M77+J77-N77-O77</f>
        <v>457212.679121435</v>
      </c>
      <c r="Q77" s="49" t="n">
        <f aca="false">S76</f>
        <v>74070.0384684482</v>
      </c>
      <c r="R77" s="50" t="n">
        <f aca="false">SUMIFS(Cash_Events!$I$6:$I$20,Cash_Events!$C$6:$C$20,"rAGMF",Cash_Events!$M$6:$M$20,A77)</f>
        <v>0</v>
      </c>
      <c r="S77" s="49" t="n">
        <f aca="false">Q77+K77-R77</f>
        <v>75315.1204356613</v>
      </c>
      <c r="T77" s="52" t="n">
        <f aca="false">P77+S77</f>
        <v>532527.799557096</v>
      </c>
      <c r="U77" s="52" t="n">
        <f aca="false">G77+T77</f>
        <v>1267527.7995571</v>
      </c>
      <c r="V77" s="49" t="n">
        <f aca="false">V76+L77</f>
        <v>717341.569557096</v>
      </c>
      <c r="W77" s="49" t="n">
        <f aca="false">W76+N77+O77+R77</f>
        <v>184813.77</v>
      </c>
      <c r="X77" s="49" t="n">
        <f aca="false">ROUND(V77-W77-T77,2)</f>
        <v>0</v>
      </c>
      <c r="Y77" s="2"/>
    </row>
    <row r="78" customFormat="false" ht="15" hidden="false" customHeight="false" outlineLevel="0" collapsed="false">
      <c r="A78" s="46" t="n">
        <f aca="false">EOMONTH(A77,1)</f>
        <v>46996</v>
      </c>
      <c r="B78" s="46" t="n">
        <f aca="false">A77</f>
        <v>46965</v>
      </c>
      <c r="C78" s="47" t="n">
        <f aca="false">A78-B78</f>
        <v>31</v>
      </c>
      <c r="D78" s="48" t="str">
        <f aca="false">IF(A78&lt;=EOMONTH(Inputs!$B$18,-1),"Actual","Projection")</f>
        <v>Projection</v>
      </c>
      <c r="E78" s="49" t="n">
        <f aca="false">G77</f>
        <v>735000</v>
      </c>
      <c r="F78" s="50" t="n">
        <f aca="false">SUMIFS(Cash_Events!$G$6:$G$20,Cash_Events!$C$6:$C$20,"rAGMF",Cash_Events!$M$6:$M$20,A78)</f>
        <v>0</v>
      </c>
      <c r="G78" s="49" t="n">
        <f aca="false">E78-F78</f>
        <v>735000</v>
      </c>
      <c r="H78" s="51" t="n">
        <f aca="false">VLOOKUP(A78-1,Inputs!$A$40:$B$48,2,TRUE())</f>
        <v>0.0363225</v>
      </c>
      <c r="I78" s="51" t="n">
        <f aca="false">H78+Inputs!B10</f>
        <v>0.1038225</v>
      </c>
      <c r="J78" s="50" t="n">
        <f aca="false">SUMIFS(Daily!$G$6:$G$2400,Daily!$B$6:$B$2400,A78)</f>
        <v>6463.37612704918</v>
      </c>
      <c r="K78" s="50" t="n">
        <f aca="false">SUMIFS(Daily!$H$6:$H$2400,Daily!$B$6:$B$2400,A78)</f>
        <v>1245.08196721311</v>
      </c>
      <c r="L78" s="49" t="n">
        <f aca="false">J78+K78</f>
        <v>7708.4580942623</v>
      </c>
      <c r="M78" s="49" t="n">
        <f aca="false">P77</f>
        <v>457212.679121435</v>
      </c>
      <c r="N78" s="50" t="n">
        <f aca="false">SUMIFS(Cash_Events!$H$6:$H$20,Cash_Events!$C$6:$C$20,"rAGMF",Cash_Events!$D$6:$D$20,"JV",Cash_Events!$M$6:$M$20,A78)</f>
        <v>0</v>
      </c>
      <c r="O78" s="50" t="n">
        <f aca="false">SUMIFS(Cash_Events!$H$6:$H$20,Cash_Events!$C$6:$C$20,"rAGMF",Cash_Events!$D$6:$D$20,"800S",Cash_Events!$M$6:$M$20,A78)</f>
        <v>0</v>
      </c>
      <c r="P78" s="49" t="n">
        <f aca="false">M78+J78-N78-O78</f>
        <v>463676.055248484</v>
      </c>
      <c r="Q78" s="49" t="n">
        <f aca="false">S77</f>
        <v>75315.1204356613</v>
      </c>
      <c r="R78" s="50" t="n">
        <f aca="false">SUMIFS(Cash_Events!$I$6:$I$20,Cash_Events!$C$6:$C$20,"rAGMF",Cash_Events!$M$6:$M$20,A78)</f>
        <v>0</v>
      </c>
      <c r="S78" s="49" t="n">
        <f aca="false">Q78+K78-R78</f>
        <v>76560.2024028745</v>
      </c>
      <c r="T78" s="52" t="n">
        <f aca="false">P78+S78</f>
        <v>540236.257651358</v>
      </c>
      <c r="U78" s="52" t="n">
        <f aca="false">G78+T78</f>
        <v>1275236.25765136</v>
      </c>
      <c r="V78" s="49" t="n">
        <f aca="false">V77+L78</f>
        <v>725050.027651358</v>
      </c>
      <c r="W78" s="49" t="n">
        <f aca="false">W77+N78+O78+R78</f>
        <v>184813.77</v>
      </c>
      <c r="X78" s="49" t="n">
        <f aca="false">ROUND(V78-W78-T78,2)</f>
        <v>0</v>
      </c>
      <c r="Y78" s="2"/>
    </row>
    <row r="79" customFormat="false" ht="15" hidden="false" customHeight="false" outlineLevel="0" collapsed="false">
      <c r="A79" s="46" t="n">
        <f aca="false">EOMONTH(A78,1)</f>
        <v>47026</v>
      </c>
      <c r="B79" s="46" t="n">
        <f aca="false">A78</f>
        <v>46996</v>
      </c>
      <c r="C79" s="47" t="n">
        <f aca="false">A79-B79</f>
        <v>30</v>
      </c>
      <c r="D79" s="48" t="str">
        <f aca="false">IF(A79&lt;=EOMONTH(Inputs!$B$18,-1),"Actual","Projection")</f>
        <v>Projection</v>
      </c>
      <c r="E79" s="49" t="n">
        <f aca="false">G78</f>
        <v>735000</v>
      </c>
      <c r="F79" s="50" t="n">
        <f aca="false">SUMIFS(Cash_Events!$G$6:$G$20,Cash_Events!$C$6:$C$20,"rAGMF",Cash_Events!$M$6:$M$20,A79)</f>
        <v>0</v>
      </c>
      <c r="G79" s="49" t="n">
        <f aca="false">E79-F79</f>
        <v>735000</v>
      </c>
      <c r="H79" s="51" t="n">
        <f aca="false">VLOOKUP(A79-1,Inputs!$A$40:$B$48,2,TRUE())</f>
        <v>0.0363225</v>
      </c>
      <c r="I79" s="51" t="n">
        <f aca="false">H79+Inputs!B10</f>
        <v>0.1038225</v>
      </c>
      <c r="J79" s="50" t="n">
        <f aca="false">SUMIFS(Daily!$G$6:$G$2400,Daily!$B$6:$B$2400,A79)</f>
        <v>6254.88012295082</v>
      </c>
      <c r="K79" s="50" t="n">
        <f aca="false">SUMIFS(Daily!$H$6:$H$2400,Daily!$B$6:$B$2400,A79)</f>
        <v>1204.91803278689</v>
      </c>
      <c r="L79" s="49" t="n">
        <f aca="false">J79+K79</f>
        <v>7459.79815573771</v>
      </c>
      <c r="M79" s="49" t="n">
        <f aca="false">P78</f>
        <v>463676.055248484</v>
      </c>
      <c r="N79" s="50" t="n">
        <f aca="false">SUMIFS(Cash_Events!$H$6:$H$20,Cash_Events!$C$6:$C$20,"rAGMF",Cash_Events!$D$6:$D$20,"JV",Cash_Events!$M$6:$M$20,A79)</f>
        <v>0</v>
      </c>
      <c r="O79" s="50" t="n">
        <f aca="false">SUMIFS(Cash_Events!$H$6:$H$20,Cash_Events!$C$6:$C$20,"rAGMF",Cash_Events!$D$6:$D$20,"800S",Cash_Events!$M$6:$M$20,A79)</f>
        <v>0</v>
      </c>
      <c r="P79" s="49" t="n">
        <f aca="false">M79+J79-N79-O79</f>
        <v>469930.935371435</v>
      </c>
      <c r="Q79" s="49" t="n">
        <f aca="false">S78</f>
        <v>76560.2024028745</v>
      </c>
      <c r="R79" s="50" t="n">
        <f aca="false">SUMIFS(Cash_Events!$I$6:$I$20,Cash_Events!$C$6:$C$20,"rAGMF",Cash_Events!$M$6:$M$20,A79)</f>
        <v>0</v>
      </c>
      <c r="S79" s="49" t="n">
        <f aca="false">Q79+K79-R79</f>
        <v>77765.1204356613</v>
      </c>
      <c r="T79" s="52" t="n">
        <f aca="false">P79+S79</f>
        <v>547696.055807096</v>
      </c>
      <c r="U79" s="52" t="n">
        <f aca="false">G79+T79</f>
        <v>1282696.0558071</v>
      </c>
      <c r="V79" s="49" t="n">
        <f aca="false">V78+L79</f>
        <v>732509.825807096</v>
      </c>
      <c r="W79" s="49" t="n">
        <f aca="false">W78+N79+O79+R79</f>
        <v>184813.77</v>
      </c>
      <c r="X79" s="49" t="n">
        <f aca="false">ROUND(V79-W79-T79,2)</f>
        <v>0</v>
      </c>
      <c r="Y79" s="2"/>
    </row>
    <row r="80" customFormat="false" ht="15" hidden="false" customHeight="false" outlineLevel="0" collapsed="false">
      <c r="A80" s="46" t="n">
        <f aca="false">EOMONTH(A79,1)</f>
        <v>47057</v>
      </c>
      <c r="B80" s="46" t="n">
        <f aca="false">A79</f>
        <v>47026</v>
      </c>
      <c r="C80" s="47" t="n">
        <f aca="false">A80-B80</f>
        <v>31</v>
      </c>
      <c r="D80" s="48" t="str">
        <f aca="false">IF(A80&lt;=EOMONTH(Inputs!$B$18,-1),"Actual","Projection")</f>
        <v>Projection</v>
      </c>
      <c r="E80" s="49" t="n">
        <f aca="false">G79</f>
        <v>735000</v>
      </c>
      <c r="F80" s="50" t="n">
        <f aca="false">SUMIFS(Cash_Events!$G$6:$G$20,Cash_Events!$C$6:$C$20,"rAGMF",Cash_Events!$M$6:$M$20,A80)</f>
        <v>0</v>
      </c>
      <c r="G80" s="49" t="n">
        <f aca="false">E80-F80</f>
        <v>735000</v>
      </c>
      <c r="H80" s="51" t="n">
        <f aca="false">VLOOKUP(A80-1,Inputs!$A$40:$B$48,2,TRUE())</f>
        <v>0.0363225</v>
      </c>
      <c r="I80" s="51" t="n">
        <f aca="false">H80+Inputs!B10</f>
        <v>0.1038225</v>
      </c>
      <c r="J80" s="50" t="n">
        <f aca="false">SUMIFS(Daily!$G$6:$G$2400,Daily!$B$6:$B$2400,A80)</f>
        <v>6463.37612704918</v>
      </c>
      <c r="K80" s="50" t="n">
        <f aca="false">SUMIFS(Daily!$H$6:$H$2400,Daily!$B$6:$B$2400,A80)</f>
        <v>1245.08196721311</v>
      </c>
      <c r="L80" s="49" t="n">
        <f aca="false">J80+K80</f>
        <v>7708.4580942623</v>
      </c>
      <c r="M80" s="49" t="n">
        <f aca="false">P79</f>
        <v>469930.935371435</v>
      </c>
      <c r="N80" s="50" t="n">
        <f aca="false">SUMIFS(Cash_Events!$H$6:$H$20,Cash_Events!$C$6:$C$20,"rAGMF",Cash_Events!$D$6:$D$20,"JV",Cash_Events!$M$6:$M$20,A80)</f>
        <v>0</v>
      </c>
      <c r="O80" s="50" t="n">
        <f aca="false">SUMIFS(Cash_Events!$H$6:$H$20,Cash_Events!$C$6:$C$20,"rAGMF",Cash_Events!$D$6:$D$20,"800S",Cash_Events!$M$6:$M$20,A80)</f>
        <v>0</v>
      </c>
      <c r="P80" s="49" t="n">
        <f aca="false">M80+J80-N80-O80</f>
        <v>476394.311498484</v>
      </c>
      <c r="Q80" s="49" t="n">
        <f aca="false">S79</f>
        <v>77765.1204356613</v>
      </c>
      <c r="R80" s="50" t="n">
        <f aca="false">SUMIFS(Cash_Events!$I$6:$I$20,Cash_Events!$C$6:$C$20,"rAGMF",Cash_Events!$M$6:$M$20,A80)</f>
        <v>0</v>
      </c>
      <c r="S80" s="49" t="n">
        <f aca="false">Q80+K80-R80</f>
        <v>79010.2024028745</v>
      </c>
      <c r="T80" s="52" t="n">
        <f aca="false">P80+S80</f>
        <v>555404.513901358</v>
      </c>
      <c r="U80" s="52" t="n">
        <f aca="false">G80+T80</f>
        <v>1290404.51390136</v>
      </c>
      <c r="V80" s="49" t="n">
        <f aca="false">V79+L80</f>
        <v>740218.283901358</v>
      </c>
      <c r="W80" s="49" t="n">
        <f aca="false">W79+N80+O80+R80</f>
        <v>184813.77</v>
      </c>
      <c r="X80" s="49" t="n">
        <f aca="false">ROUND(V80-W80-T80,2)</f>
        <v>0</v>
      </c>
      <c r="Y80" s="2"/>
    </row>
    <row r="81" customFormat="false" ht="15" hidden="false" customHeight="false" outlineLevel="0" collapsed="false">
      <c r="A81" s="46" t="n">
        <f aca="false">EOMONTH(A80,1)</f>
        <v>47087</v>
      </c>
      <c r="B81" s="46" t="n">
        <f aca="false">A80</f>
        <v>47057</v>
      </c>
      <c r="C81" s="47" t="n">
        <f aca="false">A81-B81</f>
        <v>30</v>
      </c>
      <c r="D81" s="48" t="str">
        <f aca="false">IF(A81&lt;=EOMONTH(Inputs!$B$18,-1),"Actual","Projection")</f>
        <v>Projection</v>
      </c>
      <c r="E81" s="49" t="n">
        <f aca="false">G80</f>
        <v>735000</v>
      </c>
      <c r="F81" s="50" t="n">
        <f aca="false">SUMIFS(Cash_Events!$G$6:$G$20,Cash_Events!$C$6:$C$20,"rAGMF",Cash_Events!$M$6:$M$20,A81)</f>
        <v>0</v>
      </c>
      <c r="G81" s="49" t="n">
        <f aca="false">E81-F81</f>
        <v>735000</v>
      </c>
      <c r="H81" s="51" t="n">
        <f aca="false">VLOOKUP(A81-1,Inputs!$A$40:$B$48,2,TRUE())</f>
        <v>0.0363225</v>
      </c>
      <c r="I81" s="51" t="n">
        <f aca="false">H81+Inputs!B10</f>
        <v>0.1038225</v>
      </c>
      <c r="J81" s="50" t="n">
        <f aca="false">SUMIFS(Daily!$G$6:$G$2400,Daily!$B$6:$B$2400,A81)</f>
        <v>6254.88012295082</v>
      </c>
      <c r="K81" s="50" t="n">
        <f aca="false">SUMIFS(Daily!$H$6:$H$2400,Daily!$B$6:$B$2400,A81)</f>
        <v>1204.91803278689</v>
      </c>
      <c r="L81" s="49" t="n">
        <f aca="false">J81+K81</f>
        <v>7459.79815573771</v>
      </c>
      <c r="M81" s="49" t="n">
        <f aca="false">P80</f>
        <v>476394.311498484</v>
      </c>
      <c r="N81" s="50" t="n">
        <f aca="false">SUMIFS(Cash_Events!$H$6:$H$20,Cash_Events!$C$6:$C$20,"rAGMF",Cash_Events!$D$6:$D$20,"JV",Cash_Events!$M$6:$M$20,A81)</f>
        <v>0</v>
      </c>
      <c r="O81" s="50" t="n">
        <f aca="false">SUMIFS(Cash_Events!$H$6:$H$20,Cash_Events!$C$6:$C$20,"rAGMF",Cash_Events!$D$6:$D$20,"800S",Cash_Events!$M$6:$M$20,A81)</f>
        <v>0</v>
      </c>
      <c r="P81" s="49" t="n">
        <f aca="false">M81+J81-N81-O81</f>
        <v>482649.191621435</v>
      </c>
      <c r="Q81" s="49" t="n">
        <f aca="false">S80</f>
        <v>79010.2024028745</v>
      </c>
      <c r="R81" s="50" t="n">
        <f aca="false">SUMIFS(Cash_Events!$I$6:$I$20,Cash_Events!$C$6:$C$20,"rAGMF",Cash_Events!$M$6:$M$20,A81)</f>
        <v>0</v>
      </c>
      <c r="S81" s="49" t="n">
        <f aca="false">Q81+K81-R81</f>
        <v>80215.1204356613</v>
      </c>
      <c r="T81" s="52" t="n">
        <f aca="false">P81+S81</f>
        <v>562864.312057096</v>
      </c>
      <c r="U81" s="52" t="n">
        <f aca="false">G81+T81</f>
        <v>1297864.3120571</v>
      </c>
      <c r="V81" s="49" t="n">
        <f aca="false">V80+L81</f>
        <v>747678.082057096</v>
      </c>
      <c r="W81" s="49" t="n">
        <f aca="false">W80+N81+O81+R81</f>
        <v>184813.77</v>
      </c>
      <c r="X81" s="49" t="n">
        <f aca="false">ROUND(V81-W81-T81,2)</f>
        <v>0</v>
      </c>
      <c r="Y81" s="2"/>
    </row>
    <row r="82" customFormat="false" ht="15" hidden="false" customHeight="false" outlineLevel="0" collapsed="false">
      <c r="A82" s="46" t="n">
        <f aca="false">EOMONTH(A81,1)</f>
        <v>47118</v>
      </c>
      <c r="B82" s="46" t="n">
        <f aca="false">A81</f>
        <v>47087</v>
      </c>
      <c r="C82" s="47" t="n">
        <f aca="false">A82-B82</f>
        <v>31</v>
      </c>
      <c r="D82" s="48" t="str">
        <f aca="false">IF(A82&lt;=EOMONTH(Inputs!$B$18,-1),"Actual","Projection")</f>
        <v>Projection</v>
      </c>
      <c r="E82" s="49" t="n">
        <f aca="false">G81</f>
        <v>735000</v>
      </c>
      <c r="F82" s="50" t="n">
        <f aca="false">SUMIFS(Cash_Events!$G$6:$G$20,Cash_Events!$C$6:$C$20,"rAGMF",Cash_Events!$M$6:$M$20,A82)</f>
        <v>0</v>
      </c>
      <c r="G82" s="49" t="n">
        <f aca="false">E82-F82</f>
        <v>735000</v>
      </c>
      <c r="H82" s="51" t="n">
        <f aca="false">VLOOKUP(A82-1,Inputs!$A$40:$B$48,2,TRUE())</f>
        <v>0.0363225</v>
      </c>
      <c r="I82" s="51" t="n">
        <f aca="false">H82+Inputs!B10</f>
        <v>0.1038225</v>
      </c>
      <c r="J82" s="50" t="n">
        <f aca="false">SUMIFS(Daily!$G$6:$G$2400,Daily!$B$6:$B$2400,A82)</f>
        <v>6463.37612704918</v>
      </c>
      <c r="K82" s="50" t="n">
        <f aca="false">SUMIFS(Daily!$H$6:$H$2400,Daily!$B$6:$B$2400,A82)</f>
        <v>1245.08196721311</v>
      </c>
      <c r="L82" s="49" t="n">
        <f aca="false">J82+K82</f>
        <v>7708.4580942623</v>
      </c>
      <c r="M82" s="49" t="n">
        <f aca="false">P81</f>
        <v>482649.191621435</v>
      </c>
      <c r="N82" s="50" t="n">
        <f aca="false">SUMIFS(Cash_Events!$H$6:$H$20,Cash_Events!$C$6:$C$20,"rAGMF",Cash_Events!$D$6:$D$20,"JV",Cash_Events!$M$6:$M$20,A82)</f>
        <v>0</v>
      </c>
      <c r="O82" s="50" t="n">
        <f aca="false">SUMIFS(Cash_Events!$H$6:$H$20,Cash_Events!$C$6:$C$20,"rAGMF",Cash_Events!$D$6:$D$20,"800S",Cash_Events!$M$6:$M$20,A82)</f>
        <v>0</v>
      </c>
      <c r="P82" s="49" t="n">
        <f aca="false">M82+J82-N82-O82</f>
        <v>489112.567748484</v>
      </c>
      <c r="Q82" s="49" t="n">
        <f aca="false">S81</f>
        <v>80215.1204356613</v>
      </c>
      <c r="R82" s="50" t="n">
        <f aca="false">SUMIFS(Cash_Events!$I$6:$I$20,Cash_Events!$C$6:$C$20,"rAGMF",Cash_Events!$M$6:$M$20,A82)</f>
        <v>0</v>
      </c>
      <c r="S82" s="49" t="n">
        <f aca="false">Q82+K82-R82</f>
        <v>81460.2024028745</v>
      </c>
      <c r="T82" s="52" t="n">
        <f aca="false">P82+S82</f>
        <v>570572.770151358</v>
      </c>
      <c r="U82" s="52" t="n">
        <f aca="false">G82+T82</f>
        <v>1305572.77015136</v>
      </c>
      <c r="V82" s="49" t="n">
        <f aca="false">V81+L82</f>
        <v>755386.540151358</v>
      </c>
      <c r="W82" s="49" t="n">
        <f aca="false">W81+N82+O82+R82</f>
        <v>184813.77</v>
      </c>
      <c r="X82" s="49" t="n">
        <f aca="false">ROUND(V82-W82-T82,2)</f>
        <v>0</v>
      </c>
      <c r="Y82" s="2"/>
    </row>
    <row r="83" customFormat="false" ht="15" hidden="false" customHeight="false" outlineLevel="0" collapsed="false">
      <c r="A83" s="46" t="n">
        <f aca="false">EOMONTH(A82,1)</f>
        <v>47149</v>
      </c>
      <c r="B83" s="46" t="n">
        <f aca="false">A82</f>
        <v>47118</v>
      </c>
      <c r="C83" s="47" t="n">
        <f aca="false">A83-B83</f>
        <v>31</v>
      </c>
      <c r="D83" s="48" t="str">
        <f aca="false">IF(A83&lt;=EOMONTH(Inputs!$B$18,-1),"Actual","Projection")</f>
        <v>Projection</v>
      </c>
      <c r="E83" s="49" t="n">
        <f aca="false">G82</f>
        <v>735000</v>
      </c>
      <c r="F83" s="50" t="n">
        <f aca="false">SUMIFS(Cash_Events!$G$6:$G$20,Cash_Events!$C$6:$C$20,"rAGMF",Cash_Events!$M$6:$M$20,A83)</f>
        <v>0</v>
      </c>
      <c r="G83" s="49" t="n">
        <f aca="false">E83-F83</f>
        <v>735000</v>
      </c>
      <c r="H83" s="51" t="n">
        <f aca="false">VLOOKUP(A83-1,Inputs!$A$40:$B$48,2,TRUE())</f>
        <v>0.0363225</v>
      </c>
      <c r="I83" s="51" t="n">
        <f aca="false">H83+Inputs!B10</f>
        <v>0.1038225</v>
      </c>
      <c r="J83" s="50" t="n">
        <f aca="false">SUMIFS(Daily!$G$6:$G$2400,Daily!$B$6:$B$2400,A83)</f>
        <v>6480.51278492028</v>
      </c>
      <c r="K83" s="50" t="n">
        <f aca="false">SUMIFS(Daily!$H$6:$H$2400,Daily!$B$6:$B$2400,A83)</f>
        <v>1248.38311250842</v>
      </c>
      <c r="L83" s="49" t="n">
        <f aca="false">J83+K83</f>
        <v>7728.8958974287</v>
      </c>
      <c r="M83" s="49" t="n">
        <f aca="false">P82</f>
        <v>489112.567748484</v>
      </c>
      <c r="N83" s="50" t="n">
        <f aca="false">SUMIFS(Cash_Events!$H$6:$H$20,Cash_Events!$C$6:$C$20,"rAGMF",Cash_Events!$D$6:$D$20,"JV",Cash_Events!$M$6:$M$20,A83)</f>
        <v>0</v>
      </c>
      <c r="O83" s="50" t="n">
        <f aca="false">SUMIFS(Cash_Events!$H$6:$H$20,Cash_Events!$C$6:$C$20,"rAGMF",Cash_Events!$D$6:$D$20,"800S",Cash_Events!$M$6:$M$20,A83)</f>
        <v>0</v>
      </c>
      <c r="P83" s="49" t="n">
        <f aca="false">M83+J83-N83-O83</f>
        <v>495593.080533404</v>
      </c>
      <c r="Q83" s="49" t="n">
        <f aca="false">S82</f>
        <v>81460.2024028745</v>
      </c>
      <c r="R83" s="50" t="n">
        <f aca="false">SUMIFS(Cash_Events!$I$6:$I$20,Cash_Events!$C$6:$C$20,"rAGMF",Cash_Events!$M$6:$M$20,A83)</f>
        <v>0</v>
      </c>
      <c r="S83" s="49" t="n">
        <f aca="false">Q83+K83-R83</f>
        <v>82708.5855153829</v>
      </c>
      <c r="T83" s="52" t="n">
        <f aca="false">P83+S83</f>
        <v>578301.666048787</v>
      </c>
      <c r="U83" s="52" t="n">
        <f aca="false">G83+T83</f>
        <v>1313301.66604879</v>
      </c>
      <c r="V83" s="49" t="n">
        <f aca="false">V82+L83</f>
        <v>763115.436048787</v>
      </c>
      <c r="W83" s="49" t="n">
        <f aca="false">W82+N83+O83+R83</f>
        <v>184813.77</v>
      </c>
      <c r="X83" s="49" t="n">
        <f aca="false">ROUND(V83-W83-T83,2)</f>
        <v>0</v>
      </c>
      <c r="Y83" s="2"/>
    </row>
    <row r="84" customFormat="false" ht="15" hidden="false" customHeight="false" outlineLevel="0" collapsed="false">
      <c r="A84" s="46" t="n">
        <f aca="false">EOMONTH(A83,1)</f>
        <v>47177</v>
      </c>
      <c r="B84" s="46" t="n">
        <f aca="false">A83</f>
        <v>47149</v>
      </c>
      <c r="C84" s="47" t="n">
        <f aca="false">A84-B84</f>
        <v>28</v>
      </c>
      <c r="D84" s="48" t="str">
        <f aca="false">IF(A84&lt;=EOMONTH(Inputs!$B$18,-1),"Actual","Projection")</f>
        <v>Projection</v>
      </c>
      <c r="E84" s="49" t="n">
        <f aca="false">G83</f>
        <v>735000</v>
      </c>
      <c r="F84" s="50" t="n">
        <f aca="false">SUMIFS(Cash_Events!$G$6:$G$20,Cash_Events!$C$6:$C$20,"rAGMF",Cash_Events!$M$6:$M$20,A84)</f>
        <v>0</v>
      </c>
      <c r="G84" s="49" t="n">
        <f aca="false">E84-F84</f>
        <v>735000</v>
      </c>
      <c r="H84" s="51" t="n">
        <f aca="false">VLOOKUP(A84-1,Inputs!$A$40:$B$48,2,TRUE())</f>
        <v>0.0363225</v>
      </c>
      <c r="I84" s="51" t="n">
        <f aca="false">H84+Inputs!B10</f>
        <v>0.1038225</v>
      </c>
      <c r="J84" s="50" t="n">
        <f aca="false">SUMIFS(Daily!$G$6:$G$2400,Daily!$B$6:$B$2400,A84)</f>
        <v>5853.88232876712</v>
      </c>
      <c r="K84" s="50" t="n">
        <f aca="false">SUMIFS(Daily!$H$6:$H$2400,Daily!$B$6:$B$2400,A84)</f>
        <v>1127.67123287671</v>
      </c>
      <c r="L84" s="49" t="n">
        <f aca="false">J84+K84</f>
        <v>6981.55356164384</v>
      </c>
      <c r="M84" s="49" t="n">
        <f aca="false">P83</f>
        <v>495593.080533404</v>
      </c>
      <c r="N84" s="50" t="n">
        <f aca="false">SUMIFS(Cash_Events!$H$6:$H$20,Cash_Events!$C$6:$C$20,"rAGMF",Cash_Events!$D$6:$D$20,"JV",Cash_Events!$M$6:$M$20,A84)</f>
        <v>0</v>
      </c>
      <c r="O84" s="50" t="n">
        <f aca="false">SUMIFS(Cash_Events!$H$6:$H$20,Cash_Events!$C$6:$C$20,"rAGMF",Cash_Events!$D$6:$D$20,"800S",Cash_Events!$M$6:$M$20,A84)</f>
        <v>0</v>
      </c>
      <c r="P84" s="49" t="n">
        <f aca="false">M84+J84-N84-O84</f>
        <v>501446.962862171</v>
      </c>
      <c r="Q84" s="49" t="n">
        <f aca="false">S83</f>
        <v>82708.5855153829</v>
      </c>
      <c r="R84" s="50" t="n">
        <f aca="false">SUMIFS(Cash_Events!$I$6:$I$20,Cash_Events!$C$6:$C$20,"rAGMF",Cash_Events!$M$6:$M$20,A84)</f>
        <v>0</v>
      </c>
      <c r="S84" s="49" t="n">
        <f aca="false">Q84+K84-R84</f>
        <v>83836.2567482596</v>
      </c>
      <c r="T84" s="52" t="n">
        <f aca="false">P84+S84</f>
        <v>585283.219610431</v>
      </c>
      <c r="U84" s="52" t="n">
        <f aca="false">G84+T84</f>
        <v>1320283.21961043</v>
      </c>
      <c r="V84" s="49" t="n">
        <f aca="false">V83+L84</f>
        <v>770096.989610431</v>
      </c>
      <c r="W84" s="49" t="n">
        <f aca="false">W83+N84+O84+R84</f>
        <v>184813.77</v>
      </c>
      <c r="X84" s="49" t="n">
        <f aca="false">ROUND(V84-W84-T84,2)</f>
        <v>0</v>
      </c>
      <c r="Y84" s="2"/>
    </row>
    <row r="85" customFormat="false" ht="15" hidden="false" customHeight="false" outlineLevel="0" collapsed="false">
      <c r="A85" s="46" t="n">
        <f aca="false">EOMONTH(A84,1)</f>
        <v>47208</v>
      </c>
      <c r="B85" s="46" t="n">
        <f aca="false">A84</f>
        <v>47177</v>
      </c>
      <c r="C85" s="47" t="n">
        <f aca="false">A85-B85</f>
        <v>31</v>
      </c>
      <c r="D85" s="48" t="str">
        <f aca="false">IF(A85&lt;=EOMONTH(Inputs!$B$18,-1),"Actual","Projection")</f>
        <v>Projection</v>
      </c>
      <c r="E85" s="49" t="n">
        <f aca="false">G84</f>
        <v>735000</v>
      </c>
      <c r="F85" s="50" t="n">
        <f aca="false">SUMIFS(Cash_Events!$G$6:$G$20,Cash_Events!$C$6:$C$20,"rAGMF",Cash_Events!$M$6:$M$20,A85)</f>
        <v>0</v>
      </c>
      <c r="G85" s="49" t="n">
        <f aca="false">E85-F85</f>
        <v>735000</v>
      </c>
      <c r="H85" s="51" t="n">
        <f aca="false">VLOOKUP(A85-1,Inputs!$A$40:$B$48,2,TRUE())</f>
        <v>0.0363225</v>
      </c>
      <c r="I85" s="51" t="n">
        <f aca="false">H85+Inputs!B10</f>
        <v>0.1038225</v>
      </c>
      <c r="J85" s="50" t="n">
        <f aca="false">SUMIFS(Daily!$G$6:$G$2400,Daily!$B$6:$B$2400,A85)</f>
        <v>6481.08400684932</v>
      </c>
      <c r="K85" s="50" t="n">
        <f aca="false">SUMIFS(Daily!$H$6:$H$2400,Daily!$B$6:$B$2400,A85)</f>
        <v>1248.49315068493</v>
      </c>
      <c r="L85" s="49" t="n">
        <f aca="false">J85+K85</f>
        <v>7729.57715753425</v>
      </c>
      <c r="M85" s="49" t="n">
        <f aca="false">P84</f>
        <v>501446.962862171</v>
      </c>
      <c r="N85" s="50" t="n">
        <f aca="false">SUMIFS(Cash_Events!$H$6:$H$20,Cash_Events!$C$6:$C$20,"rAGMF",Cash_Events!$D$6:$D$20,"JV",Cash_Events!$M$6:$M$20,A85)</f>
        <v>0</v>
      </c>
      <c r="O85" s="50" t="n">
        <f aca="false">SUMIFS(Cash_Events!$H$6:$H$20,Cash_Events!$C$6:$C$20,"rAGMF",Cash_Events!$D$6:$D$20,"800S",Cash_Events!$M$6:$M$20,A85)</f>
        <v>0</v>
      </c>
      <c r="P85" s="49" t="n">
        <f aca="false">M85+J85-N85-O85</f>
        <v>507928.046869021</v>
      </c>
      <c r="Q85" s="49" t="n">
        <f aca="false">S84</f>
        <v>83836.2567482596</v>
      </c>
      <c r="R85" s="50" t="n">
        <f aca="false">SUMIFS(Cash_Events!$I$6:$I$20,Cash_Events!$C$6:$C$20,"rAGMF",Cash_Events!$M$6:$M$20,A85)</f>
        <v>0</v>
      </c>
      <c r="S85" s="49" t="n">
        <f aca="false">Q85+K85-R85</f>
        <v>85084.7498989445</v>
      </c>
      <c r="T85" s="52" t="n">
        <f aca="false">P85+S85</f>
        <v>593012.796767965</v>
      </c>
      <c r="U85" s="52" t="n">
        <f aca="false">G85+T85</f>
        <v>1328012.79676797</v>
      </c>
      <c r="V85" s="49" t="n">
        <f aca="false">V84+L85</f>
        <v>777826.566767965</v>
      </c>
      <c r="W85" s="49" t="n">
        <f aca="false">W84+N85+O85+R85</f>
        <v>184813.77</v>
      </c>
      <c r="X85" s="49" t="n">
        <f aca="false">ROUND(V85-W85-T85,2)</f>
        <v>0</v>
      </c>
      <c r="Y85" s="2" t="s">
        <v>252</v>
      </c>
    </row>
    <row r="87" customFormat="false" ht="15" hidden="false" customHeight="false" outlineLevel="0" collapsed="false">
      <c r="A87" s="3" t="s">
        <v>253</v>
      </c>
      <c r="F87" s="12" t="n">
        <f aca="false">SUM(F7:F85)</f>
        <v>765000</v>
      </c>
      <c r="J87" s="12" t="n">
        <f aca="false">SUM(J7:J85)</f>
        <v>684053.916869021</v>
      </c>
      <c r="K87" s="12" t="n">
        <f aca="false">SUM(K7:K85)</f>
        <v>93772.6498989445</v>
      </c>
      <c r="L87" s="12" t="n">
        <f aca="false">SUM(L7:L85)</f>
        <v>777826.566767965</v>
      </c>
      <c r="N87" s="12" t="n">
        <f aca="false">SUM(N7:N85)</f>
        <v>75648.08</v>
      </c>
      <c r="O87" s="12" t="n">
        <f aca="false">SUM(O7:O85)</f>
        <v>100477.79</v>
      </c>
      <c r="R87" s="12" t="n">
        <f aca="false">SUM(R7:R85)</f>
        <v>8687.9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Y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4" activeCellId="0" sqref="A14"/>
    </sheetView>
  </sheetViews>
  <sheetFormatPr defaultColWidth="8.6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5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15"/>
    <col collapsed="false" customWidth="true" hidden="false" outlineLevel="0" max="21" min="21" style="0" width="16"/>
    <col collapsed="false" customWidth="true" hidden="false" outlineLevel="0" max="23" min="22" style="0" width="14"/>
    <col collapsed="false" customWidth="true" hidden="false" outlineLevel="0" max="24" min="24" style="0" width="8"/>
    <col collapsed="false" customWidth="true" hidden="false" outlineLevel="0" max="25" min="25" style="0" width="44"/>
  </cols>
  <sheetData>
    <row r="1" customFormat="false" ht="18" hidden="false" customHeight="true" outlineLevel="0" collapsed="false">
      <c r="A1" s="1" t="s">
        <v>254</v>
      </c>
    </row>
    <row r="2" customFormat="false" ht="15" hidden="false" customHeight="false" outlineLevel="0" collapsed="false">
      <c r="A2" s="2" t="s">
        <v>214</v>
      </c>
    </row>
    <row r="4" customFormat="false" ht="15" hidden="false" customHeight="false" outlineLevel="0" collapsed="false">
      <c r="A4" s="3" t="s">
        <v>215</v>
      </c>
      <c r="B4" s="5" t="str">
        <f aca="false">Inputs!C6</f>
        <v>Financing for Healthier Lives DAC</v>
      </c>
    </row>
    <row r="5" customFormat="false" ht="15" hidden="false" customHeight="false" outlineLevel="0" collapsed="false">
      <c r="A5" s="2" t="s">
        <v>216</v>
      </c>
    </row>
    <row r="6" customFormat="false" ht="48" hidden="false" customHeight="true" outlineLevel="0" collapsed="false">
      <c r="A6" s="8" t="s">
        <v>217</v>
      </c>
      <c r="B6" s="8" t="s">
        <v>218</v>
      </c>
      <c r="C6" s="8" t="s">
        <v>219</v>
      </c>
      <c r="D6" s="8" t="s">
        <v>220</v>
      </c>
      <c r="E6" s="8" t="s">
        <v>221</v>
      </c>
      <c r="F6" s="8" t="s">
        <v>222</v>
      </c>
      <c r="G6" s="8" t="s">
        <v>223</v>
      </c>
      <c r="H6" s="8" t="s">
        <v>224</v>
      </c>
      <c r="I6" s="8" t="s">
        <v>154</v>
      </c>
      <c r="J6" s="8" t="s">
        <v>225</v>
      </c>
      <c r="K6" s="8" t="s">
        <v>226</v>
      </c>
      <c r="L6" s="8" t="s">
        <v>227</v>
      </c>
      <c r="M6" s="8" t="s">
        <v>228</v>
      </c>
      <c r="N6" s="8" t="s">
        <v>229</v>
      </c>
      <c r="O6" s="8" t="s">
        <v>230</v>
      </c>
      <c r="P6" s="8" t="s">
        <v>231</v>
      </c>
      <c r="Q6" s="8" t="s">
        <v>232</v>
      </c>
      <c r="R6" s="8" t="s">
        <v>233</v>
      </c>
      <c r="S6" s="8" t="s">
        <v>234</v>
      </c>
      <c r="T6" s="8" t="s">
        <v>235</v>
      </c>
      <c r="U6" s="8" t="s">
        <v>236</v>
      </c>
      <c r="V6" s="8" t="s">
        <v>237</v>
      </c>
      <c r="W6" s="8" t="s">
        <v>238</v>
      </c>
      <c r="X6" s="8" t="s">
        <v>239</v>
      </c>
      <c r="Y6" s="8" t="s">
        <v>240</v>
      </c>
    </row>
    <row r="7" customFormat="false" ht="15" hidden="false" customHeight="false" outlineLevel="0" collapsed="false">
      <c r="A7" s="20" t="n">
        <v>44834</v>
      </c>
      <c r="B7" s="4" t="n">
        <f aca="false">Inputs!C8</f>
        <v>44813</v>
      </c>
      <c r="C7" s="39" t="n">
        <f aca="false">A7-B7</f>
        <v>21</v>
      </c>
      <c r="D7" s="9" t="str">
        <f aca="false">IF(A7&lt;=EOMONTH(Inputs!$B$18,-1),"Actual","Projection")</f>
        <v>Actual</v>
      </c>
      <c r="E7" s="10" t="n">
        <f aca="false">Inputs!C9</f>
        <v>1500000</v>
      </c>
      <c r="F7" s="10" t="n">
        <f aca="false">SUMIFS(Cash_Events!$G$6:$G$20,Cash_Events!$C$6:$C$20,"FHL",Cash_Events!$M$6:$M$20,A7)</f>
        <v>0</v>
      </c>
      <c r="G7" s="11" t="n">
        <f aca="false">E7-F7</f>
        <v>1500000</v>
      </c>
      <c r="H7" s="28" t="n">
        <f aca="false">VLOOKUP(A7-1,Inputs!$F$40:$G$48,2,TRUE())</f>
        <v>0.034199995543672</v>
      </c>
      <c r="I7" s="28" t="n">
        <f aca="false">H7+Inputs!C10</f>
        <v>0.101699995543672</v>
      </c>
      <c r="J7" s="10" t="n">
        <f aca="false">SUMIFS(Daily!$L$6:$L$2400,Daily!$B$6:$B$2400,A7)</f>
        <v>8776.84893048128</v>
      </c>
      <c r="K7" s="10" t="n">
        <f aca="false">SUMIFS(Daily!$M$6:$M$2400,Daily!$B$6:$B$2400,A7)</f>
        <v>0</v>
      </c>
      <c r="L7" s="11" t="n">
        <f aca="false">J7+K7</f>
        <v>8776.84893048128</v>
      </c>
      <c r="M7" s="11" t="n">
        <v>0</v>
      </c>
      <c r="N7" s="10" t="n">
        <f aca="false">SUMIFS(Cash_Events!$H$6:$H$20,Cash_Events!$C$6:$C$20,"FHL",Cash_Events!$D$6:$D$20,"JV",Cash_Events!$M$6:$M$20,A7)</f>
        <v>0</v>
      </c>
      <c r="O7" s="10" t="n">
        <f aca="false">SUMIFS(Cash_Events!$H$6:$H$20,Cash_Events!$C$6:$C$20,"FHL",Cash_Events!$D$6:$D$20,"800S",Cash_Events!$M$6:$M$20,A7)</f>
        <v>0</v>
      </c>
      <c r="P7" s="11" t="n">
        <f aca="false">M7+J7-N7-O7</f>
        <v>8776.84893048128</v>
      </c>
      <c r="Q7" s="11" t="n">
        <v>0</v>
      </c>
      <c r="R7" s="10" t="n">
        <f aca="false">SUMIFS(Cash_Events!$I$6:$I$20,Cash_Events!$C$6:$C$20,"FHL",Cash_Events!$M$6:$M$20,A7)</f>
        <v>0</v>
      </c>
      <c r="S7" s="11" t="n">
        <f aca="false">Q7+K7-R7</f>
        <v>0</v>
      </c>
      <c r="T7" s="13" t="n">
        <f aca="false">P7+S7</f>
        <v>8776.84893048128</v>
      </c>
      <c r="U7" s="13" t="n">
        <f aca="false">G7+T7</f>
        <v>1508776.84893048</v>
      </c>
      <c r="V7" s="11" t="n">
        <f aca="false">L7</f>
        <v>8776.84893048128</v>
      </c>
      <c r="W7" s="11" t="n">
        <f aca="false">N7+O7+R7</f>
        <v>0</v>
      </c>
      <c r="X7" s="11" t="n">
        <f aca="false">ROUND(V7-W7-T7,2)</f>
        <v>0</v>
      </c>
      <c r="Y7" s="2" t="s">
        <v>241</v>
      </c>
    </row>
    <row r="8" customFormat="false" ht="15" hidden="false" customHeight="false" outlineLevel="0" collapsed="false">
      <c r="A8" s="32" t="n">
        <f aca="false">EOMONTH(A7,1)</f>
        <v>44865</v>
      </c>
      <c r="B8" s="32" t="n">
        <f aca="false">A7</f>
        <v>44834</v>
      </c>
      <c r="C8" s="39" t="n">
        <f aca="false">A8-B8</f>
        <v>31</v>
      </c>
      <c r="D8" s="9" t="str">
        <f aca="false">IF(A8&lt;=EOMONTH(Inputs!$B$18,-1),"Actual","Projection")</f>
        <v>Actual</v>
      </c>
      <c r="E8" s="11" t="n">
        <f aca="false">G7</f>
        <v>1500000</v>
      </c>
      <c r="F8" s="10" t="n">
        <f aca="false">SUMIFS(Cash_Events!$G$6:$G$20,Cash_Events!$C$6:$C$20,"FHL",Cash_Events!$M$6:$M$20,A8)</f>
        <v>0</v>
      </c>
      <c r="G8" s="11" t="n">
        <f aca="false">E8-F8</f>
        <v>1500000</v>
      </c>
      <c r="H8" s="28" t="n">
        <f aca="false">VLOOKUP(A8-1,Inputs!$F$40:$G$48,2,TRUE())</f>
        <v>0.034199995543672</v>
      </c>
      <c r="I8" s="28" t="n">
        <f aca="false">H8+Inputs!C10</f>
        <v>0.101699995543672</v>
      </c>
      <c r="J8" s="10" t="n">
        <f aca="false">SUMIFS(Daily!$L$6:$L$2400,Daily!$B$6:$B$2400,A8)</f>
        <v>12956.300802139</v>
      </c>
      <c r="K8" s="10" t="n">
        <f aca="false">SUMIFS(Daily!$M$6:$M$2400,Daily!$B$6:$B$2400,A8)</f>
        <v>0</v>
      </c>
      <c r="L8" s="11" t="n">
        <f aca="false">J8+K8</f>
        <v>12956.300802139</v>
      </c>
      <c r="M8" s="11" t="n">
        <f aca="false">P7</f>
        <v>8776.84893048128</v>
      </c>
      <c r="N8" s="10" t="n">
        <f aca="false">SUMIFS(Cash_Events!$H$6:$H$20,Cash_Events!$C$6:$C$20,"FHL",Cash_Events!$D$6:$D$20,"JV",Cash_Events!$M$6:$M$20,A8)</f>
        <v>0</v>
      </c>
      <c r="O8" s="10" t="n">
        <f aca="false">SUMIFS(Cash_Events!$H$6:$H$20,Cash_Events!$C$6:$C$20,"FHL",Cash_Events!$D$6:$D$20,"800S",Cash_Events!$M$6:$M$20,A8)</f>
        <v>0</v>
      </c>
      <c r="P8" s="11" t="n">
        <f aca="false">M8+J8-N8-O8</f>
        <v>21733.1497326203</v>
      </c>
      <c r="Q8" s="11" t="n">
        <f aca="false">S7</f>
        <v>0</v>
      </c>
      <c r="R8" s="10" t="n">
        <f aca="false">SUMIFS(Cash_Events!$I$6:$I$20,Cash_Events!$C$6:$C$20,"FHL",Cash_Events!$M$6:$M$20,A8)</f>
        <v>0</v>
      </c>
      <c r="S8" s="11" t="n">
        <f aca="false">Q8+K8-R8</f>
        <v>0</v>
      </c>
      <c r="T8" s="13" t="n">
        <f aca="false">P8+S8</f>
        <v>21733.1497326203</v>
      </c>
      <c r="U8" s="13" t="n">
        <f aca="false">G8+T8</f>
        <v>1521733.14973262</v>
      </c>
      <c r="V8" s="11" t="n">
        <f aca="false">V7+L8</f>
        <v>21733.1497326203</v>
      </c>
      <c r="W8" s="11" t="n">
        <f aca="false">W7+N8+O8+R8</f>
        <v>0</v>
      </c>
      <c r="X8" s="11" t="n">
        <f aca="false">ROUND(V8-W8-T8,2)</f>
        <v>0</v>
      </c>
      <c r="Y8" s="2"/>
    </row>
    <row r="9" customFormat="false" ht="15" hidden="false" customHeight="false" outlineLevel="0" collapsed="false">
      <c r="A9" s="32" t="n">
        <f aca="false">EOMONTH(A8,1)</f>
        <v>44895</v>
      </c>
      <c r="B9" s="32" t="n">
        <f aca="false">A8</f>
        <v>44865</v>
      </c>
      <c r="C9" s="39" t="n">
        <f aca="false">A9-B9</f>
        <v>30</v>
      </c>
      <c r="D9" s="9" t="str">
        <f aca="false">IF(A9&lt;=EOMONTH(Inputs!$B$18,-1),"Actual","Projection")</f>
        <v>Actual</v>
      </c>
      <c r="E9" s="11" t="n">
        <f aca="false">G8</f>
        <v>1500000</v>
      </c>
      <c r="F9" s="10" t="n">
        <f aca="false">SUMIFS(Cash_Events!$G$6:$G$20,Cash_Events!$C$6:$C$20,"FHL",Cash_Events!$M$6:$M$20,A9)</f>
        <v>0</v>
      </c>
      <c r="G9" s="11" t="n">
        <f aca="false">E9-F9</f>
        <v>1500000</v>
      </c>
      <c r="H9" s="28" t="n">
        <f aca="false">VLOOKUP(A9-1,Inputs!$F$40:$G$48,2,TRUE())</f>
        <v>0.034199995543672</v>
      </c>
      <c r="I9" s="28" t="n">
        <f aca="false">H9+Inputs!C10</f>
        <v>0.101699995543672</v>
      </c>
      <c r="J9" s="10" t="n">
        <f aca="false">SUMIFS(Daily!$L$6:$L$2400,Daily!$B$6:$B$2400,A9)</f>
        <v>12538.3556149733</v>
      </c>
      <c r="K9" s="10" t="n">
        <f aca="false">SUMIFS(Daily!$M$6:$M$2400,Daily!$B$6:$B$2400,A9)</f>
        <v>0</v>
      </c>
      <c r="L9" s="11" t="n">
        <f aca="false">J9+K9</f>
        <v>12538.3556149733</v>
      </c>
      <c r="M9" s="11" t="n">
        <f aca="false">P8</f>
        <v>21733.1497326203</v>
      </c>
      <c r="N9" s="10" t="n">
        <f aca="false">SUMIFS(Cash_Events!$H$6:$H$20,Cash_Events!$C$6:$C$20,"FHL",Cash_Events!$D$6:$D$20,"JV",Cash_Events!$M$6:$M$20,A9)</f>
        <v>0</v>
      </c>
      <c r="O9" s="10" t="n">
        <f aca="false">SUMIFS(Cash_Events!$H$6:$H$20,Cash_Events!$C$6:$C$20,"FHL",Cash_Events!$D$6:$D$20,"800S",Cash_Events!$M$6:$M$20,A9)</f>
        <v>0</v>
      </c>
      <c r="P9" s="11" t="n">
        <f aca="false">M9+J9-N9-O9</f>
        <v>34271.5053475936</v>
      </c>
      <c r="Q9" s="11" t="n">
        <f aca="false">S8</f>
        <v>0</v>
      </c>
      <c r="R9" s="10" t="n">
        <f aca="false">SUMIFS(Cash_Events!$I$6:$I$20,Cash_Events!$C$6:$C$20,"FHL",Cash_Events!$M$6:$M$20,A9)</f>
        <v>0</v>
      </c>
      <c r="S9" s="11" t="n">
        <f aca="false">Q9+K9-R9</f>
        <v>0</v>
      </c>
      <c r="T9" s="13" t="n">
        <f aca="false">P9+S9</f>
        <v>34271.5053475936</v>
      </c>
      <c r="U9" s="13" t="n">
        <f aca="false">G9+T9</f>
        <v>1534271.50534759</v>
      </c>
      <c r="V9" s="11" t="n">
        <f aca="false">V8+L9</f>
        <v>34271.5053475936</v>
      </c>
      <c r="W9" s="11" t="n">
        <f aca="false">W8+N9+O9+R9</f>
        <v>0</v>
      </c>
      <c r="X9" s="11" t="n">
        <f aca="false">ROUND(V9-W9-T9,2)</f>
        <v>0</v>
      </c>
      <c r="Y9" s="2"/>
    </row>
    <row r="10" customFormat="false" ht="15" hidden="false" customHeight="false" outlineLevel="0" collapsed="false">
      <c r="A10" s="32" t="n">
        <f aca="false">EOMONTH(A9,1)</f>
        <v>44926</v>
      </c>
      <c r="B10" s="32" t="n">
        <f aca="false">A9</f>
        <v>44895</v>
      </c>
      <c r="C10" s="39" t="n">
        <f aca="false">A10-B10</f>
        <v>31</v>
      </c>
      <c r="D10" s="9" t="str">
        <f aca="false">IF(A10&lt;=EOMONTH(Inputs!$B$18,-1),"Actual","Projection")</f>
        <v>Actual</v>
      </c>
      <c r="E10" s="11" t="n">
        <f aca="false">G9</f>
        <v>1500000</v>
      </c>
      <c r="F10" s="10" t="n">
        <f aca="false">SUMIFS(Cash_Events!$G$6:$G$20,Cash_Events!$C$6:$C$20,"FHL",Cash_Events!$M$6:$M$20,A10)</f>
        <v>0</v>
      </c>
      <c r="G10" s="11" t="n">
        <f aca="false">E10-F10</f>
        <v>1500000</v>
      </c>
      <c r="H10" s="28" t="n">
        <f aca="false">VLOOKUP(A10-1,Inputs!$F$40:$G$48,2,TRUE())</f>
        <v>0.034199995543672</v>
      </c>
      <c r="I10" s="28" t="n">
        <f aca="false">H10+Inputs!C10</f>
        <v>0.101699995543672</v>
      </c>
      <c r="J10" s="10" t="n">
        <f aca="false">SUMIFS(Daily!$L$6:$L$2400,Daily!$B$6:$B$2400,A10)</f>
        <v>12956.300802139</v>
      </c>
      <c r="K10" s="10" t="n">
        <f aca="false">SUMIFS(Daily!$M$6:$M$2400,Daily!$B$6:$B$2400,A10)</f>
        <v>0</v>
      </c>
      <c r="L10" s="11" t="n">
        <f aca="false">J10+K10</f>
        <v>12956.300802139</v>
      </c>
      <c r="M10" s="11" t="n">
        <f aca="false">P9</f>
        <v>34271.5053475936</v>
      </c>
      <c r="N10" s="10" t="n">
        <f aca="false">SUMIFS(Cash_Events!$H$6:$H$20,Cash_Events!$C$6:$C$20,"FHL",Cash_Events!$D$6:$D$20,"JV",Cash_Events!$M$6:$M$20,A10)</f>
        <v>0</v>
      </c>
      <c r="O10" s="10" t="n">
        <f aca="false">SUMIFS(Cash_Events!$H$6:$H$20,Cash_Events!$C$6:$C$20,"FHL",Cash_Events!$D$6:$D$20,"800S",Cash_Events!$M$6:$M$20,A10)</f>
        <v>0</v>
      </c>
      <c r="P10" s="11" t="n">
        <f aca="false">M10+J10-N10-O10</f>
        <v>47227.8061497326</v>
      </c>
      <c r="Q10" s="11" t="n">
        <f aca="false">S9</f>
        <v>0</v>
      </c>
      <c r="R10" s="10" t="n">
        <f aca="false">SUMIFS(Cash_Events!$I$6:$I$20,Cash_Events!$C$6:$C$20,"FHL",Cash_Events!$M$6:$M$20,A10)</f>
        <v>0</v>
      </c>
      <c r="S10" s="11" t="n">
        <f aca="false">Q10+K10-R10</f>
        <v>0</v>
      </c>
      <c r="T10" s="13" t="n">
        <f aca="false">P10+S10</f>
        <v>47227.8061497326</v>
      </c>
      <c r="U10" s="13" t="n">
        <f aca="false">G10+T10</f>
        <v>1547227.80614973</v>
      </c>
      <c r="V10" s="11" t="n">
        <f aca="false">V9+L10</f>
        <v>47227.8061497326</v>
      </c>
      <c r="W10" s="11" t="n">
        <f aca="false">W9+N10+O10+R10</f>
        <v>0</v>
      </c>
      <c r="X10" s="11" t="n">
        <f aca="false">ROUND(V10-W10-T10,2)</f>
        <v>0</v>
      </c>
      <c r="Y10" s="2"/>
    </row>
    <row r="11" customFormat="false" ht="15" hidden="false" customHeight="false" outlineLevel="0" collapsed="false">
      <c r="A11" s="32" t="n">
        <f aca="false">EOMONTH(A10,1)</f>
        <v>44957</v>
      </c>
      <c r="B11" s="32" t="n">
        <f aca="false">A10</f>
        <v>44926</v>
      </c>
      <c r="C11" s="39" t="n">
        <f aca="false">A11-B11</f>
        <v>31</v>
      </c>
      <c r="D11" s="9" t="str">
        <f aca="false">IF(A11&lt;=EOMONTH(Inputs!$B$18,-1),"Actual","Projection")</f>
        <v>Actual</v>
      </c>
      <c r="E11" s="11" t="n">
        <f aca="false">G10</f>
        <v>1500000</v>
      </c>
      <c r="F11" s="10" t="n">
        <f aca="false">SUMIFS(Cash_Events!$G$6:$G$20,Cash_Events!$C$6:$C$20,"FHL",Cash_Events!$M$6:$M$20,A11)</f>
        <v>0</v>
      </c>
      <c r="G11" s="11" t="n">
        <f aca="false">E11-F11</f>
        <v>1500000</v>
      </c>
      <c r="H11" s="28" t="n">
        <f aca="false">VLOOKUP(A11-1,Inputs!$F$40:$G$48,2,TRUE())</f>
        <v>0.034199995543672</v>
      </c>
      <c r="I11" s="28" t="n">
        <f aca="false">H11+Inputs!C10</f>
        <v>0.101699995543672</v>
      </c>
      <c r="J11" s="10" t="n">
        <f aca="false">SUMIFS(Daily!$L$6:$L$2400,Daily!$B$6:$B$2400,A11)</f>
        <v>12956.300802139</v>
      </c>
      <c r="K11" s="10" t="n">
        <f aca="false">SUMIFS(Daily!$M$6:$M$2400,Daily!$B$6:$B$2400,A11)</f>
        <v>0</v>
      </c>
      <c r="L11" s="11" t="n">
        <f aca="false">J11+K11</f>
        <v>12956.300802139</v>
      </c>
      <c r="M11" s="11" t="n">
        <f aca="false">P10</f>
        <v>47227.8061497326</v>
      </c>
      <c r="N11" s="10" t="n">
        <f aca="false">SUMIFS(Cash_Events!$H$6:$H$20,Cash_Events!$C$6:$C$20,"FHL",Cash_Events!$D$6:$D$20,"JV",Cash_Events!$M$6:$M$20,A11)</f>
        <v>0</v>
      </c>
      <c r="O11" s="10" t="n">
        <f aca="false">SUMIFS(Cash_Events!$H$6:$H$20,Cash_Events!$C$6:$C$20,"FHL",Cash_Events!$D$6:$D$20,"800S",Cash_Events!$M$6:$M$20,A11)</f>
        <v>0</v>
      </c>
      <c r="P11" s="11" t="n">
        <f aca="false">M11+J11-N11-O11</f>
        <v>60184.1069518717</v>
      </c>
      <c r="Q11" s="11" t="n">
        <f aca="false">S10</f>
        <v>0</v>
      </c>
      <c r="R11" s="10" t="n">
        <f aca="false">SUMIFS(Cash_Events!$I$6:$I$20,Cash_Events!$C$6:$C$20,"FHL",Cash_Events!$M$6:$M$20,A11)</f>
        <v>0</v>
      </c>
      <c r="S11" s="11" t="n">
        <f aca="false">Q11+K11-R11</f>
        <v>0</v>
      </c>
      <c r="T11" s="13" t="n">
        <f aca="false">P11+S11</f>
        <v>60184.1069518717</v>
      </c>
      <c r="U11" s="13" t="n">
        <f aca="false">G11+T11</f>
        <v>1560184.10695187</v>
      </c>
      <c r="V11" s="11" t="n">
        <f aca="false">V10+L11</f>
        <v>60184.1069518717</v>
      </c>
      <c r="W11" s="11" t="n">
        <f aca="false">W10+N11+O11+R11</f>
        <v>0</v>
      </c>
      <c r="X11" s="11" t="n">
        <f aca="false">ROUND(V11-W11-T11,2)</f>
        <v>0</v>
      </c>
      <c r="Y11" s="2"/>
    </row>
    <row r="12" customFormat="false" ht="15" hidden="false" customHeight="false" outlineLevel="0" collapsed="false">
      <c r="A12" s="32" t="n">
        <f aca="false">EOMONTH(A11,1)</f>
        <v>44985</v>
      </c>
      <c r="B12" s="32" t="n">
        <f aca="false">A11</f>
        <v>44957</v>
      </c>
      <c r="C12" s="39" t="n">
        <f aca="false">A12-B12</f>
        <v>28</v>
      </c>
      <c r="D12" s="9" t="str">
        <f aca="false">IF(A12&lt;=EOMONTH(Inputs!$B$18,-1),"Actual","Projection")</f>
        <v>Actual</v>
      </c>
      <c r="E12" s="11" t="n">
        <f aca="false">G11</f>
        <v>1500000</v>
      </c>
      <c r="F12" s="10" t="n">
        <f aca="false">SUMIFS(Cash_Events!$G$6:$G$20,Cash_Events!$C$6:$C$20,"FHL",Cash_Events!$M$6:$M$20,A12)</f>
        <v>0</v>
      </c>
      <c r="G12" s="11" t="n">
        <f aca="false">E12-F12</f>
        <v>1500000</v>
      </c>
      <c r="H12" s="28" t="n">
        <f aca="false">VLOOKUP(A12-1,Inputs!$F$40:$G$48,2,TRUE())</f>
        <v>0.034199995543672</v>
      </c>
      <c r="I12" s="28" t="n">
        <f aca="false">H12+Inputs!C10</f>
        <v>0.101699995543672</v>
      </c>
      <c r="J12" s="10" t="n">
        <f aca="false">SUMIFS(Daily!$L$6:$L$2400,Daily!$B$6:$B$2400,A12)</f>
        <v>11702.4652406417</v>
      </c>
      <c r="K12" s="10" t="n">
        <f aca="false">SUMIFS(Daily!$M$6:$M$2400,Daily!$B$6:$B$2400,A12)</f>
        <v>0</v>
      </c>
      <c r="L12" s="11" t="n">
        <f aca="false">J12+K12</f>
        <v>11702.4652406417</v>
      </c>
      <c r="M12" s="11" t="n">
        <f aca="false">P11</f>
        <v>60184.1069518717</v>
      </c>
      <c r="N12" s="10" t="n">
        <f aca="false">SUMIFS(Cash_Events!$H$6:$H$20,Cash_Events!$C$6:$C$20,"FHL",Cash_Events!$D$6:$D$20,"JV",Cash_Events!$M$6:$M$20,A12)</f>
        <v>0</v>
      </c>
      <c r="O12" s="10" t="n">
        <f aca="false">SUMIFS(Cash_Events!$H$6:$H$20,Cash_Events!$C$6:$C$20,"FHL",Cash_Events!$D$6:$D$20,"800S",Cash_Events!$M$6:$M$20,A12)</f>
        <v>0</v>
      </c>
      <c r="P12" s="11" t="n">
        <f aca="false">M12+J12-N12-O12</f>
        <v>71886.5721925134</v>
      </c>
      <c r="Q12" s="11" t="n">
        <f aca="false">S11</f>
        <v>0</v>
      </c>
      <c r="R12" s="10" t="n">
        <f aca="false">SUMIFS(Cash_Events!$I$6:$I$20,Cash_Events!$C$6:$C$20,"FHL",Cash_Events!$M$6:$M$20,A12)</f>
        <v>0</v>
      </c>
      <c r="S12" s="11" t="n">
        <f aca="false">Q12+K12-R12</f>
        <v>0</v>
      </c>
      <c r="T12" s="13" t="n">
        <f aca="false">P12+S12</f>
        <v>71886.5721925134</v>
      </c>
      <c r="U12" s="13" t="n">
        <f aca="false">G12+T12</f>
        <v>1571886.57219251</v>
      </c>
      <c r="V12" s="11" t="n">
        <f aca="false">V11+L12</f>
        <v>71886.5721925134</v>
      </c>
      <c r="W12" s="11" t="n">
        <f aca="false">W11+N12+O12+R12</f>
        <v>0</v>
      </c>
      <c r="X12" s="11" t="n">
        <f aca="false">ROUND(V12-W12-T12,2)</f>
        <v>0</v>
      </c>
      <c r="Y12" s="2"/>
    </row>
    <row r="13" customFormat="false" ht="15" hidden="false" customHeight="false" outlineLevel="0" collapsed="false">
      <c r="A13" s="32" t="n">
        <f aca="false">EOMONTH(A12,1)</f>
        <v>45016</v>
      </c>
      <c r="B13" s="32" t="n">
        <f aca="false">A12</f>
        <v>44985</v>
      </c>
      <c r="C13" s="39" t="n">
        <f aca="false">A13-B13</f>
        <v>31</v>
      </c>
      <c r="D13" s="9" t="str">
        <f aca="false">IF(A13&lt;=EOMONTH(Inputs!$B$18,-1),"Actual","Projection")</f>
        <v>Actual</v>
      </c>
      <c r="E13" s="11" t="n">
        <f aca="false">G12</f>
        <v>1500000</v>
      </c>
      <c r="F13" s="10" t="n">
        <f aca="false">SUMIFS(Cash_Events!$G$6:$G$20,Cash_Events!$C$6:$C$20,"FHL",Cash_Events!$M$6:$M$20,A13)</f>
        <v>0</v>
      </c>
      <c r="G13" s="11" t="n">
        <f aca="false">E13-F13</f>
        <v>1500000</v>
      </c>
      <c r="H13" s="28" t="n">
        <f aca="false">VLOOKUP(A13-1,Inputs!$F$40:$G$48,2,TRUE())</f>
        <v>0.0522223</v>
      </c>
      <c r="I13" s="28" t="n">
        <f aca="false">H13+Inputs!C10</f>
        <v>0.1197223</v>
      </c>
      <c r="J13" s="10" t="n">
        <f aca="false">SUMIFS(Daily!$L$6:$L$2400,Daily!$B$6:$B$2400,A13)</f>
        <v>14141.3290403633</v>
      </c>
      <c r="K13" s="10" t="n">
        <f aca="false">SUMIFS(Daily!$M$6:$M$2400,Daily!$B$6:$B$2400,A13)</f>
        <v>0</v>
      </c>
      <c r="L13" s="11" t="n">
        <f aca="false">J13+K13</f>
        <v>14141.3290403633</v>
      </c>
      <c r="M13" s="11" t="n">
        <f aca="false">P12</f>
        <v>71886.5721925134</v>
      </c>
      <c r="N13" s="10" t="n">
        <f aca="false">SUMIFS(Cash_Events!$H$6:$H$20,Cash_Events!$C$6:$C$20,"FHL",Cash_Events!$D$6:$D$20,"JV",Cash_Events!$M$6:$M$20,A13)</f>
        <v>78155.75</v>
      </c>
      <c r="O13" s="10" t="n">
        <f aca="false">SUMIFS(Cash_Events!$H$6:$H$20,Cash_Events!$C$6:$C$20,"FHL",Cash_Events!$D$6:$D$20,"800S",Cash_Events!$M$6:$M$20,A13)</f>
        <v>0</v>
      </c>
      <c r="P13" s="11" t="n">
        <f aca="false">M13+J13-N13-O13</f>
        <v>7872.1512328767</v>
      </c>
      <c r="Q13" s="11" t="n">
        <f aca="false">S12</f>
        <v>0</v>
      </c>
      <c r="R13" s="10" t="n">
        <f aca="false">SUMIFS(Cash_Events!$I$6:$I$20,Cash_Events!$C$6:$C$20,"FHL",Cash_Events!$M$6:$M$20,A13)</f>
        <v>0</v>
      </c>
      <c r="S13" s="11" t="n">
        <f aca="false">Q13+K13-R13</f>
        <v>0</v>
      </c>
      <c r="T13" s="13" t="n">
        <f aca="false">P13+S13</f>
        <v>7872.1512328767</v>
      </c>
      <c r="U13" s="13" t="n">
        <f aca="false">G13+T13</f>
        <v>1507872.15123288</v>
      </c>
      <c r="V13" s="11" t="n">
        <f aca="false">V12+L13</f>
        <v>86027.9012328767</v>
      </c>
      <c r="W13" s="11" t="n">
        <f aca="false">W12+N13+O13+R13</f>
        <v>78155.75</v>
      </c>
      <c r="X13" s="11" t="n">
        <f aca="false">ROUND(V13-W13-T13,2)</f>
        <v>0</v>
      </c>
      <c r="Y13" s="2" t="s">
        <v>255</v>
      </c>
    </row>
    <row r="14" customFormat="false" ht="15" hidden="false" customHeight="false" outlineLevel="0" collapsed="false">
      <c r="A14" s="32" t="n">
        <f aca="false">EOMONTH(A13,1)</f>
        <v>45046</v>
      </c>
      <c r="B14" s="32" t="n">
        <f aca="false">A13</f>
        <v>45016</v>
      </c>
      <c r="C14" s="39" t="n">
        <f aca="false">A14-B14</f>
        <v>30</v>
      </c>
      <c r="D14" s="9" t="str">
        <f aca="false">IF(A14&lt;=EOMONTH(Inputs!$B$18,-1),"Actual","Projection")</f>
        <v>Actual</v>
      </c>
      <c r="E14" s="11" t="n">
        <f aca="false">G13</f>
        <v>1500000</v>
      </c>
      <c r="F14" s="10" t="n">
        <f aca="false">SUMIFS(Cash_Events!$G$6:$G$20,Cash_Events!$C$6:$C$20,"FHL",Cash_Events!$M$6:$M$20,A14)</f>
        <v>0</v>
      </c>
      <c r="G14" s="11" t="n">
        <f aca="false">E14-F14</f>
        <v>1500000</v>
      </c>
      <c r="H14" s="28" t="n">
        <f aca="false">VLOOKUP(A14-1,Inputs!$F$40:$G$48,2,TRUE())</f>
        <v>0.0522223</v>
      </c>
      <c r="I14" s="28" t="n">
        <f aca="false">H14+Inputs!C10</f>
        <v>0.1197223</v>
      </c>
      <c r="J14" s="10" t="n">
        <f aca="false">SUMIFS(Daily!$L$6:$L$2400,Daily!$B$6:$B$2400,A14)</f>
        <v>14760.2835616438</v>
      </c>
      <c r="K14" s="10" t="n">
        <f aca="false">SUMIFS(Daily!$M$6:$M$2400,Daily!$B$6:$B$2400,A14)</f>
        <v>0</v>
      </c>
      <c r="L14" s="11" t="n">
        <f aca="false">J14+K14</f>
        <v>14760.2835616438</v>
      </c>
      <c r="M14" s="11" t="n">
        <f aca="false">P13</f>
        <v>7872.1512328767</v>
      </c>
      <c r="N14" s="10" t="n">
        <f aca="false">SUMIFS(Cash_Events!$H$6:$H$20,Cash_Events!$C$6:$C$20,"FHL",Cash_Events!$D$6:$D$20,"JV",Cash_Events!$M$6:$M$20,A14)</f>
        <v>0</v>
      </c>
      <c r="O14" s="10" t="n">
        <f aca="false">SUMIFS(Cash_Events!$H$6:$H$20,Cash_Events!$C$6:$C$20,"FHL",Cash_Events!$D$6:$D$20,"800S",Cash_Events!$M$6:$M$20,A14)</f>
        <v>0</v>
      </c>
      <c r="P14" s="11" t="n">
        <f aca="false">M14+J14-N14-O14</f>
        <v>22632.4347945205</v>
      </c>
      <c r="Q14" s="11" t="n">
        <f aca="false">S13</f>
        <v>0</v>
      </c>
      <c r="R14" s="10" t="n">
        <f aca="false">SUMIFS(Cash_Events!$I$6:$I$20,Cash_Events!$C$6:$C$20,"FHL",Cash_Events!$M$6:$M$20,A14)</f>
        <v>0</v>
      </c>
      <c r="S14" s="11" t="n">
        <f aca="false">Q14+K14-R14</f>
        <v>0</v>
      </c>
      <c r="T14" s="13" t="n">
        <f aca="false">P14+S14</f>
        <v>22632.4347945205</v>
      </c>
      <c r="U14" s="13" t="n">
        <f aca="false">G14+T14</f>
        <v>1522632.43479452</v>
      </c>
      <c r="V14" s="11" t="n">
        <f aca="false">V13+L14</f>
        <v>100788.184794521</v>
      </c>
      <c r="W14" s="11" t="n">
        <f aca="false">W13+N14+O14+R14</f>
        <v>78155.75</v>
      </c>
      <c r="X14" s="11" t="n">
        <f aca="false">ROUND(V14-W14-T14,2)</f>
        <v>0</v>
      </c>
      <c r="Y14" s="2"/>
    </row>
    <row r="15" customFormat="false" ht="15" hidden="false" customHeight="false" outlineLevel="0" collapsed="false">
      <c r="A15" s="32" t="n">
        <f aca="false">EOMONTH(A14,1)</f>
        <v>45077</v>
      </c>
      <c r="B15" s="32" t="n">
        <f aca="false">A14</f>
        <v>45046</v>
      </c>
      <c r="C15" s="39" t="n">
        <f aca="false">A15-B15</f>
        <v>31</v>
      </c>
      <c r="D15" s="9" t="str">
        <f aca="false">IF(A15&lt;=EOMONTH(Inputs!$B$18,-1),"Actual","Projection")</f>
        <v>Actual</v>
      </c>
      <c r="E15" s="11" t="n">
        <f aca="false">G14</f>
        <v>1500000</v>
      </c>
      <c r="F15" s="10" t="n">
        <f aca="false">SUMIFS(Cash_Events!$G$6:$G$20,Cash_Events!$C$6:$C$20,"FHL",Cash_Events!$M$6:$M$20,A15)</f>
        <v>0</v>
      </c>
      <c r="G15" s="11" t="n">
        <f aca="false">E15-F15</f>
        <v>1500000</v>
      </c>
      <c r="H15" s="28" t="n">
        <f aca="false">VLOOKUP(A15-1,Inputs!$F$40:$G$48,2,TRUE())</f>
        <v>0.0522223</v>
      </c>
      <c r="I15" s="28" t="n">
        <f aca="false">H15+Inputs!C10</f>
        <v>0.1197223</v>
      </c>
      <c r="J15" s="10" t="n">
        <f aca="false">SUMIFS(Daily!$L$6:$L$2400,Daily!$B$6:$B$2400,A15)</f>
        <v>15252.2930136986</v>
      </c>
      <c r="K15" s="10" t="n">
        <f aca="false">SUMIFS(Daily!$M$6:$M$2400,Daily!$B$6:$B$2400,A15)</f>
        <v>0</v>
      </c>
      <c r="L15" s="11" t="n">
        <f aca="false">J15+K15</f>
        <v>15252.2930136986</v>
      </c>
      <c r="M15" s="11" t="n">
        <f aca="false">P14</f>
        <v>22632.4347945205</v>
      </c>
      <c r="N15" s="10" t="n">
        <f aca="false">SUMIFS(Cash_Events!$H$6:$H$20,Cash_Events!$C$6:$C$20,"FHL",Cash_Events!$D$6:$D$20,"JV",Cash_Events!$M$6:$M$20,A15)</f>
        <v>0</v>
      </c>
      <c r="O15" s="10" t="n">
        <f aca="false">SUMIFS(Cash_Events!$H$6:$H$20,Cash_Events!$C$6:$C$20,"FHL",Cash_Events!$D$6:$D$20,"800S",Cash_Events!$M$6:$M$20,A15)</f>
        <v>0</v>
      </c>
      <c r="P15" s="11" t="n">
        <f aca="false">M15+J15-N15-O15</f>
        <v>37884.7278082192</v>
      </c>
      <c r="Q15" s="11" t="n">
        <f aca="false">S14</f>
        <v>0</v>
      </c>
      <c r="R15" s="10" t="n">
        <f aca="false">SUMIFS(Cash_Events!$I$6:$I$20,Cash_Events!$C$6:$C$20,"FHL",Cash_Events!$M$6:$M$20,A15)</f>
        <v>0</v>
      </c>
      <c r="S15" s="11" t="n">
        <f aca="false">Q15+K15-R15</f>
        <v>0</v>
      </c>
      <c r="T15" s="13" t="n">
        <f aca="false">P15+S15</f>
        <v>37884.7278082192</v>
      </c>
      <c r="U15" s="13" t="n">
        <f aca="false">G15+T15</f>
        <v>1537884.72780822</v>
      </c>
      <c r="V15" s="11" t="n">
        <f aca="false">V14+L15</f>
        <v>116040.477808219</v>
      </c>
      <c r="W15" s="11" t="n">
        <f aca="false">W14+N15+O15+R15</f>
        <v>78155.75</v>
      </c>
      <c r="X15" s="11" t="n">
        <f aca="false">ROUND(V15-W15-T15,2)</f>
        <v>0</v>
      </c>
      <c r="Y15" s="2"/>
    </row>
    <row r="16" customFormat="false" ht="15" hidden="false" customHeight="false" outlineLevel="0" collapsed="false">
      <c r="A16" s="32" t="n">
        <f aca="false">EOMONTH(A15,1)</f>
        <v>45107</v>
      </c>
      <c r="B16" s="32" t="n">
        <f aca="false">A15</f>
        <v>45077</v>
      </c>
      <c r="C16" s="39" t="n">
        <f aca="false">A16-B16</f>
        <v>30</v>
      </c>
      <c r="D16" s="9" t="str">
        <f aca="false">IF(A16&lt;=EOMONTH(Inputs!$B$18,-1),"Actual","Projection")</f>
        <v>Actual</v>
      </c>
      <c r="E16" s="11" t="n">
        <f aca="false">G15</f>
        <v>1500000</v>
      </c>
      <c r="F16" s="10" t="n">
        <f aca="false">SUMIFS(Cash_Events!$G$6:$G$20,Cash_Events!$C$6:$C$20,"FHL",Cash_Events!$M$6:$M$20,A16)</f>
        <v>0</v>
      </c>
      <c r="G16" s="11" t="n">
        <f aca="false">E16-F16</f>
        <v>1500000</v>
      </c>
      <c r="H16" s="28" t="n">
        <f aca="false">VLOOKUP(A16-1,Inputs!$F$40:$G$48,2,TRUE())</f>
        <v>0.0522223</v>
      </c>
      <c r="I16" s="28" t="n">
        <f aca="false">H16+Inputs!C10</f>
        <v>0.1197223</v>
      </c>
      <c r="J16" s="10" t="n">
        <f aca="false">SUMIFS(Daily!$L$6:$L$2400,Daily!$B$6:$B$2400,A16)</f>
        <v>14760.2835616438</v>
      </c>
      <c r="K16" s="10" t="n">
        <f aca="false">SUMIFS(Daily!$M$6:$M$2400,Daily!$B$6:$B$2400,A16)</f>
        <v>0</v>
      </c>
      <c r="L16" s="11" t="n">
        <f aca="false">J16+K16</f>
        <v>14760.2835616438</v>
      </c>
      <c r="M16" s="11" t="n">
        <f aca="false">P15</f>
        <v>37884.7278082192</v>
      </c>
      <c r="N16" s="10" t="n">
        <f aca="false">SUMIFS(Cash_Events!$H$6:$H$20,Cash_Events!$C$6:$C$20,"FHL",Cash_Events!$D$6:$D$20,"JV",Cash_Events!$M$6:$M$20,A16)</f>
        <v>0</v>
      </c>
      <c r="O16" s="10" t="n">
        <f aca="false">SUMIFS(Cash_Events!$H$6:$H$20,Cash_Events!$C$6:$C$20,"FHL",Cash_Events!$D$6:$D$20,"800S",Cash_Events!$M$6:$M$20,A16)</f>
        <v>0</v>
      </c>
      <c r="P16" s="11" t="n">
        <f aca="false">M16+J16-N16-O16</f>
        <v>52645.011369863</v>
      </c>
      <c r="Q16" s="11" t="n">
        <f aca="false">S15</f>
        <v>0</v>
      </c>
      <c r="R16" s="10" t="n">
        <f aca="false">SUMIFS(Cash_Events!$I$6:$I$20,Cash_Events!$C$6:$C$20,"FHL",Cash_Events!$M$6:$M$20,A16)</f>
        <v>0</v>
      </c>
      <c r="S16" s="11" t="n">
        <f aca="false">Q16+K16-R16</f>
        <v>0</v>
      </c>
      <c r="T16" s="13" t="n">
        <f aca="false">P16+S16</f>
        <v>52645.011369863</v>
      </c>
      <c r="U16" s="13" t="n">
        <f aca="false">G16+T16</f>
        <v>1552645.01136986</v>
      </c>
      <c r="V16" s="11" t="n">
        <f aca="false">V15+L16</f>
        <v>130800.761369863</v>
      </c>
      <c r="W16" s="11" t="n">
        <f aca="false">W15+N16+O16+R16</f>
        <v>78155.75</v>
      </c>
      <c r="X16" s="11" t="n">
        <f aca="false">ROUND(V16-W16-T16,2)</f>
        <v>0</v>
      </c>
      <c r="Y16" s="2"/>
    </row>
    <row r="17" customFormat="false" ht="15" hidden="false" customHeight="false" outlineLevel="0" collapsed="false">
      <c r="A17" s="32" t="n">
        <f aca="false">EOMONTH(A16,1)</f>
        <v>45138</v>
      </c>
      <c r="B17" s="32" t="n">
        <f aca="false">A16</f>
        <v>45107</v>
      </c>
      <c r="C17" s="39" t="n">
        <f aca="false">A17-B17</f>
        <v>31</v>
      </c>
      <c r="D17" s="9" t="str">
        <f aca="false">IF(A17&lt;=EOMONTH(Inputs!$B$18,-1),"Actual","Projection")</f>
        <v>Actual</v>
      </c>
      <c r="E17" s="11" t="n">
        <f aca="false">G16</f>
        <v>1500000</v>
      </c>
      <c r="F17" s="10" t="n">
        <f aca="false">SUMIFS(Cash_Events!$G$6:$G$20,Cash_Events!$C$6:$C$20,"FHL",Cash_Events!$M$6:$M$20,A17)</f>
        <v>0</v>
      </c>
      <c r="G17" s="11" t="n">
        <f aca="false">E17-F17</f>
        <v>1500000</v>
      </c>
      <c r="H17" s="28" t="n">
        <f aca="false">VLOOKUP(A17-1,Inputs!$F$40:$G$48,2,TRUE())</f>
        <v>0.0522223</v>
      </c>
      <c r="I17" s="28" t="n">
        <f aca="false">H17+Inputs!C10</f>
        <v>0.1197223</v>
      </c>
      <c r="J17" s="10" t="n">
        <f aca="false">SUMIFS(Daily!$L$6:$L$2400,Daily!$B$6:$B$2400,A17)</f>
        <v>15252.2930136986</v>
      </c>
      <c r="K17" s="10" t="n">
        <f aca="false">SUMIFS(Daily!$M$6:$M$2400,Daily!$B$6:$B$2400,A17)</f>
        <v>0</v>
      </c>
      <c r="L17" s="11" t="n">
        <f aca="false">J17+K17</f>
        <v>15252.2930136986</v>
      </c>
      <c r="M17" s="11" t="n">
        <f aca="false">P16</f>
        <v>52645.011369863</v>
      </c>
      <c r="N17" s="10" t="n">
        <f aca="false">SUMIFS(Cash_Events!$H$6:$H$20,Cash_Events!$C$6:$C$20,"FHL",Cash_Events!$D$6:$D$20,"JV",Cash_Events!$M$6:$M$20,A17)</f>
        <v>0</v>
      </c>
      <c r="O17" s="10" t="n">
        <f aca="false">SUMIFS(Cash_Events!$H$6:$H$20,Cash_Events!$C$6:$C$20,"FHL",Cash_Events!$D$6:$D$20,"800S",Cash_Events!$M$6:$M$20,A17)</f>
        <v>0</v>
      </c>
      <c r="P17" s="11" t="n">
        <f aca="false">M17+J17-N17-O17</f>
        <v>67897.3043835616</v>
      </c>
      <c r="Q17" s="11" t="n">
        <f aca="false">S16</f>
        <v>0</v>
      </c>
      <c r="R17" s="10" t="n">
        <f aca="false">SUMIFS(Cash_Events!$I$6:$I$20,Cash_Events!$C$6:$C$20,"FHL",Cash_Events!$M$6:$M$20,A17)</f>
        <v>0</v>
      </c>
      <c r="S17" s="11" t="n">
        <f aca="false">Q17+K17-R17</f>
        <v>0</v>
      </c>
      <c r="T17" s="13" t="n">
        <f aca="false">P17+S17</f>
        <v>67897.3043835616</v>
      </c>
      <c r="U17" s="13" t="n">
        <f aca="false">G17+T17</f>
        <v>1567897.30438356</v>
      </c>
      <c r="V17" s="11" t="n">
        <f aca="false">V16+L17</f>
        <v>146053.054383562</v>
      </c>
      <c r="W17" s="11" t="n">
        <f aca="false">W16+N17+O17+R17</f>
        <v>78155.75</v>
      </c>
      <c r="X17" s="11" t="n">
        <f aca="false">ROUND(V17-W17-T17,2)</f>
        <v>0</v>
      </c>
      <c r="Y17" s="2"/>
    </row>
    <row r="18" customFormat="false" ht="15" hidden="false" customHeight="false" outlineLevel="0" collapsed="false">
      <c r="A18" s="32" t="n">
        <f aca="false">EOMONTH(A17,1)</f>
        <v>45169</v>
      </c>
      <c r="B18" s="32" t="n">
        <f aca="false">A17</f>
        <v>45138</v>
      </c>
      <c r="C18" s="39" t="n">
        <f aca="false">A18-B18</f>
        <v>31</v>
      </c>
      <c r="D18" s="9" t="str">
        <f aca="false">IF(A18&lt;=EOMONTH(Inputs!$B$18,-1),"Actual","Projection")</f>
        <v>Actual</v>
      </c>
      <c r="E18" s="11" t="n">
        <f aca="false">G17</f>
        <v>1500000</v>
      </c>
      <c r="F18" s="10" t="n">
        <f aca="false">SUMIFS(Cash_Events!$G$6:$G$20,Cash_Events!$C$6:$C$20,"FHL",Cash_Events!$M$6:$M$20,A18)</f>
        <v>0</v>
      </c>
      <c r="G18" s="11" t="n">
        <f aca="false">E18-F18</f>
        <v>1500000</v>
      </c>
      <c r="H18" s="28" t="n">
        <f aca="false">VLOOKUP(A18-1,Inputs!$F$40:$G$48,2,TRUE())</f>
        <v>0.0522223</v>
      </c>
      <c r="I18" s="28" t="n">
        <f aca="false">H18+Inputs!C10</f>
        <v>0.1197223</v>
      </c>
      <c r="J18" s="10" t="n">
        <f aca="false">SUMIFS(Daily!$L$6:$L$2400,Daily!$B$6:$B$2400,A18)</f>
        <v>15252.2930136986</v>
      </c>
      <c r="K18" s="10" t="n">
        <f aca="false">SUMIFS(Daily!$M$6:$M$2400,Daily!$B$6:$B$2400,A18)</f>
        <v>0</v>
      </c>
      <c r="L18" s="11" t="n">
        <f aca="false">J18+K18</f>
        <v>15252.2930136986</v>
      </c>
      <c r="M18" s="11" t="n">
        <f aca="false">P17</f>
        <v>67897.3043835616</v>
      </c>
      <c r="N18" s="10" t="n">
        <f aca="false">SUMIFS(Cash_Events!$H$6:$H$20,Cash_Events!$C$6:$C$20,"FHL",Cash_Events!$D$6:$D$20,"JV",Cash_Events!$M$6:$M$20,A18)</f>
        <v>0</v>
      </c>
      <c r="O18" s="10" t="n">
        <f aca="false">SUMIFS(Cash_Events!$H$6:$H$20,Cash_Events!$C$6:$C$20,"FHL",Cash_Events!$D$6:$D$20,"800S",Cash_Events!$M$6:$M$20,A18)</f>
        <v>0</v>
      </c>
      <c r="P18" s="11" t="n">
        <f aca="false">M18+J18-N18-O18</f>
        <v>83149.5973972603</v>
      </c>
      <c r="Q18" s="11" t="n">
        <f aca="false">S17</f>
        <v>0</v>
      </c>
      <c r="R18" s="10" t="n">
        <f aca="false">SUMIFS(Cash_Events!$I$6:$I$20,Cash_Events!$C$6:$C$20,"FHL",Cash_Events!$M$6:$M$20,A18)</f>
        <v>0</v>
      </c>
      <c r="S18" s="11" t="n">
        <f aca="false">Q18+K18-R18</f>
        <v>0</v>
      </c>
      <c r="T18" s="13" t="n">
        <f aca="false">P18+S18</f>
        <v>83149.5973972603</v>
      </c>
      <c r="U18" s="13" t="n">
        <f aca="false">G18+T18</f>
        <v>1583149.59739726</v>
      </c>
      <c r="V18" s="11" t="n">
        <f aca="false">V17+L18</f>
        <v>161305.34739726</v>
      </c>
      <c r="W18" s="11" t="n">
        <f aca="false">W17+N18+O18+R18</f>
        <v>78155.75</v>
      </c>
      <c r="X18" s="11" t="n">
        <f aca="false">ROUND(V18-W18-T18,2)</f>
        <v>0</v>
      </c>
      <c r="Y18" s="2"/>
    </row>
    <row r="19" customFormat="false" ht="15" hidden="false" customHeight="false" outlineLevel="0" collapsed="false">
      <c r="A19" s="32" t="n">
        <f aca="false">EOMONTH(A18,1)</f>
        <v>45199</v>
      </c>
      <c r="B19" s="32" t="n">
        <f aca="false">A18</f>
        <v>45169</v>
      </c>
      <c r="C19" s="39" t="n">
        <f aca="false">A19-B19</f>
        <v>30</v>
      </c>
      <c r="D19" s="9" t="str">
        <f aca="false">IF(A19&lt;=EOMONTH(Inputs!$B$18,-1),"Actual","Projection")</f>
        <v>Actual</v>
      </c>
      <c r="E19" s="11" t="n">
        <f aca="false">G18</f>
        <v>1500000</v>
      </c>
      <c r="F19" s="10" t="n">
        <f aca="false">SUMIFS(Cash_Events!$G$6:$G$20,Cash_Events!$C$6:$C$20,"FHL",Cash_Events!$M$6:$M$20,A19)</f>
        <v>0</v>
      </c>
      <c r="G19" s="11" t="n">
        <f aca="false">E19-F19</f>
        <v>1500000</v>
      </c>
      <c r="H19" s="28" t="n">
        <f aca="false">VLOOKUP(A19-1,Inputs!$F$40:$G$48,2,TRUE())</f>
        <v>0.054735</v>
      </c>
      <c r="I19" s="28" t="n">
        <f aca="false">H19+Inputs!C10</f>
        <v>0.122235</v>
      </c>
      <c r="J19" s="10" t="n">
        <f aca="false">SUMIFS(Daily!$L$6:$L$2400,Daily!$B$6:$B$2400,A19)</f>
        <v>14915.1760273973</v>
      </c>
      <c r="K19" s="10" t="n">
        <f aca="false">SUMIFS(Daily!$M$6:$M$2400,Daily!$B$6:$B$2400,A19)</f>
        <v>1232.87671232877</v>
      </c>
      <c r="L19" s="11" t="n">
        <f aca="false">J19+K19</f>
        <v>16148.052739726</v>
      </c>
      <c r="M19" s="11" t="n">
        <f aca="false">P18</f>
        <v>83149.5973972603</v>
      </c>
      <c r="N19" s="10" t="n">
        <f aca="false">SUMIFS(Cash_Events!$H$6:$H$20,Cash_Events!$C$6:$C$20,"FHL",Cash_Events!$D$6:$D$20,"JV",Cash_Events!$M$6:$M$20,A19)</f>
        <v>0</v>
      </c>
      <c r="O19" s="10" t="n">
        <f aca="false">SUMIFS(Cash_Events!$H$6:$H$20,Cash_Events!$C$6:$C$20,"FHL",Cash_Events!$D$6:$D$20,"800S",Cash_Events!$M$6:$M$20,A19)</f>
        <v>0</v>
      </c>
      <c r="P19" s="11" t="n">
        <f aca="false">M19+J19-N19-O19</f>
        <v>98064.7734246575</v>
      </c>
      <c r="Q19" s="11" t="n">
        <f aca="false">S18</f>
        <v>0</v>
      </c>
      <c r="R19" s="10" t="n">
        <f aca="false">SUMIFS(Cash_Events!$I$6:$I$20,Cash_Events!$C$6:$C$20,"FHL",Cash_Events!$M$6:$M$20,A19)</f>
        <v>0</v>
      </c>
      <c r="S19" s="11" t="n">
        <f aca="false">Q19+K19-R19</f>
        <v>1232.87671232877</v>
      </c>
      <c r="T19" s="13" t="n">
        <f aca="false">P19+S19</f>
        <v>99297.6501369863</v>
      </c>
      <c r="U19" s="13" t="n">
        <f aca="false">G19+T19</f>
        <v>1599297.65013699</v>
      </c>
      <c r="V19" s="11" t="n">
        <f aca="false">V18+L19</f>
        <v>177453.400136986</v>
      </c>
      <c r="W19" s="11" t="n">
        <f aca="false">W18+N19+O19+R19</f>
        <v>78155.75</v>
      </c>
      <c r="X19" s="11" t="n">
        <f aca="false">ROUND(V19-W19-T19,2)</f>
        <v>0</v>
      </c>
      <c r="Y19" s="2" t="s">
        <v>256</v>
      </c>
    </row>
    <row r="20" customFormat="false" ht="15" hidden="false" customHeight="false" outlineLevel="0" collapsed="false">
      <c r="A20" s="32" t="n">
        <f aca="false">EOMONTH(A19,1)</f>
        <v>45230</v>
      </c>
      <c r="B20" s="32" t="n">
        <f aca="false">A19</f>
        <v>45199</v>
      </c>
      <c r="C20" s="39" t="n">
        <f aca="false">A20-B20</f>
        <v>31</v>
      </c>
      <c r="D20" s="9" t="str">
        <f aca="false">IF(A20&lt;=EOMONTH(Inputs!$B$18,-1),"Actual","Projection")</f>
        <v>Actual</v>
      </c>
      <c r="E20" s="11" t="n">
        <f aca="false">G19</f>
        <v>1500000</v>
      </c>
      <c r="F20" s="10" t="n">
        <f aca="false">SUMIFS(Cash_Events!$G$6:$G$20,Cash_Events!$C$6:$C$20,"FHL",Cash_Events!$M$6:$M$20,A20)</f>
        <v>0</v>
      </c>
      <c r="G20" s="11" t="n">
        <f aca="false">E20-F20</f>
        <v>1500000</v>
      </c>
      <c r="H20" s="28" t="n">
        <f aca="false">VLOOKUP(A20-1,Inputs!$F$40:$G$48,2,TRUE())</f>
        <v>0.054735</v>
      </c>
      <c r="I20" s="28" t="n">
        <f aca="false">H20+Inputs!C10</f>
        <v>0.122235</v>
      </c>
      <c r="J20" s="10" t="n">
        <f aca="false">SUMIFS(Daily!$L$6:$L$2400,Daily!$B$6:$B$2400,A20)</f>
        <v>15572.404109589</v>
      </c>
      <c r="K20" s="10" t="n">
        <f aca="false">SUMIFS(Daily!$M$6:$M$2400,Daily!$B$6:$B$2400,A20)</f>
        <v>2547.94520547945</v>
      </c>
      <c r="L20" s="11" t="n">
        <f aca="false">J20+K20</f>
        <v>18120.3493150685</v>
      </c>
      <c r="M20" s="11" t="n">
        <f aca="false">P19</f>
        <v>98064.7734246575</v>
      </c>
      <c r="N20" s="10" t="n">
        <f aca="false">SUMIFS(Cash_Events!$H$6:$H$20,Cash_Events!$C$6:$C$20,"FHL",Cash_Events!$D$6:$D$20,"JV",Cash_Events!$M$6:$M$20,A20)</f>
        <v>0</v>
      </c>
      <c r="O20" s="10" t="n">
        <f aca="false">SUMIFS(Cash_Events!$H$6:$H$20,Cash_Events!$C$6:$C$20,"FHL",Cash_Events!$D$6:$D$20,"800S",Cash_Events!$M$6:$M$20,A20)</f>
        <v>0</v>
      </c>
      <c r="P20" s="11" t="n">
        <f aca="false">M20+J20-N20-O20</f>
        <v>113637.177534247</v>
      </c>
      <c r="Q20" s="11" t="n">
        <f aca="false">S19</f>
        <v>1232.87671232877</v>
      </c>
      <c r="R20" s="10" t="n">
        <f aca="false">SUMIFS(Cash_Events!$I$6:$I$20,Cash_Events!$C$6:$C$20,"FHL",Cash_Events!$M$6:$M$20,A20)</f>
        <v>0</v>
      </c>
      <c r="S20" s="11" t="n">
        <f aca="false">Q20+K20-R20</f>
        <v>3780.82191780822</v>
      </c>
      <c r="T20" s="13" t="n">
        <f aca="false">P20+S20</f>
        <v>117417.999452055</v>
      </c>
      <c r="U20" s="13" t="n">
        <f aca="false">G20+T20</f>
        <v>1617417.99945205</v>
      </c>
      <c r="V20" s="11" t="n">
        <f aca="false">V19+L20</f>
        <v>195573.749452055</v>
      </c>
      <c r="W20" s="11" t="n">
        <f aca="false">W19+N20+O20+R20</f>
        <v>78155.75</v>
      </c>
      <c r="X20" s="11" t="n">
        <f aca="false">ROUND(V20-W20-T20,2)</f>
        <v>0</v>
      </c>
      <c r="Y20" s="2"/>
    </row>
    <row r="21" customFormat="false" ht="15" hidden="false" customHeight="false" outlineLevel="0" collapsed="false">
      <c r="A21" s="32" t="n">
        <f aca="false">EOMONTH(A20,1)</f>
        <v>45260</v>
      </c>
      <c r="B21" s="32" t="n">
        <f aca="false">A20</f>
        <v>45230</v>
      </c>
      <c r="C21" s="39" t="n">
        <f aca="false">A21-B21</f>
        <v>30</v>
      </c>
      <c r="D21" s="9" t="str">
        <f aca="false">IF(A21&lt;=EOMONTH(Inputs!$B$18,-1),"Actual","Projection")</f>
        <v>Actual</v>
      </c>
      <c r="E21" s="11" t="n">
        <f aca="false">G20</f>
        <v>1500000</v>
      </c>
      <c r="F21" s="10" t="n">
        <f aca="false">SUMIFS(Cash_Events!$G$6:$G$20,Cash_Events!$C$6:$C$20,"FHL",Cash_Events!$M$6:$M$20,A21)</f>
        <v>0</v>
      </c>
      <c r="G21" s="11" t="n">
        <f aca="false">E21-F21</f>
        <v>1500000</v>
      </c>
      <c r="H21" s="28" t="n">
        <f aca="false">VLOOKUP(A21-1,Inputs!$F$40:$G$48,2,TRUE())</f>
        <v>0.054735</v>
      </c>
      <c r="I21" s="28" t="n">
        <f aca="false">H21+Inputs!C10</f>
        <v>0.122235</v>
      </c>
      <c r="J21" s="10" t="n">
        <f aca="false">SUMIFS(Daily!$L$6:$L$2400,Daily!$B$6:$B$2400,A21)</f>
        <v>15070.0684931507</v>
      </c>
      <c r="K21" s="10" t="n">
        <f aca="false">SUMIFS(Daily!$M$6:$M$2400,Daily!$B$6:$B$2400,A21)</f>
        <v>2465.75342465753</v>
      </c>
      <c r="L21" s="11" t="n">
        <f aca="false">J21+K21</f>
        <v>17535.8219178082</v>
      </c>
      <c r="M21" s="11" t="n">
        <f aca="false">P20</f>
        <v>113637.177534247</v>
      </c>
      <c r="N21" s="10" t="n">
        <f aca="false">SUMIFS(Cash_Events!$H$6:$H$20,Cash_Events!$C$6:$C$20,"FHL",Cash_Events!$D$6:$D$20,"JV",Cash_Events!$M$6:$M$20,A21)</f>
        <v>0</v>
      </c>
      <c r="O21" s="10" t="n">
        <f aca="false">SUMIFS(Cash_Events!$H$6:$H$20,Cash_Events!$C$6:$C$20,"FHL",Cash_Events!$D$6:$D$20,"800S",Cash_Events!$M$6:$M$20,A21)</f>
        <v>0</v>
      </c>
      <c r="P21" s="11" t="n">
        <f aca="false">M21+J21-N21-O21</f>
        <v>128707.246027397</v>
      </c>
      <c r="Q21" s="11" t="n">
        <f aca="false">S20</f>
        <v>3780.82191780822</v>
      </c>
      <c r="R21" s="10" t="n">
        <f aca="false">SUMIFS(Cash_Events!$I$6:$I$20,Cash_Events!$C$6:$C$20,"FHL",Cash_Events!$M$6:$M$20,A21)</f>
        <v>0</v>
      </c>
      <c r="S21" s="11" t="n">
        <f aca="false">Q21+K21-R21</f>
        <v>6246.57534246575</v>
      </c>
      <c r="T21" s="13" t="n">
        <f aca="false">P21+S21</f>
        <v>134953.821369863</v>
      </c>
      <c r="U21" s="13" t="n">
        <f aca="false">G21+T21</f>
        <v>1634953.82136986</v>
      </c>
      <c r="V21" s="11" t="n">
        <f aca="false">V20+L21</f>
        <v>213109.571369863</v>
      </c>
      <c r="W21" s="11" t="n">
        <f aca="false">W20+N21+O21+R21</f>
        <v>78155.75</v>
      </c>
      <c r="X21" s="11" t="n">
        <f aca="false">ROUND(V21-W21-T21,2)</f>
        <v>0</v>
      </c>
      <c r="Y21" s="2"/>
    </row>
    <row r="22" customFormat="false" ht="15" hidden="false" customHeight="false" outlineLevel="0" collapsed="false">
      <c r="A22" s="32" t="n">
        <f aca="false">EOMONTH(A21,1)</f>
        <v>45291</v>
      </c>
      <c r="B22" s="32" t="n">
        <f aca="false">A21</f>
        <v>45260</v>
      </c>
      <c r="C22" s="39" t="n">
        <f aca="false">A22-B22</f>
        <v>31</v>
      </c>
      <c r="D22" s="9" t="str">
        <f aca="false">IF(A22&lt;=EOMONTH(Inputs!$B$18,-1),"Actual","Projection")</f>
        <v>Actual</v>
      </c>
      <c r="E22" s="11" t="n">
        <f aca="false">G21</f>
        <v>1500000</v>
      </c>
      <c r="F22" s="10" t="n">
        <f aca="false">SUMIFS(Cash_Events!$G$6:$G$20,Cash_Events!$C$6:$C$20,"FHL",Cash_Events!$M$6:$M$20,A22)</f>
        <v>0</v>
      </c>
      <c r="G22" s="11" t="n">
        <f aca="false">E22-F22</f>
        <v>1500000</v>
      </c>
      <c r="H22" s="28" t="n">
        <f aca="false">VLOOKUP(A22-1,Inputs!$F$40:$G$48,2,TRUE())</f>
        <v>0.054735</v>
      </c>
      <c r="I22" s="28" t="n">
        <f aca="false">H22+Inputs!C10</f>
        <v>0.122235</v>
      </c>
      <c r="J22" s="10" t="n">
        <f aca="false">SUMIFS(Daily!$L$6:$L$2400,Daily!$B$6:$B$2400,A22)</f>
        <v>15572.404109589</v>
      </c>
      <c r="K22" s="10" t="n">
        <f aca="false">SUMIFS(Daily!$M$6:$M$2400,Daily!$B$6:$B$2400,A22)</f>
        <v>2547.94520547945</v>
      </c>
      <c r="L22" s="11" t="n">
        <f aca="false">J22+K22</f>
        <v>18120.3493150685</v>
      </c>
      <c r="M22" s="11" t="n">
        <f aca="false">P21</f>
        <v>128707.246027397</v>
      </c>
      <c r="N22" s="10" t="n">
        <f aca="false">SUMIFS(Cash_Events!$H$6:$H$20,Cash_Events!$C$6:$C$20,"FHL",Cash_Events!$D$6:$D$20,"JV",Cash_Events!$M$6:$M$20,A22)</f>
        <v>0</v>
      </c>
      <c r="O22" s="10" t="n">
        <f aca="false">SUMIFS(Cash_Events!$H$6:$H$20,Cash_Events!$C$6:$C$20,"FHL",Cash_Events!$D$6:$D$20,"800S",Cash_Events!$M$6:$M$20,A22)</f>
        <v>0</v>
      </c>
      <c r="P22" s="11" t="n">
        <f aca="false">M22+J22-N22-O22</f>
        <v>144279.650136986</v>
      </c>
      <c r="Q22" s="11" t="n">
        <f aca="false">S21</f>
        <v>6246.57534246575</v>
      </c>
      <c r="R22" s="10" t="n">
        <f aca="false">SUMIFS(Cash_Events!$I$6:$I$20,Cash_Events!$C$6:$C$20,"FHL",Cash_Events!$M$6:$M$20,A22)</f>
        <v>0</v>
      </c>
      <c r="S22" s="11" t="n">
        <f aca="false">Q22+K22-R22</f>
        <v>8794.52054794521</v>
      </c>
      <c r="T22" s="13" t="n">
        <f aca="false">P22+S22</f>
        <v>153074.170684932</v>
      </c>
      <c r="U22" s="13" t="n">
        <f aca="false">G22+T22</f>
        <v>1653074.17068493</v>
      </c>
      <c r="V22" s="11" t="n">
        <f aca="false">V21+L22</f>
        <v>231229.920684932</v>
      </c>
      <c r="W22" s="11" t="n">
        <f aca="false">W21+N22+O22+R22</f>
        <v>78155.75</v>
      </c>
      <c r="X22" s="11" t="n">
        <f aca="false">ROUND(V22-W22-T22,2)</f>
        <v>0</v>
      </c>
      <c r="Y22" s="2"/>
    </row>
    <row r="23" customFormat="false" ht="15" hidden="false" customHeight="false" outlineLevel="0" collapsed="false">
      <c r="A23" s="32" t="n">
        <f aca="false">EOMONTH(A22,1)</f>
        <v>45322</v>
      </c>
      <c r="B23" s="32" t="n">
        <f aca="false">A22</f>
        <v>45291</v>
      </c>
      <c r="C23" s="39" t="n">
        <f aca="false">A23-B23</f>
        <v>31</v>
      </c>
      <c r="D23" s="9" t="str">
        <f aca="false">IF(A23&lt;=EOMONTH(Inputs!$B$18,-1),"Actual","Projection")</f>
        <v>Actual</v>
      </c>
      <c r="E23" s="11" t="n">
        <f aca="false">G22</f>
        <v>1500000</v>
      </c>
      <c r="F23" s="10" t="n">
        <f aca="false">SUMIFS(Cash_Events!$G$6:$G$20,Cash_Events!$C$6:$C$20,"FHL",Cash_Events!$M$6:$M$20,A23)</f>
        <v>0</v>
      </c>
      <c r="G23" s="11" t="n">
        <f aca="false">E23-F23</f>
        <v>1500000</v>
      </c>
      <c r="H23" s="28" t="n">
        <f aca="false">VLOOKUP(A23-1,Inputs!$F$40:$G$48,2,TRUE())</f>
        <v>0.054735</v>
      </c>
      <c r="I23" s="28" t="n">
        <f aca="false">H23+Inputs!C10</f>
        <v>0.122235</v>
      </c>
      <c r="J23" s="10" t="n">
        <f aca="false">SUMIFS(Daily!$L$6:$L$2400,Daily!$B$6:$B$2400,A23)</f>
        <v>15531.2290590613</v>
      </c>
      <c r="K23" s="10" t="n">
        <f aca="false">SUMIFS(Daily!$M$6:$M$2400,Daily!$B$6:$B$2400,A23)</f>
        <v>2541.20817426454</v>
      </c>
      <c r="L23" s="11" t="n">
        <f aca="false">J23+K23</f>
        <v>18072.4372333259</v>
      </c>
      <c r="M23" s="11" t="n">
        <f aca="false">P22</f>
        <v>144279.650136986</v>
      </c>
      <c r="N23" s="10" t="n">
        <f aca="false">SUMIFS(Cash_Events!$H$6:$H$20,Cash_Events!$C$6:$C$20,"FHL",Cash_Events!$D$6:$D$20,"JV",Cash_Events!$M$6:$M$20,A23)</f>
        <v>0</v>
      </c>
      <c r="O23" s="10" t="n">
        <f aca="false">SUMIFS(Cash_Events!$H$6:$H$20,Cash_Events!$C$6:$C$20,"FHL",Cash_Events!$D$6:$D$20,"800S",Cash_Events!$M$6:$M$20,A23)</f>
        <v>0</v>
      </c>
      <c r="P23" s="11" t="n">
        <f aca="false">M23+J23-N23-O23</f>
        <v>159810.879196048</v>
      </c>
      <c r="Q23" s="11" t="n">
        <f aca="false">S22</f>
        <v>8794.52054794521</v>
      </c>
      <c r="R23" s="10" t="n">
        <f aca="false">SUMIFS(Cash_Events!$I$6:$I$20,Cash_Events!$C$6:$C$20,"FHL",Cash_Events!$M$6:$M$20,A23)</f>
        <v>0</v>
      </c>
      <c r="S23" s="11" t="n">
        <f aca="false">Q23+K23-R23</f>
        <v>11335.7287222097</v>
      </c>
      <c r="T23" s="13" t="n">
        <f aca="false">P23+S23</f>
        <v>171146.607918257</v>
      </c>
      <c r="U23" s="13" t="n">
        <f aca="false">G23+T23</f>
        <v>1671146.60791826</v>
      </c>
      <c r="V23" s="11" t="n">
        <f aca="false">V22+L23</f>
        <v>249302.357918257</v>
      </c>
      <c r="W23" s="11" t="n">
        <f aca="false">W22+N23+O23+R23</f>
        <v>78155.75</v>
      </c>
      <c r="X23" s="11" t="n">
        <f aca="false">ROUND(V23-W23-T23,2)</f>
        <v>0</v>
      </c>
      <c r="Y23" s="2"/>
    </row>
    <row r="24" customFormat="false" ht="15" hidden="false" customHeight="false" outlineLevel="0" collapsed="false">
      <c r="A24" s="32" t="n">
        <f aca="false">EOMONTH(A23,1)</f>
        <v>45351</v>
      </c>
      <c r="B24" s="32" t="n">
        <f aca="false">A23</f>
        <v>45322</v>
      </c>
      <c r="C24" s="39" t="n">
        <f aca="false">A24-B24</f>
        <v>29</v>
      </c>
      <c r="D24" s="9" t="str">
        <f aca="false">IF(A24&lt;=EOMONTH(Inputs!$B$18,-1),"Actual","Projection")</f>
        <v>Actual</v>
      </c>
      <c r="E24" s="11" t="n">
        <f aca="false">G23</f>
        <v>1500000</v>
      </c>
      <c r="F24" s="10" t="n">
        <f aca="false">SUMIFS(Cash_Events!$G$6:$G$20,Cash_Events!$C$6:$C$20,"FHL",Cash_Events!$M$6:$M$20,A24)</f>
        <v>0</v>
      </c>
      <c r="G24" s="11" t="n">
        <f aca="false">E24-F24</f>
        <v>1500000</v>
      </c>
      <c r="H24" s="28" t="n">
        <f aca="false">VLOOKUP(A24-1,Inputs!$F$40:$G$48,2,TRUE())</f>
        <v>0.054735</v>
      </c>
      <c r="I24" s="28" t="n">
        <f aca="false">H24+Inputs!C10</f>
        <v>0.122235</v>
      </c>
      <c r="J24" s="10" t="n">
        <f aca="false">SUMIFS(Daily!$L$6:$L$2400,Daily!$B$6:$B$2400,A24)</f>
        <v>14527.9303278689</v>
      </c>
      <c r="K24" s="10" t="n">
        <f aca="false">SUMIFS(Daily!$M$6:$M$2400,Daily!$B$6:$B$2400,A24)</f>
        <v>2377.04918032787</v>
      </c>
      <c r="L24" s="11" t="n">
        <f aca="false">J24+K24</f>
        <v>16904.9795081967</v>
      </c>
      <c r="M24" s="11" t="n">
        <f aca="false">P23</f>
        <v>159810.879196048</v>
      </c>
      <c r="N24" s="10" t="n">
        <f aca="false">SUMIFS(Cash_Events!$H$6:$H$20,Cash_Events!$C$6:$C$20,"FHL",Cash_Events!$D$6:$D$20,"JV",Cash_Events!$M$6:$M$20,A24)</f>
        <v>0</v>
      </c>
      <c r="O24" s="10" t="n">
        <f aca="false">SUMIFS(Cash_Events!$H$6:$H$20,Cash_Events!$C$6:$C$20,"FHL",Cash_Events!$D$6:$D$20,"800S",Cash_Events!$M$6:$M$20,A24)</f>
        <v>0</v>
      </c>
      <c r="P24" s="11" t="n">
        <f aca="false">M24+J24-N24-O24</f>
        <v>174338.809523916</v>
      </c>
      <c r="Q24" s="11" t="n">
        <f aca="false">S23</f>
        <v>11335.7287222097</v>
      </c>
      <c r="R24" s="10" t="n">
        <f aca="false">SUMIFS(Cash_Events!$I$6:$I$20,Cash_Events!$C$6:$C$20,"FHL",Cash_Events!$M$6:$M$20,A24)</f>
        <v>0</v>
      </c>
      <c r="S24" s="11" t="n">
        <f aca="false">Q24+K24-R24</f>
        <v>13712.7779025376</v>
      </c>
      <c r="T24" s="13" t="n">
        <f aca="false">P24+S24</f>
        <v>188051.587426454</v>
      </c>
      <c r="U24" s="13" t="n">
        <f aca="false">G24+T24</f>
        <v>1688051.58742645</v>
      </c>
      <c r="V24" s="11" t="n">
        <f aca="false">V23+L24</f>
        <v>266207.337426454</v>
      </c>
      <c r="W24" s="11" t="n">
        <f aca="false">W23+N24+O24+R24</f>
        <v>78155.75</v>
      </c>
      <c r="X24" s="11" t="n">
        <f aca="false">ROUND(V24-W24-T24,2)</f>
        <v>0</v>
      </c>
      <c r="Y24" s="2"/>
    </row>
    <row r="25" customFormat="false" ht="15" hidden="false" customHeight="false" outlineLevel="0" collapsed="false">
      <c r="A25" s="32" t="n">
        <f aca="false">EOMONTH(A24,1)</f>
        <v>45382</v>
      </c>
      <c r="B25" s="32" t="n">
        <f aca="false">A24</f>
        <v>45351</v>
      </c>
      <c r="C25" s="39" t="n">
        <f aca="false">A25-B25</f>
        <v>31</v>
      </c>
      <c r="D25" s="9" t="str">
        <f aca="false">IF(A25&lt;=EOMONTH(Inputs!$B$18,-1),"Actual","Projection")</f>
        <v>Actual</v>
      </c>
      <c r="E25" s="11" t="n">
        <f aca="false">G24</f>
        <v>1500000</v>
      </c>
      <c r="F25" s="10" t="n">
        <f aca="false">SUMIFS(Cash_Events!$G$6:$G$20,Cash_Events!$C$6:$C$20,"FHL",Cash_Events!$M$6:$M$20,A25)</f>
        <v>0</v>
      </c>
      <c r="G25" s="11" t="n">
        <f aca="false">E25-F25</f>
        <v>1500000</v>
      </c>
      <c r="H25" s="28" t="n">
        <f aca="false">VLOOKUP(A25-1,Inputs!$F$40:$G$48,2,TRUE())</f>
        <v>0.0525075</v>
      </c>
      <c r="I25" s="28" t="n">
        <f aca="false">H25+Inputs!C10</f>
        <v>0.1200075</v>
      </c>
      <c r="J25" s="10" t="n">
        <f aca="false">SUMIFS(Daily!$L$6:$L$2400,Daily!$B$6:$B$2400,A25)</f>
        <v>15383.7909836066</v>
      </c>
      <c r="K25" s="10" t="n">
        <f aca="false">SUMIFS(Daily!$M$6:$M$2400,Daily!$B$6:$B$2400,A25)</f>
        <v>2540.98360655738</v>
      </c>
      <c r="L25" s="11" t="n">
        <f aca="false">J25+K25</f>
        <v>17924.7745901639</v>
      </c>
      <c r="M25" s="11" t="n">
        <f aca="false">P24</f>
        <v>174338.809523916</v>
      </c>
      <c r="N25" s="10" t="n">
        <f aca="false">SUMIFS(Cash_Events!$H$6:$H$20,Cash_Events!$C$6:$C$20,"FHL",Cash_Events!$D$6:$D$20,"JV",Cash_Events!$M$6:$M$20,A25)</f>
        <v>0</v>
      </c>
      <c r="O25" s="10" t="n">
        <f aca="false">SUMIFS(Cash_Events!$H$6:$H$20,Cash_Events!$C$6:$C$20,"FHL",Cash_Events!$D$6:$D$20,"800S",Cash_Events!$M$6:$M$20,A25)</f>
        <v>0</v>
      </c>
      <c r="P25" s="11" t="n">
        <f aca="false">M25+J25-N25-O25</f>
        <v>189722.600507523</v>
      </c>
      <c r="Q25" s="11" t="n">
        <f aca="false">S24</f>
        <v>13712.7779025376</v>
      </c>
      <c r="R25" s="10" t="n">
        <f aca="false">SUMIFS(Cash_Events!$I$6:$I$20,Cash_Events!$C$6:$C$20,"FHL",Cash_Events!$M$6:$M$20,A25)</f>
        <v>0</v>
      </c>
      <c r="S25" s="11" t="n">
        <f aca="false">Q25+K25-R25</f>
        <v>16253.761509095</v>
      </c>
      <c r="T25" s="13" t="n">
        <f aca="false">P25+S25</f>
        <v>205976.362016618</v>
      </c>
      <c r="U25" s="13" t="n">
        <f aca="false">G25+T25</f>
        <v>1705976.36201662</v>
      </c>
      <c r="V25" s="11" t="n">
        <f aca="false">V24+L25</f>
        <v>284132.112016618</v>
      </c>
      <c r="W25" s="11" t="n">
        <f aca="false">W24+N25+O25+R25</f>
        <v>78155.75</v>
      </c>
      <c r="X25" s="11" t="n">
        <f aca="false">ROUND(V25-W25-T25,2)</f>
        <v>0</v>
      </c>
      <c r="Y25" s="2" t="s">
        <v>257</v>
      </c>
    </row>
    <row r="26" customFormat="false" ht="15" hidden="false" customHeight="false" outlineLevel="0" collapsed="false">
      <c r="A26" s="32" t="n">
        <f aca="false">EOMONTH(A25,1)</f>
        <v>45412</v>
      </c>
      <c r="B26" s="32" t="n">
        <f aca="false">A25</f>
        <v>45382</v>
      </c>
      <c r="C26" s="39" t="n">
        <f aca="false">A26-B26</f>
        <v>30</v>
      </c>
      <c r="D26" s="9" t="str">
        <f aca="false">IF(A26&lt;=EOMONTH(Inputs!$B$18,-1),"Actual","Projection")</f>
        <v>Actual</v>
      </c>
      <c r="E26" s="11" t="n">
        <f aca="false">G25</f>
        <v>1500000</v>
      </c>
      <c r="F26" s="10" t="n">
        <f aca="false">SUMIFS(Cash_Events!$G$6:$G$20,Cash_Events!$C$6:$C$20,"FHL",Cash_Events!$M$6:$M$20,A26)</f>
        <v>0</v>
      </c>
      <c r="G26" s="11" t="n">
        <f aca="false">E26-F26</f>
        <v>1500000</v>
      </c>
      <c r="H26" s="28" t="n">
        <f aca="false">VLOOKUP(A26-1,Inputs!$F$40:$G$48,2,TRUE())</f>
        <v>0.0525075</v>
      </c>
      <c r="I26" s="28" t="n">
        <f aca="false">H26+Inputs!C10</f>
        <v>0.1200075</v>
      </c>
      <c r="J26" s="10" t="n">
        <f aca="false">SUMIFS(Daily!$L$6:$L$2400,Daily!$B$6:$B$2400,A26)</f>
        <v>14755.0204918033</v>
      </c>
      <c r="K26" s="10" t="n">
        <f aca="false">SUMIFS(Daily!$M$6:$M$2400,Daily!$B$6:$B$2400,A26)</f>
        <v>2459.01639344262</v>
      </c>
      <c r="L26" s="11" t="n">
        <f aca="false">J26+K26</f>
        <v>17214.0368852459</v>
      </c>
      <c r="M26" s="11" t="n">
        <f aca="false">P25</f>
        <v>189722.600507523</v>
      </c>
      <c r="N26" s="10" t="n">
        <f aca="false">SUMIFS(Cash_Events!$H$6:$H$20,Cash_Events!$C$6:$C$20,"FHL",Cash_Events!$D$6:$D$20,"JV",Cash_Events!$M$6:$M$20,A26)</f>
        <v>0</v>
      </c>
      <c r="O26" s="10" t="n">
        <f aca="false">SUMIFS(Cash_Events!$H$6:$H$20,Cash_Events!$C$6:$C$20,"FHL",Cash_Events!$D$6:$D$20,"800S",Cash_Events!$M$6:$M$20,A26)</f>
        <v>0</v>
      </c>
      <c r="P26" s="11" t="n">
        <f aca="false">M26+J26-N26-O26</f>
        <v>204477.620999326</v>
      </c>
      <c r="Q26" s="11" t="n">
        <f aca="false">S25</f>
        <v>16253.761509095</v>
      </c>
      <c r="R26" s="10" t="n">
        <f aca="false">SUMIFS(Cash_Events!$I$6:$I$20,Cash_Events!$C$6:$C$20,"FHL",Cash_Events!$M$6:$M$20,A26)</f>
        <v>0</v>
      </c>
      <c r="S26" s="11" t="n">
        <f aca="false">Q26+K26-R26</f>
        <v>18712.7779025376</v>
      </c>
      <c r="T26" s="13" t="n">
        <f aca="false">P26+S26</f>
        <v>223190.398901864</v>
      </c>
      <c r="U26" s="13" t="n">
        <f aca="false">G26+T26</f>
        <v>1723190.39890186</v>
      </c>
      <c r="V26" s="11" t="n">
        <f aca="false">V25+L26</f>
        <v>301346.148901864</v>
      </c>
      <c r="W26" s="11" t="n">
        <f aca="false">W25+N26+O26+R26</f>
        <v>78155.75</v>
      </c>
      <c r="X26" s="11" t="n">
        <f aca="false">ROUND(V26-W26-T26,2)</f>
        <v>0</v>
      </c>
      <c r="Y26" s="2"/>
    </row>
    <row r="27" customFormat="false" ht="15" hidden="false" customHeight="false" outlineLevel="0" collapsed="false">
      <c r="A27" s="32" t="n">
        <f aca="false">EOMONTH(A26,1)</f>
        <v>45443</v>
      </c>
      <c r="B27" s="32" t="n">
        <f aca="false">A26</f>
        <v>45412</v>
      </c>
      <c r="C27" s="39" t="n">
        <f aca="false">A27-B27</f>
        <v>31</v>
      </c>
      <c r="D27" s="9" t="str">
        <f aca="false">IF(A27&lt;=EOMONTH(Inputs!$B$18,-1),"Actual","Projection")</f>
        <v>Actual</v>
      </c>
      <c r="E27" s="11" t="n">
        <f aca="false">G26</f>
        <v>1500000</v>
      </c>
      <c r="F27" s="10" t="n">
        <f aca="false">SUMIFS(Cash_Events!$G$6:$G$20,Cash_Events!$C$6:$C$20,"FHL",Cash_Events!$M$6:$M$20,A27)</f>
        <v>0</v>
      </c>
      <c r="G27" s="11" t="n">
        <f aca="false">E27-F27</f>
        <v>1500000</v>
      </c>
      <c r="H27" s="28" t="n">
        <f aca="false">VLOOKUP(A27-1,Inputs!$F$40:$G$48,2,TRUE())</f>
        <v>0.0525075</v>
      </c>
      <c r="I27" s="28" t="n">
        <f aca="false">H27+Inputs!C10</f>
        <v>0.1200075</v>
      </c>
      <c r="J27" s="10" t="n">
        <f aca="false">SUMIFS(Daily!$L$6:$L$2400,Daily!$B$6:$B$2400,A27)</f>
        <v>15246.8545081967</v>
      </c>
      <c r="K27" s="10" t="n">
        <f aca="false">SUMIFS(Daily!$M$6:$M$2400,Daily!$B$6:$B$2400,A27)</f>
        <v>2540.98360655738</v>
      </c>
      <c r="L27" s="11" t="n">
        <f aca="false">J27+K27</f>
        <v>17787.8381147541</v>
      </c>
      <c r="M27" s="11" t="n">
        <f aca="false">P26</f>
        <v>204477.620999326</v>
      </c>
      <c r="N27" s="10" t="n">
        <f aca="false">SUMIFS(Cash_Events!$H$6:$H$20,Cash_Events!$C$6:$C$20,"FHL",Cash_Events!$D$6:$D$20,"JV",Cash_Events!$M$6:$M$20,A27)</f>
        <v>0</v>
      </c>
      <c r="O27" s="10" t="n">
        <f aca="false">SUMIFS(Cash_Events!$H$6:$H$20,Cash_Events!$C$6:$C$20,"FHL",Cash_Events!$D$6:$D$20,"800S",Cash_Events!$M$6:$M$20,A27)</f>
        <v>0</v>
      </c>
      <c r="P27" s="11" t="n">
        <f aca="false">M27+J27-N27-O27</f>
        <v>219724.475507523</v>
      </c>
      <c r="Q27" s="11" t="n">
        <f aca="false">S26</f>
        <v>18712.7779025376</v>
      </c>
      <c r="R27" s="10" t="n">
        <f aca="false">SUMIFS(Cash_Events!$I$6:$I$20,Cash_Events!$C$6:$C$20,"FHL",Cash_Events!$M$6:$M$20,A27)</f>
        <v>0</v>
      </c>
      <c r="S27" s="11" t="n">
        <f aca="false">Q27+K27-R27</f>
        <v>21253.761509095</v>
      </c>
      <c r="T27" s="13" t="n">
        <f aca="false">P27+S27</f>
        <v>240978.237016618</v>
      </c>
      <c r="U27" s="13" t="n">
        <f aca="false">G27+T27</f>
        <v>1740978.23701662</v>
      </c>
      <c r="V27" s="11" t="n">
        <f aca="false">V26+L27</f>
        <v>319133.987016618</v>
      </c>
      <c r="W27" s="11" t="n">
        <f aca="false">W26+N27+O27+R27</f>
        <v>78155.75</v>
      </c>
      <c r="X27" s="11" t="n">
        <f aca="false">ROUND(V27-W27-T27,2)</f>
        <v>0</v>
      </c>
      <c r="Y27" s="2"/>
    </row>
    <row r="28" customFormat="false" ht="15" hidden="false" customHeight="false" outlineLevel="0" collapsed="false">
      <c r="A28" s="32" t="n">
        <f aca="false">EOMONTH(A27,1)</f>
        <v>45473</v>
      </c>
      <c r="B28" s="32" t="n">
        <f aca="false">A27</f>
        <v>45443</v>
      </c>
      <c r="C28" s="39" t="n">
        <f aca="false">A28-B28</f>
        <v>30</v>
      </c>
      <c r="D28" s="9" t="str">
        <f aca="false">IF(A28&lt;=EOMONTH(Inputs!$B$18,-1),"Actual","Projection")</f>
        <v>Actual</v>
      </c>
      <c r="E28" s="11" t="n">
        <f aca="false">G27</f>
        <v>1500000</v>
      </c>
      <c r="F28" s="10" t="n">
        <f aca="false">SUMIFS(Cash_Events!$G$6:$G$20,Cash_Events!$C$6:$C$20,"FHL",Cash_Events!$M$6:$M$20,A28)</f>
        <v>765000</v>
      </c>
      <c r="G28" s="11" t="n">
        <f aca="false">E28-F28</f>
        <v>735000</v>
      </c>
      <c r="H28" s="28" t="n">
        <f aca="false">VLOOKUP(A28-1,Inputs!$F$40:$G$48,2,TRUE())</f>
        <v>0.0525075</v>
      </c>
      <c r="I28" s="28" t="n">
        <f aca="false">H28+Inputs!C10</f>
        <v>0.1200075</v>
      </c>
      <c r="J28" s="10" t="n">
        <f aca="false">SUMIFS(Daily!$L$6:$L$2400,Daily!$B$6:$B$2400,A28)</f>
        <v>14253.349795082</v>
      </c>
      <c r="K28" s="10" t="n">
        <f aca="false">SUMIFS(Daily!$M$6:$M$2400,Daily!$B$6:$B$2400,A28)</f>
        <v>2375.40983606557</v>
      </c>
      <c r="L28" s="11" t="n">
        <f aca="false">J28+K28</f>
        <v>16628.7596311475</v>
      </c>
      <c r="M28" s="11" t="n">
        <f aca="false">P27</f>
        <v>219724.475507523</v>
      </c>
      <c r="N28" s="10" t="n">
        <f aca="false">SUMIFS(Cash_Events!$H$6:$H$20,Cash_Events!$C$6:$C$20,"FHL",Cash_Events!$D$6:$D$20,"JV",Cash_Events!$M$6:$M$20,A28)</f>
        <v>0</v>
      </c>
      <c r="O28" s="10" t="n">
        <f aca="false">SUMIFS(Cash_Events!$H$6:$H$20,Cash_Events!$C$6:$C$20,"FHL",Cash_Events!$D$6:$D$20,"800S",Cash_Events!$M$6:$M$20,A28)</f>
        <v>98034.5</v>
      </c>
      <c r="P28" s="11" t="n">
        <f aca="false">M28+J28-N28-O28</f>
        <v>135943.325302605</v>
      </c>
      <c r="Q28" s="11" t="n">
        <f aca="false">S27</f>
        <v>21253.761509095</v>
      </c>
      <c r="R28" s="10" t="n">
        <f aca="false">SUMIFS(Cash_Events!$I$6:$I$20,Cash_Events!$C$6:$C$20,"FHL",Cash_Events!$M$6:$M$20,A28)</f>
        <v>8476.64</v>
      </c>
      <c r="S28" s="11" t="n">
        <f aca="false">Q28+K28-R28</f>
        <v>15152.5313451606</v>
      </c>
      <c r="T28" s="13" t="n">
        <f aca="false">P28+S28</f>
        <v>151095.856647766</v>
      </c>
      <c r="U28" s="13" t="n">
        <f aca="false">G28+T28</f>
        <v>886095.856647766</v>
      </c>
      <c r="V28" s="11" t="n">
        <f aca="false">V27+L28</f>
        <v>335762.746647766</v>
      </c>
      <c r="W28" s="11" t="n">
        <f aca="false">W27+N28+O28+R28</f>
        <v>184666.89</v>
      </c>
      <c r="X28" s="11" t="n">
        <f aca="false">ROUND(V28-W28-T28,2)</f>
        <v>0</v>
      </c>
      <c r="Y28" s="2" t="s">
        <v>245</v>
      </c>
    </row>
    <row r="29" customFormat="false" ht="15" hidden="false" customHeight="false" outlineLevel="0" collapsed="false">
      <c r="A29" s="32" t="n">
        <f aca="false">EOMONTH(A28,1)</f>
        <v>45504</v>
      </c>
      <c r="B29" s="32" t="n">
        <f aca="false">A28</f>
        <v>45473</v>
      </c>
      <c r="C29" s="39" t="n">
        <f aca="false">A29-B29</f>
        <v>31</v>
      </c>
      <c r="D29" s="9" t="str">
        <f aca="false">IF(A29&lt;=EOMONTH(Inputs!$B$18,-1),"Actual","Projection")</f>
        <v>Actual</v>
      </c>
      <c r="E29" s="11" t="n">
        <f aca="false">G28</f>
        <v>735000</v>
      </c>
      <c r="F29" s="10" t="n">
        <f aca="false">SUMIFS(Cash_Events!$G$6:$G$20,Cash_Events!$C$6:$C$20,"FHL",Cash_Events!$M$6:$M$20,A29)</f>
        <v>0</v>
      </c>
      <c r="G29" s="11" t="n">
        <f aca="false">E29-F29</f>
        <v>735000</v>
      </c>
      <c r="H29" s="28" t="n">
        <f aca="false">VLOOKUP(A29-1,Inputs!$F$40:$G$48,2,TRUE())</f>
        <v>0.0525075</v>
      </c>
      <c r="I29" s="28" t="n">
        <f aca="false">H29+Inputs!C10</f>
        <v>0.1200075</v>
      </c>
      <c r="J29" s="10" t="n">
        <f aca="false">SUMIFS(Daily!$L$6:$L$2400,Daily!$B$6:$B$2400,A29)</f>
        <v>7470.95870901639</v>
      </c>
      <c r="K29" s="10" t="n">
        <f aca="false">SUMIFS(Daily!$M$6:$M$2400,Daily!$B$6:$B$2400,A29)</f>
        <v>1245.08196721311</v>
      </c>
      <c r="L29" s="11" t="n">
        <f aca="false">J29+K29</f>
        <v>8716.04067622951</v>
      </c>
      <c r="M29" s="11" t="n">
        <f aca="false">P28</f>
        <v>135943.325302605</v>
      </c>
      <c r="N29" s="10" t="n">
        <f aca="false">SUMIFS(Cash_Events!$H$6:$H$20,Cash_Events!$C$6:$C$20,"FHL",Cash_Events!$D$6:$D$20,"JV",Cash_Events!$M$6:$M$20,A29)</f>
        <v>0</v>
      </c>
      <c r="O29" s="10" t="n">
        <f aca="false">SUMIFS(Cash_Events!$H$6:$H$20,Cash_Events!$C$6:$C$20,"FHL",Cash_Events!$D$6:$D$20,"800S",Cash_Events!$M$6:$M$20,A29)</f>
        <v>0</v>
      </c>
      <c r="P29" s="11" t="n">
        <f aca="false">M29+J29-N29-O29</f>
        <v>143414.284011621</v>
      </c>
      <c r="Q29" s="11" t="n">
        <f aca="false">S28</f>
        <v>15152.5313451606</v>
      </c>
      <c r="R29" s="10" t="n">
        <f aca="false">SUMIFS(Cash_Events!$I$6:$I$20,Cash_Events!$C$6:$C$20,"FHL",Cash_Events!$M$6:$M$20,A29)</f>
        <v>0</v>
      </c>
      <c r="S29" s="11" t="n">
        <f aca="false">Q29+K29-R29</f>
        <v>16397.6133123737</v>
      </c>
      <c r="T29" s="13" t="n">
        <f aca="false">P29+S29</f>
        <v>159811.897323995</v>
      </c>
      <c r="U29" s="13" t="n">
        <f aca="false">G29+T29</f>
        <v>894811.897323995</v>
      </c>
      <c r="V29" s="11" t="n">
        <f aca="false">V28+L29</f>
        <v>344478.787323995</v>
      </c>
      <c r="W29" s="11" t="n">
        <f aca="false">W28+N29+O29+R29</f>
        <v>184666.89</v>
      </c>
      <c r="X29" s="11" t="n">
        <f aca="false">ROUND(V29-W29-T29,2)</f>
        <v>0</v>
      </c>
      <c r="Y29" s="2"/>
    </row>
    <row r="30" customFormat="false" ht="15" hidden="false" customHeight="false" outlineLevel="0" collapsed="false">
      <c r="A30" s="32" t="n">
        <f aca="false">EOMONTH(A29,1)</f>
        <v>45535</v>
      </c>
      <c r="B30" s="32" t="n">
        <f aca="false">A29</f>
        <v>45504</v>
      </c>
      <c r="C30" s="39" t="n">
        <f aca="false">A30-B30</f>
        <v>31</v>
      </c>
      <c r="D30" s="9" t="str">
        <f aca="false">IF(A30&lt;=EOMONTH(Inputs!$B$18,-1),"Actual","Projection")</f>
        <v>Actual</v>
      </c>
      <c r="E30" s="11" t="n">
        <f aca="false">G29</f>
        <v>735000</v>
      </c>
      <c r="F30" s="10" t="n">
        <f aca="false">SUMIFS(Cash_Events!$G$6:$G$20,Cash_Events!$C$6:$C$20,"FHL",Cash_Events!$M$6:$M$20,A30)</f>
        <v>0</v>
      </c>
      <c r="G30" s="11" t="n">
        <f aca="false">E30-F30</f>
        <v>735000</v>
      </c>
      <c r="H30" s="28" t="n">
        <f aca="false">VLOOKUP(A30-1,Inputs!$F$40:$G$48,2,TRUE())</f>
        <v>0.0525075</v>
      </c>
      <c r="I30" s="28" t="n">
        <f aca="false">H30+Inputs!C10</f>
        <v>0.1200075</v>
      </c>
      <c r="J30" s="10" t="n">
        <f aca="false">SUMIFS(Daily!$L$6:$L$2400,Daily!$B$6:$B$2400,A30)</f>
        <v>7470.95870901639</v>
      </c>
      <c r="K30" s="10" t="n">
        <f aca="false">SUMIFS(Daily!$M$6:$M$2400,Daily!$B$6:$B$2400,A30)</f>
        <v>1245.08196721311</v>
      </c>
      <c r="L30" s="11" t="n">
        <f aca="false">J30+K30</f>
        <v>8716.04067622951</v>
      </c>
      <c r="M30" s="11" t="n">
        <f aca="false">P29</f>
        <v>143414.284011621</v>
      </c>
      <c r="N30" s="10" t="n">
        <f aca="false">SUMIFS(Cash_Events!$H$6:$H$20,Cash_Events!$C$6:$C$20,"FHL",Cash_Events!$D$6:$D$20,"JV",Cash_Events!$M$6:$M$20,A30)</f>
        <v>0</v>
      </c>
      <c r="O30" s="10" t="n">
        <f aca="false">SUMIFS(Cash_Events!$H$6:$H$20,Cash_Events!$C$6:$C$20,"FHL",Cash_Events!$D$6:$D$20,"800S",Cash_Events!$M$6:$M$20,A30)</f>
        <v>0</v>
      </c>
      <c r="P30" s="11" t="n">
        <f aca="false">M30+J30-N30-O30</f>
        <v>150885.242720638</v>
      </c>
      <c r="Q30" s="11" t="n">
        <f aca="false">S29</f>
        <v>16397.6133123737</v>
      </c>
      <c r="R30" s="10" t="n">
        <f aca="false">SUMIFS(Cash_Events!$I$6:$I$20,Cash_Events!$C$6:$C$20,"FHL",Cash_Events!$M$6:$M$20,A30)</f>
        <v>0</v>
      </c>
      <c r="S30" s="11" t="n">
        <f aca="false">Q30+K30-R30</f>
        <v>17642.6952795868</v>
      </c>
      <c r="T30" s="13" t="n">
        <f aca="false">P30+S30</f>
        <v>168527.938000225</v>
      </c>
      <c r="U30" s="13" t="n">
        <f aca="false">G30+T30</f>
        <v>903527.938000225</v>
      </c>
      <c r="V30" s="11" t="n">
        <f aca="false">V29+L30</f>
        <v>353194.828000225</v>
      </c>
      <c r="W30" s="11" t="n">
        <f aca="false">W29+N30+O30+R30</f>
        <v>184666.89</v>
      </c>
      <c r="X30" s="11" t="n">
        <f aca="false">ROUND(V30-W30-T30,2)</f>
        <v>0</v>
      </c>
      <c r="Y30" s="2"/>
    </row>
    <row r="31" customFormat="false" ht="15" hidden="false" customHeight="false" outlineLevel="0" collapsed="false">
      <c r="A31" s="32" t="n">
        <f aca="false">EOMONTH(A30,1)</f>
        <v>45565</v>
      </c>
      <c r="B31" s="32" t="n">
        <f aca="false">A30</f>
        <v>45535</v>
      </c>
      <c r="C31" s="39" t="n">
        <f aca="false">A31-B31</f>
        <v>30</v>
      </c>
      <c r="D31" s="9" t="str">
        <f aca="false">IF(A31&lt;=EOMONTH(Inputs!$B$18,-1),"Actual","Projection")</f>
        <v>Actual</v>
      </c>
      <c r="E31" s="11" t="n">
        <f aca="false">G30</f>
        <v>735000</v>
      </c>
      <c r="F31" s="10" t="n">
        <f aca="false">SUMIFS(Cash_Events!$G$6:$G$20,Cash_Events!$C$6:$C$20,"FHL",Cash_Events!$M$6:$M$20,A31)</f>
        <v>0</v>
      </c>
      <c r="G31" s="11" t="n">
        <f aca="false">E31-F31</f>
        <v>735000</v>
      </c>
      <c r="H31" s="28" t="n">
        <f aca="false">VLOOKUP(A31-1,Inputs!$F$40:$G$48,2,TRUE())</f>
        <v>0.0457048</v>
      </c>
      <c r="I31" s="28" t="n">
        <f aca="false">H31+Inputs!C10</f>
        <v>0.1132048</v>
      </c>
      <c r="J31" s="10" t="n">
        <f aca="false">SUMIFS(Daily!$L$6:$L$2400,Daily!$B$6:$B$2400,A31)</f>
        <v>7038.70380327869</v>
      </c>
      <c r="K31" s="10" t="n">
        <f aca="false">SUMIFS(Daily!$M$6:$M$2400,Daily!$B$6:$B$2400,A31)</f>
        <v>1204.91803278689</v>
      </c>
      <c r="L31" s="11" t="n">
        <f aca="false">J31+K31</f>
        <v>8243.62183606557</v>
      </c>
      <c r="M31" s="11" t="n">
        <f aca="false">P30</f>
        <v>150885.242720638</v>
      </c>
      <c r="N31" s="10" t="n">
        <f aca="false">SUMIFS(Cash_Events!$H$6:$H$20,Cash_Events!$C$6:$C$20,"FHL",Cash_Events!$D$6:$D$20,"JV",Cash_Events!$M$6:$M$20,A31)</f>
        <v>0</v>
      </c>
      <c r="O31" s="10" t="n">
        <f aca="false">SUMIFS(Cash_Events!$H$6:$H$20,Cash_Events!$C$6:$C$20,"FHL",Cash_Events!$D$6:$D$20,"800S",Cash_Events!$M$6:$M$20,A31)</f>
        <v>0</v>
      </c>
      <c r="P31" s="11" t="n">
        <f aca="false">M31+J31-N31-O31</f>
        <v>157923.946523917</v>
      </c>
      <c r="Q31" s="11" t="n">
        <f aca="false">S30</f>
        <v>17642.6952795868</v>
      </c>
      <c r="R31" s="10" t="n">
        <f aca="false">SUMIFS(Cash_Events!$I$6:$I$20,Cash_Events!$C$6:$C$20,"FHL",Cash_Events!$M$6:$M$20,A31)</f>
        <v>0</v>
      </c>
      <c r="S31" s="11" t="n">
        <f aca="false">Q31+K31-R31</f>
        <v>18847.6133123737</v>
      </c>
      <c r="T31" s="13" t="n">
        <f aca="false">P31+S31</f>
        <v>176771.55983629</v>
      </c>
      <c r="U31" s="13" t="n">
        <f aca="false">G31+T31</f>
        <v>911771.55983629</v>
      </c>
      <c r="V31" s="11" t="n">
        <f aca="false">V30+L31</f>
        <v>361438.44983629</v>
      </c>
      <c r="W31" s="11" t="n">
        <f aca="false">W30+N31+O31+R31</f>
        <v>184666.89</v>
      </c>
      <c r="X31" s="11" t="n">
        <f aca="false">ROUND(V31-W31-T31,2)</f>
        <v>0</v>
      </c>
      <c r="Y31" s="2" t="s">
        <v>258</v>
      </c>
    </row>
    <row r="32" customFormat="false" ht="15" hidden="false" customHeight="false" outlineLevel="0" collapsed="false">
      <c r="A32" s="32" t="n">
        <f aca="false">EOMONTH(A31,1)</f>
        <v>45596</v>
      </c>
      <c r="B32" s="32" t="n">
        <f aca="false">A31</f>
        <v>45565</v>
      </c>
      <c r="C32" s="39" t="n">
        <f aca="false">A32-B32</f>
        <v>31</v>
      </c>
      <c r="D32" s="9" t="str">
        <f aca="false">IF(A32&lt;=EOMONTH(Inputs!$B$18,-1),"Actual","Projection")</f>
        <v>Actual</v>
      </c>
      <c r="E32" s="11" t="n">
        <f aca="false">G31</f>
        <v>735000</v>
      </c>
      <c r="F32" s="10" t="n">
        <f aca="false">SUMIFS(Cash_Events!$G$6:$G$20,Cash_Events!$C$6:$C$20,"FHL",Cash_Events!$M$6:$M$20,A32)</f>
        <v>0</v>
      </c>
      <c r="G32" s="11" t="n">
        <f aca="false">E32-F32</f>
        <v>735000</v>
      </c>
      <c r="H32" s="28" t="n">
        <f aca="false">VLOOKUP(A32-1,Inputs!$F$40:$G$48,2,TRUE())</f>
        <v>0.0457048</v>
      </c>
      <c r="I32" s="28" t="n">
        <f aca="false">H32+Inputs!C10</f>
        <v>0.1132048</v>
      </c>
      <c r="J32" s="10" t="n">
        <f aca="false">SUMIFS(Daily!$L$6:$L$2400,Daily!$B$6:$B$2400,A32)</f>
        <v>7047.46275409836</v>
      </c>
      <c r="K32" s="10" t="n">
        <f aca="false">SUMIFS(Daily!$M$6:$M$2400,Daily!$B$6:$B$2400,A32)</f>
        <v>1245.08196721311</v>
      </c>
      <c r="L32" s="11" t="n">
        <f aca="false">J32+K32</f>
        <v>8292.54472131148</v>
      </c>
      <c r="M32" s="11" t="n">
        <f aca="false">P31</f>
        <v>157923.946523917</v>
      </c>
      <c r="N32" s="10" t="n">
        <f aca="false">SUMIFS(Cash_Events!$H$6:$H$20,Cash_Events!$C$6:$C$20,"FHL",Cash_Events!$D$6:$D$20,"JV",Cash_Events!$M$6:$M$20,A32)</f>
        <v>0</v>
      </c>
      <c r="O32" s="10" t="n">
        <f aca="false">SUMIFS(Cash_Events!$H$6:$H$20,Cash_Events!$C$6:$C$20,"FHL",Cash_Events!$D$6:$D$20,"800S",Cash_Events!$M$6:$M$20,A32)</f>
        <v>0</v>
      </c>
      <c r="P32" s="11" t="n">
        <f aca="false">M32+J32-N32-O32</f>
        <v>164971.409278015</v>
      </c>
      <c r="Q32" s="11" t="n">
        <f aca="false">S31</f>
        <v>18847.6133123737</v>
      </c>
      <c r="R32" s="10" t="n">
        <f aca="false">SUMIFS(Cash_Events!$I$6:$I$20,Cash_Events!$C$6:$C$20,"FHL",Cash_Events!$M$6:$M$20,A32)</f>
        <v>0</v>
      </c>
      <c r="S32" s="11" t="n">
        <f aca="false">Q32+K32-R32</f>
        <v>20092.6952795868</v>
      </c>
      <c r="T32" s="13" t="n">
        <f aca="false">P32+S32</f>
        <v>185064.104557602</v>
      </c>
      <c r="U32" s="13" t="n">
        <f aca="false">G32+T32</f>
        <v>920064.104557602</v>
      </c>
      <c r="V32" s="11" t="n">
        <f aca="false">V31+L32</f>
        <v>369730.994557602</v>
      </c>
      <c r="W32" s="11" t="n">
        <f aca="false">W31+N32+O32+R32</f>
        <v>184666.89</v>
      </c>
      <c r="X32" s="11" t="n">
        <f aca="false">ROUND(V32-W32-T32,2)</f>
        <v>0</v>
      </c>
      <c r="Y32" s="2"/>
    </row>
    <row r="33" customFormat="false" ht="15" hidden="false" customHeight="false" outlineLevel="0" collapsed="false">
      <c r="A33" s="32" t="n">
        <f aca="false">EOMONTH(A32,1)</f>
        <v>45626</v>
      </c>
      <c r="B33" s="32" t="n">
        <f aca="false">A32</f>
        <v>45596</v>
      </c>
      <c r="C33" s="39" t="n">
        <f aca="false">A33-B33</f>
        <v>30</v>
      </c>
      <c r="D33" s="9" t="str">
        <f aca="false">IF(A33&lt;=EOMONTH(Inputs!$B$18,-1),"Actual","Projection")</f>
        <v>Actual</v>
      </c>
      <c r="E33" s="11" t="n">
        <f aca="false">G32</f>
        <v>735000</v>
      </c>
      <c r="F33" s="10" t="n">
        <f aca="false">SUMIFS(Cash_Events!$G$6:$G$20,Cash_Events!$C$6:$C$20,"FHL",Cash_Events!$M$6:$M$20,A33)</f>
        <v>0</v>
      </c>
      <c r="G33" s="11" t="n">
        <f aca="false">E33-F33</f>
        <v>735000</v>
      </c>
      <c r="H33" s="28" t="n">
        <f aca="false">VLOOKUP(A33-1,Inputs!$F$40:$G$48,2,TRUE())</f>
        <v>0.0457048</v>
      </c>
      <c r="I33" s="28" t="n">
        <f aca="false">H33+Inputs!C10</f>
        <v>0.1132048</v>
      </c>
      <c r="J33" s="10" t="n">
        <f aca="false">SUMIFS(Daily!$L$6:$L$2400,Daily!$B$6:$B$2400,A33)</f>
        <v>6820.12524590164</v>
      </c>
      <c r="K33" s="10" t="n">
        <f aca="false">SUMIFS(Daily!$M$6:$M$2400,Daily!$B$6:$B$2400,A33)</f>
        <v>1204.91803278689</v>
      </c>
      <c r="L33" s="11" t="n">
        <f aca="false">J33+K33</f>
        <v>8025.04327868852</v>
      </c>
      <c r="M33" s="11" t="n">
        <f aca="false">P32</f>
        <v>164971.409278015</v>
      </c>
      <c r="N33" s="10" t="n">
        <f aca="false">SUMIFS(Cash_Events!$H$6:$H$20,Cash_Events!$C$6:$C$20,"FHL",Cash_Events!$D$6:$D$20,"JV",Cash_Events!$M$6:$M$20,A33)</f>
        <v>0</v>
      </c>
      <c r="O33" s="10" t="n">
        <f aca="false">SUMIFS(Cash_Events!$H$6:$H$20,Cash_Events!$C$6:$C$20,"FHL",Cash_Events!$D$6:$D$20,"800S",Cash_Events!$M$6:$M$20,A33)</f>
        <v>0</v>
      </c>
      <c r="P33" s="11" t="n">
        <f aca="false">M33+J33-N33-O33</f>
        <v>171791.534523917</v>
      </c>
      <c r="Q33" s="11" t="n">
        <f aca="false">S32</f>
        <v>20092.6952795868</v>
      </c>
      <c r="R33" s="10" t="n">
        <f aca="false">SUMIFS(Cash_Events!$I$6:$I$20,Cash_Events!$C$6:$C$20,"FHL",Cash_Events!$M$6:$M$20,A33)</f>
        <v>0</v>
      </c>
      <c r="S33" s="11" t="n">
        <f aca="false">Q33+K33-R33</f>
        <v>21297.6133123737</v>
      </c>
      <c r="T33" s="13" t="n">
        <f aca="false">P33+S33</f>
        <v>193089.14783629</v>
      </c>
      <c r="U33" s="13" t="n">
        <f aca="false">G33+T33</f>
        <v>928089.14783629</v>
      </c>
      <c r="V33" s="11" t="n">
        <f aca="false">V32+L33</f>
        <v>377756.03783629</v>
      </c>
      <c r="W33" s="11" t="n">
        <f aca="false">W32+N33+O33+R33</f>
        <v>184666.89</v>
      </c>
      <c r="X33" s="11" t="n">
        <f aca="false">ROUND(V33-W33-T33,2)</f>
        <v>0</v>
      </c>
      <c r="Y33" s="2"/>
    </row>
    <row r="34" customFormat="false" ht="15" hidden="false" customHeight="false" outlineLevel="0" collapsed="false">
      <c r="A34" s="32" t="n">
        <f aca="false">EOMONTH(A33,1)</f>
        <v>45657</v>
      </c>
      <c r="B34" s="32" t="n">
        <f aca="false">A33</f>
        <v>45626</v>
      </c>
      <c r="C34" s="39" t="n">
        <f aca="false">A34-B34</f>
        <v>31</v>
      </c>
      <c r="D34" s="9" t="str">
        <f aca="false">IF(A34&lt;=EOMONTH(Inputs!$B$18,-1),"Actual","Projection")</f>
        <v>Actual</v>
      </c>
      <c r="E34" s="11" t="n">
        <f aca="false">G33</f>
        <v>735000</v>
      </c>
      <c r="F34" s="10" t="n">
        <f aca="false">SUMIFS(Cash_Events!$G$6:$G$20,Cash_Events!$C$6:$C$20,"FHL",Cash_Events!$M$6:$M$20,A34)</f>
        <v>0</v>
      </c>
      <c r="G34" s="11" t="n">
        <f aca="false">E34-F34</f>
        <v>735000</v>
      </c>
      <c r="H34" s="28" t="n">
        <f aca="false">VLOOKUP(A34-1,Inputs!$F$40:$G$48,2,TRUE())</f>
        <v>0.0457048</v>
      </c>
      <c r="I34" s="28" t="n">
        <f aca="false">H34+Inputs!C10</f>
        <v>0.1132048</v>
      </c>
      <c r="J34" s="10" t="n">
        <f aca="false">SUMIFS(Daily!$L$6:$L$2400,Daily!$B$6:$B$2400,A34)</f>
        <v>7047.46275409836</v>
      </c>
      <c r="K34" s="10" t="n">
        <f aca="false">SUMIFS(Daily!$M$6:$M$2400,Daily!$B$6:$B$2400,A34)</f>
        <v>1245.08196721311</v>
      </c>
      <c r="L34" s="11" t="n">
        <f aca="false">J34+K34</f>
        <v>8292.54472131148</v>
      </c>
      <c r="M34" s="11" t="n">
        <f aca="false">P33</f>
        <v>171791.534523917</v>
      </c>
      <c r="N34" s="10" t="n">
        <f aca="false">SUMIFS(Cash_Events!$H$6:$H$20,Cash_Events!$C$6:$C$20,"FHL",Cash_Events!$D$6:$D$20,"JV",Cash_Events!$M$6:$M$20,A34)</f>
        <v>0</v>
      </c>
      <c r="O34" s="10" t="n">
        <f aca="false">SUMIFS(Cash_Events!$H$6:$H$20,Cash_Events!$C$6:$C$20,"FHL",Cash_Events!$D$6:$D$20,"800S",Cash_Events!$M$6:$M$20,A34)</f>
        <v>0</v>
      </c>
      <c r="P34" s="11" t="n">
        <f aca="false">M34+J34-N34-O34</f>
        <v>178838.997278015</v>
      </c>
      <c r="Q34" s="11" t="n">
        <f aca="false">S33</f>
        <v>21297.6133123737</v>
      </c>
      <c r="R34" s="10" t="n">
        <f aca="false">SUMIFS(Cash_Events!$I$6:$I$20,Cash_Events!$C$6:$C$20,"FHL",Cash_Events!$M$6:$M$20,A34)</f>
        <v>0</v>
      </c>
      <c r="S34" s="11" t="n">
        <f aca="false">Q34+K34-R34</f>
        <v>22542.6952795868</v>
      </c>
      <c r="T34" s="13" t="n">
        <f aca="false">P34+S34</f>
        <v>201381.692557602</v>
      </c>
      <c r="U34" s="13" t="n">
        <f aca="false">G34+T34</f>
        <v>936381.692557602</v>
      </c>
      <c r="V34" s="11" t="n">
        <f aca="false">V33+L34</f>
        <v>386048.582557602</v>
      </c>
      <c r="W34" s="11" t="n">
        <f aca="false">W33+N34+O34+R34</f>
        <v>184666.89</v>
      </c>
      <c r="X34" s="11" t="n">
        <f aca="false">ROUND(V34-W34-T34,2)</f>
        <v>0</v>
      </c>
      <c r="Y34" s="2"/>
    </row>
    <row r="35" customFormat="false" ht="15" hidden="false" customHeight="false" outlineLevel="0" collapsed="false">
      <c r="A35" s="32" t="n">
        <f aca="false">EOMONTH(A34,1)</f>
        <v>45688</v>
      </c>
      <c r="B35" s="32" t="n">
        <f aca="false">A34</f>
        <v>45657</v>
      </c>
      <c r="C35" s="39" t="n">
        <f aca="false">A35-B35</f>
        <v>31</v>
      </c>
      <c r="D35" s="9" t="str">
        <f aca="false">IF(A35&lt;=EOMONTH(Inputs!$B$18,-1),"Actual","Projection")</f>
        <v>Actual</v>
      </c>
      <c r="E35" s="11" t="n">
        <f aca="false">G34</f>
        <v>735000</v>
      </c>
      <c r="F35" s="10" t="n">
        <f aca="false">SUMIFS(Cash_Events!$G$6:$G$20,Cash_Events!$C$6:$C$20,"FHL",Cash_Events!$M$6:$M$20,A35)</f>
        <v>0</v>
      </c>
      <c r="G35" s="11" t="n">
        <f aca="false">E35-F35</f>
        <v>735000</v>
      </c>
      <c r="H35" s="28" t="n">
        <f aca="false">VLOOKUP(A35-1,Inputs!$F$40:$G$48,2,TRUE())</f>
        <v>0.0457048</v>
      </c>
      <c r="I35" s="28" t="n">
        <f aca="false">H35+Inputs!C10</f>
        <v>0.1132048</v>
      </c>
      <c r="J35" s="10" t="n">
        <f aca="false">SUMIFS(Daily!$L$6:$L$2400,Daily!$B$6:$B$2400,A35)</f>
        <v>7066.14802874467</v>
      </c>
      <c r="K35" s="10" t="n">
        <f aca="false">SUMIFS(Daily!$M$6:$M$2400,Daily!$B$6:$B$2400,A35)</f>
        <v>1248.38311250842</v>
      </c>
      <c r="L35" s="11" t="n">
        <f aca="false">J35+K35</f>
        <v>8314.53114125309</v>
      </c>
      <c r="M35" s="11" t="n">
        <f aca="false">P34</f>
        <v>178838.997278015</v>
      </c>
      <c r="N35" s="10" t="n">
        <f aca="false">SUMIFS(Cash_Events!$H$6:$H$20,Cash_Events!$C$6:$C$20,"FHL",Cash_Events!$D$6:$D$20,"JV",Cash_Events!$M$6:$M$20,A35)</f>
        <v>0</v>
      </c>
      <c r="O35" s="10" t="n">
        <f aca="false">SUMIFS(Cash_Events!$H$6:$H$20,Cash_Events!$C$6:$C$20,"FHL",Cash_Events!$D$6:$D$20,"800S",Cash_Events!$M$6:$M$20,A35)</f>
        <v>0</v>
      </c>
      <c r="P35" s="11" t="n">
        <f aca="false">M35+J35-N35-O35</f>
        <v>185905.14530676</v>
      </c>
      <c r="Q35" s="11" t="n">
        <f aca="false">S34</f>
        <v>22542.6952795868</v>
      </c>
      <c r="R35" s="10" t="n">
        <f aca="false">SUMIFS(Cash_Events!$I$6:$I$20,Cash_Events!$C$6:$C$20,"FHL",Cash_Events!$M$6:$M$20,A35)</f>
        <v>0</v>
      </c>
      <c r="S35" s="11" t="n">
        <f aca="false">Q35+K35-R35</f>
        <v>23791.0783920952</v>
      </c>
      <c r="T35" s="13" t="n">
        <f aca="false">P35+S35</f>
        <v>209696.223698855</v>
      </c>
      <c r="U35" s="13" t="n">
        <f aca="false">G35+T35</f>
        <v>944696.223698855</v>
      </c>
      <c r="V35" s="11" t="n">
        <f aca="false">V34+L35</f>
        <v>394363.113698855</v>
      </c>
      <c r="W35" s="11" t="n">
        <f aca="false">W34+N35+O35+R35</f>
        <v>184666.89</v>
      </c>
      <c r="X35" s="11" t="n">
        <f aca="false">ROUND(V35-W35-T35,2)</f>
        <v>0</v>
      </c>
      <c r="Y35" s="2"/>
    </row>
    <row r="36" customFormat="false" ht="15" hidden="false" customHeight="false" outlineLevel="0" collapsed="false">
      <c r="A36" s="32" t="n">
        <f aca="false">EOMONTH(A35,1)</f>
        <v>45716</v>
      </c>
      <c r="B36" s="32" t="n">
        <f aca="false">A35</f>
        <v>45688</v>
      </c>
      <c r="C36" s="39" t="n">
        <f aca="false">A36-B36</f>
        <v>28</v>
      </c>
      <c r="D36" s="9" t="str">
        <f aca="false">IF(A36&lt;=EOMONTH(Inputs!$B$18,-1),"Actual","Projection")</f>
        <v>Actual</v>
      </c>
      <c r="E36" s="11" t="n">
        <f aca="false">G35</f>
        <v>735000</v>
      </c>
      <c r="F36" s="10" t="n">
        <f aca="false">SUMIFS(Cash_Events!$G$6:$G$20,Cash_Events!$C$6:$C$20,"FHL",Cash_Events!$M$6:$M$20,A36)</f>
        <v>0</v>
      </c>
      <c r="G36" s="11" t="n">
        <f aca="false">E36-F36</f>
        <v>735000</v>
      </c>
      <c r="H36" s="28" t="n">
        <f aca="false">VLOOKUP(A36-1,Inputs!$F$40:$G$48,2,TRUE())</f>
        <v>0.0457048</v>
      </c>
      <c r="I36" s="28" t="n">
        <f aca="false">H36+Inputs!C10</f>
        <v>0.1132048</v>
      </c>
      <c r="J36" s="10" t="n">
        <f aca="false">SUMIFS(Daily!$L$6:$L$2400,Daily!$B$6:$B$2400,A36)</f>
        <v>6382.88981917808</v>
      </c>
      <c r="K36" s="10" t="n">
        <f aca="false">SUMIFS(Daily!$M$6:$M$2400,Daily!$B$6:$B$2400,A36)</f>
        <v>1127.67123287671</v>
      </c>
      <c r="L36" s="11" t="n">
        <f aca="false">J36+K36</f>
        <v>7510.56105205479</v>
      </c>
      <c r="M36" s="11" t="n">
        <f aca="false">P35</f>
        <v>185905.14530676</v>
      </c>
      <c r="N36" s="10" t="n">
        <f aca="false">SUMIFS(Cash_Events!$H$6:$H$20,Cash_Events!$C$6:$C$20,"FHL",Cash_Events!$D$6:$D$20,"JV",Cash_Events!$M$6:$M$20,A36)</f>
        <v>0</v>
      </c>
      <c r="O36" s="10" t="n">
        <f aca="false">SUMIFS(Cash_Events!$H$6:$H$20,Cash_Events!$C$6:$C$20,"FHL",Cash_Events!$D$6:$D$20,"800S",Cash_Events!$M$6:$M$20,A36)</f>
        <v>0</v>
      </c>
      <c r="P36" s="11" t="n">
        <f aca="false">M36+J36-N36-O36</f>
        <v>192288.035125938</v>
      </c>
      <c r="Q36" s="11" t="n">
        <f aca="false">S35</f>
        <v>23791.0783920952</v>
      </c>
      <c r="R36" s="10" t="n">
        <f aca="false">SUMIFS(Cash_Events!$I$6:$I$20,Cash_Events!$C$6:$C$20,"FHL",Cash_Events!$M$6:$M$20,A36)</f>
        <v>0</v>
      </c>
      <c r="S36" s="11" t="n">
        <f aca="false">Q36+K36-R36</f>
        <v>24918.7496249719</v>
      </c>
      <c r="T36" s="13" t="n">
        <f aca="false">P36+S36</f>
        <v>217206.78475091</v>
      </c>
      <c r="U36" s="13" t="n">
        <f aca="false">G36+T36</f>
        <v>952206.78475091</v>
      </c>
      <c r="V36" s="11" t="n">
        <f aca="false">V35+L36</f>
        <v>401873.67475091</v>
      </c>
      <c r="W36" s="11" t="n">
        <f aca="false">W35+N36+O36+R36</f>
        <v>184666.89</v>
      </c>
      <c r="X36" s="11" t="n">
        <f aca="false">ROUND(V36-W36-T36,2)</f>
        <v>0</v>
      </c>
      <c r="Y36" s="2"/>
    </row>
    <row r="37" customFormat="false" ht="15" hidden="false" customHeight="false" outlineLevel="0" collapsed="false">
      <c r="A37" s="32" t="n">
        <f aca="false">EOMONTH(A36,1)</f>
        <v>45747</v>
      </c>
      <c r="B37" s="32" t="n">
        <f aca="false">A36</f>
        <v>45716</v>
      </c>
      <c r="C37" s="39" t="n">
        <f aca="false">A37-B37</f>
        <v>31</v>
      </c>
      <c r="D37" s="9" t="str">
        <f aca="false">IF(A37&lt;=EOMONTH(Inputs!$B$18,-1),"Actual","Projection")</f>
        <v>Actual</v>
      </c>
      <c r="E37" s="11" t="n">
        <f aca="false">G36</f>
        <v>735000</v>
      </c>
      <c r="F37" s="10" t="n">
        <f aca="false">SUMIFS(Cash_Events!$G$6:$G$20,Cash_Events!$C$6:$C$20,"FHL",Cash_Events!$M$6:$M$20,A37)</f>
        <v>0</v>
      </c>
      <c r="G37" s="11" t="n">
        <f aca="false">E37-F37</f>
        <v>735000</v>
      </c>
      <c r="H37" s="28" t="n">
        <f aca="false">VLOOKUP(A37-1,Inputs!$F$40:$G$48,2,TRUE())</f>
        <v>0.0420238</v>
      </c>
      <c r="I37" s="28" t="n">
        <f aca="false">H37+Inputs!C10</f>
        <v>0.1095238</v>
      </c>
      <c r="J37" s="10" t="n">
        <f aca="false">SUMIFS(Daily!$L$6:$L$2400,Daily!$B$6:$B$2400,A37)</f>
        <v>6962.9969260274</v>
      </c>
      <c r="K37" s="10" t="n">
        <f aca="false">SUMIFS(Daily!$M$6:$M$2400,Daily!$B$6:$B$2400,A37)</f>
        <v>1248.49315068493</v>
      </c>
      <c r="L37" s="11" t="n">
        <f aca="false">J37+K37</f>
        <v>8211.49007671233</v>
      </c>
      <c r="M37" s="11" t="n">
        <f aca="false">P36</f>
        <v>192288.035125938</v>
      </c>
      <c r="N37" s="10" t="n">
        <f aca="false">SUMIFS(Cash_Events!$H$6:$H$20,Cash_Events!$C$6:$C$20,"FHL",Cash_Events!$D$6:$D$20,"JV",Cash_Events!$M$6:$M$20,A37)</f>
        <v>0</v>
      </c>
      <c r="O37" s="10" t="n">
        <f aca="false">SUMIFS(Cash_Events!$H$6:$H$20,Cash_Events!$C$6:$C$20,"FHL",Cash_Events!$D$6:$D$20,"800S",Cash_Events!$M$6:$M$20,A37)</f>
        <v>0</v>
      </c>
      <c r="P37" s="11" t="n">
        <f aca="false">M37+J37-N37-O37</f>
        <v>199251.032051965</v>
      </c>
      <c r="Q37" s="11" t="n">
        <f aca="false">S36</f>
        <v>24918.7496249719</v>
      </c>
      <c r="R37" s="10" t="n">
        <f aca="false">SUMIFS(Cash_Events!$I$6:$I$20,Cash_Events!$C$6:$C$20,"FHL",Cash_Events!$M$6:$M$20,A37)</f>
        <v>0</v>
      </c>
      <c r="S37" s="11" t="n">
        <f aca="false">Q37+K37-R37</f>
        <v>26167.2427756569</v>
      </c>
      <c r="T37" s="13" t="n">
        <f aca="false">P37+S37</f>
        <v>225418.274827622</v>
      </c>
      <c r="U37" s="13" t="n">
        <f aca="false">G37+T37</f>
        <v>960418.274827622</v>
      </c>
      <c r="V37" s="11" t="n">
        <f aca="false">V36+L37</f>
        <v>410085.164827622</v>
      </c>
      <c r="W37" s="11" t="n">
        <f aca="false">W36+N37+O37+R37</f>
        <v>184666.89</v>
      </c>
      <c r="X37" s="11" t="n">
        <f aca="false">ROUND(V37-W37-T37,2)</f>
        <v>0</v>
      </c>
      <c r="Y37" s="2" t="s">
        <v>259</v>
      </c>
    </row>
    <row r="38" customFormat="false" ht="15" hidden="false" customHeight="false" outlineLevel="0" collapsed="false">
      <c r="A38" s="32" t="n">
        <f aca="false">EOMONTH(A37,1)</f>
        <v>45777</v>
      </c>
      <c r="B38" s="32" t="n">
        <f aca="false">A37</f>
        <v>45747</v>
      </c>
      <c r="C38" s="39" t="n">
        <f aca="false">A38-B38</f>
        <v>30</v>
      </c>
      <c r="D38" s="9" t="str">
        <f aca="false">IF(A38&lt;=EOMONTH(Inputs!$B$18,-1),"Actual","Projection")</f>
        <v>Actual</v>
      </c>
      <c r="E38" s="11" t="n">
        <f aca="false">G37</f>
        <v>735000</v>
      </c>
      <c r="F38" s="10" t="n">
        <f aca="false">SUMIFS(Cash_Events!$G$6:$G$20,Cash_Events!$C$6:$C$20,"FHL",Cash_Events!$M$6:$M$20,A38)</f>
        <v>0</v>
      </c>
      <c r="G38" s="11" t="n">
        <f aca="false">E38-F38</f>
        <v>735000</v>
      </c>
      <c r="H38" s="28" t="n">
        <f aca="false">VLOOKUP(A38-1,Inputs!$F$40:$G$48,2,TRUE())</f>
        <v>0.0420238</v>
      </c>
      <c r="I38" s="28" t="n">
        <f aca="false">H38+Inputs!C10</f>
        <v>0.1095238</v>
      </c>
      <c r="J38" s="10" t="n">
        <f aca="false">SUMIFS(Daily!$L$6:$L$2400,Daily!$B$6:$B$2400,A38)</f>
        <v>6616.43778082192</v>
      </c>
      <c r="K38" s="10" t="n">
        <f aca="false">SUMIFS(Daily!$M$6:$M$2400,Daily!$B$6:$B$2400,A38)</f>
        <v>1208.21917808219</v>
      </c>
      <c r="L38" s="11" t="n">
        <f aca="false">J38+K38</f>
        <v>7824.65695890411</v>
      </c>
      <c r="M38" s="11" t="n">
        <f aca="false">P37</f>
        <v>199251.032051965</v>
      </c>
      <c r="N38" s="10" t="n">
        <f aca="false">SUMIFS(Cash_Events!$H$6:$H$20,Cash_Events!$C$6:$C$20,"FHL",Cash_Events!$D$6:$D$20,"JV",Cash_Events!$M$6:$M$20,A38)</f>
        <v>0</v>
      </c>
      <c r="O38" s="10" t="n">
        <f aca="false">SUMIFS(Cash_Events!$H$6:$H$20,Cash_Events!$C$6:$C$20,"FHL",Cash_Events!$D$6:$D$20,"800S",Cash_Events!$M$6:$M$20,A38)</f>
        <v>0</v>
      </c>
      <c r="P38" s="11" t="n">
        <f aca="false">M38+J38-N38-O38</f>
        <v>205867.469832787</v>
      </c>
      <c r="Q38" s="11" t="n">
        <f aca="false">S37</f>
        <v>26167.2427756569</v>
      </c>
      <c r="R38" s="10" t="n">
        <f aca="false">SUMIFS(Cash_Events!$I$6:$I$20,Cash_Events!$C$6:$C$20,"FHL",Cash_Events!$M$6:$M$20,A38)</f>
        <v>0</v>
      </c>
      <c r="S38" s="11" t="n">
        <f aca="false">Q38+K38-R38</f>
        <v>27375.4619537391</v>
      </c>
      <c r="T38" s="13" t="n">
        <f aca="false">P38+S38</f>
        <v>233242.931786526</v>
      </c>
      <c r="U38" s="13" t="n">
        <f aca="false">G38+T38</f>
        <v>968242.931786526</v>
      </c>
      <c r="V38" s="11" t="n">
        <f aca="false">V37+L38</f>
        <v>417909.821786526</v>
      </c>
      <c r="W38" s="11" t="n">
        <f aca="false">W37+N38+O38+R38</f>
        <v>184666.89</v>
      </c>
      <c r="X38" s="11" t="n">
        <f aca="false">ROUND(V38-W38-T38,2)</f>
        <v>0</v>
      </c>
      <c r="Y38" s="2"/>
    </row>
    <row r="39" customFormat="false" ht="15" hidden="false" customHeight="false" outlineLevel="0" collapsed="false">
      <c r="A39" s="32" t="n">
        <f aca="false">EOMONTH(A38,1)</f>
        <v>45808</v>
      </c>
      <c r="B39" s="32" t="n">
        <f aca="false">A38</f>
        <v>45777</v>
      </c>
      <c r="C39" s="39" t="n">
        <f aca="false">A39-B39</f>
        <v>31</v>
      </c>
      <c r="D39" s="9" t="str">
        <f aca="false">IF(A39&lt;=EOMONTH(Inputs!$B$18,-1),"Actual","Projection")</f>
        <v>Actual</v>
      </c>
      <c r="E39" s="11" t="n">
        <f aca="false">G38</f>
        <v>735000</v>
      </c>
      <c r="F39" s="10" t="n">
        <f aca="false">SUMIFS(Cash_Events!$G$6:$G$20,Cash_Events!$C$6:$C$20,"FHL",Cash_Events!$M$6:$M$20,A39)</f>
        <v>0</v>
      </c>
      <c r="G39" s="11" t="n">
        <f aca="false">E39-F39</f>
        <v>735000</v>
      </c>
      <c r="H39" s="28" t="n">
        <f aca="false">VLOOKUP(A39-1,Inputs!$F$40:$G$48,2,TRUE())</f>
        <v>0.0420238</v>
      </c>
      <c r="I39" s="28" t="n">
        <f aca="false">H39+Inputs!C10</f>
        <v>0.1095238</v>
      </c>
      <c r="J39" s="10" t="n">
        <f aca="false">SUMIFS(Daily!$L$6:$L$2400,Daily!$B$6:$B$2400,A39)</f>
        <v>6836.98570684932</v>
      </c>
      <c r="K39" s="10" t="n">
        <f aca="false">SUMIFS(Daily!$M$6:$M$2400,Daily!$B$6:$B$2400,A39)</f>
        <v>1248.49315068493</v>
      </c>
      <c r="L39" s="11" t="n">
        <f aca="false">J39+K39</f>
        <v>8085.47885753425</v>
      </c>
      <c r="M39" s="11" t="n">
        <f aca="false">P38</f>
        <v>205867.469832787</v>
      </c>
      <c r="N39" s="10" t="n">
        <f aca="false">SUMIFS(Cash_Events!$H$6:$H$20,Cash_Events!$C$6:$C$20,"FHL",Cash_Events!$D$6:$D$20,"JV",Cash_Events!$M$6:$M$20,A39)</f>
        <v>0</v>
      </c>
      <c r="O39" s="10" t="n">
        <f aca="false">SUMIFS(Cash_Events!$H$6:$H$20,Cash_Events!$C$6:$C$20,"FHL",Cash_Events!$D$6:$D$20,"800S",Cash_Events!$M$6:$M$20,A39)</f>
        <v>0</v>
      </c>
      <c r="P39" s="11" t="n">
        <f aca="false">M39+J39-N39-O39</f>
        <v>212704.455539636</v>
      </c>
      <c r="Q39" s="11" t="n">
        <f aca="false">S38</f>
        <v>27375.4619537391</v>
      </c>
      <c r="R39" s="10" t="n">
        <f aca="false">SUMIFS(Cash_Events!$I$6:$I$20,Cash_Events!$C$6:$C$20,"FHL",Cash_Events!$M$6:$M$20,A39)</f>
        <v>0</v>
      </c>
      <c r="S39" s="11" t="n">
        <f aca="false">Q39+K39-R39</f>
        <v>28623.955104424</v>
      </c>
      <c r="T39" s="13" t="n">
        <f aca="false">P39+S39</f>
        <v>241328.41064406</v>
      </c>
      <c r="U39" s="13" t="n">
        <f aca="false">G39+T39</f>
        <v>976328.41064406</v>
      </c>
      <c r="V39" s="11" t="n">
        <f aca="false">V38+L39</f>
        <v>425995.30064406</v>
      </c>
      <c r="W39" s="11" t="n">
        <f aca="false">W38+N39+O39+R39</f>
        <v>184666.89</v>
      </c>
      <c r="X39" s="11" t="n">
        <f aca="false">ROUND(V39-W39-T39,2)</f>
        <v>0</v>
      </c>
      <c r="Y39" s="2"/>
    </row>
    <row r="40" customFormat="false" ht="15" hidden="false" customHeight="false" outlineLevel="0" collapsed="false">
      <c r="A40" s="32" t="n">
        <f aca="false">EOMONTH(A39,1)</f>
        <v>45838</v>
      </c>
      <c r="B40" s="32" t="n">
        <f aca="false">A39</f>
        <v>45808</v>
      </c>
      <c r="C40" s="39" t="n">
        <f aca="false">A40-B40</f>
        <v>30</v>
      </c>
      <c r="D40" s="9" t="str">
        <f aca="false">IF(A40&lt;=EOMONTH(Inputs!$B$18,-1),"Actual","Projection")</f>
        <v>Actual</v>
      </c>
      <c r="E40" s="11" t="n">
        <f aca="false">G39</f>
        <v>735000</v>
      </c>
      <c r="F40" s="10" t="n">
        <f aca="false">SUMIFS(Cash_Events!$G$6:$G$20,Cash_Events!$C$6:$C$20,"FHL",Cash_Events!$M$6:$M$20,A40)</f>
        <v>0</v>
      </c>
      <c r="G40" s="11" t="n">
        <f aca="false">E40-F40</f>
        <v>735000</v>
      </c>
      <c r="H40" s="28" t="n">
        <f aca="false">VLOOKUP(A40-1,Inputs!$F$40:$G$48,2,TRUE())</f>
        <v>0.0420238</v>
      </c>
      <c r="I40" s="28" t="n">
        <f aca="false">H40+Inputs!C10</f>
        <v>0.1095238</v>
      </c>
      <c r="J40" s="10" t="n">
        <f aca="false">SUMIFS(Daily!$L$6:$L$2400,Daily!$B$6:$B$2400,A40)</f>
        <v>6616.43778082192</v>
      </c>
      <c r="K40" s="10" t="n">
        <f aca="false">SUMIFS(Daily!$M$6:$M$2400,Daily!$B$6:$B$2400,A40)</f>
        <v>1208.21917808219</v>
      </c>
      <c r="L40" s="11" t="n">
        <f aca="false">J40+K40</f>
        <v>7824.65695890411</v>
      </c>
      <c r="M40" s="11" t="n">
        <f aca="false">P39</f>
        <v>212704.455539636</v>
      </c>
      <c r="N40" s="10" t="n">
        <f aca="false">SUMIFS(Cash_Events!$H$6:$H$20,Cash_Events!$C$6:$C$20,"FHL",Cash_Events!$D$6:$D$20,"JV",Cash_Events!$M$6:$M$20,A40)</f>
        <v>0</v>
      </c>
      <c r="O40" s="10" t="n">
        <f aca="false">SUMIFS(Cash_Events!$H$6:$H$20,Cash_Events!$C$6:$C$20,"FHL",Cash_Events!$D$6:$D$20,"800S",Cash_Events!$M$6:$M$20,A40)</f>
        <v>0</v>
      </c>
      <c r="P40" s="11" t="n">
        <f aca="false">M40+J40-N40-O40</f>
        <v>219320.893320458</v>
      </c>
      <c r="Q40" s="11" t="n">
        <f aca="false">S39</f>
        <v>28623.955104424</v>
      </c>
      <c r="R40" s="10" t="n">
        <f aca="false">SUMIFS(Cash_Events!$I$6:$I$20,Cash_Events!$C$6:$C$20,"FHL",Cash_Events!$M$6:$M$20,A40)</f>
        <v>0</v>
      </c>
      <c r="S40" s="11" t="n">
        <f aca="false">Q40+K40-R40</f>
        <v>29832.1742825062</v>
      </c>
      <c r="T40" s="13" t="n">
        <f aca="false">P40+S40</f>
        <v>249153.067602964</v>
      </c>
      <c r="U40" s="13" t="n">
        <f aca="false">G40+T40</f>
        <v>984153.067602964</v>
      </c>
      <c r="V40" s="11" t="n">
        <f aca="false">V39+L40</f>
        <v>433819.957602964</v>
      </c>
      <c r="W40" s="11" t="n">
        <f aca="false">W39+N40+O40+R40</f>
        <v>184666.89</v>
      </c>
      <c r="X40" s="11" t="n">
        <f aca="false">ROUND(V40-W40-T40,2)</f>
        <v>0</v>
      </c>
      <c r="Y40" s="2"/>
    </row>
    <row r="41" customFormat="false" ht="15" hidden="false" customHeight="false" outlineLevel="0" collapsed="false">
      <c r="A41" s="32" t="n">
        <f aca="false">EOMONTH(A40,1)</f>
        <v>45869</v>
      </c>
      <c r="B41" s="32" t="n">
        <f aca="false">A40</f>
        <v>45838</v>
      </c>
      <c r="C41" s="39" t="n">
        <f aca="false">A41-B41</f>
        <v>31</v>
      </c>
      <c r="D41" s="9" t="str">
        <f aca="false">IF(A41&lt;=EOMONTH(Inputs!$B$18,-1),"Actual","Projection")</f>
        <v>Actual</v>
      </c>
      <c r="E41" s="11" t="n">
        <f aca="false">G40</f>
        <v>735000</v>
      </c>
      <c r="F41" s="10" t="n">
        <f aca="false">SUMIFS(Cash_Events!$G$6:$G$20,Cash_Events!$C$6:$C$20,"FHL",Cash_Events!$M$6:$M$20,A41)</f>
        <v>0</v>
      </c>
      <c r="G41" s="11" t="n">
        <f aca="false">E41-F41</f>
        <v>735000</v>
      </c>
      <c r="H41" s="28" t="n">
        <f aca="false">VLOOKUP(A41-1,Inputs!$F$40:$G$48,2,TRUE())</f>
        <v>0.0420238</v>
      </c>
      <c r="I41" s="28" t="n">
        <f aca="false">H41+Inputs!C10</f>
        <v>0.1095238</v>
      </c>
      <c r="J41" s="10" t="n">
        <f aca="false">SUMIFS(Daily!$L$6:$L$2400,Daily!$B$6:$B$2400,A41)</f>
        <v>6836.98570684932</v>
      </c>
      <c r="K41" s="10" t="n">
        <f aca="false">SUMIFS(Daily!$M$6:$M$2400,Daily!$B$6:$B$2400,A41)</f>
        <v>1248.49315068493</v>
      </c>
      <c r="L41" s="11" t="n">
        <f aca="false">J41+K41</f>
        <v>8085.47885753425</v>
      </c>
      <c r="M41" s="11" t="n">
        <f aca="false">P40</f>
        <v>219320.893320458</v>
      </c>
      <c r="N41" s="10" t="n">
        <f aca="false">SUMIFS(Cash_Events!$H$6:$H$20,Cash_Events!$C$6:$C$20,"FHL",Cash_Events!$D$6:$D$20,"JV",Cash_Events!$M$6:$M$20,A41)</f>
        <v>0</v>
      </c>
      <c r="O41" s="10" t="n">
        <f aca="false">SUMIFS(Cash_Events!$H$6:$H$20,Cash_Events!$C$6:$C$20,"FHL",Cash_Events!$D$6:$D$20,"800S",Cash_Events!$M$6:$M$20,A41)</f>
        <v>0</v>
      </c>
      <c r="P41" s="11" t="n">
        <f aca="false">M41+J41-N41-O41</f>
        <v>226157.879027308</v>
      </c>
      <c r="Q41" s="11" t="n">
        <f aca="false">S40</f>
        <v>29832.1742825062</v>
      </c>
      <c r="R41" s="10" t="n">
        <f aca="false">SUMIFS(Cash_Events!$I$6:$I$20,Cash_Events!$C$6:$C$20,"FHL",Cash_Events!$M$6:$M$20,A41)</f>
        <v>0</v>
      </c>
      <c r="S41" s="11" t="n">
        <f aca="false">Q41+K41-R41</f>
        <v>31080.6674331911</v>
      </c>
      <c r="T41" s="13" t="n">
        <f aca="false">P41+S41</f>
        <v>257238.546460499</v>
      </c>
      <c r="U41" s="13" t="n">
        <f aca="false">G41+T41</f>
        <v>992238.546460499</v>
      </c>
      <c r="V41" s="11" t="n">
        <f aca="false">V40+L41</f>
        <v>441905.436460499</v>
      </c>
      <c r="W41" s="11" t="n">
        <f aca="false">W40+N41+O41+R41</f>
        <v>184666.89</v>
      </c>
      <c r="X41" s="11" t="n">
        <f aca="false">ROUND(V41-W41-T41,2)</f>
        <v>0</v>
      </c>
      <c r="Y41" s="2"/>
    </row>
    <row r="42" customFormat="false" ht="15" hidden="false" customHeight="false" outlineLevel="0" collapsed="false">
      <c r="A42" s="32" t="n">
        <f aca="false">EOMONTH(A41,1)</f>
        <v>45900</v>
      </c>
      <c r="B42" s="32" t="n">
        <f aca="false">A41</f>
        <v>45869</v>
      </c>
      <c r="C42" s="39" t="n">
        <f aca="false">A42-B42</f>
        <v>31</v>
      </c>
      <c r="D42" s="9" t="str">
        <f aca="false">IF(A42&lt;=EOMONTH(Inputs!$B$18,-1),"Actual","Projection")</f>
        <v>Actual</v>
      </c>
      <c r="E42" s="11" t="n">
        <f aca="false">G41</f>
        <v>735000</v>
      </c>
      <c r="F42" s="10" t="n">
        <f aca="false">SUMIFS(Cash_Events!$G$6:$G$20,Cash_Events!$C$6:$C$20,"FHL",Cash_Events!$M$6:$M$20,A42)</f>
        <v>0</v>
      </c>
      <c r="G42" s="11" t="n">
        <f aca="false">E42-F42</f>
        <v>735000</v>
      </c>
      <c r="H42" s="28" t="n">
        <f aca="false">VLOOKUP(A42-1,Inputs!$F$40:$G$48,2,TRUE())</f>
        <v>0.0420238</v>
      </c>
      <c r="I42" s="28" t="n">
        <f aca="false">H42+Inputs!C10</f>
        <v>0.1095238</v>
      </c>
      <c r="J42" s="10" t="n">
        <f aca="false">SUMIFS(Daily!$L$6:$L$2400,Daily!$B$6:$B$2400,A42)</f>
        <v>6836.98570684932</v>
      </c>
      <c r="K42" s="10" t="n">
        <f aca="false">SUMIFS(Daily!$M$6:$M$2400,Daily!$B$6:$B$2400,A42)</f>
        <v>1248.49315068493</v>
      </c>
      <c r="L42" s="11" t="n">
        <f aca="false">J42+K42</f>
        <v>8085.47885753425</v>
      </c>
      <c r="M42" s="11" t="n">
        <f aca="false">P41</f>
        <v>226157.879027308</v>
      </c>
      <c r="N42" s="10" t="n">
        <f aca="false">SUMIFS(Cash_Events!$H$6:$H$20,Cash_Events!$C$6:$C$20,"FHL",Cash_Events!$D$6:$D$20,"JV",Cash_Events!$M$6:$M$20,A42)</f>
        <v>0</v>
      </c>
      <c r="O42" s="10" t="n">
        <f aca="false">SUMIFS(Cash_Events!$H$6:$H$20,Cash_Events!$C$6:$C$20,"FHL",Cash_Events!$D$6:$D$20,"800S",Cash_Events!$M$6:$M$20,A42)</f>
        <v>0</v>
      </c>
      <c r="P42" s="11" t="n">
        <f aca="false">M42+J42-N42-O42</f>
        <v>232994.864734157</v>
      </c>
      <c r="Q42" s="11" t="n">
        <f aca="false">S41</f>
        <v>31080.6674331911</v>
      </c>
      <c r="R42" s="10" t="n">
        <f aca="false">SUMIFS(Cash_Events!$I$6:$I$20,Cash_Events!$C$6:$C$20,"FHL",Cash_Events!$M$6:$M$20,A42)</f>
        <v>0</v>
      </c>
      <c r="S42" s="11" t="n">
        <f aca="false">Q42+K42-R42</f>
        <v>32329.160583876</v>
      </c>
      <c r="T42" s="13" t="n">
        <f aca="false">P42+S42</f>
        <v>265324.025318033</v>
      </c>
      <c r="U42" s="13" t="n">
        <f aca="false">G42+T42</f>
        <v>1000324.02531803</v>
      </c>
      <c r="V42" s="11" t="n">
        <f aca="false">V41+L42</f>
        <v>449990.915318033</v>
      </c>
      <c r="W42" s="11" t="n">
        <f aca="false">W41+N42+O42+R42</f>
        <v>184666.89</v>
      </c>
      <c r="X42" s="11" t="n">
        <f aca="false">ROUND(V42-W42-T42,2)</f>
        <v>0</v>
      </c>
      <c r="Y42" s="2"/>
    </row>
    <row r="43" customFormat="false" ht="15" hidden="false" customHeight="false" outlineLevel="0" collapsed="false">
      <c r="A43" s="32" t="n">
        <f aca="false">EOMONTH(A42,1)</f>
        <v>45930</v>
      </c>
      <c r="B43" s="32" t="n">
        <f aca="false">A42</f>
        <v>45900</v>
      </c>
      <c r="C43" s="39" t="n">
        <f aca="false">A43-B43</f>
        <v>30</v>
      </c>
      <c r="D43" s="9" t="str">
        <f aca="false">IF(A43&lt;=EOMONTH(Inputs!$B$18,-1),"Actual","Projection")</f>
        <v>Actual</v>
      </c>
      <c r="E43" s="11" t="n">
        <f aca="false">G42</f>
        <v>735000</v>
      </c>
      <c r="F43" s="10" t="n">
        <f aca="false">SUMIFS(Cash_Events!$G$6:$G$20,Cash_Events!$C$6:$C$20,"FHL",Cash_Events!$M$6:$M$20,A43)</f>
        <v>0</v>
      </c>
      <c r="G43" s="11" t="n">
        <f aca="false">E43-F43</f>
        <v>735000</v>
      </c>
      <c r="H43" s="28" t="n">
        <f aca="false">VLOOKUP(A43-1,Inputs!$F$40:$G$48,2,TRUE())</f>
        <v>0.0386433</v>
      </c>
      <c r="I43" s="28" t="n">
        <f aca="false">H43+Inputs!C10</f>
        <v>0.1061433</v>
      </c>
      <c r="J43" s="10" t="n">
        <f aca="false">SUMIFS(Daily!$L$6:$L$2400,Daily!$B$6:$B$2400,A43)</f>
        <v>6514.32815753425</v>
      </c>
      <c r="K43" s="10" t="n">
        <f aca="false">SUMIFS(Daily!$M$6:$M$2400,Daily!$B$6:$B$2400,A43)</f>
        <v>1208.21917808219</v>
      </c>
      <c r="L43" s="11" t="n">
        <f aca="false">J43+K43</f>
        <v>7722.54733561644</v>
      </c>
      <c r="M43" s="11" t="n">
        <f aca="false">P42</f>
        <v>232994.864734157</v>
      </c>
      <c r="N43" s="10" t="n">
        <f aca="false">SUMIFS(Cash_Events!$H$6:$H$20,Cash_Events!$C$6:$C$20,"FHL",Cash_Events!$D$6:$D$20,"JV",Cash_Events!$M$6:$M$20,A43)</f>
        <v>0</v>
      </c>
      <c r="O43" s="10" t="n">
        <f aca="false">SUMIFS(Cash_Events!$H$6:$H$20,Cash_Events!$C$6:$C$20,"FHL",Cash_Events!$D$6:$D$20,"800S",Cash_Events!$M$6:$M$20,A43)</f>
        <v>0</v>
      </c>
      <c r="P43" s="11" t="n">
        <f aca="false">M43+J43-N43-O43</f>
        <v>239509.192891691</v>
      </c>
      <c r="Q43" s="11" t="n">
        <f aca="false">S42</f>
        <v>32329.160583876</v>
      </c>
      <c r="R43" s="10" t="n">
        <f aca="false">SUMIFS(Cash_Events!$I$6:$I$20,Cash_Events!$C$6:$C$20,"FHL",Cash_Events!$M$6:$M$20,A43)</f>
        <v>0</v>
      </c>
      <c r="S43" s="11" t="n">
        <f aca="false">Q43+K43-R43</f>
        <v>33537.3797619582</v>
      </c>
      <c r="T43" s="13" t="n">
        <f aca="false">P43+S43</f>
        <v>273046.572653649</v>
      </c>
      <c r="U43" s="13" t="n">
        <f aca="false">G43+T43</f>
        <v>1008046.57265365</v>
      </c>
      <c r="V43" s="11" t="n">
        <f aca="false">V42+L43</f>
        <v>457713.462653649</v>
      </c>
      <c r="W43" s="11" t="n">
        <f aca="false">W42+N43+O43+R43</f>
        <v>184666.89</v>
      </c>
      <c r="X43" s="11" t="n">
        <f aca="false">ROUND(V43-W43-T43,2)</f>
        <v>0</v>
      </c>
      <c r="Y43" s="2" t="s">
        <v>260</v>
      </c>
    </row>
    <row r="44" customFormat="false" ht="15" hidden="false" customHeight="false" outlineLevel="0" collapsed="false">
      <c r="A44" s="32" t="n">
        <f aca="false">EOMONTH(A43,1)</f>
        <v>45961</v>
      </c>
      <c r="B44" s="32" t="n">
        <f aca="false">A43</f>
        <v>45930</v>
      </c>
      <c r="C44" s="39" t="n">
        <f aca="false">A44-B44</f>
        <v>31</v>
      </c>
      <c r="D44" s="9" t="str">
        <f aca="false">IF(A44&lt;=EOMONTH(Inputs!$B$18,-1),"Actual","Projection")</f>
        <v>Actual</v>
      </c>
      <c r="E44" s="11" t="n">
        <f aca="false">G43</f>
        <v>735000</v>
      </c>
      <c r="F44" s="10" t="n">
        <f aca="false">SUMIFS(Cash_Events!$G$6:$G$20,Cash_Events!$C$6:$C$20,"FHL",Cash_Events!$M$6:$M$20,A44)</f>
        <v>0</v>
      </c>
      <c r="G44" s="11" t="n">
        <f aca="false">E44-F44</f>
        <v>735000</v>
      </c>
      <c r="H44" s="28" t="n">
        <f aca="false">VLOOKUP(A44-1,Inputs!$F$40:$G$48,2,TRUE())</f>
        <v>0.0386433</v>
      </c>
      <c r="I44" s="28" t="n">
        <f aca="false">H44+Inputs!C10</f>
        <v>0.1061433</v>
      </c>
      <c r="J44" s="10" t="n">
        <f aca="false">SUMIFS(Daily!$L$6:$L$2400,Daily!$B$6:$B$2400,A44)</f>
        <v>6625.95915205479</v>
      </c>
      <c r="K44" s="10" t="n">
        <f aca="false">SUMIFS(Daily!$M$6:$M$2400,Daily!$B$6:$B$2400,A44)</f>
        <v>1248.49315068493</v>
      </c>
      <c r="L44" s="11" t="n">
        <f aca="false">J44+K44</f>
        <v>7874.45230273973</v>
      </c>
      <c r="M44" s="11" t="n">
        <f aca="false">P43</f>
        <v>239509.192891691</v>
      </c>
      <c r="N44" s="10" t="n">
        <f aca="false">SUMIFS(Cash_Events!$H$6:$H$20,Cash_Events!$C$6:$C$20,"FHL",Cash_Events!$D$6:$D$20,"JV",Cash_Events!$M$6:$M$20,A44)</f>
        <v>0</v>
      </c>
      <c r="O44" s="10" t="n">
        <f aca="false">SUMIFS(Cash_Events!$H$6:$H$20,Cash_Events!$C$6:$C$20,"FHL",Cash_Events!$D$6:$D$20,"800S",Cash_Events!$M$6:$M$20,A44)</f>
        <v>0</v>
      </c>
      <c r="P44" s="11" t="n">
        <f aca="false">M44+J44-N44-O44</f>
        <v>246135.152043746</v>
      </c>
      <c r="Q44" s="11" t="n">
        <f aca="false">S43</f>
        <v>33537.3797619582</v>
      </c>
      <c r="R44" s="10" t="n">
        <f aca="false">SUMIFS(Cash_Events!$I$6:$I$20,Cash_Events!$C$6:$C$20,"FHL",Cash_Events!$M$6:$M$20,A44)</f>
        <v>0</v>
      </c>
      <c r="S44" s="11" t="n">
        <f aca="false">Q44+K44-R44</f>
        <v>34785.8729126432</v>
      </c>
      <c r="T44" s="13" t="n">
        <f aca="false">P44+S44</f>
        <v>280921.024956389</v>
      </c>
      <c r="U44" s="13" t="n">
        <f aca="false">G44+T44</f>
        <v>1015921.02495639</v>
      </c>
      <c r="V44" s="11" t="n">
        <f aca="false">V43+L44</f>
        <v>465587.914956389</v>
      </c>
      <c r="W44" s="11" t="n">
        <f aca="false">W43+N44+O44+R44</f>
        <v>184666.89</v>
      </c>
      <c r="X44" s="11" t="n">
        <f aca="false">ROUND(V44-W44-T44,2)</f>
        <v>0</v>
      </c>
      <c r="Y44" s="2"/>
    </row>
    <row r="45" customFormat="false" ht="15" hidden="false" customHeight="false" outlineLevel="0" collapsed="false">
      <c r="A45" s="32" t="n">
        <f aca="false">EOMONTH(A44,1)</f>
        <v>45991</v>
      </c>
      <c r="B45" s="32" t="n">
        <f aca="false">A44</f>
        <v>45961</v>
      </c>
      <c r="C45" s="39" t="n">
        <f aca="false">A45-B45</f>
        <v>30</v>
      </c>
      <c r="D45" s="9" t="str">
        <f aca="false">IF(A45&lt;=EOMONTH(Inputs!$B$18,-1),"Actual","Projection")</f>
        <v>Actual</v>
      </c>
      <c r="E45" s="11" t="n">
        <f aca="false">G44</f>
        <v>735000</v>
      </c>
      <c r="F45" s="10" t="n">
        <f aca="false">SUMIFS(Cash_Events!$G$6:$G$20,Cash_Events!$C$6:$C$20,"FHL",Cash_Events!$M$6:$M$20,A45)</f>
        <v>0</v>
      </c>
      <c r="G45" s="11" t="n">
        <f aca="false">E45-F45</f>
        <v>735000</v>
      </c>
      <c r="H45" s="28" t="n">
        <f aca="false">VLOOKUP(A45-1,Inputs!$F$40:$G$48,2,TRUE())</f>
        <v>0.0386433</v>
      </c>
      <c r="I45" s="28" t="n">
        <f aca="false">H45+Inputs!C10</f>
        <v>0.1061433</v>
      </c>
      <c r="J45" s="10" t="n">
        <f aca="false">SUMIFS(Daily!$L$6:$L$2400,Daily!$B$6:$B$2400,A45)</f>
        <v>6412.21853424658</v>
      </c>
      <c r="K45" s="10" t="n">
        <f aca="false">SUMIFS(Daily!$M$6:$M$2400,Daily!$B$6:$B$2400,A45)</f>
        <v>1208.21917808219</v>
      </c>
      <c r="L45" s="11" t="n">
        <f aca="false">J45+K45</f>
        <v>7620.43771232877</v>
      </c>
      <c r="M45" s="11" t="n">
        <f aca="false">P44</f>
        <v>246135.152043746</v>
      </c>
      <c r="N45" s="10" t="n">
        <f aca="false">SUMIFS(Cash_Events!$H$6:$H$20,Cash_Events!$C$6:$C$20,"FHL",Cash_Events!$D$6:$D$20,"JV",Cash_Events!$M$6:$M$20,A45)</f>
        <v>0</v>
      </c>
      <c r="O45" s="10" t="n">
        <f aca="false">SUMIFS(Cash_Events!$H$6:$H$20,Cash_Events!$C$6:$C$20,"FHL",Cash_Events!$D$6:$D$20,"800S",Cash_Events!$M$6:$M$20,A45)</f>
        <v>0</v>
      </c>
      <c r="P45" s="11" t="n">
        <f aca="false">M45+J45-N45-O45</f>
        <v>252547.370577992</v>
      </c>
      <c r="Q45" s="11" t="n">
        <f aca="false">S44</f>
        <v>34785.8729126432</v>
      </c>
      <c r="R45" s="10" t="n">
        <f aca="false">SUMIFS(Cash_Events!$I$6:$I$20,Cash_Events!$C$6:$C$20,"FHL",Cash_Events!$M$6:$M$20,A45)</f>
        <v>0</v>
      </c>
      <c r="S45" s="11" t="n">
        <f aca="false">Q45+K45-R45</f>
        <v>35994.0920907254</v>
      </c>
      <c r="T45" s="13" t="n">
        <f aca="false">P45+S45</f>
        <v>288541.462668718</v>
      </c>
      <c r="U45" s="13" t="n">
        <f aca="false">G45+T45</f>
        <v>1023541.46266872</v>
      </c>
      <c r="V45" s="11" t="n">
        <f aca="false">V44+L45</f>
        <v>473208.352668718</v>
      </c>
      <c r="W45" s="11" t="n">
        <f aca="false">W44+N45+O45+R45</f>
        <v>184666.89</v>
      </c>
      <c r="X45" s="11" t="n">
        <f aca="false">ROUND(V45-W45-T45,2)</f>
        <v>0</v>
      </c>
      <c r="Y45" s="2"/>
    </row>
    <row r="46" customFormat="false" ht="15" hidden="false" customHeight="false" outlineLevel="0" collapsed="false">
      <c r="A46" s="32" t="n">
        <f aca="false">EOMONTH(A45,1)</f>
        <v>46022</v>
      </c>
      <c r="B46" s="32" t="n">
        <f aca="false">A45</f>
        <v>45991</v>
      </c>
      <c r="C46" s="39" t="n">
        <f aca="false">A46-B46</f>
        <v>31</v>
      </c>
      <c r="D46" s="9" t="str">
        <f aca="false">IF(A46&lt;=EOMONTH(Inputs!$B$18,-1),"Actual","Projection")</f>
        <v>Actual</v>
      </c>
      <c r="E46" s="11" t="n">
        <f aca="false">G45</f>
        <v>735000</v>
      </c>
      <c r="F46" s="10" t="n">
        <f aca="false">SUMIFS(Cash_Events!$G$6:$G$20,Cash_Events!$C$6:$C$20,"FHL",Cash_Events!$M$6:$M$20,A46)</f>
        <v>0</v>
      </c>
      <c r="G46" s="11" t="n">
        <f aca="false">E46-F46</f>
        <v>735000</v>
      </c>
      <c r="H46" s="28" t="n">
        <f aca="false">VLOOKUP(A46-1,Inputs!$F$40:$G$48,2,TRUE())</f>
        <v>0.0386433</v>
      </c>
      <c r="I46" s="28" t="n">
        <f aca="false">H46+Inputs!C10</f>
        <v>0.1061433</v>
      </c>
      <c r="J46" s="10" t="n">
        <f aca="false">SUMIFS(Daily!$L$6:$L$2400,Daily!$B$6:$B$2400,A46)</f>
        <v>6625.95915205479</v>
      </c>
      <c r="K46" s="10" t="n">
        <f aca="false">SUMIFS(Daily!$M$6:$M$2400,Daily!$B$6:$B$2400,A46)</f>
        <v>1248.49315068493</v>
      </c>
      <c r="L46" s="11" t="n">
        <f aca="false">J46+K46</f>
        <v>7874.45230273973</v>
      </c>
      <c r="M46" s="11" t="n">
        <f aca="false">P45</f>
        <v>252547.370577992</v>
      </c>
      <c r="N46" s="10" t="n">
        <f aca="false">SUMIFS(Cash_Events!$H$6:$H$20,Cash_Events!$C$6:$C$20,"FHL",Cash_Events!$D$6:$D$20,"JV",Cash_Events!$M$6:$M$20,A46)</f>
        <v>0</v>
      </c>
      <c r="O46" s="10" t="n">
        <f aca="false">SUMIFS(Cash_Events!$H$6:$H$20,Cash_Events!$C$6:$C$20,"FHL",Cash_Events!$D$6:$D$20,"800S",Cash_Events!$M$6:$M$20,A46)</f>
        <v>0</v>
      </c>
      <c r="P46" s="11" t="n">
        <f aca="false">M46+J46-N46-O46</f>
        <v>259173.329730047</v>
      </c>
      <c r="Q46" s="11" t="n">
        <f aca="false">S45</f>
        <v>35994.0920907254</v>
      </c>
      <c r="R46" s="10" t="n">
        <f aca="false">SUMIFS(Cash_Events!$I$6:$I$20,Cash_Events!$C$6:$C$20,"FHL",Cash_Events!$M$6:$M$20,A46)</f>
        <v>0</v>
      </c>
      <c r="S46" s="11" t="n">
        <f aca="false">Q46+K46-R46</f>
        <v>37242.5852414103</v>
      </c>
      <c r="T46" s="13" t="n">
        <f aca="false">P46+S46</f>
        <v>296415.914971458</v>
      </c>
      <c r="U46" s="13" t="n">
        <f aca="false">G46+T46</f>
        <v>1031415.91497146</v>
      </c>
      <c r="V46" s="11" t="n">
        <f aca="false">V45+L46</f>
        <v>481082.804971457</v>
      </c>
      <c r="W46" s="11" t="n">
        <f aca="false">W45+N46+O46+R46</f>
        <v>184666.89</v>
      </c>
      <c r="X46" s="11" t="n">
        <f aca="false">ROUND(V46-W46-T46,2)</f>
        <v>0</v>
      </c>
      <c r="Y46" s="2"/>
    </row>
    <row r="47" customFormat="false" ht="15" hidden="false" customHeight="false" outlineLevel="0" collapsed="false">
      <c r="A47" s="32" t="n">
        <f aca="false">EOMONTH(A46,1)</f>
        <v>46053</v>
      </c>
      <c r="B47" s="32" t="n">
        <f aca="false">A46</f>
        <v>46022</v>
      </c>
      <c r="C47" s="39" t="n">
        <f aca="false">A47-B47</f>
        <v>31</v>
      </c>
      <c r="D47" s="9" t="str">
        <f aca="false">IF(A47&lt;=EOMONTH(Inputs!$B$18,-1),"Actual","Projection")</f>
        <v>Actual</v>
      </c>
      <c r="E47" s="11" t="n">
        <f aca="false">G46</f>
        <v>735000</v>
      </c>
      <c r="F47" s="10" t="n">
        <f aca="false">SUMIFS(Cash_Events!$G$6:$G$20,Cash_Events!$C$6:$C$20,"FHL",Cash_Events!$M$6:$M$20,A47)</f>
        <v>0</v>
      </c>
      <c r="G47" s="11" t="n">
        <f aca="false">E47-F47</f>
        <v>735000</v>
      </c>
      <c r="H47" s="28" t="n">
        <f aca="false">VLOOKUP(A47-1,Inputs!$F$40:$G$48,2,TRUE())</f>
        <v>0.0386433</v>
      </c>
      <c r="I47" s="28" t="n">
        <f aca="false">H47+Inputs!C10</f>
        <v>0.1061433</v>
      </c>
      <c r="J47" s="10" t="n">
        <f aca="false">SUMIFS(Daily!$L$6:$L$2400,Daily!$B$6:$B$2400,A47)</f>
        <v>6625.95915205479</v>
      </c>
      <c r="K47" s="10" t="n">
        <f aca="false">SUMIFS(Daily!$M$6:$M$2400,Daily!$B$6:$B$2400,A47)</f>
        <v>1248.49315068493</v>
      </c>
      <c r="L47" s="11" t="n">
        <f aca="false">J47+K47</f>
        <v>7874.45230273973</v>
      </c>
      <c r="M47" s="11" t="n">
        <f aca="false">P46</f>
        <v>259173.329730047</v>
      </c>
      <c r="N47" s="10" t="n">
        <f aca="false">SUMIFS(Cash_Events!$H$6:$H$20,Cash_Events!$C$6:$C$20,"FHL",Cash_Events!$D$6:$D$20,"JV",Cash_Events!$M$6:$M$20,A47)</f>
        <v>0</v>
      </c>
      <c r="O47" s="10" t="n">
        <f aca="false">SUMIFS(Cash_Events!$H$6:$H$20,Cash_Events!$C$6:$C$20,"FHL",Cash_Events!$D$6:$D$20,"800S",Cash_Events!$M$6:$M$20,A47)</f>
        <v>0</v>
      </c>
      <c r="P47" s="11" t="n">
        <f aca="false">M47+J47-N47-O47</f>
        <v>265799.288882102</v>
      </c>
      <c r="Q47" s="11" t="n">
        <f aca="false">S46</f>
        <v>37242.5852414103</v>
      </c>
      <c r="R47" s="10" t="n">
        <f aca="false">SUMIFS(Cash_Events!$I$6:$I$20,Cash_Events!$C$6:$C$20,"FHL",Cash_Events!$M$6:$M$20,A47)</f>
        <v>0</v>
      </c>
      <c r="S47" s="11" t="n">
        <f aca="false">Q47+K47-R47</f>
        <v>38491.0783920952</v>
      </c>
      <c r="T47" s="13" t="n">
        <f aca="false">P47+S47</f>
        <v>304290.367274197</v>
      </c>
      <c r="U47" s="13" t="n">
        <f aca="false">G47+T47</f>
        <v>1039290.3672742</v>
      </c>
      <c r="V47" s="11" t="n">
        <f aca="false">V46+L47</f>
        <v>488957.257274197</v>
      </c>
      <c r="W47" s="11" t="n">
        <f aca="false">W46+N47+O47+R47</f>
        <v>184666.89</v>
      </c>
      <c r="X47" s="11" t="n">
        <f aca="false">ROUND(V47-W47-T47,2)</f>
        <v>0</v>
      </c>
      <c r="Y47" s="2"/>
    </row>
    <row r="48" customFormat="false" ht="15" hidden="false" customHeight="false" outlineLevel="0" collapsed="false">
      <c r="A48" s="32" t="n">
        <f aca="false">EOMONTH(A47,1)</f>
        <v>46081</v>
      </c>
      <c r="B48" s="32" t="n">
        <f aca="false">A47</f>
        <v>46053</v>
      </c>
      <c r="C48" s="39" t="n">
        <f aca="false">A48-B48</f>
        <v>28</v>
      </c>
      <c r="D48" s="9" t="str">
        <f aca="false">IF(A48&lt;=EOMONTH(Inputs!$B$18,-1),"Actual","Projection")</f>
        <v>Actual</v>
      </c>
      <c r="E48" s="11" t="n">
        <f aca="false">G47</f>
        <v>735000</v>
      </c>
      <c r="F48" s="10" t="n">
        <f aca="false">SUMIFS(Cash_Events!$G$6:$G$20,Cash_Events!$C$6:$C$20,"FHL",Cash_Events!$M$6:$M$20,A48)</f>
        <v>0</v>
      </c>
      <c r="G48" s="11" t="n">
        <f aca="false">E48-F48</f>
        <v>735000</v>
      </c>
      <c r="H48" s="28" t="n">
        <f aca="false">VLOOKUP(A48-1,Inputs!$F$40:$G$48,2,TRUE())</f>
        <v>0.0386433</v>
      </c>
      <c r="I48" s="28" t="n">
        <f aca="false">H48+Inputs!C10</f>
        <v>0.1061433</v>
      </c>
      <c r="J48" s="10" t="n">
        <f aca="false">SUMIFS(Daily!$L$6:$L$2400,Daily!$B$6:$B$2400,A48)</f>
        <v>5984.73729863014</v>
      </c>
      <c r="K48" s="10" t="n">
        <f aca="false">SUMIFS(Daily!$M$6:$M$2400,Daily!$B$6:$B$2400,A48)</f>
        <v>1127.67123287671</v>
      </c>
      <c r="L48" s="11" t="n">
        <f aca="false">J48+K48</f>
        <v>7112.40853150685</v>
      </c>
      <c r="M48" s="11" t="n">
        <f aca="false">P47</f>
        <v>265799.288882102</v>
      </c>
      <c r="N48" s="10" t="n">
        <f aca="false">SUMIFS(Cash_Events!$H$6:$H$20,Cash_Events!$C$6:$C$20,"FHL",Cash_Events!$D$6:$D$20,"JV",Cash_Events!$M$6:$M$20,A48)</f>
        <v>0</v>
      </c>
      <c r="O48" s="10" t="n">
        <f aca="false">SUMIFS(Cash_Events!$H$6:$H$20,Cash_Events!$C$6:$C$20,"FHL",Cash_Events!$D$6:$D$20,"800S",Cash_Events!$M$6:$M$20,A48)</f>
        <v>0</v>
      </c>
      <c r="P48" s="11" t="n">
        <f aca="false">M48+J48-N48-O48</f>
        <v>271784.026180732</v>
      </c>
      <c r="Q48" s="11" t="n">
        <f aca="false">S47</f>
        <v>38491.0783920952</v>
      </c>
      <c r="R48" s="10" t="n">
        <f aca="false">SUMIFS(Cash_Events!$I$6:$I$20,Cash_Events!$C$6:$C$20,"FHL",Cash_Events!$M$6:$M$20,A48)</f>
        <v>0</v>
      </c>
      <c r="S48" s="11" t="n">
        <f aca="false">Q48+K48-R48</f>
        <v>39618.7496249719</v>
      </c>
      <c r="T48" s="13" t="n">
        <f aca="false">P48+S48</f>
        <v>311402.775805704</v>
      </c>
      <c r="U48" s="13" t="n">
        <f aca="false">G48+T48</f>
        <v>1046402.7758057</v>
      </c>
      <c r="V48" s="11" t="n">
        <f aca="false">V47+L48</f>
        <v>496069.665805704</v>
      </c>
      <c r="W48" s="11" t="n">
        <f aca="false">W47+N48+O48+R48</f>
        <v>184666.89</v>
      </c>
      <c r="X48" s="11" t="n">
        <f aca="false">ROUND(V48-W48-T48,2)</f>
        <v>0</v>
      </c>
      <c r="Y48" s="2"/>
    </row>
    <row r="49" customFormat="false" ht="15" hidden="false" customHeight="false" outlineLevel="0" collapsed="false">
      <c r="A49" s="32" t="n">
        <f aca="false">EOMONTH(A48,1)</f>
        <v>46112</v>
      </c>
      <c r="B49" s="32" t="n">
        <f aca="false">A48</f>
        <v>46081</v>
      </c>
      <c r="C49" s="39" t="n">
        <f aca="false">A49-B49</f>
        <v>31</v>
      </c>
      <c r="D49" s="9" t="str">
        <f aca="false">IF(A49&lt;=EOMONTH(Inputs!$B$18,-1),"Actual","Projection")</f>
        <v>Actual</v>
      </c>
      <c r="E49" s="11" t="n">
        <f aca="false">G48</f>
        <v>735000</v>
      </c>
      <c r="F49" s="10" t="n">
        <f aca="false">SUMIFS(Cash_Events!$G$6:$G$20,Cash_Events!$C$6:$C$20,"FHL",Cash_Events!$M$6:$M$20,A49)</f>
        <v>0</v>
      </c>
      <c r="G49" s="11" t="n">
        <f aca="false">E49-F49</f>
        <v>735000</v>
      </c>
      <c r="H49" s="28" t="n">
        <f aca="false">VLOOKUP(A49-1,Inputs!$F$40:$G$48,2,TRUE())</f>
        <v>0.0364054</v>
      </c>
      <c r="I49" s="28" t="n">
        <f aca="false">H49+Inputs!C10</f>
        <v>0.1039054</v>
      </c>
      <c r="J49" s="10" t="n">
        <f aca="false">SUMIFS(Daily!$L$6:$L$2400,Daily!$B$6:$B$2400,A49)</f>
        <v>6558.36230958904</v>
      </c>
      <c r="K49" s="10" t="n">
        <f aca="false">SUMIFS(Daily!$M$6:$M$2400,Daily!$B$6:$B$2400,A49)</f>
        <v>1248.49315068493</v>
      </c>
      <c r="L49" s="11" t="n">
        <f aca="false">J49+K49</f>
        <v>7806.85546027397</v>
      </c>
      <c r="M49" s="11" t="n">
        <f aca="false">P48</f>
        <v>271784.026180732</v>
      </c>
      <c r="N49" s="10" t="n">
        <f aca="false">SUMIFS(Cash_Events!$H$6:$H$20,Cash_Events!$C$6:$C$20,"FHL",Cash_Events!$D$6:$D$20,"JV",Cash_Events!$M$6:$M$20,A49)</f>
        <v>0</v>
      </c>
      <c r="O49" s="10" t="n">
        <f aca="false">SUMIFS(Cash_Events!$H$6:$H$20,Cash_Events!$C$6:$C$20,"FHL",Cash_Events!$D$6:$D$20,"800S",Cash_Events!$M$6:$M$20,A49)</f>
        <v>0</v>
      </c>
      <c r="P49" s="11" t="n">
        <f aca="false">M49+J49-N49-O49</f>
        <v>278342.388490321</v>
      </c>
      <c r="Q49" s="11" t="n">
        <f aca="false">S48</f>
        <v>39618.7496249719</v>
      </c>
      <c r="R49" s="10" t="n">
        <f aca="false">SUMIFS(Cash_Events!$I$6:$I$20,Cash_Events!$C$6:$C$20,"FHL",Cash_Events!$M$6:$M$20,A49)</f>
        <v>0</v>
      </c>
      <c r="S49" s="11" t="n">
        <f aca="false">Q49+K49-R49</f>
        <v>40867.2427756569</v>
      </c>
      <c r="T49" s="13" t="n">
        <f aca="false">P49+S49</f>
        <v>319209.631265978</v>
      </c>
      <c r="U49" s="13" t="n">
        <f aca="false">G49+T49</f>
        <v>1054209.63126598</v>
      </c>
      <c r="V49" s="11" t="n">
        <f aca="false">V48+L49</f>
        <v>503876.521265978</v>
      </c>
      <c r="W49" s="11" t="n">
        <f aca="false">W48+N49+O49+R49</f>
        <v>184666.89</v>
      </c>
      <c r="X49" s="11" t="n">
        <f aca="false">ROUND(V49-W49-T49,2)</f>
        <v>0</v>
      </c>
      <c r="Y49" s="2" t="s">
        <v>261</v>
      </c>
    </row>
    <row r="50" customFormat="false" ht="15" hidden="false" customHeight="false" outlineLevel="0" collapsed="false">
      <c r="A50" s="32" t="n">
        <f aca="false">EOMONTH(A49,1)</f>
        <v>46142</v>
      </c>
      <c r="B50" s="32" t="n">
        <f aca="false">A49</f>
        <v>46112</v>
      </c>
      <c r="C50" s="39" t="n">
        <f aca="false">A50-B50</f>
        <v>30</v>
      </c>
      <c r="D50" s="9" t="str">
        <f aca="false">IF(A50&lt;=EOMONTH(Inputs!$B$18,-1),"Actual","Projection")</f>
        <v>Actual</v>
      </c>
      <c r="E50" s="11" t="n">
        <f aca="false">G49</f>
        <v>735000</v>
      </c>
      <c r="F50" s="10" t="n">
        <f aca="false">SUMIFS(Cash_Events!$G$6:$G$20,Cash_Events!$C$6:$C$20,"FHL",Cash_Events!$M$6:$M$20,A50)</f>
        <v>0</v>
      </c>
      <c r="G50" s="11" t="n">
        <f aca="false">E50-F50</f>
        <v>735000</v>
      </c>
      <c r="H50" s="28" t="n">
        <f aca="false">VLOOKUP(A50-1,Inputs!$F$40:$G$48,2,TRUE())</f>
        <v>0.0364054</v>
      </c>
      <c r="I50" s="28" t="n">
        <f aca="false">H50+Inputs!C10</f>
        <v>0.1039054</v>
      </c>
      <c r="J50" s="10" t="n">
        <f aca="false">SUMIFS(Daily!$L$6:$L$2400,Daily!$B$6:$B$2400,A50)</f>
        <v>6277.02484931507</v>
      </c>
      <c r="K50" s="10" t="n">
        <f aca="false">SUMIFS(Daily!$M$6:$M$2400,Daily!$B$6:$B$2400,A50)</f>
        <v>1208.21917808219</v>
      </c>
      <c r="L50" s="11" t="n">
        <f aca="false">J50+K50</f>
        <v>7485.24402739726</v>
      </c>
      <c r="M50" s="11" t="n">
        <f aca="false">P49</f>
        <v>278342.388490321</v>
      </c>
      <c r="N50" s="10" t="n">
        <f aca="false">SUMIFS(Cash_Events!$H$6:$H$20,Cash_Events!$C$6:$C$20,"FHL",Cash_Events!$D$6:$D$20,"JV",Cash_Events!$M$6:$M$20,A50)</f>
        <v>0</v>
      </c>
      <c r="O50" s="10" t="n">
        <f aca="false">SUMIFS(Cash_Events!$H$6:$H$20,Cash_Events!$C$6:$C$20,"FHL",Cash_Events!$D$6:$D$20,"800S",Cash_Events!$M$6:$M$20,A50)</f>
        <v>0</v>
      </c>
      <c r="P50" s="11" t="n">
        <f aca="false">M50+J50-N50-O50</f>
        <v>284619.413339636</v>
      </c>
      <c r="Q50" s="11" t="n">
        <f aca="false">S49</f>
        <v>40867.2427756569</v>
      </c>
      <c r="R50" s="10" t="n">
        <f aca="false">SUMIFS(Cash_Events!$I$6:$I$20,Cash_Events!$C$6:$C$20,"FHL",Cash_Events!$M$6:$M$20,A50)</f>
        <v>0</v>
      </c>
      <c r="S50" s="11" t="n">
        <f aca="false">Q50+K50-R50</f>
        <v>42075.461953739</v>
      </c>
      <c r="T50" s="13" t="n">
        <f aca="false">P50+S50</f>
        <v>326694.875293375</v>
      </c>
      <c r="U50" s="13" t="n">
        <f aca="false">G50+T50</f>
        <v>1061694.87529338</v>
      </c>
      <c r="V50" s="11" t="n">
        <f aca="false">V49+L50</f>
        <v>511361.765293375</v>
      </c>
      <c r="W50" s="11" t="n">
        <f aca="false">W49+N50+O50+R50</f>
        <v>184666.89</v>
      </c>
      <c r="X50" s="11" t="n">
        <f aca="false">ROUND(V50-W50-T50,2)</f>
        <v>0</v>
      </c>
      <c r="Y50" s="2"/>
    </row>
    <row r="51" customFormat="false" ht="15" hidden="false" customHeight="false" outlineLevel="0" collapsed="false">
      <c r="A51" s="32" t="n">
        <f aca="false">EOMONTH(A50,1)</f>
        <v>46173</v>
      </c>
      <c r="B51" s="32" t="n">
        <f aca="false">A50</f>
        <v>46142</v>
      </c>
      <c r="C51" s="39" t="n">
        <f aca="false">A51-B51</f>
        <v>31</v>
      </c>
      <c r="D51" s="9" t="str">
        <f aca="false">IF(A51&lt;=EOMONTH(Inputs!$B$18,-1),"Actual","Projection")</f>
        <v>Actual</v>
      </c>
      <c r="E51" s="11" t="n">
        <f aca="false">G50</f>
        <v>735000</v>
      </c>
      <c r="F51" s="10" t="n">
        <f aca="false">SUMIFS(Cash_Events!$G$6:$G$20,Cash_Events!$C$6:$C$20,"FHL",Cash_Events!$M$6:$M$20,A51)</f>
        <v>0</v>
      </c>
      <c r="G51" s="11" t="n">
        <f aca="false">E51-F51</f>
        <v>735000</v>
      </c>
      <c r="H51" s="28" t="n">
        <f aca="false">VLOOKUP(A51-1,Inputs!$F$40:$G$48,2,TRUE())</f>
        <v>0.0364054</v>
      </c>
      <c r="I51" s="28" t="n">
        <f aca="false">H51+Inputs!C10</f>
        <v>0.1039054</v>
      </c>
      <c r="J51" s="10" t="n">
        <f aca="false">SUMIFS(Daily!$L$6:$L$2400,Daily!$B$6:$B$2400,A51)</f>
        <v>6486.25901095891</v>
      </c>
      <c r="K51" s="10" t="n">
        <f aca="false">SUMIFS(Daily!$M$6:$M$2400,Daily!$B$6:$B$2400,A51)</f>
        <v>1248.49315068493</v>
      </c>
      <c r="L51" s="11" t="n">
        <f aca="false">J51+K51</f>
        <v>7734.75216164384</v>
      </c>
      <c r="M51" s="11" t="n">
        <f aca="false">P50</f>
        <v>284619.413339636</v>
      </c>
      <c r="N51" s="10" t="n">
        <f aca="false">SUMIFS(Cash_Events!$H$6:$H$20,Cash_Events!$C$6:$C$20,"FHL",Cash_Events!$D$6:$D$20,"JV",Cash_Events!$M$6:$M$20,A51)</f>
        <v>0</v>
      </c>
      <c r="O51" s="10" t="n">
        <f aca="false">SUMIFS(Cash_Events!$H$6:$H$20,Cash_Events!$C$6:$C$20,"FHL",Cash_Events!$D$6:$D$20,"800S",Cash_Events!$M$6:$M$20,A51)</f>
        <v>0</v>
      </c>
      <c r="P51" s="11" t="n">
        <f aca="false">M51+J51-N51-O51</f>
        <v>291105.672350595</v>
      </c>
      <c r="Q51" s="11" t="n">
        <f aca="false">S50</f>
        <v>42075.461953739</v>
      </c>
      <c r="R51" s="10" t="n">
        <f aca="false">SUMIFS(Cash_Events!$I$6:$I$20,Cash_Events!$C$6:$C$20,"FHL",Cash_Events!$M$6:$M$20,A51)</f>
        <v>0</v>
      </c>
      <c r="S51" s="11" t="n">
        <f aca="false">Q51+K51-R51</f>
        <v>43323.955104424</v>
      </c>
      <c r="T51" s="13" t="n">
        <f aca="false">P51+S51</f>
        <v>334429.627455019</v>
      </c>
      <c r="U51" s="13" t="n">
        <f aca="false">G51+T51</f>
        <v>1069429.62745502</v>
      </c>
      <c r="V51" s="11" t="n">
        <f aca="false">V50+L51</f>
        <v>519096.517455019</v>
      </c>
      <c r="W51" s="11" t="n">
        <f aca="false">W50+N51+O51+R51</f>
        <v>184666.89</v>
      </c>
      <c r="X51" s="11" t="n">
        <f aca="false">ROUND(V51-W51-T51,2)</f>
        <v>0</v>
      </c>
      <c r="Y51" s="2"/>
    </row>
    <row r="52" customFormat="false" ht="15" hidden="false" customHeight="false" outlineLevel="0" collapsed="false">
      <c r="A52" s="40" t="n">
        <f aca="false">EOMONTH(A51,1)</f>
        <v>46203</v>
      </c>
      <c r="B52" s="40" t="n">
        <f aca="false">A51</f>
        <v>46173</v>
      </c>
      <c r="C52" s="41" t="n">
        <f aca="false">A52-B52</f>
        <v>30</v>
      </c>
      <c r="D52" s="42" t="str">
        <f aca="false">IF(A52&lt;=EOMONTH(Inputs!$B$18,-1),"Actual","Projection")</f>
        <v>Actual</v>
      </c>
      <c r="E52" s="16" t="n">
        <f aca="false">G51</f>
        <v>735000</v>
      </c>
      <c r="F52" s="43" t="n">
        <f aca="false">SUMIFS(Cash_Events!$G$6:$G$20,Cash_Events!$C$6:$C$20,"FHL",Cash_Events!$M$6:$M$20,A52)</f>
        <v>0</v>
      </c>
      <c r="G52" s="16" t="n">
        <f aca="false">E52-F52</f>
        <v>735000</v>
      </c>
      <c r="H52" s="44" t="n">
        <f aca="false">VLOOKUP(A52-1,Inputs!$F$40:$G$48,2,TRUE())</f>
        <v>0.0364054</v>
      </c>
      <c r="I52" s="44" t="n">
        <f aca="false">H52+Inputs!C10</f>
        <v>0.1039054</v>
      </c>
      <c r="J52" s="43" t="n">
        <f aca="false">SUMIFS(Daily!$L$6:$L$2400,Daily!$B$6:$B$2400,A52)</f>
        <v>6277.02484931507</v>
      </c>
      <c r="K52" s="43" t="n">
        <f aca="false">SUMIFS(Daily!$M$6:$M$2400,Daily!$B$6:$B$2400,A52)</f>
        <v>1208.21917808219</v>
      </c>
      <c r="L52" s="16" t="n">
        <f aca="false">J52+K52</f>
        <v>7485.24402739726</v>
      </c>
      <c r="M52" s="16" t="n">
        <f aca="false">P51</f>
        <v>291105.672350595</v>
      </c>
      <c r="N52" s="43" t="n">
        <f aca="false">SUMIFS(Cash_Events!$H$6:$H$20,Cash_Events!$C$6:$C$20,"FHL",Cash_Events!$D$6:$D$20,"JV",Cash_Events!$M$6:$M$20,A52)</f>
        <v>0</v>
      </c>
      <c r="O52" s="43" t="n">
        <f aca="false">SUMIFS(Cash_Events!$H$6:$H$20,Cash_Events!$C$6:$C$20,"FHL",Cash_Events!$D$6:$D$20,"800S",Cash_Events!$M$6:$M$20,A52)</f>
        <v>0</v>
      </c>
      <c r="P52" s="16" t="n">
        <f aca="false">M52+J52-N52-O52</f>
        <v>297382.69719991</v>
      </c>
      <c r="Q52" s="16" t="n">
        <f aca="false">S51</f>
        <v>43323.955104424</v>
      </c>
      <c r="R52" s="43" t="n">
        <f aca="false">SUMIFS(Cash_Events!$I$6:$I$20,Cash_Events!$C$6:$C$20,"FHL",Cash_Events!$M$6:$M$20,A52)</f>
        <v>0</v>
      </c>
      <c r="S52" s="16" t="n">
        <f aca="false">Q52+K52-R52</f>
        <v>44532.1742825062</v>
      </c>
      <c r="T52" s="17" t="n">
        <f aca="false">P52+S52</f>
        <v>341914.871482416</v>
      </c>
      <c r="U52" s="17" t="n">
        <f aca="false">G52+T52</f>
        <v>1076914.87148242</v>
      </c>
      <c r="V52" s="16" t="n">
        <f aca="false">V51+L52</f>
        <v>526581.761482416</v>
      </c>
      <c r="W52" s="16" t="n">
        <f aca="false">W51+N52+O52+R52</f>
        <v>184666.89</v>
      </c>
      <c r="X52" s="16" t="n">
        <f aca="false">ROUND(V52-W52-T52,2)</f>
        <v>0</v>
      </c>
      <c r="Y52" s="45" t="s">
        <v>250</v>
      </c>
    </row>
    <row r="53" customFormat="false" ht="15" hidden="false" customHeight="false" outlineLevel="0" collapsed="false">
      <c r="A53" s="32" t="n">
        <f aca="false">EOMONTH(A52,1)</f>
        <v>46234</v>
      </c>
      <c r="B53" s="32" t="n">
        <f aca="false">A52</f>
        <v>46203</v>
      </c>
      <c r="C53" s="39" t="n">
        <f aca="false">A53-B53</f>
        <v>31</v>
      </c>
      <c r="D53" s="9" t="str">
        <f aca="false">IF(A53&lt;=EOMONTH(Inputs!$B$18,-1),"Actual","Projection")</f>
        <v>Actual</v>
      </c>
      <c r="E53" s="11" t="n">
        <f aca="false">G52</f>
        <v>735000</v>
      </c>
      <c r="F53" s="10" t="n">
        <f aca="false">SUMIFS(Cash_Events!$G$6:$G$20,Cash_Events!$C$6:$C$20,"FHL",Cash_Events!$M$6:$M$20,A53)</f>
        <v>0</v>
      </c>
      <c r="G53" s="11" t="n">
        <f aca="false">E53-F53</f>
        <v>735000</v>
      </c>
      <c r="H53" s="28" t="n">
        <f aca="false">VLOOKUP(A53-1,Inputs!$F$40:$G$48,2,TRUE())</f>
        <v>0.0364054</v>
      </c>
      <c r="I53" s="28" t="n">
        <f aca="false">H53+Inputs!C10</f>
        <v>0.1039054</v>
      </c>
      <c r="J53" s="10" t="n">
        <f aca="false">SUMIFS(Daily!$L$6:$L$2400,Daily!$B$6:$B$2400,A53)</f>
        <v>6486.25901095891</v>
      </c>
      <c r="K53" s="10" t="n">
        <f aca="false">SUMIFS(Daily!$M$6:$M$2400,Daily!$B$6:$B$2400,A53)</f>
        <v>1248.49315068493</v>
      </c>
      <c r="L53" s="11" t="n">
        <f aca="false">J53+K53</f>
        <v>7734.75216164384</v>
      </c>
      <c r="M53" s="11" t="n">
        <f aca="false">P52</f>
        <v>297382.69719991</v>
      </c>
      <c r="N53" s="10" t="n">
        <f aca="false">SUMIFS(Cash_Events!$H$6:$H$20,Cash_Events!$C$6:$C$20,"FHL",Cash_Events!$D$6:$D$20,"JV",Cash_Events!$M$6:$M$20,A53)</f>
        <v>0</v>
      </c>
      <c r="O53" s="10" t="n">
        <f aca="false">SUMIFS(Cash_Events!$H$6:$H$20,Cash_Events!$C$6:$C$20,"FHL",Cash_Events!$D$6:$D$20,"800S",Cash_Events!$M$6:$M$20,A53)</f>
        <v>0</v>
      </c>
      <c r="P53" s="11" t="n">
        <f aca="false">M53+J53-N53-O53</f>
        <v>303868.956210869</v>
      </c>
      <c r="Q53" s="11" t="n">
        <f aca="false">S52</f>
        <v>44532.1742825062</v>
      </c>
      <c r="R53" s="10" t="n">
        <f aca="false">SUMIFS(Cash_Events!$I$6:$I$20,Cash_Events!$C$6:$C$20,"FHL",Cash_Events!$M$6:$M$20,A53)</f>
        <v>0</v>
      </c>
      <c r="S53" s="11" t="n">
        <f aca="false">Q53+K53-R53</f>
        <v>45780.6674331911</v>
      </c>
      <c r="T53" s="13" t="n">
        <f aca="false">P53+S53</f>
        <v>349649.62364406</v>
      </c>
      <c r="U53" s="13" t="n">
        <f aca="false">G53+T53</f>
        <v>1084649.62364406</v>
      </c>
      <c r="V53" s="11" t="n">
        <f aca="false">V52+L53</f>
        <v>534316.51364406</v>
      </c>
      <c r="W53" s="11" t="n">
        <f aca="false">W52+N53+O53+R53</f>
        <v>184666.89</v>
      </c>
      <c r="X53" s="11" t="n">
        <f aca="false">ROUND(V53-W53-T53,2)</f>
        <v>0</v>
      </c>
      <c r="Y53" s="2"/>
    </row>
    <row r="54" customFormat="false" ht="15" hidden="false" customHeight="false" outlineLevel="0" collapsed="false">
      <c r="A54" s="32" t="n">
        <f aca="false">EOMONTH(A53,1)</f>
        <v>46265</v>
      </c>
      <c r="B54" s="32" t="n">
        <f aca="false">A53</f>
        <v>46234</v>
      </c>
      <c r="C54" s="39" t="n">
        <f aca="false">A54-B54</f>
        <v>31</v>
      </c>
      <c r="D54" s="9" t="str">
        <f aca="false">IF(A54&lt;=EOMONTH(Inputs!$B$18,-1),"Actual","Projection")</f>
        <v>Actual</v>
      </c>
      <c r="E54" s="11" t="n">
        <f aca="false">G53</f>
        <v>735000</v>
      </c>
      <c r="F54" s="10" t="n">
        <f aca="false">SUMIFS(Cash_Events!$G$6:$G$20,Cash_Events!$C$6:$C$20,"FHL",Cash_Events!$M$6:$M$20,A54)</f>
        <v>0</v>
      </c>
      <c r="G54" s="11" t="n">
        <f aca="false">E54-F54</f>
        <v>735000</v>
      </c>
      <c r="H54" s="28" t="n">
        <f aca="false">VLOOKUP(A54-1,Inputs!$F$40:$G$48,2,TRUE())</f>
        <v>0.0364054</v>
      </c>
      <c r="I54" s="28" t="n">
        <f aca="false">H54+Inputs!C10</f>
        <v>0.1039054</v>
      </c>
      <c r="J54" s="10" t="n">
        <f aca="false">SUMIFS(Daily!$L$6:$L$2400,Daily!$B$6:$B$2400,A54)</f>
        <v>6486.25901095891</v>
      </c>
      <c r="K54" s="10" t="n">
        <f aca="false">SUMIFS(Daily!$M$6:$M$2400,Daily!$B$6:$B$2400,A54)</f>
        <v>1248.49315068493</v>
      </c>
      <c r="L54" s="11" t="n">
        <f aca="false">J54+K54</f>
        <v>7734.75216164384</v>
      </c>
      <c r="M54" s="11" t="n">
        <f aca="false">P53</f>
        <v>303868.956210869</v>
      </c>
      <c r="N54" s="10" t="n">
        <f aca="false">SUMIFS(Cash_Events!$H$6:$H$20,Cash_Events!$C$6:$C$20,"FHL",Cash_Events!$D$6:$D$20,"JV",Cash_Events!$M$6:$M$20,A54)</f>
        <v>0</v>
      </c>
      <c r="O54" s="10" t="n">
        <f aca="false">SUMIFS(Cash_Events!$H$6:$H$20,Cash_Events!$C$6:$C$20,"FHL",Cash_Events!$D$6:$D$20,"800S",Cash_Events!$M$6:$M$20,A54)</f>
        <v>0</v>
      </c>
      <c r="P54" s="11" t="n">
        <f aca="false">M54+J54-N54-O54</f>
        <v>310355.215221828</v>
      </c>
      <c r="Q54" s="11" t="n">
        <f aca="false">S53</f>
        <v>45780.6674331911</v>
      </c>
      <c r="R54" s="10" t="n">
        <f aca="false">SUMIFS(Cash_Events!$I$6:$I$20,Cash_Events!$C$6:$C$20,"FHL",Cash_Events!$M$6:$M$20,A54)</f>
        <v>0</v>
      </c>
      <c r="S54" s="11" t="n">
        <f aca="false">Q54+K54-R54</f>
        <v>47029.160583876</v>
      </c>
      <c r="T54" s="13" t="n">
        <f aca="false">P54+S54</f>
        <v>357384.375805704</v>
      </c>
      <c r="U54" s="13" t="n">
        <f aca="false">G54+T54</f>
        <v>1092384.3758057</v>
      </c>
      <c r="V54" s="11" t="n">
        <f aca="false">V53+L54</f>
        <v>542051.265805704</v>
      </c>
      <c r="W54" s="11" t="n">
        <f aca="false">W53+N54+O54+R54</f>
        <v>184666.89</v>
      </c>
      <c r="X54" s="11" t="n">
        <f aca="false">ROUND(V54-W54-T54,2)</f>
        <v>0</v>
      </c>
      <c r="Y54" s="2"/>
    </row>
    <row r="55" customFormat="false" ht="15" hidden="false" customHeight="false" outlineLevel="0" collapsed="false">
      <c r="A55" s="32" t="n">
        <f aca="false">EOMONTH(A54,1)</f>
        <v>46295</v>
      </c>
      <c r="B55" s="32" t="n">
        <f aca="false">A54</f>
        <v>46265</v>
      </c>
      <c r="C55" s="39" t="n">
        <f aca="false">A55-B55</f>
        <v>30</v>
      </c>
      <c r="D55" s="9" t="str">
        <f aca="false">IF(A55&lt;=EOMONTH(Inputs!$B$18,-1),"Actual","Projection")</f>
        <v>Actual</v>
      </c>
      <c r="E55" s="11" t="n">
        <f aca="false">G54</f>
        <v>735000</v>
      </c>
      <c r="F55" s="10" t="n">
        <f aca="false">SUMIFS(Cash_Events!$G$6:$G$20,Cash_Events!$C$6:$C$20,"FHL",Cash_Events!$M$6:$M$20,A55)</f>
        <v>0</v>
      </c>
      <c r="G55" s="11" t="n">
        <f aca="false">E55-F55</f>
        <v>735000</v>
      </c>
      <c r="H55" s="28" t="n">
        <f aca="false">VLOOKUP(A55-1,Inputs!$F$40:$G$48,2,TRUE())</f>
        <v>0.0364054</v>
      </c>
      <c r="I55" s="28" t="n">
        <f aca="false">H55+Inputs!C10</f>
        <v>0.1039054</v>
      </c>
      <c r="J55" s="10" t="n">
        <f aca="false">SUMIFS(Daily!$L$6:$L$2400,Daily!$B$6:$B$2400,A55)</f>
        <v>6277.02484931507</v>
      </c>
      <c r="K55" s="10" t="n">
        <f aca="false">SUMIFS(Daily!$M$6:$M$2400,Daily!$B$6:$B$2400,A55)</f>
        <v>1208.21917808219</v>
      </c>
      <c r="L55" s="11" t="n">
        <f aca="false">J55+K55</f>
        <v>7485.24402739726</v>
      </c>
      <c r="M55" s="11" t="n">
        <f aca="false">P54</f>
        <v>310355.215221828</v>
      </c>
      <c r="N55" s="10" t="n">
        <f aca="false">SUMIFS(Cash_Events!$H$6:$H$20,Cash_Events!$C$6:$C$20,"FHL",Cash_Events!$D$6:$D$20,"JV",Cash_Events!$M$6:$M$20,A55)</f>
        <v>0</v>
      </c>
      <c r="O55" s="10" t="n">
        <f aca="false">SUMIFS(Cash_Events!$H$6:$H$20,Cash_Events!$C$6:$C$20,"FHL",Cash_Events!$D$6:$D$20,"800S",Cash_Events!$M$6:$M$20,A55)</f>
        <v>0</v>
      </c>
      <c r="P55" s="11" t="n">
        <f aca="false">M55+J55-N55-O55</f>
        <v>316632.240071143</v>
      </c>
      <c r="Q55" s="11" t="n">
        <f aca="false">S54</f>
        <v>47029.160583876</v>
      </c>
      <c r="R55" s="10" t="n">
        <f aca="false">SUMIFS(Cash_Events!$I$6:$I$20,Cash_Events!$C$6:$C$20,"FHL",Cash_Events!$M$6:$M$20,A55)</f>
        <v>0</v>
      </c>
      <c r="S55" s="11" t="n">
        <f aca="false">Q55+K55-R55</f>
        <v>48237.3797619582</v>
      </c>
      <c r="T55" s="13" t="n">
        <f aca="false">P55+S55</f>
        <v>364869.619833101</v>
      </c>
      <c r="U55" s="13" t="n">
        <f aca="false">G55+T55</f>
        <v>1099869.6198331</v>
      </c>
      <c r="V55" s="11" t="n">
        <f aca="false">V54+L55</f>
        <v>549536.509833101</v>
      </c>
      <c r="W55" s="11" t="n">
        <f aca="false">W54+N55+O55+R55</f>
        <v>184666.89</v>
      </c>
      <c r="X55" s="11" t="n">
        <f aca="false">ROUND(V55-W55-T55,2)</f>
        <v>0</v>
      </c>
      <c r="Y55" s="2" t="s">
        <v>262</v>
      </c>
    </row>
    <row r="56" customFormat="false" ht="15" hidden="false" customHeight="false" outlineLevel="0" collapsed="false">
      <c r="A56" s="46" t="n">
        <f aca="false">EOMONTH(A55,1)</f>
        <v>46326</v>
      </c>
      <c r="B56" s="46" t="n">
        <f aca="false">A55</f>
        <v>46295</v>
      </c>
      <c r="C56" s="47" t="n">
        <f aca="false">A56-B56</f>
        <v>31</v>
      </c>
      <c r="D56" s="48" t="str">
        <f aca="false">IF(A56&lt;=EOMONTH(Inputs!$B$18,-1),"Actual","Projection")</f>
        <v>Projection</v>
      </c>
      <c r="E56" s="49" t="n">
        <f aca="false">G55</f>
        <v>735000</v>
      </c>
      <c r="F56" s="50" t="n">
        <f aca="false">SUMIFS(Cash_Events!$G$6:$G$20,Cash_Events!$C$6:$C$20,"FHL",Cash_Events!$M$6:$M$20,A56)</f>
        <v>0</v>
      </c>
      <c r="G56" s="49" t="n">
        <f aca="false">E56-F56</f>
        <v>735000</v>
      </c>
      <c r="H56" s="51" t="n">
        <f aca="false">VLOOKUP(A56-1,Inputs!$F$40:$G$48,2,TRUE())</f>
        <v>0.0364054</v>
      </c>
      <c r="I56" s="51" t="n">
        <f aca="false">H56+Inputs!C10</f>
        <v>0.1039054</v>
      </c>
      <c r="J56" s="50" t="n">
        <f aca="false">SUMIFS(Daily!$L$6:$L$2400,Daily!$B$6:$B$2400,A56)</f>
        <v>6486.25901095891</v>
      </c>
      <c r="K56" s="50" t="n">
        <f aca="false">SUMIFS(Daily!$M$6:$M$2400,Daily!$B$6:$B$2400,A56)</f>
        <v>1248.49315068493</v>
      </c>
      <c r="L56" s="49" t="n">
        <f aca="false">J56+K56</f>
        <v>7734.75216164384</v>
      </c>
      <c r="M56" s="49" t="n">
        <f aca="false">P55</f>
        <v>316632.240071143</v>
      </c>
      <c r="N56" s="50" t="n">
        <f aca="false">SUMIFS(Cash_Events!$H$6:$H$20,Cash_Events!$C$6:$C$20,"FHL",Cash_Events!$D$6:$D$20,"JV",Cash_Events!$M$6:$M$20,A56)</f>
        <v>0</v>
      </c>
      <c r="O56" s="50" t="n">
        <f aca="false">SUMIFS(Cash_Events!$H$6:$H$20,Cash_Events!$C$6:$C$20,"FHL",Cash_Events!$D$6:$D$20,"800S",Cash_Events!$M$6:$M$20,A56)</f>
        <v>0</v>
      </c>
      <c r="P56" s="49" t="n">
        <f aca="false">M56+J56-N56-O56</f>
        <v>323118.499082102</v>
      </c>
      <c r="Q56" s="49" t="n">
        <f aca="false">S55</f>
        <v>48237.3797619582</v>
      </c>
      <c r="R56" s="50" t="n">
        <f aca="false">SUMIFS(Cash_Events!$I$6:$I$20,Cash_Events!$C$6:$C$20,"FHL",Cash_Events!$M$6:$M$20,A56)</f>
        <v>0</v>
      </c>
      <c r="S56" s="49" t="n">
        <f aca="false">Q56+K56-R56</f>
        <v>49485.8729126432</v>
      </c>
      <c r="T56" s="52" t="n">
        <f aca="false">P56+S56</f>
        <v>372604.371994745</v>
      </c>
      <c r="U56" s="52" t="n">
        <f aca="false">G56+T56</f>
        <v>1107604.37199475</v>
      </c>
      <c r="V56" s="49" t="n">
        <f aca="false">V55+L56</f>
        <v>557271.261994745</v>
      </c>
      <c r="W56" s="49" t="n">
        <f aca="false">W55+N56+O56+R56</f>
        <v>184666.89</v>
      </c>
      <c r="X56" s="49" t="n">
        <f aca="false">ROUND(V56-W56-T56,2)</f>
        <v>0</v>
      </c>
      <c r="Y56" s="2"/>
    </row>
    <row r="57" customFormat="false" ht="15" hidden="false" customHeight="false" outlineLevel="0" collapsed="false">
      <c r="A57" s="46" t="n">
        <f aca="false">EOMONTH(A56,1)</f>
        <v>46356</v>
      </c>
      <c r="B57" s="46" t="n">
        <f aca="false">A56</f>
        <v>46326</v>
      </c>
      <c r="C57" s="47" t="n">
        <f aca="false">A57-B57</f>
        <v>30</v>
      </c>
      <c r="D57" s="48" t="str">
        <f aca="false">IF(A57&lt;=EOMONTH(Inputs!$B$18,-1),"Actual","Projection")</f>
        <v>Projection</v>
      </c>
      <c r="E57" s="49" t="n">
        <f aca="false">G56</f>
        <v>735000</v>
      </c>
      <c r="F57" s="50" t="n">
        <f aca="false">SUMIFS(Cash_Events!$G$6:$G$20,Cash_Events!$C$6:$C$20,"FHL",Cash_Events!$M$6:$M$20,A57)</f>
        <v>0</v>
      </c>
      <c r="G57" s="49" t="n">
        <f aca="false">E57-F57</f>
        <v>735000</v>
      </c>
      <c r="H57" s="51" t="n">
        <f aca="false">VLOOKUP(A57-1,Inputs!$F$40:$G$48,2,TRUE())</f>
        <v>0.0364054</v>
      </c>
      <c r="I57" s="51" t="n">
        <f aca="false">H57+Inputs!C10</f>
        <v>0.1039054</v>
      </c>
      <c r="J57" s="50" t="n">
        <f aca="false">SUMIFS(Daily!$L$6:$L$2400,Daily!$B$6:$B$2400,A57)</f>
        <v>6277.02484931507</v>
      </c>
      <c r="K57" s="50" t="n">
        <f aca="false">SUMIFS(Daily!$M$6:$M$2400,Daily!$B$6:$B$2400,A57)</f>
        <v>1208.21917808219</v>
      </c>
      <c r="L57" s="49" t="n">
        <f aca="false">J57+K57</f>
        <v>7485.24402739726</v>
      </c>
      <c r="M57" s="49" t="n">
        <f aca="false">P56</f>
        <v>323118.499082102</v>
      </c>
      <c r="N57" s="50" t="n">
        <f aca="false">SUMIFS(Cash_Events!$H$6:$H$20,Cash_Events!$C$6:$C$20,"FHL",Cash_Events!$D$6:$D$20,"JV",Cash_Events!$M$6:$M$20,A57)</f>
        <v>0</v>
      </c>
      <c r="O57" s="50" t="n">
        <f aca="false">SUMIFS(Cash_Events!$H$6:$H$20,Cash_Events!$C$6:$C$20,"FHL",Cash_Events!$D$6:$D$20,"800S",Cash_Events!$M$6:$M$20,A57)</f>
        <v>0</v>
      </c>
      <c r="P57" s="49" t="n">
        <f aca="false">M57+J57-N57-O57</f>
        <v>329395.523931417</v>
      </c>
      <c r="Q57" s="49" t="n">
        <f aca="false">S56</f>
        <v>49485.8729126432</v>
      </c>
      <c r="R57" s="50" t="n">
        <f aca="false">SUMIFS(Cash_Events!$I$6:$I$20,Cash_Events!$C$6:$C$20,"FHL",Cash_Events!$M$6:$M$20,A57)</f>
        <v>0</v>
      </c>
      <c r="S57" s="49" t="n">
        <f aca="false">Q57+K57-R57</f>
        <v>50694.0920907253</v>
      </c>
      <c r="T57" s="52" t="n">
        <f aca="false">P57+S57</f>
        <v>380089.616022142</v>
      </c>
      <c r="U57" s="52" t="n">
        <f aca="false">G57+T57</f>
        <v>1115089.61602214</v>
      </c>
      <c r="V57" s="49" t="n">
        <f aca="false">V56+L57</f>
        <v>564756.506022142</v>
      </c>
      <c r="W57" s="49" t="n">
        <f aca="false">W56+N57+O57+R57</f>
        <v>184666.89</v>
      </c>
      <c r="X57" s="49" t="n">
        <f aca="false">ROUND(V57-W57-T57,2)</f>
        <v>0</v>
      </c>
      <c r="Y57" s="2"/>
    </row>
    <row r="58" customFormat="false" ht="15" hidden="false" customHeight="false" outlineLevel="0" collapsed="false">
      <c r="A58" s="46" t="n">
        <f aca="false">EOMONTH(A57,1)</f>
        <v>46387</v>
      </c>
      <c r="B58" s="46" t="n">
        <f aca="false">A57</f>
        <v>46356</v>
      </c>
      <c r="C58" s="47" t="n">
        <f aca="false">A58-B58</f>
        <v>31</v>
      </c>
      <c r="D58" s="48" t="str">
        <f aca="false">IF(A58&lt;=EOMONTH(Inputs!$B$18,-1),"Actual","Projection")</f>
        <v>Projection</v>
      </c>
      <c r="E58" s="49" t="n">
        <f aca="false">G57</f>
        <v>735000</v>
      </c>
      <c r="F58" s="50" t="n">
        <f aca="false">SUMIFS(Cash_Events!$G$6:$G$20,Cash_Events!$C$6:$C$20,"FHL",Cash_Events!$M$6:$M$20,A58)</f>
        <v>0</v>
      </c>
      <c r="G58" s="49" t="n">
        <f aca="false">E58-F58</f>
        <v>735000</v>
      </c>
      <c r="H58" s="51" t="n">
        <f aca="false">VLOOKUP(A58-1,Inputs!$F$40:$G$48,2,TRUE())</f>
        <v>0.0364054</v>
      </c>
      <c r="I58" s="51" t="n">
        <f aca="false">H58+Inputs!C10</f>
        <v>0.1039054</v>
      </c>
      <c r="J58" s="50" t="n">
        <f aca="false">SUMIFS(Daily!$L$6:$L$2400,Daily!$B$6:$B$2400,A58)</f>
        <v>6486.25901095891</v>
      </c>
      <c r="K58" s="50" t="n">
        <f aca="false">SUMIFS(Daily!$M$6:$M$2400,Daily!$B$6:$B$2400,A58)</f>
        <v>1248.49315068493</v>
      </c>
      <c r="L58" s="49" t="n">
        <f aca="false">J58+K58</f>
        <v>7734.75216164384</v>
      </c>
      <c r="M58" s="49" t="n">
        <f aca="false">P57</f>
        <v>329395.523931417</v>
      </c>
      <c r="N58" s="50" t="n">
        <f aca="false">SUMIFS(Cash_Events!$H$6:$H$20,Cash_Events!$C$6:$C$20,"FHL",Cash_Events!$D$6:$D$20,"JV",Cash_Events!$M$6:$M$20,A58)</f>
        <v>0</v>
      </c>
      <c r="O58" s="50" t="n">
        <f aca="false">SUMIFS(Cash_Events!$H$6:$H$20,Cash_Events!$C$6:$C$20,"FHL",Cash_Events!$D$6:$D$20,"800S",Cash_Events!$M$6:$M$20,A58)</f>
        <v>0</v>
      </c>
      <c r="P58" s="49" t="n">
        <f aca="false">M58+J58-N58-O58</f>
        <v>335881.782942376</v>
      </c>
      <c r="Q58" s="49" t="n">
        <f aca="false">S57</f>
        <v>50694.0920907253</v>
      </c>
      <c r="R58" s="50" t="n">
        <f aca="false">SUMIFS(Cash_Events!$I$6:$I$20,Cash_Events!$C$6:$C$20,"FHL",Cash_Events!$M$6:$M$20,A58)</f>
        <v>0</v>
      </c>
      <c r="S58" s="49" t="n">
        <f aca="false">Q58+K58-R58</f>
        <v>51942.5852414103</v>
      </c>
      <c r="T58" s="52" t="n">
        <f aca="false">P58+S58</f>
        <v>387824.368183786</v>
      </c>
      <c r="U58" s="52" t="n">
        <f aca="false">G58+T58</f>
        <v>1122824.36818379</v>
      </c>
      <c r="V58" s="49" t="n">
        <f aca="false">V57+L58</f>
        <v>572491.258183786</v>
      </c>
      <c r="W58" s="49" t="n">
        <f aca="false">W57+N58+O58+R58</f>
        <v>184666.89</v>
      </c>
      <c r="X58" s="49" t="n">
        <f aca="false">ROUND(V58-W58-T58,2)</f>
        <v>0</v>
      </c>
      <c r="Y58" s="2"/>
    </row>
    <row r="59" customFormat="false" ht="15" hidden="false" customHeight="false" outlineLevel="0" collapsed="false">
      <c r="A59" s="46" t="n">
        <f aca="false">EOMONTH(A58,1)</f>
        <v>46418</v>
      </c>
      <c r="B59" s="46" t="n">
        <f aca="false">A58</f>
        <v>46387</v>
      </c>
      <c r="C59" s="47" t="n">
        <f aca="false">A59-B59</f>
        <v>31</v>
      </c>
      <c r="D59" s="48" t="str">
        <f aca="false">IF(A59&lt;=EOMONTH(Inputs!$B$18,-1),"Actual","Projection")</f>
        <v>Projection</v>
      </c>
      <c r="E59" s="49" t="n">
        <f aca="false">G58</f>
        <v>735000</v>
      </c>
      <c r="F59" s="50" t="n">
        <f aca="false">SUMIFS(Cash_Events!$G$6:$G$20,Cash_Events!$C$6:$C$20,"FHL",Cash_Events!$M$6:$M$20,A59)</f>
        <v>0</v>
      </c>
      <c r="G59" s="49" t="n">
        <f aca="false">E59-F59</f>
        <v>735000</v>
      </c>
      <c r="H59" s="51" t="n">
        <f aca="false">VLOOKUP(A59-1,Inputs!$F$40:$G$48,2,TRUE())</f>
        <v>0.0364054</v>
      </c>
      <c r="I59" s="51" t="n">
        <f aca="false">H59+Inputs!C10</f>
        <v>0.1039054</v>
      </c>
      <c r="J59" s="50" t="n">
        <f aca="false">SUMIFS(Daily!$L$6:$L$2400,Daily!$B$6:$B$2400,A59)</f>
        <v>6486.25901095891</v>
      </c>
      <c r="K59" s="50" t="n">
        <f aca="false">SUMIFS(Daily!$M$6:$M$2400,Daily!$B$6:$B$2400,A59)</f>
        <v>1248.49315068493</v>
      </c>
      <c r="L59" s="49" t="n">
        <f aca="false">J59+K59</f>
        <v>7734.75216164384</v>
      </c>
      <c r="M59" s="49" t="n">
        <f aca="false">P58</f>
        <v>335881.782942376</v>
      </c>
      <c r="N59" s="50" t="n">
        <f aca="false">SUMIFS(Cash_Events!$H$6:$H$20,Cash_Events!$C$6:$C$20,"FHL",Cash_Events!$D$6:$D$20,"JV",Cash_Events!$M$6:$M$20,A59)</f>
        <v>0</v>
      </c>
      <c r="O59" s="50" t="n">
        <f aca="false">SUMIFS(Cash_Events!$H$6:$H$20,Cash_Events!$C$6:$C$20,"FHL",Cash_Events!$D$6:$D$20,"800S",Cash_Events!$M$6:$M$20,A59)</f>
        <v>0</v>
      </c>
      <c r="P59" s="49" t="n">
        <f aca="false">M59+J59-N59-O59</f>
        <v>342368.041953335</v>
      </c>
      <c r="Q59" s="49" t="n">
        <f aca="false">S58</f>
        <v>51942.5852414103</v>
      </c>
      <c r="R59" s="50" t="n">
        <f aca="false">SUMIFS(Cash_Events!$I$6:$I$20,Cash_Events!$C$6:$C$20,"FHL",Cash_Events!$M$6:$M$20,A59)</f>
        <v>0</v>
      </c>
      <c r="S59" s="49" t="n">
        <f aca="false">Q59+K59-R59</f>
        <v>53191.0783920952</v>
      </c>
      <c r="T59" s="52" t="n">
        <f aca="false">P59+S59</f>
        <v>395559.12034543</v>
      </c>
      <c r="U59" s="52" t="n">
        <f aca="false">G59+T59</f>
        <v>1130559.12034543</v>
      </c>
      <c r="V59" s="49" t="n">
        <f aca="false">V58+L59</f>
        <v>580226.01034543</v>
      </c>
      <c r="W59" s="49" t="n">
        <f aca="false">W58+N59+O59+R59</f>
        <v>184666.89</v>
      </c>
      <c r="X59" s="49" t="n">
        <f aca="false">ROUND(V59-W59-T59,2)</f>
        <v>0</v>
      </c>
      <c r="Y59" s="2"/>
    </row>
    <row r="60" customFormat="false" ht="15" hidden="false" customHeight="false" outlineLevel="0" collapsed="false">
      <c r="A60" s="46" t="n">
        <f aca="false">EOMONTH(A59,1)</f>
        <v>46446</v>
      </c>
      <c r="B60" s="46" t="n">
        <f aca="false">A59</f>
        <v>46418</v>
      </c>
      <c r="C60" s="47" t="n">
        <f aca="false">A60-B60</f>
        <v>28</v>
      </c>
      <c r="D60" s="48" t="str">
        <f aca="false">IF(A60&lt;=EOMONTH(Inputs!$B$18,-1),"Actual","Projection")</f>
        <v>Projection</v>
      </c>
      <c r="E60" s="49" t="n">
        <f aca="false">G59</f>
        <v>735000</v>
      </c>
      <c r="F60" s="50" t="n">
        <f aca="false">SUMIFS(Cash_Events!$G$6:$G$20,Cash_Events!$C$6:$C$20,"FHL",Cash_Events!$M$6:$M$20,A60)</f>
        <v>0</v>
      </c>
      <c r="G60" s="49" t="n">
        <f aca="false">E60-F60</f>
        <v>735000</v>
      </c>
      <c r="H60" s="51" t="n">
        <f aca="false">VLOOKUP(A60-1,Inputs!$F$40:$G$48,2,TRUE())</f>
        <v>0.0364054</v>
      </c>
      <c r="I60" s="51" t="n">
        <f aca="false">H60+Inputs!C10</f>
        <v>0.1039054</v>
      </c>
      <c r="J60" s="50" t="n">
        <f aca="false">SUMIFS(Daily!$L$6:$L$2400,Daily!$B$6:$B$2400,A60)</f>
        <v>5858.5565260274</v>
      </c>
      <c r="K60" s="50" t="n">
        <f aca="false">SUMIFS(Daily!$M$6:$M$2400,Daily!$B$6:$B$2400,A60)</f>
        <v>1127.67123287671</v>
      </c>
      <c r="L60" s="49" t="n">
        <f aca="false">J60+K60</f>
        <v>6986.22775890411</v>
      </c>
      <c r="M60" s="49" t="n">
        <f aca="false">P59</f>
        <v>342368.041953335</v>
      </c>
      <c r="N60" s="50" t="n">
        <f aca="false">SUMIFS(Cash_Events!$H$6:$H$20,Cash_Events!$C$6:$C$20,"FHL",Cash_Events!$D$6:$D$20,"JV",Cash_Events!$M$6:$M$20,A60)</f>
        <v>0</v>
      </c>
      <c r="O60" s="50" t="n">
        <f aca="false">SUMIFS(Cash_Events!$H$6:$H$20,Cash_Events!$C$6:$C$20,"FHL",Cash_Events!$D$6:$D$20,"800S",Cash_Events!$M$6:$M$20,A60)</f>
        <v>0</v>
      </c>
      <c r="P60" s="49" t="n">
        <f aca="false">M60+J60-N60-O60</f>
        <v>348226.598479362</v>
      </c>
      <c r="Q60" s="49" t="n">
        <f aca="false">S59</f>
        <v>53191.0783920952</v>
      </c>
      <c r="R60" s="50" t="n">
        <f aca="false">SUMIFS(Cash_Events!$I$6:$I$20,Cash_Events!$C$6:$C$20,"FHL",Cash_Events!$M$6:$M$20,A60)</f>
        <v>0</v>
      </c>
      <c r="S60" s="49" t="n">
        <f aca="false">Q60+K60-R60</f>
        <v>54318.7496249719</v>
      </c>
      <c r="T60" s="52" t="n">
        <f aca="false">P60+S60</f>
        <v>402545.348104334</v>
      </c>
      <c r="U60" s="52" t="n">
        <f aca="false">G60+T60</f>
        <v>1137545.34810433</v>
      </c>
      <c r="V60" s="49" t="n">
        <f aca="false">V59+L60</f>
        <v>587212.238104334</v>
      </c>
      <c r="W60" s="49" t="n">
        <f aca="false">W59+N60+O60+R60</f>
        <v>184666.89</v>
      </c>
      <c r="X60" s="49" t="n">
        <f aca="false">ROUND(V60-W60-T60,2)</f>
        <v>0</v>
      </c>
      <c r="Y60" s="2"/>
    </row>
    <row r="61" customFormat="false" ht="15" hidden="false" customHeight="false" outlineLevel="0" collapsed="false">
      <c r="A61" s="46" t="n">
        <f aca="false">EOMONTH(A60,1)</f>
        <v>46477</v>
      </c>
      <c r="B61" s="46" t="n">
        <f aca="false">A60</f>
        <v>46446</v>
      </c>
      <c r="C61" s="47" t="n">
        <f aca="false">A61-B61</f>
        <v>31</v>
      </c>
      <c r="D61" s="48" t="str">
        <f aca="false">IF(A61&lt;=EOMONTH(Inputs!$B$18,-1),"Actual","Projection")</f>
        <v>Projection</v>
      </c>
      <c r="E61" s="49" t="n">
        <f aca="false">G60</f>
        <v>735000</v>
      </c>
      <c r="F61" s="50" t="n">
        <f aca="false">SUMIFS(Cash_Events!$G$6:$G$20,Cash_Events!$C$6:$C$20,"FHL",Cash_Events!$M$6:$M$20,A61)</f>
        <v>0</v>
      </c>
      <c r="G61" s="49" t="n">
        <f aca="false">E61-F61</f>
        <v>735000</v>
      </c>
      <c r="H61" s="51" t="n">
        <f aca="false">VLOOKUP(A61-1,Inputs!$F$40:$G$48,2,TRUE())</f>
        <v>0.0364054</v>
      </c>
      <c r="I61" s="51" t="n">
        <f aca="false">H61+Inputs!C10</f>
        <v>0.1039054</v>
      </c>
      <c r="J61" s="50" t="n">
        <f aca="false">SUMIFS(Daily!$L$6:$L$2400,Daily!$B$6:$B$2400,A61)</f>
        <v>6486.25901095891</v>
      </c>
      <c r="K61" s="50" t="n">
        <f aca="false">SUMIFS(Daily!$M$6:$M$2400,Daily!$B$6:$B$2400,A61)</f>
        <v>1248.49315068493</v>
      </c>
      <c r="L61" s="49" t="n">
        <f aca="false">J61+K61</f>
        <v>7734.75216164384</v>
      </c>
      <c r="M61" s="49" t="n">
        <f aca="false">P60</f>
        <v>348226.598479362</v>
      </c>
      <c r="N61" s="50" t="n">
        <f aca="false">SUMIFS(Cash_Events!$H$6:$H$20,Cash_Events!$C$6:$C$20,"FHL",Cash_Events!$D$6:$D$20,"JV",Cash_Events!$M$6:$M$20,A61)</f>
        <v>0</v>
      </c>
      <c r="O61" s="50" t="n">
        <f aca="false">SUMIFS(Cash_Events!$H$6:$H$20,Cash_Events!$C$6:$C$20,"FHL",Cash_Events!$D$6:$D$20,"800S",Cash_Events!$M$6:$M$20,A61)</f>
        <v>0</v>
      </c>
      <c r="P61" s="49" t="n">
        <f aca="false">M61+J61-N61-O61</f>
        <v>354712.857490321</v>
      </c>
      <c r="Q61" s="49" t="n">
        <f aca="false">S60</f>
        <v>54318.7496249719</v>
      </c>
      <c r="R61" s="50" t="n">
        <f aca="false">SUMIFS(Cash_Events!$I$6:$I$20,Cash_Events!$C$6:$C$20,"FHL",Cash_Events!$M$6:$M$20,A61)</f>
        <v>0</v>
      </c>
      <c r="S61" s="49" t="n">
        <f aca="false">Q61+K61-R61</f>
        <v>55567.2427756568</v>
      </c>
      <c r="T61" s="52" t="n">
        <f aca="false">P61+S61</f>
        <v>410280.100265978</v>
      </c>
      <c r="U61" s="52" t="n">
        <f aca="false">G61+T61</f>
        <v>1145280.10026598</v>
      </c>
      <c r="V61" s="49" t="n">
        <f aca="false">V60+L61</f>
        <v>594946.990265978</v>
      </c>
      <c r="W61" s="49" t="n">
        <f aca="false">W60+N61+O61+R61</f>
        <v>184666.89</v>
      </c>
      <c r="X61" s="49" t="n">
        <f aca="false">ROUND(V61-W61-T61,2)</f>
        <v>0</v>
      </c>
      <c r="Y61" s="2"/>
    </row>
    <row r="62" customFormat="false" ht="15" hidden="false" customHeight="false" outlineLevel="0" collapsed="false">
      <c r="A62" s="46" t="n">
        <f aca="false">EOMONTH(A61,1)</f>
        <v>46507</v>
      </c>
      <c r="B62" s="46" t="n">
        <f aca="false">A61</f>
        <v>46477</v>
      </c>
      <c r="C62" s="47" t="n">
        <f aca="false">A62-B62</f>
        <v>30</v>
      </c>
      <c r="D62" s="48" t="str">
        <f aca="false">IF(A62&lt;=EOMONTH(Inputs!$B$18,-1),"Actual","Projection")</f>
        <v>Projection</v>
      </c>
      <c r="E62" s="49" t="n">
        <f aca="false">G61</f>
        <v>735000</v>
      </c>
      <c r="F62" s="50" t="n">
        <f aca="false">SUMIFS(Cash_Events!$G$6:$G$20,Cash_Events!$C$6:$C$20,"FHL",Cash_Events!$M$6:$M$20,A62)</f>
        <v>0</v>
      </c>
      <c r="G62" s="49" t="n">
        <f aca="false">E62-F62</f>
        <v>735000</v>
      </c>
      <c r="H62" s="51" t="n">
        <f aca="false">VLOOKUP(A62-1,Inputs!$F$40:$G$48,2,TRUE())</f>
        <v>0.0364054</v>
      </c>
      <c r="I62" s="51" t="n">
        <f aca="false">H62+Inputs!C10</f>
        <v>0.1039054</v>
      </c>
      <c r="J62" s="50" t="n">
        <f aca="false">SUMIFS(Daily!$L$6:$L$2400,Daily!$B$6:$B$2400,A62)</f>
        <v>6277.02484931507</v>
      </c>
      <c r="K62" s="50" t="n">
        <f aca="false">SUMIFS(Daily!$M$6:$M$2400,Daily!$B$6:$B$2400,A62)</f>
        <v>1208.21917808219</v>
      </c>
      <c r="L62" s="49" t="n">
        <f aca="false">J62+K62</f>
        <v>7485.24402739726</v>
      </c>
      <c r="M62" s="49" t="n">
        <f aca="false">P61</f>
        <v>354712.857490321</v>
      </c>
      <c r="N62" s="50" t="n">
        <f aca="false">SUMIFS(Cash_Events!$H$6:$H$20,Cash_Events!$C$6:$C$20,"FHL",Cash_Events!$D$6:$D$20,"JV",Cash_Events!$M$6:$M$20,A62)</f>
        <v>0</v>
      </c>
      <c r="O62" s="50" t="n">
        <f aca="false">SUMIFS(Cash_Events!$H$6:$H$20,Cash_Events!$C$6:$C$20,"FHL",Cash_Events!$D$6:$D$20,"800S",Cash_Events!$M$6:$M$20,A62)</f>
        <v>0</v>
      </c>
      <c r="P62" s="49" t="n">
        <f aca="false">M62+J62-N62-O62</f>
        <v>360989.882339636</v>
      </c>
      <c r="Q62" s="49" t="n">
        <f aca="false">S61</f>
        <v>55567.2427756568</v>
      </c>
      <c r="R62" s="50" t="n">
        <f aca="false">SUMIFS(Cash_Events!$I$6:$I$20,Cash_Events!$C$6:$C$20,"FHL",Cash_Events!$M$6:$M$20,A62)</f>
        <v>0</v>
      </c>
      <c r="S62" s="49" t="n">
        <f aca="false">Q62+K62-R62</f>
        <v>56775.461953739</v>
      </c>
      <c r="T62" s="52" t="n">
        <f aca="false">P62+S62</f>
        <v>417765.344293375</v>
      </c>
      <c r="U62" s="52" t="n">
        <f aca="false">G62+T62</f>
        <v>1152765.34429338</v>
      </c>
      <c r="V62" s="49" t="n">
        <f aca="false">V61+L62</f>
        <v>602432.234293375</v>
      </c>
      <c r="W62" s="49" t="n">
        <f aca="false">W61+N62+O62+R62</f>
        <v>184666.89</v>
      </c>
      <c r="X62" s="49" t="n">
        <f aca="false">ROUND(V62-W62-T62,2)</f>
        <v>0</v>
      </c>
      <c r="Y62" s="2"/>
    </row>
    <row r="63" customFormat="false" ht="15" hidden="false" customHeight="false" outlineLevel="0" collapsed="false">
      <c r="A63" s="46" t="n">
        <f aca="false">EOMONTH(A62,1)</f>
        <v>46538</v>
      </c>
      <c r="B63" s="46" t="n">
        <f aca="false">A62</f>
        <v>46507</v>
      </c>
      <c r="C63" s="47" t="n">
        <f aca="false">A63-B63</f>
        <v>31</v>
      </c>
      <c r="D63" s="48" t="str">
        <f aca="false">IF(A63&lt;=EOMONTH(Inputs!$B$18,-1),"Actual","Projection")</f>
        <v>Projection</v>
      </c>
      <c r="E63" s="49" t="n">
        <f aca="false">G62</f>
        <v>735000</v>
      </c>
      <c r="F63" s="50" t="n">
        <f aca="false">SUMIFS(Cash_Events!$G$6:$G$20,Cash_Events!$C$6:$C$20,"FHL",Cash_Events!$M$6:$M$20,A63)</f>
        <v>0</v>
      </c>
      <c r="G63" s="49" t="n">
        <f aca="false">E63-F63</f>
        <v>735000</v>
      </c>
      <c r="H63" s="51" t="n">
        <f aca="false">VLOOKUP(A63-1,Inputs!$F$40:$G$48,2,TRUE())</f>
        <v>0.0364054</v>
      </c>
      <c r="I63" s="51" t="n">
        <f aca="false">H63+Inputs!C10</f>
        <v>0.1039054</v>
      </c>
      <c r="J63" s="50" t="n">
        <f aca="false">SUMIFS(Daily!$L$6:$L$2400,Daily!$B$6:$B$2400,A63)</f>
        <v>6486.25901095891</v>
      </c>
      <c r="K63" s="50" t="n">
        <f aca="false">SUMIFS(Daily!$M$6:$M$2400,Daily!$B$6:$B$2400,A63)</f>
        <v>1248.49315068493</v>
      </c>
      <c r="L63" s="49" t="n">
        <f aca="false">J63+K63</f>
        <v>7734.75216164384</v>
      </c>
      <c r="M63" s="49" t="n">
        <f aca="false">P62</f>
        <v>360989.882339636</v>
      </c>
      <c r="N63" s="50" t="n">
        <f aca="false">SUMIFS(Cash_Events!$H$6:$H$20,Cash_Events!$C$6:$C$20,"FHL",Cash_Events!$D$6:$D$20,"JV",Cash_Events!$M$6:$M$20,A63)</f>
        <v>0</v>
      </c>
      <c r="O63" s="50" t="n">
        <f aca="false">SUMIFS(Cash_Events!$H$6:$H$20,Cash_Events!$C$6:$C$20,"FHL",Cash_Events!$D$6:$D$20,"800S",Cash_Events!$M$6:$M$20,A63)</f>
        <v>0</v>
      </c>
      <c r="P63" s="49" t="n">
        <f aca="false">M63+J63-N63-O63</f>
        <v>367476.141350595</v>
      </c>
      <c r="Q63" s="49" t="n">
        <f aca="false">S62</f>
        <v>56775.461953739</v>
      </c>
      <c r="R63" s="50" t="n">
        <f aca="false">SUMIFS(Cash_Events!$I$6:$I$20,Cash_Events!$C$6:$C$20,"FHL",Cash_Events!$M$6:$M$20,A63)</f>
        <v>0</v>
      </c>
      <c r="S63" s="49" t="n">
        <f aca="false">Q63+K63-R63</f>
        <v>58023.955104424</v>
      </c>
      <c r="T63" s="52" t="n">
        <f aca="false">P63+S63</f>
        <v>425500.096455019</v>
      </c>
      <c r="U63" s="52" t="n">
        <f aca="false">G63+T63</f>
        <v>1160500.09645502</v>
      </c>
      <c r="V63" s="49" t="n">
        <f aca="false">V62+L63</f>
        <v>610166.986455019</v>
      </c>
      <c r="W63" s="49" t="n">
        <f aca="false">W62+N63+O63+R63</f>
        <v>184666.89</v>
      </c>
      <c r="X63" s="49" t="n">
        <f aca="false">ROUND(V63-W63-T63,2)</f>
        <v>0</v>
      </c>
      <c r="Y63" s="2"/>
    </row>
    <row r="64" customFormat="false" ht="15" hidden="false" customHeight="false" outlineLevel="0" collapsed="false">
      <c r="A64" s="46" t="n">
        <f aca="false">EOMONTH(A63,1)</f>
        <v>46568</v>
      </c>
      <c r="B64" s="46" t="n">
        <f aca="false">A63</f>
        <v>46538</v>
      </c>
      <c r="C64" s="47" t="n">
        <f aca="false">A64-B64</f>
        <v>30</v>
      </c>
      <c r="D64" s="48" t="str">
        <f aca="false">IF(A64&lt;=EOMONTH(Inputs!$B$18,-1),"Actual","Projection")</f>
        <v>Projection</v>
      </c>
      <c r="E64" s="49" t="n">
        <f aca="false">G63</f>
        <v>735000</v>
      </c>
      <c r="F64" s="50" t="n">
        <f aca="false">SUMIFS(Cash_Events!$G$6:$G$20,Cash_Events!$C$6:$C$20,"FHL",Cash_Events!$M$6:$M$20,A64)</f>
        <v>0</v>
      </c>
      <c r="G64" s="49" t="n">
        <f aca="false">E64-F64</f>
        <v>735000</v>
      </c>
      <c r="H64" s="51" t="n">
        <f aca="false">VLOOKUP(A64-1,Inputs!$F$40:$G$48,2,TRUE())</f>
        <v>0.0364054</v>
      </c>
      <c r="I64" s="51" t="n">
        <f aca="false">H64+Inputs!C10</f>
        <v>0.1039054</v>
      </c>
      <c r="J64" s="50" t="n">
        <f aca="false">SUMIFS(Daily!$L$6:$L$2400,Daily!$B$6:$B$2400,A64)</f>
        <v>6277.02484931507</v>
      </c>
      <c r="K64" s="50" t="n">
        <f aca="false">SUMIFS(Daily!$M$6:$M$2400,Daily!$B$6:$B$2400,A64)</f>
        <v>1208.21917808219</v>
      </c>
      <c r="L64" s="49" t="n">
        <f aca="false">J64+K64</f>
        <v>7485.24402739726</v>
      </c>
      <c r="M64" s="49" t="n">
        <f aca="false">P63</f>
        <v>367476.141350595</v>
      </c>
      <c r="N64" s="50" t="n">
        <f aca="false">SUMIFS(Cash_Events!$H$6:$H$20,Cash_Events!$C$6:$C$20,"FHL",Cash_Events!$D$6:$D$20,"JV",Cash_Events!$M$6:$M$20,A64)</f>
        <v>0</v>
      </c>
      <c r="O64" s="50" t="n">
        <f aca="false">SUMIFS(Cash_Events!$H$6:$H$20,Cash_Events!$C$6:$C$20,"FHL",Cash_Events!$D$6:$D$20,"800S",Cash_Events!$M$6:$M$20,A64)</f>
        <v>0</v>
      </c>
      <c r="P64" s="49" t="n">
        <f aca="false">M64+J64-N64-O64</f>
        <v>373753.16619991</v>
      </c>
      <c r="Q64" s="49" t="n">
        <f aca="false">S63</f>
        <v>58023.955104424</v>
      </c>
      <c r="R64" s="50" t="n">
        <f aca="false">SUMIFS(Cash_Events!$I$6:$I$20,Cash_Events!$C$6:$C$20,"FHL",Cash_Events!$M$6:$M$20,A64)</f>
        <v>0</v>
      </c>
      <c r="S64" s="49" t="n">
        <f aca="false">Q64+K64-R64</f>
        <v>59232.1742825062</v>
      </c>
      <c r="T64" s="52" t="n">
        <f aca="false">P64+S64</f>
        <v>432985.340482416</v>
      </c>
      <c r="U64" s="52" t="n">
        <f aca="false">G64+T64</f>
        <v>1167985.34048242</v>
      </c>
      <c r="V64" s="49" t="n">
        <f aca="false">V63+L64</f>
        <v>617652.230482416</v>
      </c>
      <c r="W64" s="49" t="n">
        <f aca="false">W63+N64+O64+R64</f>
        <v>184666.89</v>
      </c>
      <c r="X64" s="49" t="n">
        <f aca="false">ROUND(V64-W64-T64,2)</f>
        <v>0</v>
      </c>
      <c r="Y64" s="2"/>
    </row>
    <row r="65" customFormat="false" ht="15" hidden="false" customHeight="false" outlineLevel="0" collapsed="false">
      <c r="A65" s="46" t="n">
        <f aca="false">EOMONTH(A64,1)</f>
        <v>46599</v>
      </c>
      <c r="B65" s="46" t="n">
        <f aca="false">A64</f>
        <v>46568</v>
      </c>
      <c r="C65" s="47" t="n">
        <f aca="false">A65-B65</f>
        <v>31</v>
      </c>
      <c r="D65" s="48" t="str">
        <f aca="false">IF(A65&lt;=EOMONTH(Inputs!$B$18,-1),"Actual","Projection")</f>
        <v>Projection</v>
      </c>
      <c r="E65" s="49" t="n">
        <f aca="false">G64</f>
        <v>735000</v>
      </c>
      <c r="F65" s="50" t="n">
        <f aca="false">SUMIFS(Cash_Events!$G$6:$G$20,Cash_Events!$C$6:$C$20,"FHL",Cash_Events!$M$6:$M$20,A65)</f>
        <v>0</v>
      </c>
      <c r="G65" s="49" t="n">
        <f aca="false">E65-F65</f>
        <v>735000</v>
      </c>
      <c r="H65" s="51" t="n">
        <f aca="false">VLOOKUP(A65-1,Inputs!$F$40:$G$48,2,TRUE())</f>
        <v>0.0364054</v>
      </c>
      <c r="I65" s="51" t="n">
        <f aca="false">H65+Inputs!C10</f>
        <v>0.1039054</v>
      </c>
      <c r="J65" s="50" t="n">
        <f aca="false">SUMIFS(Daily!$L$6:$L$2400,Daily!$B$6:$B$2400,A65)</f>
        <v>6486.25901095891</v>
      </c>
      <c r="K65" s="50" t="n">
        <f aca="false">SUMIFS(Daily!$M$6:$M$2400,Daily!$B$6:$B$2400,A65)</f>
        <v>1248.49315068493</v>
      </c>
      <c r="L65" s="49" t="n">
        <f aca="false">J65+K65</f>
        <v>7734.75216164384</v>
      </c>
      <c r="M65" s="49" t="n">
        <f aca="false">P64</f>
        <v>373753.16619991</v>
      </c>
      <c r="N65" s="50" t="n">
        <f aca="false">SUMIFS(Cash_Events!$H$6:$H$20,Cash_Events!$C$6:$C$20,"FHL",Cash_Events!$D$6:$D$20,"JV",Cash_Events!$M$6:$M$20,A65)</f>
        <v>0</v>
      </c>
      <c r="O65" s="50" t="n">
        <f aca="false">SUMIFS(Cash_Events!$H$6:$H$20,Cash_Events!$C$6:$C$20,"FHL",Cash_Events!$D$6:$D$20,"800S",Cash_Events!$M$6:$M$20,A65)</f>
        <v>0</v>
      </c>
      <c r="P65" s="49" t="n">
        <f aca="false">M65+J65-N65-O65</f>
        <v>380239.425210869</v>
      </c>
      <c r="Q65" s="49" t="n">
        <f aca="false">S64</f>
        <v>59232.1742825062</v>
      </c>
      <c r="R65" s="50" t="n">
        <f aca="false">SUMIFS(Cash_Events!$I$6:$I$20,Cash_Events!$C$6:$C$20,"FHL",Cash_Events!$M$6:$M$20,A65)</f>
        <v>0</v>
      </c>
      <c r="S65" s="49" t="n">
        <f aca="false">Q65+K65-R65</f>
        <v>60480.6674331911</v>
      </c>
      <c r="T65" s="52" t="n">
        <f aca="false">P65+S65</f>
        <v>440720.09264406</v>
      </c>
      <c r="U65" s="52" t="n">
        <f aca="false">G65+T65</f>
        <v>1175720.09264406</v>
      </c>
      <c r="V65" s="49" t="n">
        <f aca="false">V64+L65</f>
        <v>625386.98264406</v>
      </c>
      <c r="W65" s="49" t="n">
        <f aca="false">W64+N65+O65+R65</f>
        <v>184666.89</v>
      </c>
      <c r="X65" s="49" t="n">
        <f aca="false">ROUND(V65-W65-T65,2)</f>
        <v>0</v>
      </c>
      <c r="Y65" s="2"/>
    </row>
    <row r="66" customFormat="false" ht="15" hidden="false" customHeight="false" outlineLevel="0" collapsed="false">
      <c r="A66" s="46" t="n">
        <f aca="false">EOMONTH(A65,1)</f>
        <v>46630</v>
      </c>
      <c r="B66" s="46" t="n">
        <f aca="false">A65</f>
        <v>46599</v>
      </c>
      <c r="C66" s="47" t="n">
        <f aca="false">A66-B66</f>
        <v>31</v>
      </c>
      <c r="D66" s="48" t="str">
        <f aca="false">IF(A66&lt;=EOMONTH(Inputs!$B$18,-1),"Actual","Projection")</f>
        <v>Projection</v>
      </c>
      <c r="E66" s="49" t="n">
        <f aca="false">G65</f>
        <v>735000</v>
      </c>
      <c r="F66" s="50" t="n">
        <f aca="false">SUMIFS(Cash_Events!$G$6:$G$20,Cash_Events!$C$6:$C$20,"FHL",Cash_Events!$M$6:$M$20,A66)</f>
        <v>0</v>
      </c>
      <c r="G66" s="49" t="n">
        <f aca="false">E66-F66</f>
        <v>735000</v>
      </c>
      <c r="H66" s="51" t="n">
        <f aca="false">VLOOKUP(A66-1,Inputs!$F$40:$G$48,2,TRUE())</f>
        <v>0.0364054</v>
      </c>
      <c r="I66" s="51" t="n">
        <f aca="false">H66+Inputs!C10</f>
        <v>0.1039054</v>
      </c>
      <c r="J66" s="50" t="n">
        <f aca="false">SUMIFS(Daily!$L$6:$L$2400,Daily!$B$6:$B$2400,A66)</f>
        <v>6486.25901095891</v>
      </c>
      <c r="K66" s="50" t="n">
        <f aca="false">SUMIFS(Daily!$M$6:$M$2400,Daily!$B$6:$B$2400,A66)</f>
        <v>1248.49315068493</v>
      </c>
      <c r="L66" s="49" t="n">
        <f aca="false">J66+K66</f>
        <v>7734.75216164384</v>
      </c>
      <c r="M66" s="49" t="n">
        <f aca="false">P65</f>
        <v>380239.425210869</v>
      </c>
      <c r="N66" s="50" t="n">
        <f aca="false">SUMIFS(Cash_Events!$H$6:$H$20,Cash_Events!$C$6:$C$20,"FHL",Cash_Events!$D$6:$D$20,"JV",Cash_Events!$M$6:$M$20,A66)</f>
        <v>0</v>
      </c>
      <c r="O66" s="50" t="n">
        <f aca="false">SUMIFS(Cash_Events!$H$6:$H$20,Cash_Events!$C$6:$C$20,"FHL",Cash_Events!$D$6:$D$20,"800S",Cash_Events!$M$6:$M$20,A66)</f>
        <v>0</v>
      </c>
      <c r="P66" s="49" t="n">
        <f aca="false">M66+J66-N66-O66</f>
        <v>386725.684221828</v>
      </c>
      <c r="Q66" s="49" t="n">
        <f aca="false">S65</f>
        <v>60480.6674331911</v>
      </c>
      <c r="R66" s="50" t="n">
        <f aca="false">SUMIFS(Cash_Events!$I$6:$I$20,Cash_Events!$C$6:$C$20,"FHL",Cash_Events!$M$6:$M$20,A66)</f>
        <v>0</v>
      </c>
      <c r="S66" s="49" t="n">
        <f aca="false">Q66+K66-R66</f>
        <v>61729.160583876</v>
      </c>
      <c r="T66" s="52" t="n">
        <f aca="false">P66+S66</f>
        <v>448454.844805704</v>
      </c>
      <c r="U66" s="52" t="n">
        <f aca="false">G66+T66</f>
        <v>1183454.8448057</v>
      </c>
      <c r="V66" s="49" t="n">
        <f aca="false">V65+L66</f>
        <v>633121.734805704</v>
      </c>
      <c r="W66" s="49" t="n">
        <f aca="false">W65+N66+O66+R66</f>
        <v>184666.89</v>
      </c>
      <c r="X66" s="49" t="n">
        <f aca="false">ROUND(V66-W66-T66,2)</f>
        <v>0</v>
      </c>
      <c r="Y66" s="2"/>
    </row>
    <row r="67" customFormat="false" ht="15" hidden="false" customHeight="false" outlineLevel="0" collapsed="false">
      <c r="A67" s="46" t="n">
        <f aca="false">EOMONTH(A66,1)</f>
        <v>46660</v>
      </c>
      <c r="B67" s="46" t="n">
        <f aca="false">A66</f>
        <v>46630</v>
      </c>
      <c r="C67" s="47" t="n">
        <f aca="false">A67-B67</f>
        <v>30</v>
      </c>
      <c r="D67" s="48" t="str">
        <f aca="false">IF(A67&lt;=EOMONTH(Inputs!$B$18,-1),"Actual","Projection")</f>
        <v>Projection</v>
      </c>
      <c r="E67" s="49" t="n">
        <f aca="false">G66</f>
        <v>735000</v>
      </c>
      <c r="F67" s="50" t="n">
        <f aca="false">SUMIFS(Cash_Events!$G$6:$G$20,Cash_Events!$C$6:$C$20,"FHL",Cash_Events!$M$6:$M$20,A67)</f>
        <v>0</v>
      </c>
      <c r="G67" s="49" t="n">
        <f aca="false">E67-F67</f>
        <v>735000</v>
      </c>
      <c r="H67" s="51" t="n">
        <f aca="false">VLOOKUP(A67-1,Inputs!$F$40:$G$48,2,TRUE())</f>
        <v>0.0364054</v>
      </c>
      <c r="I67" s="51" t="n">
        <f aca="false">H67+Inputs!C10</f>
        <v>0.1039054</v>
      </c>
      <c r="J67" s="50" t="n">
        <f aca="false">SUMIFS(Daily!$L$6:$L$2400,Daily!$B$6:$B$2400,A67)</f>
        <v>6277.02484931507</v>
      </c>
      <c r="K67" s="50" t="n">
        <f aca="false">SUMIFS(Daily!$M$6:$M$2400,Daily!$B$6:$B$2400,A67)</f>
        <v>1208.21917808219</v>
      </c>
      <c r="L67" s="49" t="n">
        <f aca="false">J67+K67</f>
        <v>7485.24402739726</v>
      </c>
      <c r="M67" s="49" t="n">
        <f aca="false">P66</f>
        <v>386725.684221828</v>
      </c>
      <c r="N67" s="50" t="n">
        <f aca="false">SUMIFS(Cash_Events!$H$6:$H$20,Cash_Events!$C$6:$C$20,"FHL",Cash_Events!$D$6:$D$20,"JV",Cash_Events!$M$6:$M$20,A67)</f>
        <v>0</v>
      </c>
      <c r="O67" s="50" t="n">
        <f aca="false">SUMIFS(Cash_Events!$H$6:$H$20,Cash_Events!$C$6:$C$20,"FHL",Cash_Events!$D$6:$D$20,"800S",Cash_Events!$M$6:$M$20,A67)</f>
        <v>0</v>
      </c>
      <c r="P67" s="49" t="n">
        <f aca="false">M67+J67-N67-O67</f>
        <v>393002.709071143</v>
      </c>
      <c r="Q67" s="49" t="n">
        <f aca="false">S66</f>
        <v>61729.160583876</v>
      </c>
      <c r="R67" s="50" t="n">
        <f aca="false">SUMIFS(Cash_Events!$I$6:$I$20,Cash_Events!$C$6:$C$20,"FHL",Cash_Events!$M$6:$M$20,A67)</f>
        <v>0</v>
      </c>
      <c r="S67" s="49" t="n">
        <f aca="false">Q67+K67-R67</f>
        <v>62937.3797619582</v>
      </c>
      <c r="T67" s="52" t="n">
        <f aca="false">P67+S67</f>
        <v>455940.088833101</v>
      </c>
      <c r="U67" s="52" t="n">
        <f aca="false">G67+T67</f>
        <v>1190940.0888331</v>
      </c>
      <c r="V67" s="49" t="n">
        <f aca="false">V66+L67</f>
        <v>640606.978833101</v>
      </c>
      <c r="W67" s="49" t="n">
        <f aca="false">W66+N67+O67+R67</f>
        <v>184666.89</v>
      </c>
      <c r="X67" s="49" t="n">
        <f aca="false">ROUND(V67-W67-T67,2)</f>
        <v>0</v>
      </c>
      <c r="Y67" s="2"/>
    </row>
    <row r="68" customFormat="false" ht="15" hidden="false" customHeight="false" outlineLevel="0" collapsed="false">
      <c r="A68" s="46" t="n">
        <f aca="false">EOMONTH(A67,1)</f>
        <v>46691</v>
      </c>
      <c r="B68" s="46" t="n">
        <f aca="false">A67</f>
        <v>46660</v>
      </c>
      <c r="C68" s="47" t="n">
        <f aca="false">A68-B68</f>
        <v>31</v>
      </c>
      <c r="D68" s="48" t="str">
        <f aca="false">IF(A68&lt;=EOMONTH(Inputs!$B$18,-1),"Actual","Projection")</f>
        <v>Projection</v>
      </c>
      <c r="E68" s="49" t="n">
        <f aca="false">G67</f>
        <v>735000</v>
      </c>
      <c r="F68" s="50" t="n">
        <f aca="false">SUMIFS(Cash_Events!$G$6:$G$20,Cash_Events!$C$6:$C$20,"FHL",Cash_Events!$M$6:$M$20,A68)</f>
        <v>0</v>
      </c>
      <c r="G68" s="49" t="n">
        <f aca="false">E68-F68</f>
        <v>735000</v>
      </c>
      <c r="H68" s="51" t="n">
        <f aca="false">VLOOKUP(A68-1,Inputs!$F$40:$G$48,2,TRUE())</f>
        <v>0.0364054</v>
      </c>
      <c r="I68" s="51" t="n">
        <f aca="false">H68+Inputs!C10</f>
        <v>0.1039054</v>
      </c>
      <c r="J68" s="50" t="n">
        <f aca="false">SUMIFS(Daily!$L$6:$L$2400,Daily!$B$6:$B$2400,A68)</f>
        <v>6486.25901095891</v>
      </c>
      <c r="K68" s="50" t="n">
        <f aca="false">SUMIFS(Daily!$M$6:$M$2400,Daily!$B$6:$B$2400,A68)</f>
        <v>1248.49315068493</v>
      </c>
      <c r="L68" s="49" t="n">
        <f aca="false">J68+K68</f>
        <v>7734.75216164384</v>
      </c>
      <c r="M68" s="49" t="n">
        <f aca="false">P67</f>
        <v>393002.709071143</v>
      </c>
      <c r="N68" s="50" t="n">
        <f aca="false">SUMIFS(Cash_Events!$H$6:$H$20,Cash_Events!$C$6:$C$20,"FHL",Cash_Events!$D$6:$D$20,"JV",Cash_Events!$M$6:$M$20,A68)</f>
        <v>0</v>
      </c>
      <c r="O68" s="50" t="n">
        <f aca="false">SUMIFS(Cash_Events!$H$6:$H$20,Cash_Events!$C$6:$C$20,"FHL",Cash_Events!$D$6:$D$20,"800S",Cash_Events!$M$6:$M$20,A68)</f>
        <v>0</v>
      </c>
      <c r="P68" s="49" t="n">
        <f aca="false">M68+J68-N68-O68</f>
        <v>399488.968082102</v>
      </c>
      <c r="Q68" s="49" t="n">
        <f aca="false">S67</f>
        <v>62937.3797619582</v>
      </c>
      <c r="R68" s="50" t="n">
        <f aca="false">SUMIFS(Cash_Events!$I$6:$I$20,Cash_Events!$C$6:$C$20,"FHL",Cash_Events!$M$6:$M$20,A68)</f>
        <v>0</v>
      </c>
      <c r="S68" s="49" t="n">
        <f aca="false">Q68+K68-R68</f>
        <v>64185.8729126431</v>
      </c>
      <c r="T68" s="52" t="n">
        <f aca="false">P68+S68</f>
        <v>463674.840994745</v>
      </c>
      <c r="U68" s="52" t="n">
        <f aca="false">G68+T68</f>
        <v>1198674.84099475</v>
      </c>
      <c r="V68" s="49" t="n">
        <f aca="false">V67+L68</f>
        <v>648341.730994745</v>
      </c>
      <c r="W68" s="49" t="n">
        <f aca="false">W67+N68+O68+R68</f>
        <v>184666.89</v>
      </c>
      <c r="X68" s="49" t="n">
        <f aca="false">ROUND(V68-W68-T68,2)</f>
        <v>0</v>
      </c>
      <c r="Y68" s="2"/>
    </row>
    <row r="69" customFormat="false" ht="15" hidden="false" customHeight="false" outlineLevel="0" collapsed="false">
      <c r="A69" s="46" t="n">
        <f aca="false">EOMONTH(A68,1)</f>
        <v>46721</v>
      </c>
      <c r="B69" s="46" t="n">
        <f aca="false">A68</f>
        <v>46691</v>
      </c>
      <c r="C69" s="47" t="n">
        <f aca="false">A69-B69</f>
        <v>30</v>
      </c>
      <c r="D69" s="48" t="str">
        <f aca="false">IF(A69&lt;=EOMONTH(Inputs!$B$18,-1),"Actual","Projection")</f>
        <v>Projection</v>
      </c>
      <c r="E69" s="49" t="n">
        <f aca="false">G68</f>
        <v>735000</v>
      </c>
      <c r="F69" s="50" t="n">
        <f aca="false">SUMIFS(Cash_Events!$G$6:$G$20,Cash_Events!$C$6:$C$20,"FHL",Cash_Events!$M$6:$M$20,A69)</f>
        <v>0</v>
      </c>
      <c r="G69" s="49" t="n">
        <f aca="false">E69-F69</f>
        <v>735000</v>
      </c>
      <c r="H69" s="51" t="n">
        <f aca="false">VLOOKUP(A69-1,Inputs!$F$40:$G$48,2,TRUE())</f>
        <v>0.0364054</v>
      </c>
      <c r="I69" s="51" t="n">
        <f aca="false">H69+Inputs!C10</f>
        <v>0.1039054</v>
      </c>
      <c r="J69" s="50" t="n">
        <f aca="false">SUMIFS(Daily!$L$6:$L$2400,Daily!$B$6:$B$2400,A69)</f>
        <v>6277.02484931507</v>
      </c>
      <c r="K69" s="50" t="n">
        <f aca="false">SUMIFS(Daily!$M$6:$M$2400,Daily!$B$6:$B$2400,A69)</f>
        <v>1208.21917808219</v>
      </c>
      <c r="L69" s="49" t="n">
        <f aca="false">J69+K69</f>
        <v>7485.24402739726</v>
      </c>
      <c r="M69" s="49" t="n">
        <f aca="false">P68</f>
        <v>399488.968082102</v>
      </c>
      <c r="N69" s="50" t="n">
        <f aca="false">SUMIFS(Cash_Events!$H$6:$H$20,Cash_Events!$C$6:$C$20,"FHL",Cash_Events!$D$6:$D$20,"JV",Cash_Events!$M$6:$M$20,A69)</f>
        <v>0</v>
      </c>
      <c r="O69" s="50" t="n">
        <f aca="false">SUMIFS(Cash_Events!$H$6:$H$20,Cash_Events!$C$6:$C$20,"FHL",Cash_Events!$D$6:$D$20,"800S",Cash_Events!$M$6:$M$20,A69)</f>
        <v>0</v>
      </c>
      <c r="P69" s="49" t="n">
        <f aca="false">M69+J69-N69-O69</f>
        <v>405765.992931417</v>
      </c>
      <c r="Q69" s="49" t="n">
        <f aca="false">S68</f>
        <v>64185.8729126431</v>
      </c>
      <c r="R69" s="50" t="n">
        <f aca="false">SUMIFS(Cash_Events!$I$6:$I$20,Cash_Events!$C$6:$C$20,"FHL",Cash_Events!$M$6:$M$20,A69)</f>
        <v>0</v>
      </c>
      <c r="S69" s="49" t="n">
        <f aca="false">Q69+K69-R69</f>
        <v>65394.0920907253</v>
      </c>
      <c r="T69" s="52" t="n">
        <f aca="false">P69+S69</f>
        <v>471160.085022142</v>
      </c>
      <c r="U69" s="52" t="n">
        <f aca="false">G69+T69</f>
        <v>1206160.08502214</v>
      </c>
      <c r="V69" s="49" t="n">
        <f aca="false">V68+L69</f>
        <v>655826.975022142</v>
      </c>
      <c r="W69" s="49" t="n">
        <f aca="false">W68+N69+O69+R69</f>
        <v>184666.89</v>
      </c>
      <c r="X69" s="49" t="n">
        <f aca="false">ROUND(V69-W69-T69,2)</f>
        <v>0</v>
      </c>
      <c r="Y69" s="2"/>
    </row>
    <row r="70" customFormat="false" ht="15" hidden="false" customHeight="false" outlineLevel="0" collapsed="false">
      <c r="A70" s="46" t="n">
        <f aca="false">EOMONTH(A69,1)</f>
        <v>46752</v>
      </c>
      <c r="B70" s="46" t="n">
        <f aca="false">A69</f>
        <v>46721</v>
      </c>
      <c r="C70" s="47" t="n">
        <f aca="false">A70-B70</f>
        <v>31</v>
      </c>
      <c r="D70" s="48" t="str">
        <f aca="false">IF(A70&lt;=EOMONTH(Inputs!$B$18,-1),"Actual","Projection")</f>
        <v>Projection</v>
      </c>
      <c r="E70" s="49" t="n">
        <f aca="false">G69</f>
        <v>735000</v>
      </c>
      <c r="F70" s="50" t="n">
        <f aca="false">SUMIFS(Cash_Events!$G$6:$G$20,Cash_Events!$C$6:$C$20,"FHL",Cash_Events!$M$6:$M$20,A70)</f>
        <v>0</v>
      </c>
      <c r="G70" s="49" t="n">
        <f aca="false">E70-F70</f>
        <v>735000</v>
      </c>
      <c r="H70" s="51" t="n">
        <f aca="false">VLOOKUP(A70-1,Inputs!$F$40:$G$48,2,TRUE())</f>
        <v>0.0364054</v>
      </c>
      <c r="I70" s="51" t="n">
        <f aca="false">H70+Inputs!C10</f>
        <v>0.1039054</v>
      </c>
      <c r="J70" s="50" t="n">
        <f aca="false">SUMIFS(Daily!$L$6:$L$2400,Daily!$B$6:$B$2400,A70)</f>
        <v>6486.25901095891</v>
      </c>
      <c r="K70" s="50" t="n">
        <f aca="false">SUMIFS(Daily!$M$6:$M$2400,Daily!$B$6:$B$2400,A70)</f>
        <v>1248.49315068493</v>
      </c>
      <c r="L70" s="49" t="n">
        <f aca="false">J70+K70</f>
        <v>7734.75216164384</v>
      </c>
      <c r="M70" s="49" t="n">
        <f aca="false">P69</f>
        <v>405765.992931417</v>
      </c>
      <c r="N70" s="50" t="n">
        <f aca="false">SUMIFS(Cash_Events!$H$6:$H$20,Cash_Events!$C$6:$C$20,"FHL",Cash_Events!$D$6:$D$20,"JV",Cash_Events!$M$6:$M$20,A70)</f>
        <v>0</v>
      </c>
      <c r="O70" s="50" t="n">
        <f aca="false">SUMIFS(Cash_Events!$H$6:$H$20,Cash_Events!$C$6:$C$20,"FHL",Cash_Events!$D$6:$D$20,"800S",Cash_Events!$M$6:$M$20,A70)</f>
        <v>0</v>
      </c>
      <c r="P70" s="49" t="n">
        <f aca="false">M70+J70-N70-O70</f>
        <v>412252.251942376</v>
      </c>
      <c r="Q70" s="49" t="n">
        <f aca="false">S69</f>
        <v>65394.0920907253</v>
      </c>
      <c r="R70" s="50" t="n">
        <f aca="false">SUMIFS(Cash_Events!$I$6:$I$20,Cash_Events!$C$6:$C$20,"FHL",Cash_Events!$M$6:$M$20,A70)</f>
        <v>0</v>
      </c>
      <c r="S70" s="49" t="n">
        <f aca="false">Q70+K70-R70</f>
        <v>66642.5852414103</v>
      </c>
      <c r="T70" s="52" t="n">
        <f aca="false">P70+S70</f>
        <v>478894.837183786</v>
      </c>
      <c r="U70" s="52" t="n">
        <f aca="false">G70+T70</f>
        <v>1213894.83718379</v>
      </c>
      <c r="V70" s="49" t="n">
        <f aca="false">V69+L70</f>
        <v>663561.727183786</v>
      </c>
      <c r="W70" s="49" t="n">
        <f aca="false">W69+N70+O70+R70</f>
        <v>184666.89</v>
      </c>
      <c r="X70" s="49" t="n">
        <f aca="false">ROUND(V70-W70-T70,2)</f>
        <v>0</v>
      </c>
      <c r="Y70" s="2"/>
    </row>
    <row r="71" customFormat="false" ht="15" hidden="false" customHeight="false" outlineLevel="0" collapsed="false">
      <c r="A71" s="46" t="n">
        <f aca="false">EOMONTH(A70,1)</f>
        <v>46783</v>
      </c>
      <c r="B71" s="46" t="n">
        <f aca="false">A70</f>
        <v>46752</v>
      </c>
      <c r="C71" s="47" t="n">
        <f aca="false">A71-B71</f>
        <v>31</v>
      </c>
      <c r="D71" s="48" t="str">
        <f aca="false">IF(A71&lt;=EOMONTH(Inputs!$B$18,-1),"Actual","Projection")</f>
        <v>Projection</v>
      </c>
      <c r="E71" s="49" t="n">
        <f aca="false">G70</f>
        <v>735000</v>
      </c>
      <c r="F71" s="50" t="n">
        <f aca="false">SUMIFS(Cash_Events!$G$6:$G$20,Cash_Events!$C$6:$C$20,"FHL",Cash_Events!$M$6:$M$20,A71)</f>
        <v>0</v>
      </c>
      <c r="G71" s="49" t="n">
        <f aca="false">E71-F71</f>
        <v>735000</v>
      </c>
      <c r="H71" s="51" t="n">
        <f aca="false">VLOOKUP(A71-1,Inputs!$F$40:$G$48,2,TRUE())</f>
        <v>0.0364054</v>
      </c>
      <c r="I71" s="51" t="n">
        <f aca="false">H71+Inputs!C10</f>
        <v>0.1039054</v>
      </c>
      <c r="J71" s="50" t="n">
        <f aca="false">SUMIFS(Daily!$L$6:$L$2400,Daily!$B$6:$B$2400,A71)</f>
        <v>6469.10866984056</v>
      </c>
      <c r="K71" s="50" t="n">
        <f aca="false">SUMIFS(Daily!$M$6:$M$2400,Daily!$B$6:$B$2400,A71)</f>
        <v>1245.19200538963</v>
      </c>
      <c r="L71" s="49" t="n">
        <f aca="false">J71+K71</f>
        <v>7714.30067523018</v>
      </c>
      <c r="M71" s="49" t="n">
        <f aca="false">P70</f>
        <v>412252.251942376</v>
      </c>
      <c r="N71" s="50" t="n">
        <f aca="false">SUMIFS(Cash_Events!$H$6:$H$20,Cash_Events!$C$6:$C$20,"FHL",Cash_Events!$D$6:$D$20,"JV",Cash_Events!$M$6:$M$20,A71)</f>
        <v>0</v>
      </c>
      <c r="O71" s="50" t="n">
        <f aca="false">SUMIFS(Cash_Events!$H$6:$H$20,Cash_Events!$C$6:$C$20,"FHL",Cash_Events!$D$6:$D$20,"800S",Cash_Events!$M$6:$M$20,A71)</f>
        <v>0</v>
      </c>
      <c r="P71" s="49" t="n">
        <f aca="false">M71+J71-N71-O71</f>
        <v>418721.360612216</v>
      </c>
      <c r="Q71" s="49" t="n">
        <f aca="false">S70</f>
        <v>66642.5852414103</v>
      </c>
      <c r="R71" s="50" t="n">
        <f aca="false">SUMIFS(Cash_Events!$I$6:$I$20,Cash_Events!$C$6:$C$20,"FHL",Cash_Events!$M$6:$M$20,A71)</f>
        <v>0</v>
      </c>
      <c r="S71" s="49" t="n">
        <f aca="false">Q71+K71-R71</f>
        <v>67887.7772467999</v>
      </c>
      <c r="T71" s="52" t="n">
        <f aca="false">P71+S71</f>
        <v>486609.137859016</v>
      </c>
      <c r="U71" s="52" t="n">
        <f aca="false">G71+T71</f>
        <v>1221609.13785902</v>
      </c>
      <c r="V71" s="49" t="n">
        <f aca="false">V70+L71</f>
        <v>671276.027859016</v>
      </c>
      <c r="W71" s="49" t="n">
        <f aca="false">W70+N71+O71+R71</f>
        <v>184666.89</v>
      </c>
      <c r="X71" s="49" t="n">
        <f aca="false">ROUND(V71-W71-T71,2)</f>
        <v>0</v>
      </c>
      <c r="Y71" s="2"/>
    </row>
    <row r="72" customFormat="false" ht="15" hidden="false" customHeight="false" outlineLevel="0" collapsed="false">
      <c r="A72" s="46" t="n">
        <f aca="false">EOMONTH(A71,1)</f>
        <v>46812</v>
      </c>
      <c r="B72" s="46" t="n">
        <f aca="false">A71</f>
        <v>46783</v>
      </c>
      <c r="C72" s="47" t="n">
        <f aca="false">A72-B72</f>
        <v>29</v>
      </c>
      <c r="D72" s="48" t="str">
        <f aca="false">IF(A72&lt;=EOMONTH(Inputs!$B$18,-1),"Actual","Projection")</f>
        <v>Projection</v>
      </c>
      <c r="E72" s="49" t="n">
        <f aca="false">G71</f>
        <v>735000</v>
      </c>
      <c r="F72" s="50" t="n">
        <f aca="false">SUMIFS(Cash_Events!$G$6:$G$20,Cash_Events!$C$6:$C$20,"FHL",Cash_Events!$M$6:$M$20,A72)</f>
        <v>0</v>
      </c>
      <c r="G72" s="49" t="n">
        <f aca="false">E72-F72</f>
        <v>735000</v>
      </c>
      <c r="H72" s="51" t="n">
        <f aca="false">VLOOKUP(A72-1,Inputs!$F$40:$G$48,2,TRUE())</f>
        <v>0.0364054</v>
      </c>
      <c r="I72" s="51" t="n">
        <f aca="false">H72+Inputs!C10</f>
        <v>0.1039054</v>
      </c>
      <c r="J72" s="50" t="n">
        <f aca="false">SUMIFS(Daily!$L$6:$L$2400,Daily!$B$6:$B$2400,A72)</f>
        <v>6051.21202459016</v>
      </c>
      <c r="K72" s="50" t="n">
        <f aca="false">SUMIFS(Daily!$M$6:$M$2400,Daily!$B$6:$B$2400,A72)</f>
        <v>1164.75409836066</v>
      </c>
      <c r="L72" s="49" t="n">
        <f aca="false">J72+K72</f>
        <v>7215.96612295082</v>
      </c>
      <c r="M72" s="49" t="n">
        <f aca="false">P71</f>
        <v>418721.360612216</v>
      </c>
      <c r="N72" s="50" t="n">
        <f aca="false">SUMIFS(Cash_Events!$H$6:$H$20,Cash_Events!$C$6:$C$20,"FHL",Cash_Events!$D$6:$D$20,"JV",Cash_Events!$M$6:$M$20,A72)</f>
        <v>0</v>
      </c>
      <c r="O72" s="50" t="n">
        <f aca="false">SUMIFS(Cash_Events!$H$6:$H$20,Cash_Events!$C$6:$C$20,"FHL",Cash_Events!$D$6:$D$20,"800S",Cash_Events!$M$6:$M$20,A72)</f>
        <v>0</v>
      </c>
      <c r="P72" s="49" t="n">
        <f aca="false">M72+J72-N72-O72</f>
        <v>424772.572636806</v>
      </c>
      <c r="Q72" s="49" t="n">
        <f aca="false">S71</f>
        <v>67887.7772467999</v>
      </c>
      <c r="R72" s="50" t="n">
        <f aca="false">SUMIFS(Cash_Events!$I$6:$I$20,Cash_Events!$C$6:$C$20,"FHL",Cash_Events!$M$6:$M$20,A72)</f>
        <v>0</v>
      </c>
      <c r="S72" s="49" t="n">
        <f aca="false">Q72+K72-R72</f>
        <v>69052.5313451606</v>
      </c>
      <c r="T72" s="52" t="n">
        <f aca="false">P72+S72</f>
        <v>493825.103981967</v>
      </c>
      <c r="U72" s="52" t="n">
        <f aca="false">G72+T72</f>
        <v>1228825.10398197</v>
      </c>
      <c r="V72" s="49" t="n">
        <f aca="false">V71+L72</f>
        <v>678491.993981967</v>
      </c>
      <c r="W72" s="49" t="n">
        <f aca="false">W71+N72+O72+R72</f>
        <v>184666.89</v>
      </c>
      <c r="X72" s="49" t="n">
        <f aca="false">ROUND(V72-W72-T72,2)</f>
        <v>0</v>
      </c>
      <c r="Y72" s="2"/>
    </row>
    <row r="73" customFormat="false" ht="15" hidden="false" customHeight="false" outlineLevel="0" collapsed="false">
      <c r="A73" s="46" t="n">
        <f aca="false">EOMONTH(A72,1)</f>
        <v>46843</v>
      </c>
      <c r="B73" s="46" t="n">
        <f aca="false">A72</f>
        <v>46812</v>
      </c>
      <c r="C73" s="47" t="n">
        <f aca="false">A73-B73</f>
        <v>31</v>
      </c>
      <c r="D73" s="48" t="str">
        <f aca="false">IF(A73&lt;=EOMONTH(Inputs!$B$18,-1),"Actual","Projection")</f>
        <v>Projection</v>
      </c>
      <c r="E73" s="49" t="n">
        <f aca="false">G72</f>
        <v>735000</v>
      </c>
      <c r="F73" s="50" t="n">
        <f aca="false">SUMIFS(Cash_Events!$G$6:$G$20,Cash_Events!$C$6:$C$20,"FHL",Cash_Events!$M$6:$M$20,A73)</f>
        <v>0</v>
      </c>
      <c r="G73" s="49" t="n">
        <f aca="false">E73-F73</f>
        <v>735000</v>
      </c>
      <c r="H73" s="51" t="n">
        <f aca="false">VLOOKUP(A73-1,Inputs!$F$40:$G$48,2,TRUE())</f>
        <v>0.0364054</v>
      </c>
      <c r="I73" s="51" t="n">
        <f aca="false">H73+Inputs!C10</f>
        <v>0.1039054</v>
      </c>
      <c r="J73" s="50" t="n">
        <f aca="false">SUMIFS(Daily!$L$6:$L$2400,Daily!$B$6:$B$2400,A73)</f>
        <v>6468.53699180328</v>
      </c>
      <c r="K73" s="50" t="n">
        <f aca="false">SUMIFS(Daily!$M$6:$M$2400,Daily!$B$6:$B$2400,A73)</f>
        <v>1245.08196721311</v>
      </c>
      <c r="L73" s="49" t="n">
        <f aca="false">J73+K73</f>
        <v>7713.61895901639</v>
      </c>
      <c r="M73" s="49" t="n">
        <f aca="false">P72</f>
        <v>424772.572636806</v>
      </c>
      <c r="N73" s="50" t="n">
        <f aca="false">SUMIFS(Cash_Events!$H$6:$H$20,Cash_Events!$C$6:$C$20,"FHL",Cash_Events!$D$6:$D$20,"JV",Cash_Events!$M$6:$M$20,A73)</f>
        <v>0</v>
      </c>
      <c r="O73" s="50" t="n">
        <f aca="false">SUMIFS(Cash_Events!$H$6:$H$20,Cash_Events!$C$6:$C$20,"FHL",Cash_Events!$D$6:$D$20,"800S",Cash_Events!$M$6:$M$20,A73)</f>
        <v>0</v>
      </c>
      <c r="P73" s="49" t="n">
        <f aca="false">M73+J73-N73-O73</f>
        <v>431241.10962861</v>
      </c>
      <c r="Q73" s="49" t="n">
        <f aca="false">S72</f>
        <v>69052.5313451606</v>
      </c>
      <c r="R73" s="50" t="n">
        <f aca="false">SUMIFS(Cash_Events!$I$6:$I$20,Cash_Events!$C$6:$C$20,"FHL",Cash_Events!$M$6:$M$20,A73)</f>
        <v>0</v>
      </c>
      <c r="S73" s="49" t="n">
        <f aca="false">Q73+K73-R73</f>
        <v>70297.6133123737</v>
      </c>
      <c r="T73" s="52" t="n">
        <f aca="false">P73+S73</f>
        <v>501538.722940983</v>
      </c>
      <c r="U73" s="52" t="n">
        <f aca="false">G73+T73</f>
        <v>1236538.72294098</v>
      </c>
      <c r="V73" s="49" t="n">
        <f aca="false">V72+L73</f>
        <v>686205.612940983</v>
      </c>
      <c r="W73" s="49" t="n">
        <f aca="false">W72+N73+O73+R73</f>
        <v>184666.89</v>
      </c>
      <c r="X73" s="49" t="n">
        <f aca="false">ROUND(V73-W73-T73,2)</f>
        <v>0</v>
      </c>
      <c r="Y73" s="2"/>
    </row>
    <row r="74" customFormat="false" ht="15" hidden="false" customHeight="false" outlineLevel="0" collapsed="false">
      <c r="A74" s="46" t="n">
        <f aca="false">EOMONTH(A73,1)</f>
        <v>46873</v>
      </c>
      <c r="B74" s="46" t="n">
        <f aca="false">A73</f>
        <v>46843</v>
      </c>
      <c r="C74" s="47" t="n">
        <f aca="false">A74-B74</f>
        <v>30</v>
      </c>
      <c r="D74" s="48" t="str">
        <f aca="false">IF(A74&lt;=EOMONTH(Inputs!$B$18,-1),"Actual","Projection")</f>
        <v>Projection</v>
      </c>
      <c r="E74" s="49" t="n">
        <f aca="false">G73</f>
        <v>735000</v>
      </c>
      <c r="F74" s="50" t="n">
        <f aca="false">SUMIFS(Cash_Events!$G$6:$G$20,Cash_Events!$C$6:$C$20,"FHL",Cash_Events!$M$6:$M$20,A74)</f>
        <v>0</v>
      </c>
      <c r="G74" s="49" t="n">
        <f aca="false">E74-F74</f>
        <v>735000</v>
      </c>
      <c r="H74" s="51" t="n">
        <f aca="false">VLOOKUP(A74-1,Inputs!$F$40:$G$48,2,TRUE())</f>
        <v>0.0364054</v>
      </c>
      <c r="I74" s="51" t="n">
        <f aca="false">H74+Inputs!C10</f>
        <v>0.1039054</v>
      </c>
      <c r="J74" s="50" t="n">
        <f aca="false">SUMIFS(Daily!$L$6:$L$2400,Daily!$B$6:$B$2400,A74)</f>
        <v>6259.87450819672</v>
      </c>
      <c r="K74" s="50" t="n">
        <f aca="false">SUMIFS(Daily!$M$6:$M$2400,Daily!$B$6:$B$2400,A74)</f>
        <v>1204.91803278689</v>
      </c>
      <c r="L74" s="49" t="n">
        <f aca="false">J74+K74</f>
        <v>7464.79254098361</v>
      </c>
      <c r="M74" s="49" t="n">
        <f aca="false">P73</f>
        <v>431241.10962861</v>
      </c>
      <c r="N74" s="50" t="n">
        <f aca="false">SUMIFS(Cash_Events!$H$6:$H$20,Cash_Events!$C$6:$C$20,"FHL",Cash_Events!$D$6:$D$20,"JV",Cash_Events!$M$6:$M$20,A74)</f>
        <v>0</v>
      </c>
      <c r="O74" s="50" t="n">
        <f aca="false">SUMIFS(Cash_Events!$H$6:$H$20,Cash_Events!$C$6:$C$20,"FHL",Cash_Events!$D$6:$D$20,"800S",Cash_Events!$M$6:$M$20,A74)</f>
        <v>0</v>
      </c>
      <c r="P74" s="49" t="n">
        <f aca="false">M74+J74-N74-O74</f>
        <v>437500.984136806</v>
      </c>
      <c r="Q74" s="49" t="n">
        <f aca="false">S73</f>
        <v>70297.6133123737</v>
      </c>
      <c r="R74" s="50" t="n">
        <f aca="false">SUMIFS(Cash_Events!$I$6:$I$20,Cash_Events!$C$6:$C$20,"FHL",Cash_Events!$M$6:$M$20,A74)</f>
        <v>0</v>
      </c>
      <c r="S74" s="49" t="n">
        <f aca="false">Q74+K74-R74</f>
        <v>71502.5313451606</v>
      </c>
      <c r="T74" s="52" t="n">
        <f aca="false">P74+S74</f>
        <v>509003.515481967</v>
      </c>
      <c r="U74" s="52" t="n">
        <f aca="false">G74+T74</f>
        <v>1244003.51548197</v>
      </c>
      <c r="V74" s="49" t="n">
        <f aca="false">V73+L74</f>
        <v>693670.405481967</v>
      </c>
      <c r="W74" s="49" t="n">
        <f aca="false">W73+N74+O74+R74</f>
        <v>184666.89</v>
      </c>
      <c r="X74" s="49" t="n">
        <f aca="false">ROUND(V74-W74-T74,2)</f>
        <v>0</v>
      </c>
      <c r="Y74" s="2"/>
    </row>
    <row r="75" customFormat="false" ht="15" hidden="false" customHeight="false" outlineLevel="0" collapsed="false">
      <c r="A75" s="46" t="n">
        <f aca="false">EOMONTH(A74,1)</f>
        <v>46904</v>
      </c>
      <c r="B75" s="46" t="n">
        <f aca="false">A74</f>
        <v>46873</v>
      </c>
      <c r="C75" s="47" t="n">
        <f aca="false">A75-B75</f>
        <v>31</v>
      </c>
      <c r="D75" s="48" t="str">
        <f aca="false">IF(A75&lt;=EOMONTH(Inputs!$B$18,-1),"Actual","Projection")</f>
        <v>Projection</v>
      </c>
      <c r="E75" s="49" t="n">
        <f aca="false">G74</f>
        <v>735000</v>
      </c>
      <c r="F75" s="50" t="n">
        <f aca="false">SUMIFS(Cash_Events!$G$6:$G$20,Cash_Events!$C$6:$C$20,"FHL",Cash_Events!$M$6:$M$20,A75)</f>
        <v>0</v>
      </c>
      <c r="G75" s="49" t="n">
        <f aca="false">E75-F75</f>
        <v>735000</v>
      </c>
      <c r="H75" s="51" t="n">
        <f aca="false">VLOOKUP(A75-1,Inputs!$F$40:$G$48,2,TRUE())</f>
        <v>0.0364054</v>
      </c>
      <c r="I75" s="51" t="n">
        <f aca="false">H75+Inputs!C10</f>
        <v>0.1039054</v>
      </c>
      <c r="J75" s="50" t="n">
        <f aca="false">SUMIFS(Daily!$L$6:$L$2400,Daily!$B$6:$B$2400,A75)</f>
        <v>6468.53699180328</v>
      </c>
      <c r="K75" s="50" t="n">
        <f aca="false">SUMIFS(Daily!$M$6:$M$2400,Daily!$B$6:$B$2400,A75)</f>
        <v>1245.08196721311</v>
      </c>
      <c r="L75" s="49" t="n">
        <f aca="false">J75+K75</f>
        <v>7713.61895901639</v>
      </c>
      <c r="M75" s="49" t="n">
        <f aca="false">P74</f>
        <v>437500.984136806</v>
      </c>
      <c r="N75" s="50" t="n">
        <f aca="false">SUMIFS(Cash_Events!$H$6:$H$20,Cash_Events!$C$6:$C$20,"FHL",Cash_Events!$D$6:$D$20,"JV",Cash_Events!$M$6:$M$20,A75)</f>
        <v>0</v>
      </c>
      <c r="O75" s="50" t="n">
        <f aca="false">SUMIFS(Cash_Events!$H$6:$H$20,Cash_Events!$C$6:$C$20,"FHL",Cash_Events!$D$6:$D$20,"800S",Cash_Events!$M$6:$M$20,A75)</f>
        <v>0</v>
      </c>
      <c r="P75" s="49" t="n">
        <f aca="false">M75+J75-N75-O75</f>
        <v>443969.52112861</v>
      </c>
      <c r="Q75" s="49" t="n">
        <f aca="false">S74</f>
        <v>71502.5313451606</v>
      </c>
      <c r="R75" s="50" t="n">
        <f aca="false">SUMIFS(Cash_Events!$I$6:$I$20,Cash_Events!$C$6:$C$20,"FHL",Cash_Events!$M$6:$M$20,A75)</f>
        <v>0</v>
      </c>
      <c r="S75" s="49" t="n">
        <f aca="false">Q75+K75-R75</f>
        <v>72747.6133123737</v>
      </c>
      <c r="T75" s="52" t="n">
        <f aca="false">P75+S75</f>
        <v>516717.134440983</v>
      </c>
      <c r="U75" s="52" t="n">
        <f aca="false">G75+T75</f>
        <v>1251717.13444098</v>
      </c>
      <c r="V75" s="49" t="n">
        <f aca="false">V74+L75</f>
        <v>701384.024440983</v>
      </c>
      <c r="W75" s="49" t="n">
        <f aca="false">W74+N75+O75+R75</f>
        <v>184666.89</v>
      </c>
      <c r="X75" s="49" t="n">
        <f aca="false">ROUND(V75-W75-T75,2)</f>
        <v>0</v>
      </c>
      <c r="Y75" s="2"/>
    </row>
    <row r="76" customFormat="false" ht="15" hidden="false" customHeight="false" outlineLevel="0" collapsed="false">
      <c r="A76" s="46" t="n">
        <f aca="false">EOMONTH(A75,1)</f>
        <v>46934</v>
      </c>
      <c r="B76" s="46" t="n">
        <f aca="false">A75</f>
        <v>46904</v>
      </c>
      <c r="C76" s="47" t="n">
        <f aca="false">A76-B76</f>
        <v>30</v>
      </c>
      <c r="D76" s="48" t="str">
        <f aca="false">IF(A76&lt;=EOMONTH(Inputs!$B$18,-1),"Actual","Projection")</f>
        <v>Projection</v>
      </c>
      <c r="E76" s="49" t="n">
        <f aca="false">G75</f>
        <v>735000</v>
      </c>
      <c r="F76" s="50" t="n">
        <f aca="false">SUMIFS(Cash_Events!$G$6:$G$20,Cash_Events!$C$6:$C$20,"FHL",Cash_Events!$M$6:$M$20,A76)</f>
        <v>0</v>
      </c>
      <c r="G76" s="49" t="n">
        <f aca="false">E76-F76</f>
        <v>735000</v>
      </c>
      <c r="H76" s="51" t="n">
        <f aca="false">VLOOKUP(A76-1,Inputs!$F$40:$G$48,2,TRUE())</f>
        <v>0.0364054</v>
      </c>
      <c r="I76" s="51" t="n">
        <f aca="false">H76+Inputs!C10</f>
        <v>0.1039054</v>
      </c>
      <c r="J76" s="50" t="n">
        <f aca="false">SUMIFS(Daily!$L$6:$L$2400,Daily!$B$6:$B$2400,A76)</f>
        <v>6259.87450819672</v>
      </c>
      <c r="K76" s="50" t="n">
        <f aca="false">SUMIFS(Daily!$M$6:$M$2400,Daily!$B$6:$B$2400,A76)</f>
        <v>1204.91803278689</v>
      </c>
      <c r="L76" s="49" t="n">
        <f aca="false">J76+K76</f>
        <v>7464.79254098361</v>
      </c>
      <c r="M76" s="49" t="n">
        <f aca="false">P75</f>
        <v>443969.52112861</v>
      </c>
      <c r="N76" s="50" t="n">
        <f aca="false">SUMIFS(Cash_Events!$H$6:$H$20,Cash_Events!$C$6:$C$20,"FHL",Cash_Events!$D$6:$D$20,"JV",Cash_Events!$M$6:$M$20,A76)</f>
        <v>0</v>
      </c>
      <c r="O76" s="50" t="n">
        <f aca="false">SUMIFS(Cash_Events!$H$6:$H$20,Cash_Events!$C$6:$C$20,"FHL",Cash_Events!$D$6:$D$20,"800S",Cash_Events!$M$6:$M$20,A76)</f>
        <v>0</v>
      </c>
      <c r="P76" s="49" t="n">
        <f aca="false">M76+J76-N76-O76</f>
        <v>450229.395636806</v>
      </c>
      <c r="Q76" s="49" t="n">
        <f aca="false">S75</f>
        <v>72747.6133123737</v>
      </c>
      <c r="R76" s="50" t="n">
        <f aca="false">SUMIFS(Cash_Events!$I$6:$I$20,Cash_Events!$C$6:$C$20,"FHL",Cash_Events!$M$6:$M$20,A76)</f>
        <v>0</v>
      </c>
      <c r="S76" s="49" t="n">
        <f aca="false">Q76+K76-R76</f>
        <v>73952.5313451606</v>
      </c>
      <c r="T76" s="52" t="n">
        <f aca="false">P76+S76</f>
        <v>524181.926981967</v>
      </c>
      <c r="U76" s="52" t="n">
        <f aca="false">G76+T76</f>
        <v>1259181.92698197</v>
      </c>
      <c r="V76" s="49" t="n">
        <f aca="false">V75+L76</f>
        <v>708848.816981967</v>
      </c>
      <c r="W76" s="49" t="n">
        <f aca="false">W75+N76+O76+R76</f>
        <v>184666.89</v>
      </c>
      <c r="X76" s="49" t="n">
        <f aca="false">ROUND(V76-W76-T76,2)</f>
        <v>0</v>
      </c>
      <c r="Y76" s="2"/>
    </row>
    <row r="77" customFormat="false" ht="15" hidden="false" customHeight="false" outlineLevel="0" collapsed="false">
      <c r="A77" s="46" t="n">
        <f aca="false">EOMONTH(A76,1)</f>
        <v>46965</v>
      </c>
      <c r="B77" s="46" t="n">
        <f aca="false">A76</f>
        <v>46934</v>
      </c>
      <c r="C77" s="47" t="n">
        <f aca="false">A77-B77</f>
        <v>31</v>
      </c>
      <c r="D77" s="48" t="str">
        <f aca="false">IF(A77&lt;=EOMONTH(Inputs!$B$18,-1),"Actual","Projection")</f>
        <v>Projection</v>
      </c>
      <c r="E77" s="49" t="n">
        <f aca="false">G76</f>
        <v>735000</v>
      </c>
      <c r="F77" s="50" t="n">
        <f aca="false">SUMIFS(Cash_Events!$G$6:$G$20,Cash_Events!$C$6:$C$20,"FHL",Cash_Events!$M$6:$M$20,A77)</f>
        <v>0</v>
      </c>
      <c r="G77" s="49" t="n">
        <f aca="false">E77-F77</f>
        <v>735000</v>
      </c>
      <c r="H77" s="51" t="n">
        <f aca="false">VLOOKUP(A77-1,Inputs!$F$40:$G$48,2,TRUE())</f>
        <v>0.0364054</v>
      </c>
      <c r="I77" s="51" t="n">
        <f aca="false">H77+Inputs!C10</f>
        <v>0.1039054</v>
      </c>
      <c r="J77" s="50" t="n">
        <f aca="false">SUMIFS(Daily!$L$6:$L$2400,Daily!$B$6:$B$2400,A77)</f>
        <v>6468.53699180328</v>
      </c>
      <c r="K77" s="50" t="n">
        <f aca="false">SUMIFS(Daily!$M$6:$M$2400,Daily!$B$6:$B$2400,A77)</f>
        <v>1245.08196721311</v>
      </c>
      <c r="L77" s="49" t="n">
        <f aca="false">J77+K77</f>
        <v>7713.61895901639</v>
      </c>
      <c r="M77" s="49" t="n">
        <f aca="false">P76</f>
        <v>450229.395636806</v>
      </c>
      <c r="N77" s="50" t="n">
        <f aca="false">SUMIFS(Cash_Events!$H$6:$H$20,Cash_Events!$C$6:$C$20,"FHL",Cash_Events!$D$6:$D$20,"JV",Cash_Events!$M$6:$M$20,A77)</f>
        <v>0</v>
      </c>
      <c r="O77" s="50" t="n">
        <f aca="false">SUMIFS(Cash_Events!$H$6:$H$20,Cash_Events!$C$6:$C$20,"FHL",Cash_Events!$D$6:$D$20,"800S",Cash_Events!$M$6:$M$20,A77)</f>
        <v>0</v>
      </c>
      <c r="P77" s="49" t="n">
        <f aca="false">M77+J77-N77-O77</f>
        <v>456697.93262861</v>
      </c>
      <c r="Q77" s="49" t="n">
        <f aca="false">S76</f>
        <v>73952.5313451606</v>
      </c>
      <c r="R77" s="50" t="n">
        <f aca="false">SUMIFS(Cash_Events!$I$6:$I$20,Cash_Events!$C$6:$C$20,"FHL",Cash_Events!$M$6:$M$20,A77)</f>
        <v>0</v>
      </c>
      <c r="S77" s="49" t="n">
        <f aca="false">Q77+K77-R77</f>
        <v>75197.6133123737</v>
      </c>
      <c r="T77" s="52" t="n">
        <f aca="false">P77+S77</f>
        <v>531895.545940983</v>
      </c>
      <c r="U77" s="52" t="n">
        <f aca="false">G77+T77</f>
        <v>1266895.54594098</v>
      </c>
      <c r="V77" s="49" t="n">
        <f aca="false">V76+L77</f>
        <v>716562.435940983</v>
      </c>
      <c r="W77" s="49" t="n">
        <f aca="false">W76+N77+O77+R77</f>
        <v>184666.89</v>
      </c>
      <c r="X77" s="49" t="n">
        <f aca="false">ROUND(V77-W77-T77,2)</f>
        <v>0</v>
      </c>
      <c r="Y77" s="2"/>
    </row>
    <row r="78" customFormat="false" ht="15" hidden="false" customHeight="false" outlineLevel="0" collapsed="false">
      <c r="A78" s="46" t="n">
        <f aca="false">EOMONTH(A77,1)</f>
        <v>46996</v>
      </c>
      <c r="B78" s="46" t="n">
        <f aca="false">A77</f>
        <v>46965</v>
      </c>
      <c r="C78" s="47" t="n">
        <f aca="false">A78-B78</f>
        <v>31</v>
      </c>
      <c r="D78" s="48" t="str">
        <f aca="false">IF(A78&lt;=EOMONTH(Inputs!$B$18,-1),"Actual","Projection")</f>
        <v>Projection</v>
      </c>
      <c r="E78" s="49" t="n">
        <f aca="false">G77</f>
        <v>735000</v>
      </c>
      <c r="F78" s="50" t="n">
        <f aca="false">SUMIFS(Cash_Events!$G$6:$G$20,Cash_Events!$C$6:$C$20,"FHL",Cash_Events!$M$6:$M$20,A78)</f>
        <v>0</v>
      </c>
      <c r="G78" s="49" t="n">
        <f aca="false">E78-F78</f>
        <v>735000</v>
      </c>
      <c r="H78" s="51" t="n">
        <f aca="false">VLOOKUP(A78-1,Inputs!$F$40:$G$48,2,TRUE())</f>
        <v>0.0364054</v>
      </c>
      <c r="I78" s="51" t="n">
        <f aca="false">H78+Inputs!C10</f>
        <v>0.1039054</v>
      </c>
      <c r="J78" s="50" t="n">
        <f aca="false">SUMIFS(Daily!$L$6:$L$2400,Daily!$B$6:$B$2400,A78)</f>
        <v>6468.53699180328</v>
      </c>
      <c r="K78" s="50" t="n">
        <f aca="false">SUMIFS(Daily!$M$6:$M$2400,Daily!$B$6:$B$2400,A78)</f>
        <v>1245.08196721311</v>
      </c>
      <c r="L78" s="49" t="n">
        <f aca="false">J78+K78</f>
        <v>7713.61895901639</v>
      </c>
      <c r="M78" s="49" t="n">
        <f aca="false">P77</f>
        <v>456697.93262861</v>
      </c>
      <c r="N78" s="50" t="n">
        <f aca="false">SUMIFS(Cash_Events!$H$6:$H$20,Cash_Events!$C$6:$C$20,"FHL",Cash_Events!$D$6:$D$20,"JV",Cash_Events!$M$6:$M$20,A78)</f>
        <v>0</v>
      </c>
      <c r="O78" s="50" t="n">
        <f aca="false">SUMIFS(Cash_Events!$H$6:$H$20,Cash_Events!$C$6:$C$20,"FHL",Cash_Events!$D$6:$D$20,"800S",Cash_Events!$M$6:$M$20,A78)</f>
        <v>0</v>
      </c>
      <c r="P78" s="49" t="n">
        <f aca="false">M78+J78-N78-O78</f>
        <v>463166.469620413</v>
      </c>
      <c r="Q78" s="49" t="n">
        <f aca="false">S77</f>
        <v>75197.6133123737</v>
      </c>
      <c r="R78" s="50" t="n">
        <f aca="false">SUMIFS(Cash_Events!$I$6:$I$20,Cash_Events!$C$6:$C$20,"FHL",Cash_Events!$M$6:$M$20,A78)</f>
        <v>0</v>
      </c>
      <c r="S78" s="49" t="n">
        <f aca="false">Q78+K78-R78</f>
        <v>76442.6952795868</v>
      </c>
      <c r="T78" s="52" t="n">
        <f aca="false">P78+S78</f>
        <v>539609.1649</v>
      </c>
      <c r="U78" s="52" t="n">
        <f aca="false">G78+T78</f>
        <v>1274609.1649</v>
      </c>
      <c r="V78" s="49" t="n">
        <f aca="false">V77+L78</f>
        <v>724276.0549</v>
      </c>
      <c r="W78" s="49" t="n">
        <f aca="false">W77+N78+O78+R78</f>
        <v>184666.89</v>
      </c>
      <c r="X78" s="49" t="n">
        <f aca="false">ROUND(V78-W78-T78,2)</f>
        <v>0</v>
      </c>
      <c r="Y78" s="2"/>
    </row>
    <row r="79" customFormat="false" ht="15" hidden="false" customHeight="false" outlineLevel="0" collapsed="false">
      <c r="A79" s="46" t="n">
        <f aca="false">EOMONTH(A78,1)</f>
        <v>47026</v>
      </c>
      <c r="B79" s="46" t="n">
        <f aca="false">A78</f>
        <v>46996</v>
      </c>
      <c r="C79" s="47" t="n">
        <f aca="false">A79-B79</f>
        <v>30</v>
      </c>
      <c r="D79" s="48" t="str">
        <f aca="false">IF(A79&lt;=EOMONTH(Inputs!$B$18,-1),"Actual","Projection")</f>
        <v>Projection</v>
      </c>
      <c r="E79" s="49" t="n">
        <f aca="false">G78</f>
        <v>735000</v>
      </c>
      <c r="F79" s="50" t="n">
        <f aca="false">SUMIFS(Cash_Events!$G$6:$G$20,Cash_Events!$C$6:$C$20,"FHL",Cash_Events!$M$6:$M$20,A79)</f>
        <v>0</v>
      </c>
      <c r="G79" s="49" t="n">
        <f aca="false">E79-F79</f>
        <v>735000</v>
      </c>
      <c r="H79" s="51" t="n">
        <f aca="false">VLOOKUP(A79-1,Inputs!$F$40:$G$48,2,TRUE())</f>
        <v>0.0364054</v>
      </c>
      <c r="I79" s="51" t="n">
        <f aca="false">H79+Inputs!C10</f>
        <v>0.1039054</v>
      </c>
      <c r="J79" s="50" t="n">
        <f aca="false">SUMIFS(Daily!$L$6:$L$2400,Daily!$B$6:$B$2400,A79)</f>
        <v>6259.87450819672</v>
      </c>
      <c r="K79" s="50" t="n">
        <f aca="false">SUMIFS(Daily!$M$6:$M$2400,Daily!$B$6:$B$2400,A79)</f>
        <v>1204.91803278689</v>
      </c>
      <c r="L79" s="49" t="n">
        <f aca="false">J79+K79</f>
        <v>7464.79254098361</v>
      </c>
      <c r="M79" s="49" t="n">
        <f aca="false">P78</f>
        <v>463166.469620413</v>
      </c>
      <c r="N79" s="50" t="n">
        <f aca="false">SUMIFS(Cash_Events!$H$6:$H$20,Cash_Events!$C$6:$C$20,"FHL",Cash_Events!$D$6:$D$20,"JV",Cash_Events!$M$6:$M$20,A79)</f>
        <v>0</v>
      </c>
      <c r="O79" s="50" t="n">
        <f aca="false">SUMIFS(Cash_Events!$H$6:$H$20,Cash_Events!$C$6:$C$20,"FHL",Cash_Events!$D$6:$D$20,"800S",Cash_Events!$M$6:$M$20,A79)</f>
        <v>0</v>
      </c>
      <c r="P79" s="49" t="n">
        <f aca="false">M79+J79-N79-O79</f>
        <v>469426.34412861</v>
      </c>
      <c r="Q79" s="49" t="n">
        <f aca="false">S78</f>
        <v>76442.6952795868</v>
      </c>
      <c r="R79" s="50" t="n">
        <f aca="false">SUMIFS(Cash_Events!$I$6:$I$20,Cash_Events!$C$6:$C$20,"FHL",Cash_Events!$M$6:$M$20,A79)</f>
        <v>0</v>
      </c>
      <c r="S79" s="49" t="n">
        <f aca="false">Q79+K79-R79</f>
        <v>77647.6133123737</v>
      </c>
      <c r="T79" s="52" t="n">
        <f aca="false">P79+S79</f>
        <v>547073.957440983</v>
      </c>
      <c r="U79" s="52" t="n">
        <f aca="false">G79+T79</f>
        <v>1282073.95744098</v>
      </c>
      <c r="V79" s="49" t="n">
        <f aca="false">V78+L79</f>
        <v>731740.847440983</v>
      </c>
      <c r="W79" s="49" t="n">
        <f aca="false">W78+N79+O79+R79</f>
        <v>184666.89</v>
      </c>
      <c r="X79" s="49" t="n">
        <f aca="false">ROUND(V79-W79-T79,2)</f>
        <v>0</v>
      </c>
      <c r="Y79" s="2"/>
    </row>
    <row r="80" customFormat="false" ht="15" hidden="false" customHeight="false" outlineLevel="0" collapsed="false">
      <c r="A80" s="46" t="n">
        <f aca="false">EOMONTH(A79,1)</f>
        <v>47057</v>
      </c>
      <c r="B80" s="46" t="n">
        <f aca="false">A79</f>
        <v>47026</v>
      </c>
      <c r="C80" s="47" t="n">
        <f aca="false">A80-B80</f>
        <v>31</v>
      </c>
      <c r="D80" s="48" t="str">
        <f aca="false">IF(A80&lt;=EOMONTH(Inputs!$B$18,-1),"Actual","Projection")</f>
        <v>Projection</v>
      </c>
      <c r="E80" s="49" t="n">
        <f aca="false">G79</f>
        <v>735000</v>
      </c>
      <c r="F80" s="50" t="n">
        <f aca="false">SUMIFS(Cash_Events!$G$6:$G$20,Cash_Events!$C$6:$C$20,"FHL",Cash_Events!$M$6:$M$20,A80)</f>
        <v>0</v>
      </c>
      <c r="G80" s="49" t="n">
        <f aca="false">E80-F80</f>
        <v>735000</v>
      </c>
      <c r="H80" s="51" t="n">
        <f aca="false">VLOOKUP(A80-1,Inputs!$F$40:$G$48,2,TRUE())</f>
        <v>0.0364054</v>
      </c>
      <c r="I80" s="51" t="n">
        <f aca="false">H80+Inputs!C10</f>
        <v>0.1039054</v>
      </c>
      <c r="J80" s="50" t="n">
        <f aca="false">SUMIFS(Daily!$L$6:$L$2400,Daily!$B$6:$B$2400,A80)</f>
        <v>6468.53699180328</v>
      </c>
      <c r="K80" s="50" t="n">
        <f aca="false">SUMIFS(Daily!$M$6:$M$2400,Daily!$B$6:$B$2400,A80)</f>
        <v>1245.08196721311</v>
      </c>
      <c r="L80" s="49" t="n">
        <f aca="false">J80+K80</f>
        <v>7713.61895901639</v>
      </c>
      <c r="M80" s="49" t="n">
        <f aca="false">P79</f>
        <v>469426.34412861</v>
      </c>
      <c r="N80" s="50" t="n">
        <f aca="false">SUMIFS(Cash_Events!$H$6:$H$20,Cash_Events!$C$6:$C$20,"FHL",Cash_Events!$D$6:$D$20,"JV",Cash_Events!$M$6:$M$20,A80)</f>
        <v>0</v>
      </c>
      <c r="O80" s="50" t="n">
        <f aca="false">SUMIFS(Cash_Events!$H$6:$H$20,Cash_Events!$C$6:$C$20,"FHL",Cash_Events!$D$6:$D$20,"800S",Cash_Events!$M$6:$M$20,A80)</f>
        <v>0</v>
      </c>
      <c r="P80" s="49" t="n">
        <f aca="false">M80+J80-N80-O80</f>
        <v>475894.881120413</v>
      </c>
      <c r="Q80" s="49" t="n">
        <f aca="false">S79</f>
        <v>77647.6133123737</v>
      </c>
      <c r="R80" s="50" t="n">
        <f aca="false">SUMIFS(Cash_Events!$I$6:$I$20,Cash_Events!$C$6:$C$20,"FHL",Cash_Events!$M$6:$M$20,A80)</f>
        <v>0</v>
      </c>
      <c r="S80" s="49" t="n">
        <f aca="false">Q80+K80-R80</f>
        <v>78892.6952795868</v>
      </c>
      <c r="T80" s="52" t="n">
        <f aca="false">P80+S80</f>
        <v>554787.5764</v>
      </c>
      <c r="U80" s="52" t="n">
        <f aca="false">G80+T80</f>
        <v>1289787.5764</v>
      </c>
      <c r="V80" s="49" t="n">
        <f aca="false">V79+L80</f>
        <v>739454.4664</v>
      </c>
      <c r="W80" s="49" t="n">
        <f aca="false">W79+N80+O80+R80</f>
        <v>184666.89</v>
      </c>
      <c r="X80" s="49" t="n">
        <f aca="false">ROUND(V80-W80-T80,2)</f>
        <v>0</v>
      </c>
      <c r="Y80" s="2"/>
    </row>
    <row r="81" customFormat="false" ht="15" hidden="false" customHeight="false" outlineLevel="0" collapsed="false">
      <c r="A81" s="46" t="n">
        <f aca="false">EOMONTH(A80,1)</f>
        <v>47087</v>
      </c>
      <c r="B81" s="46" t="n">
        <f aca="false">A80</f>
        <v>47057</v>
      </c>
      <c r="C81" s="47" t="n">
        <f aca="false">A81-B81</f>
        <v>30</v>
      </c>
      <c r="D81" s="48" t="str">
        <f aca="false">IF(A81&lt;=EOMONTH(Inputs!$B$18,-1),"Actual","Projection")</f>
        <v>Projection</v>
      </c>
      <c r="E81" s="49" t="n">
        <f aca="false">G80</f>
        <v>735000</v>
      </c>
      <c r="F81" s="50" t="n">
        <f aca="false">SUMIFS(Cash_Events!$G$6:$G$20,Cash_Events!$C$6:$C$20,"FHL",Cash_Events!$M$6:$M$20,A81)</f>
        <v>0</v>
      </c>
      <c r="G81" s="49" t="n">
        <f aca="false">E81-F81</f>
        <v>735000</v>
      </c>
      <c r="H81" s="51" t="n">
        <f aca="false">VLOOKUP(A81-1,Inputs!$F$40:$G$48,2,TRUE())</f>
        <v>0.0364054</v>
      </c>
      <c r="I81" s="51" t="n">
        <f aca="false">H81+Inputs!C10</f>
        <v>0.1039054</v>
      </c>
      <c r="J81" s="50" t="n">
        <f aca="false">SUMIFS(Daily!$L$6:$L$2400,Daily!$B$6:$B$2400,A81)</f>
        <v>6259.87450819672</v>
      </c>
      <c r="K81" s="50" t="n">
        <f aca="false">SUMIFS(Daily!$M$6:$M$2400,Daily!$B$6:$B$2400,A81)</f>
        <v>1204.91803278689</v>
      </c>
      <c r="L81" s="49" t="n">
        <f aca="false">J81+K81</f>
        <v>7464.79254098361</v>
      </c>
      <c r="M81" s="49" t="n">
        <f aca="false">P80</f>
        <v>475894.881120413</v>
      </c>
      <c r="N81" s="50" t="n">
        <f aca="false">SUMIFS(Cash_Events!$H$6:$H$20,Cash_Events!$C$6:$C$20,"FHL",Cash_Events!$D$6:$D$20,"JV",Cash_Events!$M$6:$M$20,A81)</f>
        <v>0</v>
      </c>
      <c r="O81" s="50" t="n">
        <f aca="false">SUMIFS(Cash_Events!$H$6:$H$20,Cash_Events!$C$6:$C$20,"FHL",Cash_Events!$D$6:$D$20,"800S",Cash_Events!$M$6:$M$20,A81)</f>
        <v>0</v>
      </c>
      <c r="P81" s="49" t="n">
        <f aca="false">M81+J81-N81-O81</f>
        <v>482154.75562861</v>
      </c>
      <c r="Q81" s="49" t="n">
        <f aca="false">S80</f>
        <v>78892.6952795868</v>
      </c>
      <c r="R81" s="50" t="n">
        <f aca="false">SUMIFS(Cash_Events!$I$6:$I$20,Cash_Events!$C$6:$C$20,"FHL",Cash_Events!$M$6:$M$20,A81)</f>
        <v>0</v>
      </c>
      <c r="S81" s="49" t="n">
        <f aca="false">Q81+K81-R81</f>
        <v>80097.6133123737</v>
      </c>
      <c r="T81" s="52" t="n">
        <f aca="false">P81+S81</f>
        <v>562252.368940983</v>
      </c>
      <c r="U81" s="52" t="n">
        <f aca="false">G81+T81</f>
        <v>1297252.36894098</v>
      </c>
      <c r="V81" s="49" t="n">
        <f aca="false">V80+L81</f>
        <v>746919.258940983</v>
      </c>
      <c r="W81" s="49" t="n">
        <f aca="false">W80+N81+O81+R81</f>
        <v>184666.89</v>
      </c>
      <c r="X81" s="49" t="n">
        <f aca="false">ROUND(V81-W81-T81,2)</f>
        <v>0</v>
      </c>
      <c r="Y81" s="2"/>
    </row>
    <row r="82" customFormat="false" ht="15" hidden="false" customHeight="false" outlineLevel="0" collapsed="false">
      <c r="A82" s="46" t="n">
        <f aca="false">EOMONTH(A81,1)</f>
        <v>47118</v>
      </c>
      <c r="B82" s="46" t="n">
        <f aca="false">A81</f>
        <v>47087</v>
      </c>
      <c r="C82" s="47" t="n">
        <f aca="false">A82-B82</f>
        <v>31</v>
      </c>
      <c r="D82" s="48" t="str">
        <f aca="false">IF(A82&lt;=EOMONTH(Inputs!$B$18,-1),"Actual","Projection")</f>
        <v>Projection</v>
      </c>
      <c r="E82" s="49" t="n">
        <f aca="false">G81</f>
        <v>735000</v>
      </c>
      <c r="F82" s="50" t="n">
        <f aca="false">SUMIFS(Cash_Events!$G$6:$G$20,Cash_Events!$C$6:$C$20,"FHL",Cash_Events!$M$6:$M$20,A82)</f>
        <v>0</v>
      </c>
      <c r="G82" s="49" t="n">
        <f aca="false">E82-F82</f>
        <v>735000</v>
      </c>
      <c r="H82" s="51" t="n">
        <f aca="false">VLOOKUP(A82-1,Inputs!$F$40:$G$48,2,TRUE())</f>
        <v>0.0364054</v>
      </c>
      <c r="I82" s="51" t="n">
        <f aca="false">H82+Inputs!C10</f>
        <v>0.1039054</v>
      </c>
      <c r="J82" s="50" t="n">
        <f aca="false">SUMIFS(Daily!$L$6:$L$2400,Daily!$B$6:$B$2400,A82)</f>
        <v>6468.53699180328</v>
      </c>
      <c r="K82" s="50" t="n">
        <f aca="false">SUMIFS(Daily!$M$6:$M$2400,Daily!$B$6:$B$2400,A82)</f>
        <v>1245.08196721311</v>
      </c>
      <c r="L82" s="49" t="n">
        <f aca="false">J82+K82</f>
        <v>7713.61895901639</v>
      </c>
      <c r="M82" s="49" t="n">
        <f aca="false">P81</f>
        <v>482154.75562861</v>
      </c>
      <c r="N82" s="50" t="n">
        <f aca="false">SUMIFS(Cash_Events!$H$6:$H$20,Cash_Events!$C$6:$C$20,"FHL",Cash_Events!$D$6:$D$20,"JV",Cash_Events!$M$6:$M$20,A82)</f>
        <v>0</v>
      </c>
      <c r="O82" s="50" t="n">
        <f aca="false">SUMIFS(Cash_Events!$H$6:$H$20,Cash_Events!$C$6:$C$20,"FHL",Cash_Events!$D$6:$D$20,"800S",Cash_Events!$M$6:$M$20,A82)</f>
        <v>0</v>
      </c>
      <c r="P82" s="49" t="n">
        <f aca="false">M82+J82-N82-O82</f>
        <v>488623.292620413</v>
      </c>
      <c r="Q82" s="49" t="n">
        <f aca="false">S81</f>
        <v>80097.6133123737</v>
      </c>
      <c r="R82" s="50" t="n">
        <f aca="false">SUMIFS(Cash_Events!$I$6:$I$20,Cash_Events!$C$6:$C$20,"FHL",Cash_Events!$M$6:$M$20,A82)</f>
        <v>0</v>
      </c>
      <c r="S82" s="49" t="n">
        <f aca="false">Q82+K82-R82</f>
        <v>81342.6952795868</v>
      </c>
      <c r="T82" s="52" t="n">
        <f aca="false">P82+S82</f>
        <v>569965.9879</v>
      </c>
      <c r="U82" s="52" t="n">
        <f aca="false">G82+T82</f>
        <v>1304965.9879</v>
      </c>
      <c r="V82" s="49" t="n">
        <f aca="false">V81+L82</f>
        <v>754632.8779</v>
      </c>
      <c r="W82" s="49" t="n">
        <f aca="false">W81+N82+O82+R82</f>
        <v>184666.89</v>
      </c>
      <c r="X82" s="49" t="n">
        <f aca="false">ROUND(V82-W82-T82,2)</f>
        <v>0</v>
      </c>
      <c r="Y82" s="2"/>
    </row>
    <row r="83" customFormat="false" ht="15" hidden="false" customHeight="false" outlineLevel="0" collapsed="false">
      <c r="A83" s="46" t="n">
        <f aca="false">EOMONTH(A82,1)</f>
        <v>47149</v>
      </c>
      <c r="B83" s="46" t="n">
        <f aca="false">A82</f>
        <v>47118</v>
      </c>
      <c r="C83" s="47" t="n">
        <f aca="false">A83-B83</f>
        <v>31</v>
      </c>
      <c r="D83" s="48" t="str">
        <f aca="false">IF(A83&lt;=EOMONTH(Inputs!$B$18,-1),"Actual","Projection")</f>
        <v>Projection</v>
      </c>
      <c r="E83" s="49" t="n">
        <f aca="false">G82</f>
        <v>735000</v>
      </c>
      <c r="F83" s="50" t="n">
        <f aca="false">SUMIFS(Cash_Events!$G$6:$G$20,Cash_Events!$C$6:$C$20,"FHL",Cash_Events!$M$6:$M$20,A83)</f>
        <v>0</v>
      </c>
      <c r="G83" s="49" t="n">
        <f aca="false">E83-F83</f>
        <v>735000</v>
      </c>
      <c r="H83" s="51" t="n">
        <f aca="false">VLOOKUP(A83-1,Inputs!$F$40:$G$48,2,TRUE())</f>
        <v>0.0364054</v>
      </c>
      <c r="I83" s="51" t="n">
        <f aca="false">H83+Inputs!C10</f>
        <v>0.1039054</v>
      </c>
      <c r="J83" s="50" t="n">
        <f aca="false">SUMIFS(Daily!$L$6:$L$2400,Daily!$B$6:$B$2400,A83)</f>
        <v>6485.68733292163</v>
      </c>
      <c r="K83" s="50" t="n">
        <f aca="false">SUMIFS(Daily!$M$6:$M$2400,Daily!$B$6:$B$2400,A83)</f>
        <v>1248.38311250842</v>
      </c>
      <c r="L83" s="49" t="n">
        <f aca="false">J83+K83</f>
        <v>7734.07044543005</v>
      </c>
      <c r="M83" s="49" t="n">
        <f aca="false">P82</f>
        <v>488623.292620413</v>
      </c>
      <c r="N83" s="50" t="n">
        <f aca="false">SUMIFS(Cash_Events!$H$6:$H$20,Cash_Events!$C$6:$C$20,"FHL",Cash_Events!$D$6:$D$20,"JV",Cash_Events!$M$6:$M$20,A83)</f>
        <v>0</v>
      </c>
      <c r="O83" s="50" t="n">
        <f aca="false">SUMIFS(Cash_Events!$H$6:$H$20,Cash_Events!$C$6:$C$20,"FHL",Cash_Events!$D$6:$D$20,"800S",Cash_Events!$M$6:$M$20,A83)</f>
        <v>0</v>
      </c>
      <c r="P83" s="49" t="n">
        <f aca="false">M83+J83-N83-O83</f>
        <v>495108.979953335</v>
      </c>
      <c r="Q83" s="49" t="n">
        <f aca="false">S82</f>
        <v>81342.6952795868</v>
      </c>
      <c r="R83" s="50" t="n">
        <f aca="false">SUMIFS(Cash_Events!$I$6:$I$20,Cash_Events!$C$6:$C$20,"FHL",Cash_Events!$M$6:$M$20,A83)</f>
        <v>0</v>
      </c>
      <c r="S83" s="49" t="n">
        <f aca="false">Q83+K83-R83</f>
        <v>82591.0783920952</v>
      </c>
      <c r="T83" s="52" t="n">
        <f aca="false">P83+S83</f>
        <v>577700.05834543</v>
      </c>
      <c r="U83" s="52" t="n">
        <f aca="false">G83+T83</f>
        <v>1312700.05834543</v>
      </c>
      <c r="V83" s="49" t="n">
        <f aca="false">V82+L83</f>
        <v>762366.94834543</v>
      </c>
      <c r="W83" s="49" t="n">
        <f aca="false">W82+N83+O83+R83</f>
        <v>184666.89</v>
      </c>
      <c r="X83" s="49" t="n">
        <f aca="false">ROUND(V83-W83-T83,2)</f>
        <v>0</v>
      </c>
      <c r="Y83" s="2"/>
    </row>
    <row r="84" customFormat="false" ht="15" hidden="false" customHeight="false" outlineLevel="0" collapsed="false">
      <c r="A84" s="46" t="n">
        <f aca="false">EOMONTH(A83,1)</f>
        <v>47177</v>
      </c>
      <c r="B84" s="46" t="n">
        <f aca="false">A83</f>
        <v>47149</v>
      </c>
      <c r="C84" s="47" t="n">
        <f aca="false">A84-B84</f>
        <v>28</v>
      </c>
      <c r="D84" s="48" t="str">
        <f aca="false">IF(A84&lt;=EOMONTH(Inputs!$B$18,-1),"Actual","Projection")</f>
        <v>Projection</v>
      </c>
      <c r="E84" s="49" t="n">
        <f aca="false">G83</f>
        <v>735000</v>
      </c>
      <c r="F84" s="50" t="n">
        <f aca="false">SUMIFS(Cash_Events!$G$6:$G$20,Cash_Events!$C$6:$C$20,"FHL",Cash_Events!$M$6:$M$20,A84)</f>
        <v>0</v>
      </c>
      <c r="G84" s="49" t="n">
        <f aca="false">E84-F84</f>
        <v>735000</v>
      </c>
      <c r="H84" s="51" t="n">
        <f aca="false">VLOOKUP(A84-1,Inputs!$F$40:$G$48,2,TRUE())</f>
        <v>0.0364054</v>
      </c>
      <c r="I84" s="51" t="n">
        <f aca="false">H84+Inputs!C10</f>
        <v>0.1039054</v>
      </c>
      <c r="J84" s="50" t="n">
        <f aca="false">SUMIFS(Daily!$L$6:$L$2400,Daily!$B$6:$B$2400,A84)</f>
        <v>5858.5565260274</v>
      </c>
      <c r="K84" s="50" t="n">
        <f aca="false">SUMIFS(Daily!$M$6:$M$2400,Daily!$B$6:$B$2400,A84)</f>
        <v>1127.67123287671</v>
      </c>
      <c r="L84" s="49" t="n">
        <f aca="false">J84+K84</f>
        <v>6986.22775890411</v>
      </c>
      <c r="M84" s="49" t="n">
        <f aca="false">P83</f>
        <v>495108.979953335</v>
      </c>
      <c r="N84" s="50" t="n">
        <f aca="false">SUMIFS(Cash_Events!$H$6:$H$20,Cash_Events!$C$6:$C$20,"FHL",Cash_Events!$D$6:$D$20,"JV",Cash_Events!$M$6:$M$20,A84)</f>
        <v>0</v>
      </c>
      <c r="O84" s="50" t="n">
        <f aca="false">SUMIFS(Cash_Events!$H$6:$H$20,Cash_Events!$C$6:$C$20,"FHL",Cash_Events!$D$6:$D$20,"800S",Cash_Events!$M$6:$M$20,A84)</f>
        <v>0</v>
      </c>
      <c r="P84" s="49" t="n">
        <f aca="false">M84+J84-N84-O84</f>
        <v>500967.536479362</v>
      </c>
      <c r="Q84" s="49" t="n">
        <f aca="false">S83</f>
        <v>82591.0783920952</v>
      </c>
      <c r="R84" s="50" t="n">
        <f aca="false">SUMIFS(Cash_Events!$I$6:$I$20,Cash_Events!$C$6:$C$20,"FHL",Cash_Events!$M$6:$M$20,A84)</f>
        <v>0</v>
      </c>
      <c r="S84" s="49" t="n">
        <f aca="false">Q84+K84-R84</f>
        <v>83718.7496249719</v>
      </c>
      <c r="T84" s="52" t="n">
        <f aca="false">P84+S84</f>
        <v>584686.286104334</v>
      </c>
      <c r="U84" s="52" t="n">
        <f aca="false">G84+T84</f>
        <v>1319686.28610433</v>
      </c>
      <c r="V84" s="49" t="n">
        <f aca="false">V83+L84</f>
        <v>769353.176104334</v>
      </c>
      <c r="W84" s="49" t="n">
        <f aca="false">W83+N84+O84+R84</f>
        <v>184666.89</v>
      </c>
      <c r="X84" s="49" t="n">
        <f aca="false">ROUND(V84-W84-T84,2)</f>
        <v>0</v>
      </c>
      <c r="Y84" s="2"/>
    </row>
    <row r="85" customFormat="false" ht="15" hidden="false" customHeight="false" outlineLevel="0" collapsed="false">
      <c r="A85" s="46" t="n">
        <f aca="false">EOMONTH(A84,1)</f>
        <v>47208</v>
      </c>
      <c r="B85" s="46" t="n">
        <f aca="false">A84</f>
        <v>47177</v>
      </c>
      <c r="C85" s="47" t="n">
        <f aca="false">A85-B85</f>
        <v>31</v>
      </c>
      <c r="D85" s="48" t="str">
        <f aca="false">IF(A85&lt;=EOMONTH(Inputs!$B$18,-1),"Actual","Projection")</f>
        <v>Projection</v>
      </c>
      <c r="E85" s="49" t="n">
        <f aca="false">G84</f>
        <v>735000</v>
      </c>
      <c r="F85" s="50" t="n">
        <f aca="false">SUMIFS(Cash_Events!$G$6:$G$20,Cash_Events!$C$6:$C$20,"FHL",Cash_Events!$M$6:$M$20,A85)</f>
        <v>0</v>
      </c>
      <c r="G85" s="49" t="n">
        <f aca="false">E85-F85</f>
        <v>735000</v>
      </c>
      <c r="H85" s="51" t="n">
        <f aca="false">VLOOKUP(A85-1,Inputs!$F$40:$G$48,2,TRUE())</f>
        <v>0.0364054</v>
      </c>
      <c r="I85" s="51" t="n">
        <f aca="false">H85+Inputs!C10</f>
        <v>0.1039054</v>
      </c>
      <c r="J85" s="50" t="n">
        <f aca="false">SUMIFS(Daily!$L$6:$L$2400,Daily!$B$6:$B$2400,A85)</f>
        <v>6486.25901095891</v>
      </c>
      <c r="K85" s="50" t="n">
        <f aca="false">SUMIFS(Daily!$M$6:$M$2400,Daily!$B$6:$B$2400,A85)</f>
        <v>1248.49315068493</v>
      </c>
      <c r="L85" s="49" t="n">
        <f aca="false">J85+K85</f>
        <v>7734.75216164384</v>
      </c>
      <c r="M85" s="49" t="n">
        <f aca="false">P84</f>
        <v>500967.536479362</v>
      </c>
      <c r="N85" s="50" t="n">
        <f aca="false">SUMIFS(Cash_Events!$H$6:$H$20,Cash_Events!$C$6:$C$20,"FHL",Cash_Events!$D$6:$D$20,"JV",Cash_Events!$M$6:$M$20,A85)</f>
        <v>0</v>
      </c>
      <c r="O85" s="50" t="n">
        <f aca="false">SUMIFS(Cash_Events!$H$6:$H$20,Cash_Events!$C$6:$C$20,"FHL",Cash_Events!$D$6:$D$20,"800S",Cash_Events!$M$6:$M$20,A85)</f>
        <v>0</v>
      </c>
      <c r="P85" s="49" t="n">
        <f aca="false">M85+J85-N85-O85</f>
        <v>507453.795490321</v>
      </c>
      <c r="Q85" s="49" t="n">
        <f aca="false">S84</f>
        <v>83718.7496249719</v>
      </c>
      <c r="R85" s="50" t="n">
        <f aca="false">SUMIFS(Cash_Events!$I$6:$I$20,Cash_Events!$C$6:$C$20,"FHL",Cash_Events!$M$6:$M$20,A85)</f>
        <v>0</v>
      </c>
      <c r="S85" s="49" t="n">
        <f aca="false">Q85+K85-R85</f>
        <v>84967.2427756569</v>
      </c>
      <c r="T85" s="52" t="n">
        <f aca="false">P85+S85</f>
        <v>592421.038265978</v>
      </c>
      <c r="U85" s="52" t="n">
        <f aca="false">G85+T85</f>
        <v>1327421.03826598</v>
      </c>
      <c r="V85" s="49" t="n">
        <f aca="false">V84+L85</f>
        <v>777087.928265978</v>
      </c>
      <c r="W85" s="49" t="n">
        <f aca="false">W84+N85+O85+R85</f>
        <v>184666.89</v>
      </c>
      <c r="X85" s="49" t="n">
        <f aca="false">ROUND(V85-W85-T85,2)</f>
        <v>0</v>
      </c>
      <c r="Y85" s="2" t="s">
        <v>252</v>
      </c>
    </row>
    <row r="87" customFormat="false" ht="15" hidden="false" customHeight="false" outlineLevel="0" collapsed="false">
      <c r="A87" s="3" t="s">
        <v>253</v>
      </c>
      <c r="F87" s="12" t="n">
        <f aca="false">SUM(F7:F85)</f>
        <v>765000</v>
      </c>
      <c r="J87" s="12" t="n">
        <f aca="false">SUM(J7:J85)</f>
        <v>683644.045490321</v>
      </c>
      <c r="K87" s="12" t="n">
        <f aca="false">SUM(K7:K85)</f>
        <v>93443.8827756569</v>
      </c>
      <c r="L87" s="12" t="n">
        <f aca="false">SUM(L7:L85)</f>
        <v>777087.928265978</v>
      </c>
      <c r="N87" s="12" t="n">
        <f aca="false">SUM(N7:N85)</f>
        <v>78155.75</v>
      </c>
      <c r="O87" s="12" t="n">
        <f aca="false">SUM(O7:O85)</f>
        <v>98034.5</v>
      </c>
      <c r="R87" s="12" t="n">
        <f aca="false">SUM(R7:R85)</f>
        <v>8476.64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7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6" min="4" style="0" width="16"/>
    <col collapsed="false" customWidth="true" hidden="false" outlineLevel="0" max="8" min="7" style="0" width="9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46"/>
  </cols>
  <sheetData>
    <row r="1" customFormat="false" ht="17.35" hidden="false" customHeight="false" outlineLevel="0" collapsed="false">
      <c r="A1" s="53" t="s">
        <v>263</v>
      </c>
    </row>
    <row r="2" customFormat="false" ht="15" hidden="false" customHeight="false" outlineLevel="0" collapsed="false">
      <c r="A2" s="54" t="s">
        <v>264</v>
      </c>
    </row>
    <row r="4" customFormat="false" ht="15" hidden="false" customHeight="false" outlineLevel="0" collapsed="false">
      <c r="A4" s="55" t="s">
        <v>91</v>
      </c>
    </row>
    <row r="5" customFormat="false" ht="15" hidden="false" customHeight="false" outlineLevel="0" collapsed="false">
      <c r="A5" s="56" t="s">
        <v>92</v>
      </c>
      <c r="B5" s="56"/>
      <c r="C5" s="56"/>
      <c r="D5" s="56" t="s">
        <v>116</v>
      </c>
      <c r="E5" s="56" t="s">
        <v>93</v>
      </c>
      <c r="F5" s="56"/>
      <c r="G5" s="56"/>
      <c r="H5" s="56"/>
      <c r="I5" s="56"/>
      <c r="J5" s="56"/>
      <c r="K5" s="56"/>
      <c r="L5" s="56"/>
      <c r="M5" s="56"/>
    </row>
    <row r="6" customFormat="false" ht="15" hidden="false" customHeight="false" outlineLevel="0" collapsed="false">
      <c r="A6" s="57" t="s">
        <v>94</v>
      </c>
      <c r="B6" s="57"/>
      <c r="C6" s="57"/>
      <c r="D6" s="57" t="s">
        <v>265</v>
      </c>
      <c r="E6" s="58" t="s">
        <v>266</v>
      </c>
      <c r="F6" s="58"/>
      <c r="G6" s="58"/>
      <c r="H6" s="58"/>
      <c r="I6" s="58"/>
      <c r="J6" s="58"/>
      <c r="K6" s="58"/>
      <c r="L6" s="58"/>
      <c r="M6" s="58"/>
    </row>
    <row r="7" customFormat="false" ht="15" hidden="false" customHeight="false" outlineLevel="0" collapsed="false">
      <c r="A7" s="57" t="s">
        <v>267</v>
      </c>
      <c r="B7" s="57"/>
      <c r="C7" s="57"/>
      <c r="D7" s="59" t="n">
        <v>215676.83</v>
      </c>
      <c r="E7" s="58" t="s">
        <v>268</v>
      </c>
      <c r="F7" s="58"/>
      <c r="G7" s="58"/>
      <c r="H7" s="58"/>
      <c r="I7" s="58"/>
      <c r="J7" s="58"/>
      <c r="K7" s="58"/>
      <c r="L7" s="58"/>
      <c r="M7" s="58"/>
    </row>
    <row r="8" customFormat="false" ht="15" hidden="false" customHeight="false" outlineLevel="0" collapsed="false">
      <c r="A8" s="57" t="s">
        <v>269</v>
      </c>
      <c r="B8" s="57"/>
      <c r="C8" s="57"/>
      <c r="D8" s="59" t="n">
        <v>1530000</v>
      </c>
      <c r="E8" s="58" t="s">
        <v>270</v>
      </c>
      <c r="F8" s="58"/>
      <c r="G8" s="58"/>
      <c r="H8" s="58"/>
      <c r="I8" s="58"/>
      <c r="J8" s="58"/>
      <c r="K8" s="58"/>
      <c r="L8" s="58"/>
      <c r="M8" s="58"/>
    </row>
    <row r="9" customFormat="false" ht="15" hidden="false" customHeight="false" outlineLevel="0" collapsed="false">
      <c r="A9" s="57" t="s">
        <v>271</v>
      </c>
      <c r="B9" s="57"/>
      <c r="C9" s="57"/>
      <c r="D9" s="59" t="n">
        <f aca="false">D7+D8</f>
        <v>1745676.83</v>
      </c>
      <c r="E9" s="58" t="s">
        <v>272</v>
      </c>
      <c r="F9" s="58"/>
      <c r="G9" s="58"/>
      <c r="H9" s="58"/>
      <c r="I9" s="58"/>
      <c r="J9" s="58"/>
      <c r="K9" s="58"/>
      <c r="L9" s="58"/>
      <c r="M9" s="58"/>
    </row>
    <row r="10" customFormat="false" ht="15" hidden="false" customHeight="false" outlineLevel="0" collapsed="false">
      <c r="A10" s="57" t="s">
        <v>273</v>
      </c>
      <c r="B10" s="57"/>
      <c r="C10" s="57"/>
      <c r="D10" s="60" t="n">
        <v>0.06</v>
      </c>
      <c r="E10" s="58" t="s">
        <v>274</v>
      </c>
      <c r="F10" s="58"/>
      <c r="G10" s="58"/>
      <c r="H10" s="58"/>
      <c r="I10" s="58"/>
      <c r="J10" s="58"/>
      <c r="K10" s="58"/>
      <c r="L10" s="58"/>
      <c r="M10" s="58"/>
    </row>
    <row r="11" customFormat="false" ht="15" hidden="false" customHeight="false" outlineLevel="0" collapsed="false">
      <c r="A11" s="57" t="s">
        <v>275</v>
      </c>
      <c r="B11" s="57"/>
      <c r="C11" s="57"/>
      <c r="D11" s="61" t="n">
        <v>360</v>
      </c>
      <c r="E11" s="58" t="s">
        <v>276</v>
      </c>
      <c r="F11" s="58"/>
      <c r="G11" s="58"/>
      <c r="H11" s="58"/>
      <c r="I11" s="58"/>
      <c r="J11" s="58"/>
      <c r="K11" s="58"/>
      <c r="L11" s="58"/>
      <c r="M11" s="58"/>
    </row>
    <row r="12" customFormat="false" ht="15" hidden="false" customHeight="false" outlineLevel="0" collapsed="false">
      <c r="A12" s="57" t="s">
        <v>277</v>
      </c>
      <c r="B12" s="57"/>
      <c r="C12" s="57"/>
      <c r="D12" s="62" t="n">
        <v>45471</v>
      </c>
      <c r="E12" s="58" t="s">
        <v>278</v>
      </c>
      <c r="F12" s="58"/>
      <c r="G12" s="58"/>
      <c r="H12" s="58"/>
      <c r="I12" s="58"/>
      <c r="J12" s="58"/>
      <c r="K12" s="58"/>
      <c r="L12" s="58"/>
      <c r="M12" s="58"/>
    </row>
    <row r="13" customFormat="false" ht="15" hidden="false" customHeight="false" outlineLevel="0" collapsed="false">
      <c r="A13" s="57" t="s">
        <v>279</v>
      </c>
      <c r="B13" s="57"/>
      <c r="C13" s="57"/>
      <c r="D13" s="57" t="s">
        <v>280</v>
      </c>
      <c r="E13" s="58" t="s">
        <v>281</v>
      </c>
      <c r="F13" s="58"/>
      <c r="G13" s="58"/>
      <c r="H13" s="58"/>
      <c r="I13" s="58"/>
      <c r="J13" s="58"/>
      <c r="K13" s="58"/>
      <c r="L13" s="58"/>
      <c r="M13" s="58"/>
    </row>
    <row r="14" customFormat="false" ht="15" hidden="false" customHeight="false" outlineLevel="0" collapsed="false">
      <c r="A14" s="57" t="s">
        <v>282</v>
      </c>
      <c r="B14" s="57"/>
      <c r="C14" s="57"/>
      <c r="D14" s="57" t="s">
        <v>283</v>
      </c>
      <c r="E14" s="58" t="s">
        <v>284</v>
      </c>
      <c r="F14" s="58"/>
      <c r="G14" s="58"/>
      <c r="H14" s="58"/>
      <c r="I14" s="58"/>
      <c r="J14" s="58"/>
      <c r="K14" s="58"/>
      <c r="L14" s="58"/>
      <c r="M14" s="58"/>
    </row>
    <row r="16" customFormat="false" ht="15" hidden="false" customHeight="false" outlineLevel="0" collapsed="false">
      <c r="A16" s="55" t="s">
        <v>285</v>
      </c>
    </row>
    <row r="17" customFormat="false" ht="42" hidden="false" customHeight="true" outlineLevel="0" collapsed="false">
      <c r="A17" s="63" t="s">
        <v>217</v>
      </c>
      <c r="B17" s="63" t="s">
        <v>218</v>
      </c>
      <c r="C17" s="63" t="s">
        <v>219</v>
      </c>
      <c r="D17" s="63" t="s">
        <v>286</v>
      </c>
      <c r="E17" s="63" t="s">
        <v>287</v>
      </c>
      <c r="F17" s="63" t="s">
        <v>288</v>
      </c>
      <c r="G17" s="63" t="s">
        <v>289</v>
      </c>
      <c r="H17" s="63" t="s">
        <v>53</v>
      </c>
      <c r="I17" s="63" t="s">
        <v>290</v>
      </c>
      <c r="J17" s="63" t="s">
        <v>291</v>
      </c>
      <c r="K17" s="63" t="s">
        <v>292</v>
      </c>
      <c r="L17" s="63" t="s">
        <v>293</v>
      </c>
      <c r="M17" s="63" t="s">
        <v>240</v>
      </c>
    </row>
    <row r="18" customFormat="false" ht="15" hidden="false" customHeight="false" outlineLevel="0" collapsed="false">
      <c r="A18" s="62" t="n">
        <v>45473</v>
      </c>
      <c r="B18" s="62" t="n">
        <f aca="false">$D$12</f>
        <v>45471</v>
      </c>
      <c r="C18" s="61" t="n">
        <f aca="false">A18-B18</f>
        <v>2</v>
      </c>
      <c r="D18" s="59" t="n">
        <v>0</v>
      </c>
      <c r="E18" s="59" t="n">
        <f aca="false">$D$9</f>
        <v>1745676.83</v>
      </c>
      <c r="F18" s="59" t="n">
        <f aca="false">D18+E18</f>
        <v>1745676.83</v>
      </c>
      <c r="G18" s="60" t="n">
        <f aca="false">$D$10</f>
        <v>0.06</v>
      </c>
      <c r="H18" s="61" t="n">
        <f aca="false">$D$11</f>
        <v>360</v>
      </c>
      <c r="I18" s="59" t="n">
        <f aca="false">ROUND(F18*G18*C18/H18,2)</f>
        <v>581.89</v>
      </c>
      <c r="J18" s="59" t="n">
        <v>0</v>
      </c>
      <c r="K18" s="59" t="n">
        <v>0</v>
      </c>
      <c r="L18" s="59" t="n">
        <f aca="false">J18+I18-K18</f>
        <v>581.89</v>
      </c>
      <c r="M18" s="57" t="s">
        <v>294</v>
      </c>
    </row>
    <row r="19" customFormat="false" ht="15" hidden="false" customHeight="false" outlineLevel="0" collapsed="false">
      <c r="A19" s="62" t="n">
        <v>45504</v>
      </c>
      <c r="B19" s="62" t="n">
        <f aca="false">A18</f>
        <v>45473</v>
      </c>
      <c r="C19" s="61" t="n">
        <f aca="false">A19-B19</f>
        <v>31</v>
      </c>
      <c r="D19" s="59" t="n">
        <f aca="false">F18</f>
        <v>1745676.83</v>
      </c>
      <c r="E19" s="59" t="n">
        <v>0</v>
      </c>
      <c r="F19" s="59" t="n">
        <f aca="false">D19+E19</f>
        <v>1745676.83</v>
      </c>
      <c r="G19" s="60" t="n">
        <f aca="false">$D$10</f>
        <v>0.06</v>
      </c>
      <c r="H19" s="61" t="n">
        <f aca="false">$D$11</f>
        <v>360</v>
      </c>
      <c r="I19" s="59" t="n">
        <f aca="false">ROUND(F19*G19*C19/H19,2)</f>
        <v>9019.33</v>
      </c>
      <c r="J19" s="59" t="n">
        <f aca="false">L18</f>
        <v>581.89</v>
      </c>
      <c r="K19" s="59" t="n">
        <v>0</v>
      </c>
      <c r="L19" s="59" t="n">
        <f aca="false">J19+I19-K19</f>
        <v>9601.22</v>
      </c>
      <c r="M19" s="57"/>
    </row>
    <row r="20" customFormat="false" ht="15" hidden="false" customHeight="false" outlineLevel="0" collapsed="false">
      <c r="A20" s="62" t="n">
        <v>45535</v>
      </c>
      <c r="B20" s="62" t="n">
        <f aca="false">A19</f>
        <v>45504</v>
      </c>
      <c r="C20" s="61" t="n">
        <f aca="false">A20-B20</f>
        <v>31</v>
      </c>
      <c r="D20" s="59" t="n">
        <f aca="false">F19</f>
        <v>1745676.83</v>
      </c>
      <c r="E20" s="59" t="n">
        <v>0</v>
      </c>
      <c r="F20" s="59" t="n">
        <f aca="false">D20+E20</f>
        <v>1745676.83</v>
      </c>
      <c r="G20" s="60" t="n">
        <f aca="false">$D$10</f>
        <v>0.06</v>
      </c>
      <c r="H20" s="61" t="n">
        <f aca="false">$D$11</f>
        <v>360</v>
      </c>
      <c r="I20" s="59" t="n">
        <f aca="false">ROUND(F20*G20*C20/H20,2)</f>
        <v>9019.33</v>
      </c>
      <c r="J20" s="59" t="n">
        <f aca="false">L19</f>
        <v>9601.22</v>
      </c>
      <c r="K20" s="59" t="n">
        <v>0</v>
      </c>
      <c r="L20" s="59" t="n">
        <f aca="false">J20+I20-K20</f>
        <v>18620.55</v>
      </c>
      <c r="M20" s="57"/>
    </row>
    <row r="21" customFormat="false" ht="15" hidden="false" customHeight="false" outlineLevel="0" collapsed="false">
      <c r="A21" s="62" t="n">
        <v>45565</v>
      </c>
      <c r="B21" s="62" t="n">
        <f aca="false">A20</f>
        <v>45535</v>
      </c>
      <c r="C21" s="61" t="n">
        <f aca="false">A21-B21</f>
        <v>30</v>
      </c>
      <c r="D21" s="59" t="n">
        <f aca="false">F20</f>
        <v>1745676.83</v>
      </c>
      <c r="E21" s="59" t="n">
        <v>0</v>
      </c>
      <c r="F21" s="59" t="n">
        <f aca="false">D21+E21</f>
        <v>1745676.83</v>
      </c>
      <c r="G21" s="60" t="n">
        <f aca="false">$D$10</f>
        <v>0.06</v>
      </c>
      <c r="H21" s="61" t="n">
        <f aca="false">$D$11</f>
        <v>360</v>
      </c>
      <c r="I21" s="59" t="n">
        <f aca="false">ROUND(F21*G21*C21/H21,2)</f>
        <v>8728.38</v>
      </c>
      <c r="J21" s="59" t="n">
        <f aca="false">L20</f>
        <v>18620.55</v>
      </c>
      <c r="K21" s="59" t="n">
        <v>0</v>
      </c>
      <c r="L21" s="59" t="n">
        <f aca="false">J21+I21-K21</f>
        <v>27348.93</v>
      </c>
      <c r="M21" s="57"/>
    </row>
    <row r="22" customFormat="false" ht="15" hidden="false" customHeight="false" outlineLevel="0" collapsed="false">
      <c r="A22" s="62" t="n">
        <v>45596</v>
      </c>
      <c r="B22" s="62" t="n">
        <f aca="false">A21</f>
        <v>45565</v>
      </c>
      <c r="C22" s="61" t="n">
        <f aca="false">A22-B22</f>
        <v>31</v>
      </c>
      <c r="D22" s="59" t="n">
        <f aca="false">F21</f>
        <v>1745676.83</v>
      </c>
      <c r="E22" s="59" t="n">
        <v>0</v>
      </c>
      <c r="F22" s="59" t="n">
        <f aca="false">D22+E22</f>
        <v>1745676.83</v>
      </c>
      <c r="G22" s="60" t="n">
        <f aca="false">$D$10</f>
        <v>0.06</v>
      </c>
      <c r="H22" s="61" t="n">
        <f aca="false">$D$11</f>
        <v>360</v>
      </c>
      <c r="I22" s="59" t="n">
        <f aca="false">ROUND(F22*G22*C22/H22,2)</f>
        <v>9019.33</v>
      </c>
      <c r="J22" s="59" t="n">
        <f aca="false">L21</f>
        <v>27348.93</v>
      </c>
      <c r="K22" s="59" t="n">
        <v>0</v>
      </c>
      <c r="L22" s="59" t="n">
        <f aca="false">J22+I22-K22</f>
        <v>36368.26</v>
      </c>
      <c r="M22" s="57"/>
    </row>
    <row r="23" customFormat="false" ht="15" hidden="false" customHeight="false" outlineLevel="0" collapsed="false">
      <c r="A23" s="62" t="n">
        <v>45626</v>
      </c>
      <c r="B23" s="62" t="n">
        <f aca="false">A22</f>
        <v>45596</v>
      </c>
      <c r="C23" s="61" t="n">
        <f aca="false">A23-B23</f>
        <v>30</v>
      </c>
      <c r="D23" s="59" t="n">
        <f aca="false">F22</f>
        <v>1745676.83</v>
      </c>
      <c r="E23" s="59" t="n">
        <v>0</v>
      </c>
      <c r="F23" s="59" t="n">
        <f aca="false">D23+E23</f>
        <v>1745676.83</v>
      </c>
      <c r="G23" s="60" t="n">
        <f aca="false">$D$10</f>
        <v>0.06</v>
      </c>
      <c r="H23" s="61" t="n">
        <f aca="false">$D$11</f>
        <v>360</v>
      </c>
      <c r="I23" s="59" t="n">
        <f aca="false">ROUND(F23*G23*C23/H23,2)</f>
        <v>8728.38</v>
      </c>
      <c r="J23" s="59" t="n">
        <f aca="false">L22</f>
        <v>36368.26</v>
      </c>
      <c r="K23" s="59" t="n">
        <v>0</v>
      </c>
      <c r="L23" s="59" t="n">
        <f aca="false">J23+I23-K23</f>
        <v>45096.64</v>
      </c>
      <c r="M23" s="57"/>
    </row>
    <row r="24" customFormat="false" ht="15" hidden="false" customHeight="false" outlineLevel="0" collapsed="false">
      <c r="A24" s="62" t="n">
        <v>45657</v>
      </c>
      <c r="B24" s="62" t="n">
        <f aca="false">A23</f>
        <v>45626</v>
      </c>
      <c r="C24" s="61" t="n">
        <f aca="false">A24-B24</f>
        <v>31</v>
      </c>
      <c r="D24" s="59" t="n">
        <f aca="false">F23</f>
        <v>1745676.83</v>
      </c>
      <c r="E24" s="59" t="n">
        <v>0</v>
      </c>
      <c r="F24" s="59" t="n">
        <f aca="false">D24+E24</f>
        <v>1745676.83</v>
      </c>
      <c r="G24" s="60" t="n">
        <f aca="false">$D$10</f>
        <v>0.06</v>
      </c>
      <c r="H24" s="61" t="n">
        <f aca="false">$D$11</f>
        <v>360</v>
      </c>
      <c r="I24" s="59" t="n">
        <f aca="false">ROUND(F24*G24*C24/H24,2)</f>
        <v>9019.33</v>
      </c>
      <c r="J24" s="59" t="n">
        <f aca="false">L23</f>
        <v>45096.64</v>
      </c>
      <c r="K24" s="59" t="n">
        <v>0</v>
      </c>
      <c r="L24" s="59" t="n">
        <f aca="false">J24+I24-K24</f>
        <v>54115.97</v>
      </c>
      <c r="M24" s="57"/>
    </row>
    <row r="25" customFormat="false" ht="15" hidden="false" customHeight="false" outlineLevel="0" collapsed="false">
      <c r="A25" s="62" t="n">
        <v>45688</v>
      </c>
      <c r="B25" s="62" t="n">
        <f aca="false">A24</f>
        <v>45657</v>
      </c>
      <c r="C25" s="61" t="n">
        <f aca="false">A25-B25</f>
        <v>31</v>
      </c>
      <c r="D25" s="59" t="n">
        <f aca="false">F24</f>
        <v>1745676.83</v>
      </c>
      <c r="E25" s="59" t="n">
        <v>0</v>
      </c>
      <c r="F25" s="59" t="n">
        <f aca="false">D25+E25</f>
        <v>1745676.83</v>
      </c>
      <c r="G25" s="60" t="n">
        <f aca="false">$D$10</f>
        <v>0.06</v>
      </c>
      <c r="H25" s="61" t="n">
        <f aca="false">$D$11</f>
        <v>360</v>
      </c>
      <c r="I25" s="59" t="n">
        <f aca="false">ROUND(F25*G25*C25/H25,2)</f>
        <v>9019.33</v>
      </c>
      <c r="J25" s="59" t="n">
        <f aca="false">L24</f>
        <v>54115.97</v>
      </c>
      <c r="K25" s="59" t="n">
        <v>0</v>
      </c>
      <c r="L25" s="59" t="n">
        <f aca="false">J25+I25-K25</f>
        <v>63135.3</v>
      </c>
      <c r="M25" s="57"/>
    </row>
    <row r="26" customFormat="false" ht="15" hidden="false" customHeight="false" outlineLevel="0" collapsed="false">
      <c r="A26" s="62" t="n">
        <v>45716</v>
      </c>
      <c r="B26" s="62" t="n">
        <f aca="false">A25</f>
        <v>45688</v>
      </c>
      <c r="C26" s="61" t="n">
        <f aca="false">A26-B26</f>
        <v>28</v>
      </c>
      <c r="D26" s="59" t="n">
        <f aca="false">F25</f>
        <v>1745676.83</v>
      </c>
      <c r="E26" s="59" t="n">
        <v>0</v>
      </c>
      <c r="F26" s="59" t="n">
        <f aca="false">D26+E26</f>
        <v>1745676.83</v>
      </c>
      <c r="G26" s="60" t="n">
        <f aca="false">$D$10</f>
        <v>0.06</v>
      </c>
      <c r="H26" s="61" t="n">
        <f aca="false">$D$11</f>
        <v>360</v>
      </c>
      <c r="I26" s="59" t="n">
        <f aca="false">ROUND(F26*G26*C26/H26,2)</f>
        <v>8146.49</v>
      </c>
      <c r="J26" s="59" t="n">
        <f aca="false">L25</f>
        <v>63135.3</v>
      </c>
      <c r="K26" s="59" t="n">
        <v>0</v>
      </c>
      <c r="L26" s="59" t="n">
        <f aca="false">J26+I26-K26</f>
        <v>71281.79</v>
      </c>
      <c r="M26" s="57"/>
    </row>
    <row r="27" customFormat="false" ht="15" hidden="false" customHeight="false" outlineLevel="0" collapsed="false">
      <c r="A27" s="62" t="n">
        <v>45747</v>
      </c>
      <c r="B27" s="62" t="n">
        <f aca="false">A26</f>
        <v>45716</v>
      </c>
      <c r="C27" s="61" t="n">
        <f aca="false">A27-B27</f>
        <v>31</v>
      </c>
      <c r="D27" s="59" t="n">
        <f aca="false">F26</f>
        <v>1745676.83</v>
      </c>
      <c r="E27" s="59" t="n">
        <v>0</v>
      </c>
      <c r="F27" s="59" t="n">
        <f aca="false">D27+E27</f>
        <v>1745676.83</v>
      </c>
      <c r="G27" s="60" t="n">
        <f aca="false">$D$10</f>
        <v>0.06</v>
      </c>
      <c r="H27" s="61" t="n">
        <f aca="false">$D$11</f>
        <v>360</v>
      </c>
      <c r="I27" s="59" t="n">
        <f aca="false">ROUND(F27*G27*C27/H27,2)</f>
        <v>9019.33</v>
      </c>
      <c r="J27" s="59" t="n">
        <f aca="false">L26</f>
        <v>71281.79</v>
      </c>
      <c r="K27" s="59" t="n">
        <v>0</v>
      </c>
      <c r="L27" s="59" t="n">
        <f aca="false">J27+I27-K27</f>
        <v>80301.12</v>
      </c>
      <c r="M27" s="57"/>
    </row>
    <row r="28" customFormat="false" ht="15" hidden="false" customHeight="false" outlineLevel="0" collapsed="false">
      <c r="A28" s="62" t="n">
        <v>45777</v>
      </c>
      <c r="B28" s="62" t="n">
        <f aca="false">A27</f>
        <v>45747</v>
      </c>
      <c r="C28" s="61" t="n">
        <f aca="false">A28-B28</f>
        <v>30</v>
      </c>
      <c r="D28" s="59" t="n">
        <f aca="false">F27</f>
        <v>1745676.83</v>
      </c>
      <c r="E28" s="59" t="n">
        <v>0</v>
      </c>
      <c r="F28" s="59" t="n">
        <f aca="false">D28+E28</f>
        <v>1745676.83</v>
      </c>
      <c r="G28" s="60" t="n">
        <f aca="false">$D$10</f>
        <v>0.06</v>
      </c>
      <c r="H28" s="61" t="n">
        <f aca="false">$D$11</f>
        <v>360</v>
      </c>
      <c r="I28" s="59" t="n">
        <f aca="false">ROUND(F28*G28*C28/H28,2)</f>
        <v>8728.38</v>
      </c>
      <c r="J28" s="59" t="n">
        <f aca="false">L27</f>
        <v>80301.12</v>
      </c>
      <c r="K28" s="59" t="n">
        <v>0</v>
      </c>
      <c r="L28" s="59" t="n">
        <f aca="false">J28+I28-K28</f>
        <v>89029.5</v>
      </c>
      <c r="M28" s="57"/>
    </row>
    <row r="29" customFormat="false" ht="15" hidden="false" customHeight="false" outlineLevel="0" collapsed="false">
      <c r="A29" s="62" t="n">
        <v>45808</v>
      </c>
      <c r="B29" s="62" t="n">
        <f aca="false">A28</f>
        <v>45777</v>
      </c>
      <c r="C29" s="61" t="n">
        <f aca="false">A29-B29</f>
        <v>31</v>
      </c>
      <c r="D29" s="59" t="n">
        <f aca="false">F28</f>
        <v>1745676.83</v>
      </c>
      <c r="E29" s="59" t="n">
        <v>0</v>
      </c>
      <c r="F29" s="59" t="n">
        <f aca="false">D29+E29</f>
        <v>1745676.83</v>
      </c>
      <c r="G29" s="60" t="n">
        <f aca="false">$D$10</f>
        <v>0.06</v>
      </c>
      <c r="H29" s="61" t="n">
        <f aca="false">$D$11</f>
        <v>360</v>
      </c>
      <c r="I29" s="59" t="n">
        <f aca="false">ROUND(F29*G29*C29/H29,2)</f>
        <v>9019.33</v>
      </c>
      <c r="J29" s="59" t="n">
        <f aca="false">L28</f>
        <v>89029.5</v>
      </c>
      <c r="K29" s="59" t="n">
        <v>0</v>
      </c>
      <c r="L29" s="59" t="n">
        <f aca="false">J29+I29-K29</f>
        <v>98048.83</v>
      </c>
      <c r="M29" s="57"/>
    </row>
    <row r="30" customFormat="false" ht="15" hidden="false" customHeight="false" outlineLevel="0" collapsed="false">
      <c r="A30" s="62" t="n">
        <v>45838</v>
      </c>
      <c r="B30" s="62" t="n">
        <f aca="false">A29</f>
        <v>45808</v>
      </c>
      <c r="C30" s="61" t="n">
        <f aca="false">A30-B30</f>
        <v>30</v>
      </c>
      <c r="D30" s="59" t="n">
        <f aca="false">F29</f>
        <v>1745676.83</v>
      </c>
      <c r="E30" s="59" t="n">
        <v>0</v>
      </c>
      <c r="F30" s="59" t="n">
        <f aca="false">D30+E30</f>
        <v>1745676.83</v>
      </c>
      <c r="G30" s="60" t="n">
        <f aca="false">$D$10</f>
        <v>0.06</v>
      </c>
      <c r="H30" s="61" t="n">
        <f aca="false">$D$11</f>
        <v>360</v>
      </c>
      <c r="I30" s="59" t="n">
        <f aca="false">ROUND(F30*G30*C30/H30,2)</f>
        <v>8728.38</v>
      </c>
      <c r="J30" s="59" t="n">
        <f aca="false">L29</f>
        <v>98048.83</v>
      </c>
      <c r="K30" s="59" t="n">
        <v>0</v>
      </c>
      <c r="L30" s="59" t="n">
        <f aca="false">J30+I30-K30</f>
        <v>106777.21</v>
      </c>
      <c r="M30" s="57"/>
    </row>
    <row r="31" customFormat="false" ht="15" hidden="false" customHeight="false" outlineLevel="0" collapsed="false">
      <c r="A31" s="62" t="n">
        <v>45869</v>
      </c>
      <c r="B31" s="62" t="n">
        <f aca="false">A30</f>
        <v>45838</v>
      </c>
      <c r="C31" s="61" t="n">
        <f aca="false">A31-B31</f>
        <v>31</v>
      </c>
      <c r="D31" s="59" t="n">
        <f aca="false">F30</f>
        <v>1745676.83</v>
      </c>
      <c r="E31" s="59" t="n">
        <v>0</v>
      </c>
      <c r="F31" s="59" t="n">
        <f aca="false">D31+E31</f>
        <v>1745676.83</v>
      </c>
      <c r="G31" s="60" t="n">
        <f aca="false">$D$10</f>
        <v>0.06</v>
      </c>
      <c r="H31" s="61" t="n">
        <f aca="false">$D$11</f>
        <v>360</v>
      </c>
      <c r="I31" s="59" t="n">
        <f aca="false">ROUND(F31*G31*C31/H31,2)</f>
        <v>9019.33</v>
      </c>
      <c r="J31" s="59" t="n">
        <f aca="false">L30</f>
        <v>106777.21</v>
      </c>
      <c r="K31" s="59" t="n">
        <v>0</v>
      </c>
      <c r="L31" s="59" t="n">
        <f aca="false">J31+I31-K31</f>
        <v>115796.54</v>
      </c>
      <c r="M31" s="57"/>
    </row>
    <row r="32" customFormat="false" ht="15" hidden="false" customHeight="false" outlineLevel="0" collapsed="false">
      <c r="A32" s="62" t="n">
        <v>45900</v>
      </c>
      <c r="B32" s="62" t="n">
        <f aca="false">A31</f>
        <v>45869</v>
      </c>
      <c r="C32" s="61" t="n">
        <f aca="false">A32-B32</f>
        <v>31</v>
      </c>
      <c r="D32" s="59" t="n">
        <f aca="false">F31</f>
        <v>1745676.83</v>
      </c>
      <c r="E32" s="59" t="n">
        <v>0</v>
      </c>
      <c r="F32" s="59" t="n">
        <f aca="false">D32+E32</f>
        <v>1745676.83</v>
      </c>
      <c r="G32" s="60" t="n">
        <f aca="false">$D$10</f>
        <v>0.06</v>
      </c>
      <c r="H32" s="61" t="n">
        <f aca="false">$D$11</f>
        <v>360</v>
      </c>
      <c r="I32" s="59" t="n">
        <f aca="false">ROUND(F32*G32*C32/H32,2)</f>
        <v>9019.33</v>
      </c>
      <c r="J32" s="59" t="n">
        <f aca="false">L31</f>
        <v>115796.54</v>
      </c>
      <c r="K32" s="59" t="n">
        <v>0</v>
      </c>
      <c r="L32" s="59" t="n">
        <f aca="false">J32+I32-K32</f>
        <v>124815.87</v>
      </c>
      <c r="M32" s="57"/>
    </row>
    <row r="33" customFormat="false" ht="15" hidden="false" customHeight="false" outlineLevel="0" collapsed="false">
      <c r="A33" s="62" t="n">
        <v>45930</v>
      </c>
      <c r="B33" s="62" t="n">
        <f aca="false">A32</f>
        <v>45900</v>
      </c>
      <c r="C33" s="61" t="n">
        <f aca="false">A33-B33</f>
        <v>30</v>
      </c>
      <c r="D33" s="59" t="n">
        <f aca="false">F32</f>
        <v>1745676.83</v>
      </c>
      <c r="E33" s="59" t="n">
        <v>0</v>
      </c>
      <c r="F33" s="59" t="n">
        <f aca="false">D33+E33</f>
        <v>1745676.83</v>
      </c>
      <c r="G33" s="60" t="n">
        <f aca="false">$D$10</f>
        <v>0.06</v>
      </c>
      <c r="H33" s="61" t="n">
        <f aca="false">$D$11</f>
        <v>360</v>
      </c>
      <c r="I33" s="59" t="n">
        <f aca="false">ROUND(F33*G33*C33/H33,2)</f>
        <v>8728.38</v>
      </c>
      <c r="J33" s="59" t="n">
        <f aca="false">L32</f>
        <v>124815.87</v>
      </c>
      <c r="K33" s="59" t="n">
        <v>0</v>
      </c>
      <c r="L33" s="59" t="n">
        <f aca="false">J33+I33-K33</f>
        <v>133544.25</v>
      </c>
      <c r="M33" s="57"/>
    </row>
    <row r="34" customFormat="false" ht="15" hidden="false" customHeight="false" outlineLevel="0" collapsed="false">
      <c r="A34" s="62" t="n">
        <v>45961</v>
      </c>
      <c r="B34" s="62" t="n">
        <f aca="false">A33</f>
        <v>45930</v>
      </c>
      <c r="C34" s="61" t="n">
        <f aca="false">A34-B34</f>
        <v>31</v>
      </c>
      <c r="D34" s="59" t="n">
        <f aca="false">F33</f>
        <v>1745676.83</v>
      </c>
      <c r="E34" s="59" t="n">
        <v>0</v>
      </c>
      <c r="F34" s="59" t="n">
        <f aca="false">D34+E34</f>
        <v>1745676.83</v>
      </c>
      <c r="G34" s="60" t="n">
        <f aca="false">$D$10</f>
        <v>0.06</v>
      </c>
      <c r="H34" s="61" t="n">
        <f aca="false">$D$11</f>
        <v>360</v>
      </c>
      <c r="I34" s="59" t="n">
        <f aca="false">ROUND(F34*G34*C34/H34,2)</f>
        <v>9019.33</v>
      </c>
      <c r="J34" s="59" t="n">
        <f aca="false">L33</f>
        <v>133544.25</v>
      </c>
      <c r="K34" s="59" t="n">
        <v>0</v>
      </c>
      <c r="L34" s="59" t="n">
        <f aca="false">J34+I34-K34</f>
        <v>142563.58</v>
      </c>
      <c r="M34" s="57"/>
    </row>
    <row r="35" customFormat="false" ht="15" hidden="false" customHeight="false" outlineLevel="0" collapsed="false">
      <c r="A35" s="62" t="n">
        <v>45991</v>
      </c>
      <c r="B35" s="62" t="n">
        <f aca="false">A34</f>
        <v>45961</v>
      </c>
      <c r="C35" s="61" t="n">
        <f aca="false">A35-B35</f>
        <v>30</v>
      </c>
      <c r="D35" s="59" t="n">
        <f aca="false">F34</f>
        <v>1745676.83</v>
      </c>
      <c r="E35" s="59" t="n">
        <v>0</v>
      </c>
      <c r="F35" s="59" t="n">
        <f aca="false">D35+E35</f>
        <v>1745676.83</v>
      </c>
      <c r="G35" s="60" t="n">
        <f aca="false">$D$10</f>
        <v>0.06</v>
      </c>
      <c r="H35" s="61" t="n">
        <f aca="false">$D$11</f>
        <v>360</v>
      </c>
      <c r="I35" s="59" t="n">
        <f aca="false">ROUND(F35*G35*C35/H35,2)</f>
        <v>8728.38</v>
      </c>
      <c r="J35" s="59" t="n">
        <f aca="false">L34</f>
        <v>142563.58</v>
      </c>
      <c r="K35" s="59" t="n">
        <v>0</v>
      </c>
      <c r="L35" s="59" t="n">
        <f aca="false">J35+I35-K35</f>
        <v>151291.96</v>
      </c>
      <c r="M35" s="57"/>
    </row>
    <row r="36" customFormat="false" ht="15" hidden="false" customHeight="false" outlineLevel="0" collapsed="false">
      <c r="A36" s="62" t="n">
        <v>46022</v>
      </c>
      <c r="B36" s="62" t="n">
        <f aca="false">A35</f>
        <v>45991</v>
      </c>
      <c r="C36" s="61" t="n">
        <f aca="false">A36-B36</f>
        <v>31</v>
      </c>
      <c r="D36" s="59" t="n">
        <f aca="false">F35</f>
        <v>1745676.83</v>
      </c>
      <c r="E36" s="59" t="n">
        <v>0</v>
      </c>
      <c r="F36" s="59" t="n">
        <f aca="false">D36+E36</f>
        <v>1745676.83</v>
      </c>
      <c r="G36" s="60" t="n">
        <f aca="false">$D$10</f>
        <v>0.06</v>
      </c>
      <c r="H36" s="61" t="n">
        <f aca="false">$D$11</f>
        <v>360</v>
      </c>
      <c r="I36" s="59" t="n">
        <f aca="false">ROUND(F36*G36*C36/H36,2)</f>
        <v>9019.33</v>
      </c>
      <c r="J36" s="59" t="n">
        <f aca="false">L35</f>
        <v>151291.96</v>
      </c>
      <c r="K36" s="59" t="n">
        <v>0</v>
      </c>
      <c r="L36" s="59" t="n">
        <f aca="false">J36+I36-K36</f>
        <v>160311.29</v>
      </c>
      <c r="M36" s="57"/>
    </row>
    <row r="37" customFormat="false" ht="15" hidden="false" customHeight="false" outlineLevel="0" collapsed="false">
      <c r="A37" s="64" t="s">
        <v>8</v>
      </c>
      <c r="B37" s="65"/>
      <c r="C37" s="66" t="n">
        <f aca="false">SUM(C18:C36)</f>
        <v>551</v>
      </c>
      <c r="D37" s="65"/>
      <c r="E37" s="67" t="n">
        <f aca="false">SUM(E18:E36)</f>
        <v>1745676.83</v>
      </c>
      <c r="F37" s="65"/>
      <c r="G37" s="65"/>
      <c r="H37" s="65"/>
      <c r="I37" s="67" t="n">
        <f aca="false">SUM(I18:I36)</f>
        <v>160311.29</v>
      </c>
      <c r="J37" s="65"/>
      <c r="K37" s="67" t="n">
        <f aca="false">SUM(K18:K36)</f>
        <v>0</v>
      </c>
      <c r="L37" s="67" t="n">
        <f aca="false">L36</f>
        <v>160311.29</v>
      </c>
      <c r="M37" s="65"/>
    </row>
    <row r="39" customFormat="false" ht="15" hidden="false" customHeight="false" outlineLevel="0" collapsed="false">
      <c r="A39" s="55" t="s">
        <v>295</v>
      </c>
    </row>
    <row r="40" customFormat="false" ht="42" hidden="false" customHeight="true" outlineLevel="0" collapsed="false">
      <c r="A40" s="63" t="s">
        <v>296</v>
      </c>
      <c r="B40" s="63"/>
      <c r="C40" s="63"/>
      <c r="D40" s="63" t="s">
        <v>290</v>
      </c>
      <c r="E40" s="63" t="s">
        <v>292</v>
      </c>
      <c r="F40" s="63" t="s">
        <v>293</v>
      </c>
      <c r="G40" s="63"/>
      <c r="H40" s="63"/>
      <c r="I40" s="63" t="s">
        <v>297</v>
      </c>
      <c r="J40" s="63" t="s">
        <v>298</v>
      </c>
      <c r="K40" s="63" t="s">
        <v>299</v>
      </c>
      <c r="L40" s="63" t="s">
        <v>298</v>
      </c>
      <c r="M40" s="63" t="s">
        <v>9</v>
      </c>
    </row>
    <row r="41" customFormat="false" ht="15" hidden="false" customHeight="false" outlineLevel="0" collapsed="false">
      <c r="A41" s="68" t="s">
        <v>300</v>
      </c>
      <c r="B41" s="68"/>
      <c r="C41" s="68"/>
      <c r="D41" s="59" t="n">
        <f aca="false">SUMPRODUCT((YEAR($A$18:$A$36)=2024)*$I$18:$I$36)</f>
        <v>54115.97</v>
      </c>
      <c r="E41" s="59" t="n">
        <f aca="false">SUMPRODUCT((YEAR($A$18:$A$36)=2024)*$K$18:$K$36)</f>
        <v>0</v>
      </c>
      <c r="F41" s="59" t="n">
        <f aca="false">INDEX($L$18:$L$36,MATCH(DATE(2024,12,31),$A$18:$A$36,0))</f>
        <v>54115.97</v>
      </c>
      <c r="G41" s="57"/>
      <c r="H41" s="57"/>
      <c r="I41" s="59" t="n">
        <v>54115.97</v>
      </c>
      <c r="J41" s="59" t="n">
        <f aca="false">ROUND(D41-I41,2)</f>
        <v>0</v>
      </c>
      <c r="K41" s="59" t="n">
        <f aca="false">'Correcting Entries'!G62</f>
        <v>54115.97</v>
      </c>
      <c r="L41" s="59" t="n">
        <f aca="false">ROUND(D41-K41,2)</f>
        <v>0</v>
      </c>
      <c r="M41" s="57" t="s">
        <v>301</v>
      </c>
    </row>
    <row r="42" customFormat="false" ht="15" hidden="false" customHeight="false" outlineLevel="0" collapsed="false">
      <c r="A42" s="68" t="s">
        <v>302</v>
      </c>
      <c r="B42" s="68"/>
      <c r="C42" s="68"/>
      <c r="D42" s="59" t="n">
        <f aca="false">SUMPRODUCT((YEAR($A$18:$A$36)=2025)*$I$18:$I$36)</f>
        <v>106195.32</v>
      </c>
      <c r="E42" s="59" t="n">
        <f aca="false">SUMPRODUCT((YEAR($A$18:$A$36)=2025)*$K$18:$K$36)</f>
        <v>0</v>
      </c>
      <c r="F42" s="59" t="n">
        <f aca="false">INDEX($L$18:$L$36,MATCH(DATE(2025,12,31),$A$18:$A$36,0))</f>
        <v>160311.29</v>
      </c>
      <c r="G42" s="57"/>
      <c r="H42" s="57"/>
      <c r="I42" s="59" t="n">
        <v>106195.32</v>
      </c>
      <c r="J42" s="59" t="n">
        <f aca="false">ROUND(D42-I42,2)</f>
        <v>0</v>
      </c>
      <c r="K42" s="59" t="n">
        <f aca="false">'Correcting Entries'!G63</f>
        <v>106195.32</v>
      </c>
      <c r="L42" s="59" t="n">
        <f aca="false">ROUND(D42-K42,2)</f>
        <v>0</v>
      </c>
      <c r="M42" s="57" t="s">
        <v>303</v>
      </c>
    </row>
    <row r="43" customFormat="false" ht="15" hidden="false" customHeight="false" outlineLevel="0" collapsed="false">
      <c r="A43" s="64" t="s">
        <v>8</v>
      </c>
      <c r="B43" s="64"/>
      <c r="C43" s="64"/>
      <c r="D43" s="67" t="n">
        <f aca="false">SUM(D41:D42)</f>
        <v>160311.29</v>
      </c>
      <c r="E43" s="67" t="n">
        <f aca="false">SUM(E41:E42)</f>
        <v>0</v>
      </c>
      <c r="F43" s="67" t="n">
        <f aca="false">F42</f>
        <v>160311.29</v>
      </c>
      <c r="G43" s="65"/>
      <c r="H43" s="65"/>
      <c r="I43" s="67" t="n">
        <f aca="false">SUM(I41:I42)</f>
        <v>160311.29</v>
      </c>
      <c r="J43" s="67" t="n">
        <f aca="false">SUM(J41:J42)</f>
        <v>0</v>
      </c>
      <c r="K43" s="67" t="n">
        <f aca="false">SUM(K41:K42)</f>
        <v>160311.29</v>
      </c>
      <c r="L43" s="67" t="n">
        <f aca="false">SUM(L41:L42)</f>
        <v>0</v>
      </c>
      <c r="M43" s="65"/>
    </row>
    <row r="45" customFormat="false" ht="13.5" hidden="false" customHeight="true" outlineLevel="0" collapsed="false">
      <c r="A45" s="69" t="s">
        <v>304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</row>
    <row r="46" customFormat="false" ht="27" hidden="false" customHeight="true" outlineLevel="0" collapsed="false">
      <c r="A46" s="70" t="s">
        <v>305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</row>
    <row r="47" customFormat="false" ht="27" hidden="false" customHeight="true" outlineLevel="0" collapsed="false">
      <c r="A47" s="70" t="s">
        <v>306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</row>
    <row r="48" customFormat="false" ht="27" hidden="false" customHeight="true" outlineLevel="0" collapsed="false">
      <c r="A48" s="70" t="s">
        <v>307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</row>
    <row r="49" customFormat="false" ht="27" hidden="false" customHeight="true" outlineLevel="0" collapsed="false">
      <c r="A49" s="70" t="s">
        <v>308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</row>
  </sheetData>
  <mergeCells count="27">
    <mergeCell ref="E5:M5"/>
    <mergeCell ref="A6:C6"/>
    <mergeCell ref="E6:M6"/>
    <mergeCell ref="A7:C7"/>
    <mergeCell ref="E7:M7"/>
    <mergeCell ref="A8:C8"/>
    <mergeCell ref="E8:M8"/>
    <mergeCell ref="A9:C9"/>
    <mergeCell ref="E9:M9"/>
    <mergeCell ref="A10:C10"/>
    <mergeCell ref="E10:M10"/>
    <mergeCell ref="A11:C11"/>
    <mergeCell ref="E11:M11"/>
    <mergeCell ref="A12:C12"/>
    <mergeCell ref="E12:M12"/>
    <mergeCell ref="A13:C13"/>
    <mergeCell ref="E13:M13"/>
    <mergeCell ref="A14:C14"/>
    <mergeCell ref="E14:M14"/>
    <mergeCell ref="A41:C41"/>
    <mergeCell ref="A42:C42"/>
    <mergeCell ref="A43:C43"/>
    <mergeCell ref="A45:M45"/>
    <mergeCell ref="A46:M46"/>
    <mergeCell ref="A47:M47"/>
    <mergeCell ref="A48:M48"/>
    <mergeCell ref="A49:M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32FF"/>
    <pageSetUpPr fitToPage="true"/>
  </sheetPr>
  <dimension ref="A1:J45"/>
  <sheetViews>
    <sheetView showFormulas="false" showGridLines="fals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0" ySplit="4" topLeftCell="A41" activePane="bottomLeft" state="frozen"/>
      <selection pane="topLeft" activeCell="A1" activeCellId="0" sqref="A1"/>
      <selection pane="bottomLeft" activeCell="D62" activeCellId="0" sqref="D62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46"/>
    <col collapsed="false" customWidth="true" hidden="false" outlineLevel="0" max="9" min="9" style="0" width="40"/>
    <col collapsed="false" customWidth="true" hidden="false" outlineLevel="0" max="10" min="10" style="0" width="11"/>
  </cols>
  <sheetData>
    <row r="1" customFormat="false" ht="18" hidden="false" customHeight="true" outlineLevel="0" collapsed="false">
      <c r="A1" s="71" t="s">
        <v>309</v>
      </c>
    </row>
    <row r="2" customFormat="false" ht="15" hidden="false" customHeight="true" outlineLevel="0" collapsed="false">
      <c r="A2" s="72" t="s">
        <v>310</v>
      </c>
    </row>
    <row r="4" customFormat="false" ht="15" hidden="false" customHeight="true" outlineLevel="0" collapsed="false">
      <c r="A4" s="73" t="s">
        <v>172</v>
      </c>
      <c r="B4" s="74" t="s">
        <v>311</v>
      </c>
      <c r="C4" s="74" t="s">
        <v>312</v>
      </c>
      <c r="D4" s="74" t="s">
        <v>313</v>
      </c>
      <c r="E4" s="74" t="s">
        <v>314</v>
      </c>
      <c r="F4" s="74" t="s">
        <v>315</v>
      </c>
      <c r="G4" s="74" t="s">
        <v>316</v>
      </c>
      <c r="H4" s="75" t="s">
        <v>317</v>
      </c>
      <c r="I4" s="76"/>
      <c r="J4" s="76"/>
    </row>
    <row r="5" customFormat="false" ht="42" hidden="false" customHeight="true" outlineLevel="0" collapsed="false">
      <c r="A5" s="77" t="n">
        <v>1</v>
      </c>
      <c r="B5" s="78" t="s">
        <v>318</v>
      </c>
      <c r="C5" s="79" t="n">
        <v>45046</v>
      </c>
      <c r="D5" s="77" t="s">
        <v>319</v>
      </c>
      <c r="E5" s="77" t="s">
        <v>320</v>
      </c>
      <c r="F5" s="77" t="s">
        <v>321</v>
      </c>
      <c r="G5" s="80" t="n">
        <v>29158.96</v>
      </c>
      <c r="H5" s="77" t="s">
        <v>322</v>
      </c>
      <c r="I5" s="81"/>
      <c r="J5" s="81"/>
    </row>
    <row r="6" customFormat="false" ht="42" hidden="false" customHeight="true" outlineLevel="0" collapsed="false">
      <c r="A6" s="77" t="n">
        <v>2</v>
      </c>
      <c r="B6" s="78" t="s">
        <v>318</v>
      </c>
      <c r="C6" s="79" t="n">
        <v>45138</v>
      </c>
      <c r="D6" s="77" t="s">
        <v>323</v>
      </c>
      <c r="E6" s="77" t="s">
        <v>320</v>
      </c>
      <c r="F6" s="77" t="s">
        <v>321</v>
      </c>
      <c r="G6" s="80" t="n">
        <v>29158.96</v>
      </c>
      <c r="H6" s="77" t="s">
        <v>322</v>
      </c>
      <c r="I6" s="81"/>
      <c r="J6" s="81"/>
    </row>
    <row r="7" customFormat="false" ht="42" hidden="false" customHeight="true" outlineLevel="0" collapsed="false">
      <c r="A7" s="77" t="n">
        <v>3</v>
      </c>
      <c r="B7" s="78" t="s">
        <v>318</v>
      </c>
      <c r="C7" s="79" t="n">
        <v>45169</v>
      </c>
      <c r="D7" s="77" t="s">
        <v>324</v>
      </c>
      <c r="E7" s="77" t="s">
        <v>320</v>
      </c>
      <c r="F7" s="77" t="s">
        <v>321</v>
      </c>
      <c r="G7" s="80" t="n">
        <v>29158.96</v>
      </c>
      <c r="H7" s="77" t="s">
        <v>322</v>
      </c>
      <c r="I7" s="81"/>
      <c r="J7" s="81"/>
    </row>
    <row r="8" customFormat="false" ht="42" hidden="false" customHeight="true" outlineLevel="0" collapsed="false">
      <c r="A8" s="77" t="n">
        <v>4</v>
      </c>
      <c r="B8" s="78" t="s">
        <v>318</v>
      </c>
      <c r="C8" s="79" t="n">
        <v>45199</v>
      </c>
      <c r="D8" s="77" t="s">
        <v>325</v>
      </c>
      <c r="E8" s="77" t="s">
        <v>320</v>
      </c>
      <c r="F8" s="77" t="s">
        <v>321</v>
      </c>
      <c r="G8" s="80" t="n">
        <v>65819.47</v>
      </c>
      <c r="H8" s="77" t="s">
        <v>322</v>
      </c>
      <c r="I8" s="81"/>
      <c r="J8" s="81"/>
    </row>
    <row r="9" customFormat="false" ht="42" hidden="false" customHeight="true" outlineLevel="0" collapsed="false">
      <c r="A9" s="77" t="n">
        <v>5</v>
      </c>
      <c r="B9" s="78" t="s">
        <v>318</v>
      </c>
      <c r="C9" s="79" t="n">
        <v>45229</v>
      </c>
      <c r="D9" s="77" t="s">
        <v>326</v>
      </c>
      <c r="E9" s="77" t="s">
        <v>320</v>
      </c>
      <c r="F9" s="77" t="s">
        <v>321</v>
      </c>
      <c r="G9" s="80" t="n">
        <v>35089.04</v>
      </c>
      <c r="H9" s="77" t="s">
        <v>322</v>
      </c>
      <c r="I9" s="81"/>
      <c r="J9" s="81"/>
    </row>
    <row r="10" customFormat="false" ht="42" hidden="false" customHeight="true" outlineLevel="0" collapsed="false">
      <c r="A10" s="77" t="n">
        <v>6</v>
      </c>
      <c r="B10" s="78" t="s">
        <v>318</v>
      </c>
      <c r="C10" s="79" t="n">
        <v>45260</v>
      </c>
      <c r="D10" s="77" t="s">
        <v>327</v>
      </c>
      <c r="E10" s="77" t="s">
        <v>320</v>
      </c>
      <c r="F10" s="77" t="s">
        <v>321</v>
      </c>
      <c r="G10" s="80" t="n">
        <v>35089.04</v>
      </c>
      <c r="H10" s="77" t="s">
        <v>322</v>
      </c>
      <c r="I10" s="81"/>
      <c r="J10" s="81"/>
    </row>
    <row r="11" customFormat="false" ht="42" hidden="false" customHeight="true" outlineLevel="0" collapsed="false">
      <c r="A11" s="77" t="n">
        <v>7</v>
      </c>
      <c r="B11" s="78" t="s">
        <v>318</v>
      </c>
      <c r="C11" s="79" t="n">
        <v>45291</v>
      </c>
      <c r="D11" s="77" t="s">
        <v>328</v>
      </c>
      <c r="E11" s="77" t="s">
        <v>320</v>
      </c>
      <c r="F11" s="77" t="s">
        <v>321</v>
      </c>
      <c r="G11" s="80" t="n">
        <v>35089.04</v>
      </c>
      <c r="H11" s="77" t="s">
        <v>322</v>
      </c>
      <c r="I11" s="81"/>
      <c r="J11" s="81"/>
    </row>
    <row r="12" customFormat="false" ht="42" hidden="false" customHeight="true" outlineLevel="0" collapsed="false">
      <c r="A12" s="77" t="n">
        <v>8</v>
      </c>
      <c r="B12" s="78" t="s">
        <v>318</v>
      </c>
      <c r="C12" s="79" t="n">
        <v>45322</v>
      </c>
      <c r="D12" s="77" t="s">
        <v>329</v>
      </c>
      <c r="E12" s="77" t="s">
        <v>320</v>
      </c>
      <c r="F12" s="77" t="s">
        <v>330</v>
      </c>
      <c r="G12" s="80" t="n">
        <v>36203.78</v>
      </c>
      <c r="H12" s="77" t="s">
        <v>331</v>
      </c>
      <c r="I12" s="81"/>
      <c r="J12" s="81"/>
    </row>
    <row r="13" customFormat="false" ht="42" hidden="false" customHeight="true" outlineLevel="0" collapsed="false">
      <c r="A13" s="77" t="n">
        <v>9</v>
      </c>
      <c r="B13" s="78" t="s">
        <v>318</v>
      </c>
      <c r="C13" s="79" t="n">
        <v>45351</v>
      </c>
      <c r="D13" s="77" t="s">
        <v>332</v>
      </c>
      <c r="E13" s="77" t="s">
        <v>320</v>
      </c>
      <c r="F13" s="77" t="s">
        <v>330</v>
      </c>
      <c r="G13" s="80" t="n">
        <v>33868.04</v>
      </c>
      <c r="H13" s="77" t="s">
        <v>331</v>
      </c>
      <c r="I13" s="81"/>
      <c r="J13" s="81"/>
    </row>
    <row r="14" customFormat="false" ht="42" hidden="false" customHeight="true" outlineLevel="0" collapsed="false">
      <c r="A14" s="77" t="n">
        <v>10</v>
      </c>
      <c r="B14" s="78" t="s">
        <v>318</v>
      </c>
      <c r="C14" s="79" t="n">
        <v>45382</v>
      </c>
      <c r="D14" s="77" t="s">
        <v>333</v>
      </c>
      <c r="E14" s="77" t="s">
        <v>320</v>
      </c>
      <c r="F14" s="77" t="s">
        <v>330</v>
      </c>
      <c r="G14" s="80" t="n">
        <v>37407.8</v>
      </c>
      <c r="H14" s="77" t="s">
        <v>331</v>
      </c>
      <c r="I14" s="81"/>
      <c r="J14" s="81"/>
    </row>
    <row r="15" customFormat="false" ht="42" hidden="false" customHeight="true" outlineLevel="0" collapsed="false">
      <c r="A15" s="77" t="n">
        <v>11</v>
      </c>
      <c r="B15" s="78" t="s">
        <v>318</v>
      </c>
      <c r="C15" s="79" t="n">
        <v>45412</v>
      </c>
      <c r="D15" s="77" t="s">
        <v>334</v>
      </c>
      <c r="E15" s="77" t="s">
        <v>320</v>
      </c>
      <c r="F15" s="77" t="s">
        <v>330</v>
      </c>
      <c r="G15" s="80" t="n">
        <v>36776.27</v>
      </c>
      <c r="H15" s="77" t="s">
        <v>331</v>
      </c>
      <c r="I15" s="81"/>
      <c r="J15" s="81"/>
    </row>
    <row r="16" customFormat="false" ht="42" hidden="false" customHeight="true" outlineLevel="0" collapsed="false">
      <c r="A16" s="77" t="n">
        <v>12</v>
      </c>
      <c r="B16" s="78" t="s">
        <v>318</v>
      </c>
      <c r="C16" s="79" t="n">
        <v>45443</v>
      </c>
      <c r="D16" s="77" t="s">
        <v>335</v>
      </c>
      <c r="E16" s="77" t="s">
        <v>320</v>
      </c>
      <c r="F16" s="77" t="s">
        <v>330</v>
      </c>
      <c r="G16" s="80" t="n">
        <v>38000.89</v>
      </c>
      <c r="H16" s="77" t="s">
        <v>331</v>
      </c>
      <c r="I16" s="81"/>
      <c r="J16" s="81"/>
    </row>
    <row r="17" customFormat="false" ht="42" hidden="false" customHeight="true" outlineLevel="0" collapsed="false">
      <c r="A17" s="77" t="n">
        <v>13</v>
      </c>
      <c r="B17" s="78" t="s">
        <v>318</v>
      </c>
      <c r="C17" s="79" t="n">
        <v>45473</v>
      </c>
      <c r="D17" s="77" t="s">
        <v>336</v>
      </c>
      <c r="E17" s="77" t="s">
        <v>320</v>
      </c>
      <c r="F17" s="77" t="s">
        <v>330</v>
      </c>
      <c r="G17" s="80" t="n">
        <v>36106.61</v>
      </c>
      <c r="H17" s="77" t="s">
        <v>331</v>
      </c>
      <c r="I17" s="81"/>
      <c r="J17" s="81"/>
    </row>
    <row r="18" customFormat="false" ht="42" hidden="false" customHeight="true" outlineLevel="0" collapsed="false">
      <c r="A18" s="77" t="n">
        <v>14</v>
      </c>
      <c r="B18" s="78" t="s">
        <v>318</v>
      </c>
      <c r="C18" s="79" t="n">
        <v>45504</v>
      </c>
      <c r="D18" s="77" t="s">
        <v>337</v>
      </c>
      <c r="E18" s="77" t="s">
        <v>320</v>
      </c>
      <c r="F18" s="77" t="s">
        <v>330</v>
      </c>
      <c r="G18" s="80" t="n">
        <v>27639.77</v>
      </c>
      <c r="H18" s="77" t="s">
        <v>331</v>
      </c>
      <c r="I18" s="81"/>
      <c r="J18" s="81"/>
    </row>
    <row r="19" customFormat="false" ht="42" hidden="false" customHeight="true" outlineLevel="0" collapsed="false">
      <c r="A19" s="77" t="n">
        <v>15</v>
      </c>
      <c r="B19" s="78" t="s">
        <v>318</v>
      </c>
      <c r="C19" s="79" t="n">
        <v>45535</v>
      </c>
      <c r="D19" s="77" t="s">
        <v>338</v>
      </c>
      <c r="E19" s="77" t="s">
        <v>320</v>
      </c>
      <c r="F19" s="77" t="s">
        <v>330</v>
      </c>
      <c r="G19" s="80" t="n">
        <v>27639.77</v>
      </c>
      <c r="H19" s="77" t="s">
        <v>331</v>
      </c>
      <c r="I19" s="81"/>
      <c r="J19" s="81"/>
    </row>
    <row r="20" customFormat="false" ht="42" hidden="false" customHeight="true" outlineLevel="0" collapsed="false">
      <c r="A20" s="77" t="n">
        <v>16</v>
      </c>
      <c r="B20" s="78" t="s">
        <v>318</v>
      </c>
      <c r="C20" s="79" t="n">
        <v>45565</v>
      </c>
      <c r="D20" s="77" t="s">
        <v>339</v>
      </c>
      <c r="E20" s="77" t="s">
        <v>320</v>
      </c>
      <c r="F20" s="77" t="s">
        <v>330</v>
      </c>
      <c r="G20" s="80" t="n">
        <v>26748.17</v>
      </c>
      <c r="H20" s="77" t="s">
        <v>331</v>
      </c>
      <c r="I20" s="81"/>
      <c r="J20" s="81"/>
    </row>
    <row r="21" customFormat="false" ht="42" hidden="false" customHeight="true" outlineLevel="0" collapsed="false">
      <c r="A21" s="77" t="n">
        <v>17</v>
      </c>
      <c r="B21" s="78" t="s">
        <v>318</v>
      </c>
      <c r="C21" s="79" t="n">
        <v>45596</v>
      </c>
      <c r="D21" s="77" t="s">
        <v>340</v>
      </c>
      <c r="E21" s="77" t="s">
        <v>320</v>
      </c>
      <c r="F21" s="77" t="s">
        <v>330</v>
      </c>
      <c r="G21" s="80" t="n">
        <v>27639.77</v>
      </c>
      <c r="H21" s="77" t="s">
        <v>331</v>
      </c>
      <c r="I21" s="81"/>
      <c r="J21" s="81"/>
    </row>
    <row r="22" customFormat="false" ht="42" hidden="false" customHeight="true" outlineLevel="0" collapsed="false">
      <c r="A22" s="77" t="n">
        <v>18</v>
      </c>
      <c r="B22" s="78" t="s">
        <v>318</v>
      </c>
      <c r="C22" s="79" t="n">
        <v>45626</v>
      </c>
      <c r="D22" s="77" t="s">
        <v>341</v>
      </c>
      <c r="E22" s="77" t="s">
        <v>320</v>
      </c>
      <c r="F22" s="77" t="s">
        <v>330</v>
      </c>
      <c r="G22" s="80" t="n">
        <v>26748.17</v>
      </c>
      <c r="H22" s="77" t="s">
        <v>331</v>
      </c>
      <c r="I22" s="81"/>
      <c r="J22" s="81"/>
    </row>
    <row r="23" customFormat="false" ht="42" hidden="false" customHeight="true" outlineLevel="0" collapsed="false">
      <c r="A23" s="77" t="n">
        <v>19</v>
      </c>
      <c r="B23" s="78" t="s">
        <v>318</v>
      </c>
      <c r="C23" s="79" t="n">
        <v>45657</v>
      </c>
      <c r="D23" s="77" t="s">
        <v>342</v>
      </c>
      <c r="E23" s="77" t="s">
        <v>320</v>
      </c>
      <c r="F23" s="77" t="s">
        <v>330</v>
      </c>
      <c r="G23" s="80" t="n">
        <v>27639.77</v>
      </c>
      <c r="H23" s="77" t="s">
        <v>331</v>
      </c>
      <c r="I23" s="81"/>
      <c r="J23" s="81"/>
    </row>
    <row r="24" customFormat="false" ht="42" hidden="false" customHeight="true" outlineLevel="0" collapsed="false">
      <c r="A24" s="77" t="n">
        <v>20</v>
      </c>
      <c r="B24" s="78" t="s">
        <v>318</v>
      </c>
      <c r="C24" s="79" t="n">
        <v>45473</v>
      </c>
      <c r="D24" s="77" t="s">
        <v>343</v>
      </c>
      <c r="E24" s="77" t="s">
        <v>320</v>
      </c>
      <c r="F24" s="77" t="s">
        <v>344</v>
      </c>
      <c r="G24" s="80" t="n">
        <v>215676.83</v>
      </c>
      <c r="H24" s="77" t="s">
        <v>345</v>
      </c>
      <c r="I24" s="81"/>
      <c r="J24" s="81"/>
    </row>
    <row r="25" customFormat="false" ht="42" hidden="false" customHeight="true" outlineLevel="0" collapsed="false">
      <c r="A25" s="77" t="n">
        <v>21</v>
      </c>
      <c r="B25" s="78" t="s">
        <v>318</v>
      </c>
      <c r="C25" s="79" t="n">
        <v>45473</v>
      </c>
      <c r="D25" s="77" t="s">
        <v>346</v>
      </c>
      <c r="E25" s="77" t="s">
        <v>320</v>
      </c>
      <c r="F25" s="77" t="s">
        <v>347</v>
      </c>
      <c r="G25" s="80" t="n">
        <v>1530000</v>
      </c>
      <c r="H25" s="77" t="s">
        <v>348</v>
      </c>
      <c r="I25" s="81"/>
      <c r="J25" s="81"/>
    </row>
    <row r="26" customFormat="false" ht="27.75" hidden="false" customHeight="true" outlineLevel="0" collapsed="false">
      <c r="A26" s="77" t="n">
        <v>22</v>
      </c>
      <c r="B26" s="78" t="s">
        <v>349</v>
      </c>
      <c r="C26" s="79" t="n">
        <v>44816</v>
      </c>
      <c r="D26" s="77" t="s">
        <v>350</v>
      </c>
      <c r="E26" s="77" t="s">
        <v>351</v>
      </c>
      <c r="F26" s="77" t="s">
        <v>352</v>
      </c>
      <c r="G26" s="80" t="n">
        <v>1500000</v>
      </c>
      <c r="H26" s="77" t="s">
        <v>353</v>
      </c>
      <c r="I26" s="81"/>
      <c r="J26" s="81"/>
    </row>
    <row r="27" customFormat="false" ht="27.75" hidden="false" customHeight="true" outlineLevel="0" collapsed="false">
      <c r="A27" s="77" t="n">
        <v>23</v>
      </c>
      <c r="B27" s="78" t="s">
        <v>349</v>
      </c>
      <c r="C27" s="79" t="n">
        <v>44816</v>
      </c>
      <c r="D27" s="77" t="s">
        <v>350</v>
      </c>
      <c r="E27" s="77" t="s">
        <v>351</v>
      </c>
      <c r="F27" s="77" t="s">
        <v>354</v>
      </c>
      <c r="G27" s="80" t="n">
        <v>1500000</v>
      </c>
      <c r="H27" s="77" t="s">
        <v>355</v>
      </c>
      <c r="I27" s="81"/>
      <c r="J27" s="81"/>
    </row>
    <row r="28" customFormat="false" ht="27.75" hidden="false" customHeight="true" outlineLevel="0" collapsed="false">
      <c r="A28" s="77" t="n">
        <v>24</v>
      </c>
      <c r="B28" s="78" t="s">
        <v>349</v>
      </c>
      <c r="C28" s="79" t="n">
        <v>44992</v>
      </c>
      <c r="D28" s="77" t="s">
        <v>356</v>
      </c>
      <c r="E28" s="77" t="s">
        <v>357</v>
      </c>
      <c r="F28" s="77" t="s">
        <v>358</v>
      </c>
      <c r="G28" s="80" t="n">
        <v>75648.08</v>
      </c>
      <c r="H28" s="77" t="s">
        <v>359</v>
      </c>
      <c r="I28" s="81"/>
      <c r="J28" s="81"/>
    </row>
    <row r="29" customFormat="false" ht="27.75" hidden="false" customHeight="true" outlineLevel="0" collapsed="false">
      <c r="A29" s="77" t="n">
        <v>25</v>
      </c>
      <c r="B29" s="78" t="s">
        <v>349</v>
      </c>
      <c r="C29" s="79" t="n">
        <v>44995</v>
      </c>
      <c r="D29" s="77" t="s">
        <v>356</v>
      </c>
      <c r="E29" s="77" t="s">
        <v>357</v>
      </c>
      <c r="F29" s="77" t="s">
        <v>360</v>
      </c>
      <c r="G29" s="80" t="n">
        <v>78155.75</v>
      </c>
      <c r="H29" s="77" t="s">
        <v>361</v>
      </c>
      <c r="I29" s="81"/>
      <c r="J29" s="81"/>
    </row>
    <row r="30" customFormat="false" ht="42" hidden="false" customHeight="true" outlineLevel="0" collapsed="false">
      <c r="A30" s="77" t="n">
        <v>26</v>
      </c>
      <c r="B30" s="78" t="s">
        <v>349</v>
      </c>
      <c r="C30" s="79" t="n">
        <v>45077</v>
      </c>
      <c r="D30" s="77" t="s">
        <v>362</v>
      </c>
      <c r="E30" s="77" t="s">
        <v>320</v>
      </c>
      <c r="F30" s="77" t="s">
        <v>363</v>
      </c>
      <c r="G30" s="80" t="n">
        <v>29158.96</v>
      </c>
      <c r="H30" s="77" t="s">
        <v>364</v>
      </c>
      <c r="I30" s="81"/>
      <c r="J30" s="81"/>
    </row>
    <row r="31" customFormat="false" ht="42" hidden="false" customHeight="true" outlineLevel="0" collapsed="false">
      <c r="A31" s="77" t="n">
        <v>27</v>
      </c>
      <c r="B31" s="78" t="s">
        <v>349</v>
      </c>
      <c r="C31" s="79" t="n">
        <v>45107</v>
      </c>
      <c r="D31" s="77" t="s">
        <v>365</v>
      </c>
      <c r="E31" s="77" t="s">
        <v>320</v>
      </c>
      <c r="F31" s="77" t="s">
        <v>363</v>
      </c>
      <c r="G31" s="80" t="n">
        <v>29158.96</v>
      </c>
      <c r="H31" s="77" t="s">
        <v>364</v>
      </c>
      <c r="I31" s="81"/>
      <c r="J31" s="81"/>
    </row>
    <row r="32" customFormat="false" ht="42" hidden="false" customHeight="true" outlineLevel="0" collapsed="false">
      <c r="A32" s="77" t="n">
        <v>28</v>
      </c>
      <c r="B32" s="78" t="s">
        <v>349</v>
      </c>
      <c r="C32" s="79" t="n">
        <v>45138</v>
      </c>
      <c r="D32" s="77" t="s">
        <v>366</v>
      </c>
      <c r="E32" s="77" t="s">
        <v>320</v>
      </c>
      <c r="F32" s="77" t="s">
        <v>367</v>
      </c>
      <c r="G32" s="80" t="n">
        <v>4082.26</v>
      </c>
      <c r="H32" s="77" t="s">
        <v>368</v>
      </c>
      <c r="I32" s="81"/>
      <c r="J32" s="81"/>
    </row>
    <row r="33" customFormat="false" ht="42" hidden="false" customHeight="true" outlineLevel="0" collapsed="false">
      <c r="A33" s="77" t="n">
        <v>29</v>
      </c>
      <c r="B33" s="78" t="s">
        <v>349</v>
      </c>
      <c r="C33" s="79" t="n">
        <v>45169</v>
      </c>
      <c r="D33" s="77" t="s">
        <v>369</v>
      </c>
      <c r="E33" s="77" t="s">
        <v>320</v>
      </c>
      <c r="F33" s="77" t="s">
        <v>367</v>
      </c>
      <c r="G33" s="80" t="n">
        <v>4082.26</v>
      </c>
      <c r="H33" s="77" t="s">
        <v>368</v>
      </c>
      <c r="I33" s="81"/>
      <c r="J33" s="81"/>
    </row>
    <row r="34" customFormat="false" ht="42" hidden="false" customHeight="true" outlineLevel="0" collapsed="false">
      <c r="A34" s="77" t="n">
        <v>30</v>
      </c>
      <c r="B34" s="78" t="s">
        <v>349</v>
      </c>
      <c r="C34" s="79" t="n">
        <v>45194</v>
      </c>
      <c r="D34" s="77" t="s">
        <v>370</v>
      </c>
      <c r="E34" s="77" t="s">
        <v>320</v>
      </c>
      <c r="F34" s="77" t="s">
        <v>367</v>
      </c>
      <c r="G34" s="80" t="n">
        <v>9214.73</v>
      </c>
      <c r="H34" s="77" t="s">
        <v>368</v>
      </c>
      <c r="I34" s="81"/>
      <c r="J34" s="81"/>
    </row>
    <row r="35" customFormat="false" ht="42" hidden="false" customHeight="true" outlineLevel="0" collapsed="false">
      <c r="A35" s="77" t="n">
        <v>31</v>
      </c>
      <c r="B35" s="78" t="s">
        <v>349</v>
      </c>
      <c r="C35" s="79" t="n">
        <v>45224</v>
      </c>
      <c r="D35" s="77" t="s">
        <v>371</v>
      </c>
      <c r="E35" s="77" t="s">
        <v>320</v>
      </c>
      <c r="F35" s="77" t="s">
        <v>367</v>
      </c>
      <c r="G35" s="80" t="n">
        <v>4912.47</v>
      </c>
      <c r="H35" s="77" t="s">
        <v>368</v>
      </c>
      <c r="I35" s="81"/>
      <c r="J35" s="81"/>
    </row>
    <row r="36" customFormat="false" ht="42" hidden="false" customHeight="true" outlineLevel="0" collapsed="false">
      <c r="A36" s="77" t="n">
        <v>32</v>
      </c>
      <c r="B36" s="78" t="s">
        <v>349</v>
      </c>
      <c r="C36" s="79" t="n">
        <v>45255</v>
      </c>
      <c r="D36" s="77" t="s">
        <v>372</v>
      </c>
      <c r="E36" s="77" t="s">
        <v>320</v>
      </c>
      <c r="F36" s="77" t="s">
        <v>367</v>
      </c>
      <c r="G36" s="80" t="n">
        <v>4912.47</v>
      </c>
      <c r="H36" s="77" t="s">
        <v>368</v>
      </c>
      <c r="I36" s="81"/>
      <c r="J36" s="81"/>
    </row>
    <row r="37" customFormat="false" ht="42" hidden="false" customHeight="true" outlineLevel="0" collapsed="false">
      <c r="A37" s="77" t="n">
        <v>33</v>
      </c>
      <c r="B37" s="78" t="s">
        <v>349</v>
      </c>
      <c r="C37" s="79" t="n">
        <v>45285</v>
      </c>
      <c r="D37" s="77" t="s">
        <v>373</v>
      </c>
      <c r="E37" s="77" t="s">
        <v>320</v>
      </c>
      <c r="F37" s="77" t="s">
        <v>367</v>
      </c>
      <c r="G37" s="80" t="n">
        <v>4912.47</v>
      </c>
      <c r="H37" s="77" t="s">
        <v>368</v>
      </c>
      <c r="I37" s="81"/>
      <c r="J37" s="81"/>
    </row>
    <row r="38" customFormat="false" ht="42" hidden="false" customHeight="true" outlineLevel="0" collapsed="false">
      <c r="A38" s="77" t="n">
        <v>34</v>
      </c>
      <c r="B38" s="78" t="s">
        <v>349</v>
      </c>
      <c r="C38" s="79" t="n">
        <v>45322</v>
      </c>
      <c r="D38" s="77" t="s">
        <v>374</v>
      </c>
      <c r="E38" s="77" t="s">
        <v>320</v>
      </c>
      <c r="F38" s="77" t="s">
        <v>367</v>
      </c>
      <c r="G38" s="80" t="n">
        <v>4912.47</v>
      </c>
      <c r="H38" s="77" t="s">
        <v>368</v>
      </c>
      <c r="I38" s="81"/>
      <c r="J38" s="81"/>
    </row>
    <row r="39" customFormat="false" ht="42" hidden="false" customHeight="true" outlineLevel="0" collapsed="false">
      <c r="A39" s="77" t="n">
        <v>35</v>
      </c>
      <c r="B39" s="78" t="s">
        <v>349</v>
      </c>
      <c r="C39" s="79" t="n">
        <v>45351</v>
      </c>
      <c r="D39" s="77" t="s">
        <v>375</v>
      </c>
      <c r="E39" s="77" t="s">
        <v>320</v>
      </c>
      <c r="F39" s="77" t="s">
        <v>367</v>
      </c>
      <c r="G39" s="80" t="n">
        <v>4912.47</v>
      </c>
      <c r="H39" s="77" t="s">
        <v>368</v>
      </c>
      <c r="I39" s="81"/>
      <c r="J39" s="81"/>
    </row>
    <row r="40" customFormat="false" ht="42" hidden="false" customHeight="true" outlineLevel="0" collapsed="false">
      <c r="A40" s="77" t="n">
        <v>36</v>
      </c>
      <c r="B40" s="78" t="s">
        <v>349</v>
      </c>
      <c r="C40" s="79" t="n">
        <v>45382</v>
      </c>
      <c r="D40" s="77" t="s">
        <v>376</v>
      </c>
      <c r="E40" s="77" t="s">
        <v>320</v>
      </c>
      <c r="F40" s="77" t="s">
        <v>367</v>
      </c>
      <c r="G40" s="80" t="n">
        <v>4912.47</v>
      </c>
      <c r="H40" s="77" t="s">
        <v>368</v>
      </c>
      <c r="I40" s="81"/>
      <c r="J40" s="81"/>
    </row>
    <row r="41" customFormat="false" ht="42" hidden="false" customHeight="true" outlineLevel="0" collapsed="false">
      <c r="A41" s="77" t="n">
        <v>37</v>
      </c>
      <c r="B41" s="78" t="s">
        <v>349</v>
      </c>
      <c r="C41" s="79" t="n">
        <v>45412</v>
      </c>
      <c r="D41" s="77" t="s">
        <v>377</v>
      </c>
      <c r="E41" s="77" t="s">
        <v>320</v>
      </c>
      <c r="F41" s="77" t="s">
        <v>367</v>
      </c>
      <c r="G41" s="80" t="n">
        <v>4912.47</v>
      </c>
      <c r="H41" s="77" t="s">
        <v>368</v>
      </c>
      <c r="I41" s="81"/>
      <c r="J41" s="81"/>
    </row>
    <row r="42" customFormat="false" ht="42" hidden="false" customHeight="true" outlineLevel="0" collapsed="false">
      <c r="A42" s="77" t="n">
        <v>38</v>
      </c>
      <c r="B42" s="78" t="s">
        <v>349</v>
      </c>
      <c r="C42" s="79" t="n">
        <v>45443</v>
      </c>
      <c r="D42" s="77" t="s">
        <v>378</v>
      </c>
      <c r="E42" s="77" t="s">
        <v>320</v>
      </c>
      <c r="F42" s="77" t="s">
        <v>367</v>
      </c>
      <c r="G42" s="80" t="n">
        <v>4912.47</v>
      </c>
      <c r="H42" s="77" t="s">
        <v>368</v>
      </c>
      <c r="I42" s="81"/>
      <c r="J42" s="81"/>
    </row>
    <row r="43" customFormat="false" ht="42" hidden="false" customHeight="true" outlineLevel="0" collapsed="false">
      <c r="A43" s="77" t="n">
        <v>39</v>
      </c>
      <c r="B43" s="78" t="s">
        <v>349</v>
      </c>
      <c r="C43" s="79" t="n">
        <v>45473</v>
      </c>
      <c r="D43" s="77" t="s">
        <v>379</v>
      </c>
      <c r="E43" s="77" t="s">
        <v>320</v>
      </c>
      <c r="F43" s="77" t="s">
        <v>367</v>
      </c>
      <c r="G43" s="80" t="n">
        <v>4912.47</v>
      </c>
      <c r="H43" s="77" t="s">
        <v>368</v>
      </c>
      <c r="I43" s="81"/>
      <c r="J43" s="81"/>
    </row>
    <row r="44" customFormat="false" ht="42" hidden="false" customHeight="true" outlineLevel="0" collapsed="false">
      <c r="A44" s="77" t="n">
        <v>40</v>
      </c>
      <c r="B44" s="78" t="s">
        <v>349</v>
      </c>
      <c r="C44" s="79" t="n">
        <v>45504</v>
      </c>
      <c r="D44" s="77" t="s">
        <v>380</v>
      </c>
      <c r="E44" s="77" t="s">
        <v>320</v>
      </c>
      <c r="F44" s="77" t="s">
        <v>367</v>
      </c>
      <c r="G44" s="80" t="n">
        <v>4912.47</v>
      </c>
      <c r="H44" s="77" t="s">
        <v>368</v>
      </c>
      <c r="I44" s="81"/>
      <c r="J44" s="81"/>
    </row>
    <row r="45" customFormat="false" ht="42" hidden="false" customHeight="true" outlineLevel="0" collapsed="false">
      <c r="A45" s="77" t="n">
        <v>41</v>
      </c>
      <c r="B45" s="78" t="s">
        <v>318</v>
      </c>
      <c r="C45" s="79" t="n">
        <v>45716</v>
      </c>
      <c r="D45" s="77" t="s">
        <v>381</v>
      </c>
      <c r="E45" s="77" t="s">
        <v>382</v>
      </c>
      <c r="F45" s="77" t="s">
        <v>321</v>
      </c>
      <c r="G45" s="80" t="n">
        <v>10149.28</v>
      </c>
      <c r="H45" s="77" t="s">
        <v>383</v>
      </c>
      <c r="I45" s="81"/>
      <c r="J45" s="8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32FF"/>
    <pageSetUpPr fitToPage="true"/>
  </sheetPr>
  <dimension ref="A1:H73"/>
  <sheetViews>
    <sheetView showFormulas="false" showGridLines="false" showRowColHeaders="true" showZeros="true" rightToLeft="false" tabSelected="true" showOutlineSymbols="true" defaultGridColor="true" view="normal" topLeftCell="A6" colorId="64" zoomScale="160" zoomScaleNormal="160" zoomScalePageLayoutView="100" workbookViewId="0">
      <selection pane="topLeft" activeCell="D62" activeCellId="0" sqref="D62"/>
    </sheetView>
  </sheetViews>
  <sheetFormatPr defaultColWidth="8.66796875" defaultRowHeight="13.5" zeroHeight="false" outlineLevelRow="0" outlineLevelCol="0"/>
  <cols>
    <col collapsed="false" customWidth="true" hidden="false" outlineLevel="0" max="1" min="1" style="82" width="18.67"/>
    <col collapsed="false" customWidth="true" hidden="false" outlineLevel="0" max="2" min="2" style="82" width="13"/>
    <col collapsed="false" customWidth="true" hidden="false" outlineLevel="0" max="3" min="3" style="82" width="44"/>
    <col collapsed="false" customWidth="true" hidden="false" outlineLevel="0" max="7" min="4" style="82" width="16"/>
    <col collapsed="false" customWidth="true" hidden="false" outlineLevel="0" max="8" min="8" style="82" width="40"/>
    <col collapsed="false" customWidth="false" hidden="false" outlineLevel="0" max="16384" min="9" style="82" width="8.67"/>
  </cols>
  <sheetData>
    <row r="1" customFormat="false" ht="18" hidden="false" customHeight="true" outlineLevel="0" collapsed="false">
      <c r="A1" s="83" t="s">
        <v>384</v>
      </c>
    </row>
    <row r="2" customFormat="false" ht="13.5" hidden="false" customHeight="true" outlineLevel="0" collapsed="false">
      <c r="A2" s="84" t="s">
        <v>385</v>
      </c>
    </row>
    <row r="4" customFormat="false" ht="13.5" hidden="false" customHeight="true" outlineLevel="0" collapsed="false">
      <c r="A4" s="85" t="s">
        <v>386</v>
      </c>
    </row>
    <row r="5" customFormat="false" ht="27.75" hidden="false" customHeight="true" outlineLevel="0" collapsed="false">
      <c r="A5" s="86" t="s">
        <v>387</v>
      </c>
      <c r="B5" s="86" t="s">
        <v>312</v>
      </c>
      <c r="C5" s="86" t="s">
        <v>388</v>
      </c>
      <c r="D5" s="86" t="s">
        <v>389</v>
      </c>
      <c r="E5" s="86" t="s">
        <v>390</v>
      </c>
      <c r="F5" s="86"/>
      <c r="G5" s="86"/>
      <c r="H5" s="86" t="s">
        <v>391</v>
      </c>
    </row>
    <row r="6" s="91" customFormat="true" ht="42" hidden="false" customHeight="true" outlineLevel="0" collapsed="false">
      <c r="A6" s="87" t="s">
        <v>392</v>
      </c>
      <c r="B6" s="88" t="n">
        <v>45456</v>
      </c>
      <c r="C6" s="89" t="s">
        <v>393</v>
      </c>
      <c r="D6" s="90" t="n">
        <v>109165.69</v>
      </c>
      <c r="E6" s="90"/>
      <c r="F6" s="89"/>
      <c r="G6" s="89"/>
      <c r="H6" s="89" t="s">
        <v>394</v>
      </c>
    </row>
    <row r="7" s="91" customFormat="true" ht="42" hidden="false" customHeight="true" outlineLevel="0" collapsed="false">
      <c r="A7" s="87" t="s">
        <v>392</v>
      </c>
      <c r="B7" s="88" t="n">
        <v>45456</v>
      </c>
      <c r="C7" s="89" t="s">
        <v>395</v>
      </c>
      <c r="D7" s="90" t="n">
        <v>106511.14</v>
      </c>
      <c r="E7" s="90"/>
      <c r="F7" s="89"/>
      <c r="G7" s="89"/>
      <c r="H7" s="89" t="s">
        <v>394</v>
      </c>
    </row>
    <row r="8" s="91" customFormat="true" ht="42" hidden="false" customHeight="true" outlineLevel="0" collapsed="false">
      <c r="A8" s="87" t="s">
        <v>392</v>
      </c>
      <c r="B8" s="88" t="n">
        <v>45456</v>
      </c>
      <c r="C8" s="89" t="s">
        <v>396</v>
      </c>
      <c r="D8" s="90"/>
      <c r="E8" s="90" t="n">
        <v>215676.83</v>
      </c>
      <c r="F8" s="89"/>
      <c r="G8" s="89"/>
      <c r="H8" s="89" t="s">
        <v>394</v>
      </c>
    </row>
    <row r="9" s="91" customFormat="true" ht="27.75" hidden="false" customHeight="true" outlineLevel="0" collapsed="false">
      <c r="A9" s="87" t="s">
        <v>397</v>
      </c>
      <c r="B9" s="88" t="n">
        <v>45471</v>
      </c>
      <c r="C9" s="89" t="s">
        <v>398</v>
      </c>
      <c r="D9" s="90" t="n">
        <v>765000</v>
      </c>
      <c r="E9" s="90"/>
      <c r="F9" s="89"/>
      <c r="G9" s="89"/>
      <c r="H9" s="89" t="s">
        <v>399</v>
      </c>
    </row>
    <row r="10" s="91" customFormat="true" ht="27.75" hidden="false" customHeight="true" outlineLevel="0" collapsed="false">
      <c r="A10" s="87" t="s">
        <v>397</v>
      </c>
      <c r="B10" s="88" t="n">
        <v>45471</v>
      </c>
      <c r="C10" s="89" t="s">
        <v>400</v>
      </c>
      <c r="D10" s="90" t="n">
        <v>765000</v>
      </c>
      <c r="E10" s="90"/>
      <c r="F10" s="89"/>
      <c r="G10" s="89"/>
      <c r="H10" s="89" t="s">
        <v>399</v>
      </c>
    </row>
    <row r="11" s="91" customFormat="true" ht="27.75" hidden="false" customHeight="true" outlineLevel="0" collapsed="false">
      <c r="A11" s="87" t="s">
        <v>397</v>
      </c>
      <c r="B11" s="88" t="n">
        <v>45471</v>
      </c>
      <c r="C11" s="89" t="s">
        <v>396</v>
      </c>
      <c r="D11" s="90"/>
      <c r="E11" s="90" t="n">
        <v>1530000</v>
      </c>
      <c r="F11" s="89"/>
      <c r="G11" s="89"/>
      <c r="H11" s="89" t="s">
        <v>399</v>
      </c>
    </row>
    <row r="12" customFormat="false" ht="13.5" hidden="false" customHeight="true" outlineLevel="0" collapsed="false">
      <c r="C12" s="92" t="s">
        <v>8</v>
      </c>
      <c r="D12" s="93" t="n">
        <f aca="false">SUM(D6:D11)</f>
        <v>1745676.83</v>
      </c>
      <c r="E12" s="93" t="n">
        <f aca="false">SUM(E6:E11)</f>
        <v>1745676.83</v>
      </c>
      <c r="F12" s="92" t="str">
        <f aca="false">IF(ROUND(D12-E12,2)=0,"Balanced","CHECK")</f>
        <v>Balanced</v>
      </c>
    </row>
    <row r="15" customFormat="false" ht="13.5" hidden="false" customHeight="true" outlineLevel="0" collapsed="false">
      <c r="A15" s="85" t="s">
        <v>401</v>
      </c>
      <c r="D15" s="82" t="s">
        <v>389</v>
      </c>
      <c r="E15" s="82" t="s">
        <v>390</v>
      </c>
      <c r="F15" s="82" t="s">
        <v>390</v>
      </c>
      <c r="G15" s="82" t="s">
        <v>390</v>
      </c>
    </row>
    <row r="16" customFormat="false" ht="13.5" hidden="false" customHeight="true" outlineLevel="0" collapsed="false">
      <c r="A16" s="86" t="s">
        <v>402</v>
      </c>
      <c r="B16" s="86" t="s">
        <v>312</v>
      </c>
      <c r="C16" s="86" t="s">
        <v>391</v>
      </c>
      <c r="D16" s="86" t="n">
        <v>66045</v>
      </c>
      <c r="E16" s="86" t="n">
        <v>20261</v>
      </c>
      <c r="F16" s="86" t="n">
        <v>20260</v>
      </c>
      <c r="G16" s="86" t="n">
        <v>20262</v>
      </c>
      <c r="H16" s="86" t="s">
        <v>403</v>
      </c>
    </row>
    <row r="17" s="91" customFormat="true" ht="27.75" hidden="false" customHeight="true" outlineLevel="0" collapsed="false">
      <c r="A17" s="87" t="s">
        <v>404</v>
      </c>
      <c r="B17" s="94" t="n">
        <v>44834</v>
      </c>
      <c r="C17" s="89" t="s">
        <v>405</v>
      </c>
      <c r="D17" s="90" t="n">
        <f aca="false">SUM(E17:G17)</f>
        <v>17553.7</v>
      </c>
      <c r="E17" s="90" t="n">
        <v>8776.85</v>
      </c>
      <c r="F17" s="90" t="n">
        <v>8776.85</v>
      </c>
      <c r="G17" s="90"/>
      <c r="H17" s="95" t="s">
        <v>406</v>
      </c>
    </row>
    <row r="18" s="91" customFormat="true" ht="27.75" hidden="false" customHeight="true" outlineLevel="0" collapsed="false">
      <c r="A18" s="87" t="s">
        <v>407</v>
      </c>
      <c r="B18" s="94" t="n">
        <v>44865</v>
      </c>
      <c r="C18" s="89" t="s">
        <v>408</v>
      </c>
      <c r="D18" s="90" t="n">
        <f aca="false">SUM(E18:G18)</f>
        <v>25912.6</v>
      </c>
      <c r="E18" s="90" t="n">
        <v>12956.3</v>
      </c>
      <c r="F18" s="90" t="n">
        <v>12956.3</v>
      </c>
      <c r="G18" s="90"/>
      <c r="H18" s="95" t="s">
        <v>406</v>
      </c>
    </row>
    <row r="19" s="91" customFormat="true" ht="27.75" hidden="false" customHeight="true" outlineLevel="0" collapsed="false">
      <c r="A19" s="87" t="s">
        <v>409</v>
      </c>
      <c r="B19" s="94" t="n">
        <v>44895</v>
      </c>
      <c r="C19" s="89" t="s">
        <v>410</v>
      </c>
      <c r="D19" s="90" t="n">
        <f aca="false">SUM(E19:G19)</f>
        <v>25076.72</v>
      </c>
      <c r="E19" s="90" t="n">
        <v>12538.36</v>
      </c>
      <c r="F19" s="90" t="n">
        <v>12538.36</v>
      </c>
      <c r="G19" s="90"/>
      <c r="H19" s="95" t="s">
        <v>406</v>
      </c>
    </row>
    <row r="20" s="91" customFormat="true" ht="27.75" hidden="false" customHeight="true" outlineLevel="0" collapsed="false">
      <c r="A20" s="87" t="s">
        <v>411</v>
      </c>
      <c r="B20" s="94" t="n">
        <v>44926</v>
      </c>
      <c r="C20" s="89" t="s">
        <v>412</v>
      </c>
      <c r="D20" s="90" t="n">
        <f aca="false">SUM(E20:G20)</f>
        <v>25912.6</v>
      </c>
      <c r="E20" s="90" t="n">
        <v>12956.3</v>
      </c>
      <c r="F20" s="90" t="n">
        <v>12956.3</v>
      </c>
      <c r="G20" s="90"/>
      <c r="H20" s="95" t="s">
        <v>406</v>
      </c>
    </row>
    <row r="21" s="91" customFormat="true" ht="27.75" hidden="false" customHeight="true" outlineLevel="0" collapsed="false">
      <c r="A21" s="87" t="s">
        <v>413</v>
      </c>
      <c r="B21" s="94" t="n">
        <v>44957</v>
      </c>
      <c r="C21" s="89" t="s">
        <v>414</v>
      </c>
      <c r="D21" s="90" t="n">
        <f aca="false">SUM(E21:G21)</f>
        <v>25912.6</v>
      </c>
      <c r="E21" s="90" t="n">
        <v>12956.3</v>
      </c>
      <c r="F21" s="90" t="n">
        <v>12956.3</v>
      </c>
      <c r="G21" s="90"/>
      <c r="H21" s="95" t="s">
        <v>406</v>
      </c>
    </row>
    <row r="22" s="91" customFormat="true" ht="27.75" hidden="false" customHeight="true" outlineLevel="0" collapsed="false">
      <c r="A22" s="87" t="s">
        <v>415</v>
      </c>
      <c r="B22" s="94" t="n">
        <v>44985</v>
      </c>
      <c r="C22" s="89" t="s">
        <v>416</v>
      </c>
      <c r="D22" s="90" t="n">
        <f aca="false">SUM(E22:G22)</f>
        <v>23404.92</v>
      </c>
      <c r="E22" s="90" t="n">
        <v>11702.46</v>
      </c>
      <c r="F22" s="90" t="n">
        <v>11702.46</v>
      </c>
      <c r="G22" s="90"/>
      <c r="H22" s="95" t="s">
        <v>406</v>
      </c>
    </row>
    <row r="23" s="91" customFormat="true" ht="27.75" hidden="false" customHeight="true" outlineLevel="0" collapsed="false">
      <c r="A23" s="87" t="s">
        <v>417</v>
      </c>
      <c r="B23" s="94" t="n">
        <v>45016</v>
      </c>
      <c r="C23" s="89" t="s">
        <v>418</v>
      </c>
      <c r="D23" s="90" t="n">
        <f aca="false">SUM(E23:G23)</f>
        <v>28720.52</v>
      </c>
      <c r="E23" s="90" t="n">
        <v>14579.19</v>
      </c>
      <c r="F23" s="90" t="n">
        <v>14141.33</v>
      </c>
      <c r="G23" s="90"/>
      <c r="H23" s="95" t="s">
        <v>406</v>
      </c>
    </row>
    <row r="24" s="91" customFormat="true" ht="27.75" hidden="false" customHeight="true" outlineLevel="0" collapsed="false">
      <c r="A24" s="87" t="s">
        <v>419</v>
      </c>
      <c r="B24" s="94" t="n">
        <v>45046</v>
      </c>
      <c r="C24" s="89" t="s">
        <v>420</v>
      </c>
      <c r="D24" s="90" t="n">
        <f aca="false">SUM(E24:G24)</f>
        <v>29511.66</v>
      </c>
      <c r="E24" s="90" t="n">
        <v>14751.38</v>
      </c>
      <c r="F24" s="90" t="n">
        <v>14760.28</v>
      </c>
      <c r="G24" s="90"/>
      <c r="H24" s="95" t="s">
        <v>406</v>
      </c>
    </row>
    <row r="25" s="91" customFormat="true" ht="27.75" hidden="false" customHeight="true" outlineLevel="0" collapsed="false">
      <c r="A25" s="87" t="s">
        <v>421</v>
      </c>
      <c r="B25" s="94" t="n">
        <v>45077</v>
      </c>
      <c r="C25" s="89" t="s">
        <v>422</v>
      </c>
      <c r="D25" s="90" t="n">
        <f aca="false">SUM(E25:G25)</f>
        <v>30495.4</v>
      </c>
      <c r="E25" s="90" t="n">
        <v>15243.1</v>
      </c>
      <c r="F25" s="90" t="n">
        <v>15252.3</v>
      </c>
      <c r="G25" s="90"/>
      <c r="H25" s="95" t="s">
        <v>406</v>
      </c>
    </row>
    <row r="26" s="91" customFormat="true" ht="27.75" hidden="false" customHeight="true" outlineLevel="0" collapsed="false">
      <c r="A26" s="87" t="s">
        <v>423</v>
      </c>
      <c r="B26" s="94" t="n">
        <v>45107</v>
      </c>
      <c r="C26" s="89" t="s">
        <v>424</v>
      </c>
      <c r="D26" s="90" t="n">
        <f aca="false">SUM(E26:G26)</f>
        <v>29511.66</v>
      </c>
      <c r="E26" s="90" t="n">
        <v>14751.38</v>
      </c>
      <c r="F26" s="90" t="n">
        <v>14760.28</v>
      </c>
      <c r="G26" s="90"/>
      <c r="H26" s="95" t="s">
        <v>406</v>
      </c>
    </row>
    <row r="27" s="91" customFormat="true" ht="27.75" hidden="false" customHeight="true" outlineLevel="0" collapsed="false">
      <c r="A27" s="87" t="s">
        <v>425</v>
      </c>
      <c r="B27" s="94" t="n">
        <v>45138</v>
      </c>
      <c r="C27" s="89" t="s">
        <v>426</v>
      </c>
      <c r="D27" s="90" t="n">
        <f aca="false">SUM(E27:G27)</f>
        <v>30495.38</v>
      </c>
      <c r="E27" s="90" t="n">
        <v>15243.09</v>
      </c>
      <c r="F27" s="90" t="n">
        <v>15252.29</v>
      </c>
      <c r="G27" s="90"/>
      <c r="H27" s="95" t="s">
        <v>406</v>
      </c>
    </row>
    <row r="28" s="91" customFormat="true" ht="27.75" hidden="false" customHeight="true" outlineLevel="0" collapsed="false">
      <c r="A28" s="87" t="s">
        <v>427</v>
      </c>
      <c r="B28" s="94" t="n">
        <v>45169</v>
      </c>
      <c r="C28" s="89" t="s">
        <v>428</v>
      </c>
      <c r="D28" s="90" t="n">
        <f aca="false">SUM(E28:G28)</f>
        <v>30495.4</v>
      </c>
      <c r="E28" s="90" t="n">
        <v>15243.1</v>
      </c>
      <c r="F28" s="90" t="n">
        <v>15252.3</v>
      </c>
      <c r="G28" s="90"/>
      <c r="H28" s="95" t="s">
        <v>406</v>
      </c>
    </row>
    <row r="29" s="91" customFormat="true" ht="27.75" hidden="false" customHeight="true" outlineLevel="0" collapsed="false">
      <c r="A29" s="87" t="s">
        <v>429</v>
      </c>
      <c r="B29" s="94" t="n">
        <v>45199</v>
      </c>
      <c r="C29" s="89" t="s">
        <v>430</v>
      </c>
      <c r="D29" s="90" t="n">
        <f aca="false">SUM(E29:G29)</f>
        <v>32664.87</v>
      </c>
      <c r="E29" s="90" t="n">
        <v>16516.82</v>
      </c>
      <c r="F29" s="90" t="n">
        <v>16148.05</v>
      </c>
      <c r="G29" s="90"/>
      <c r="H29" s="95" t="s">
        <v>406</v>
      </c>
    </row>
    <row r="30" s="91" customFormat="true" ht="27.75" hidden="false" customHeight="true" outlineLevel="0" collapsed="false">
      <c r="A30" s="87" t="s">
        <v>431</v>
      </c>
      <c r="B30" s="94" t="n">
        <v>45230</v>
      </c>
      <c r="C30" s="89" t="s">
        <v>432</v>
      </c>
      <c r="D30" s="90" t="n">
        <f aca="false">SUM(E30:G30)</f>
        <v>36243.9</v>
      </c>
      <c r="E30" s="90" t="n">
        <v>18123.55</v>
      </c>
      <c r="F30" s="90" t="n">
        <v>18120.35</v>
      </c>
      <c r="G30" s="90"/>
      <c r="H30" s="95" t="s">
        <v>406</v>
      </c>
    </row>
    <row r="31" s="91" customFormat="true" ht="27.75" hidden="false" customHeight="true" outlineLevel="0" collapsed="false">
      <c r="A31" s="87" t="s">
        <v>433</v>
      </c>
      <c r="B31" s="94" t="n">
        <v>45260</v>
      </c>
      <c r="C31" s="89" t="s">
        <v>434</v>
      </c>
      <c r="D31" s="90" t="n">
        <f aca="false">SUM(E31:G31)</f>
        <v>35074.73</v>
      </c>
      <c r="E31" s="90" t="n">
        <v>17538.91</v>
      </c>
      <c r="F31" s="90" t="n">
        <v>17535.82</v>
      </c>
      <c r="G31" s="90"/>
      <c r="H31" s="95" t="s">
        <v>406</v>
      </c>
    </row>
    <row r="32" s="91" customFormat="true" ht="27.75" hidden="false" customHeight="true" outlineLevel="0" collapsed="false">
      <c r="A32" s="87" t="s">
        <v>435</v>
      </c>
      <c r="B32" s="94" t="n">
        <v>45291</v>
      </c>
      <c r="C32" s="89" t="s">
        <v>436</v>
      </c>
      <c r="D32" s="90" t="n">
        <f aca="false">SUM(E32:G32)</f>
        <v>36243.9</v>
      </c>
      <c r="E32" s="90" t="n">
        <v>18123.55</v>
      </c>
      <c r="F32" s="90" t="n">
        <v>18120.35</v>
      </c>
      <c r="G32" s="90"/>
      <c r="H32" s="95" t="s">
        <v>406</v>
      </c>
    </row>
    <row r="33" s="91" customFormat="true" ht="27.75" hidden="false" customHeight="true" outlineLevel="0" collapsed="false">
      <c r="A33" s="87" t="s">
        <v>437</v>
      </c>
      <c r="B33" s="94" t="n">
        <v>45322</v>
      </c>
      <c r="C33" s="89" t="s">
        <v>438</v>
      </c>
      <c r="D33" s="90" t="n">
        <f aca="false">SUM(E33:G33)</f>
        <v>36148.07</v>
      </c>
      <c r="E33" s="90" t="n">
        <v>18075.63</v>
      </c>
      <c r="F33" s="90" t="n">
        <v>18072.44</v>
      </c>
      <c r="G33" s="90"/>
      <c r="H33" s="95" t="s">
        <v>406</v>
      </c>
    </row>
    <row r="34" s="91" customFormat="true" ht="27.75" hidden="false" customHeight="true" outlineLevel="0" collapsed="false">
      <c r="A34" s="87" t="s">
        <v>439</v>
      </c>
      <c r="B34" s="94" t="n">
        <v>45351</v>
      </c>
      <c r="C34" s="89" t="s">
        <v>440</v>
      </c>
      <c r="D34" s="90" t="n">
        <f aca="false">SUM(E34:G34)</f>
        <v>33812.94</v>
      </c>
      <c r="E34" s="90" t="n">
        <v>16907.96</v>
      </c>
      <c r="F34" s="90" t="n">
        <v>16904.98</v>
      </c>
      <c r="G34" s="90"/>
      <c r="H34" s="95" t="s">
        <v>406</v>
      </c>
    </row>
    <row r="35" s="91" customFormat="true" ht="27.75" hidden="false" customHeight="true" outlineLevel="0" collapsed="false">
      <c r="A35" s="87" t="s">
        <v>441</v>
      </c>
      <c r="B35" s="94" t="n">
        <v>45382</v>
      </c>
      <c r="C35" s="89" t="s">
        <v>442</v>
      </c>
      <c r="D35" s="90" t="n">
        <f aca="false">SUM(E35:G35)</f>
        <v>35801.78</v>
      </c>
      <c r="E35" s="90" t="n">
        <v>17877.01</v>
      </c>
      <c r="F35" s="90" t="n">
        <v>17924.77</v>
      </c>
      <c r="G35" s="90"/>
      <c r="H35" s="95" t="s">
        <v>406</v>
      </c>
    </row>
    <row r="36" s="91" customFormat="true" ht="27.75" hidden="false" customHeight="true" outlineLevel="0" collapsed="false">
      <c r="A36" s="87" t="s">
        <v>443</v>
      </c>
      <c r="B36" s="94" t="n">
        <v>45412</v>
      </c>
      <c r="C36" s="89" t="s">
        <v>444</v>
      </c>
      <c r="D36" s="90" t="n">
        <f aca="false">SUM(E36:G36)</f>
        <v>34409.51</v>
      </c>
      <c r="E36" s="90" t="n">
        <v>17195.47</v>
      </c>
      <c r="F36" s="90" t="n">
        <v>17214.04</v>
      </c>
      <c r="G36" s="90"/>
      <c r="H36" s="95" t="s">
        <v>406</v>
      </c>
    </row>
    <row r="37" s="91" customFormat="true" ht="27.75" hidden="false" customHeight="true" outlineLevel="0" collapsed="false">
      <c r="A37" s="87" t="s">
        <v>445</v>
      </c>
      <c r="B37" s="94" t="n">
        <v>45443</v>
      </c>
      <c r="C37" s="89" t="s">
        <v>446</v>
      </c>
      <c r="D37" s="90" t="n">
        <f aca="false">SUM(E37:G37)</f>
        <v>35556.5</v>
      </c>
      <c r="E37" s="90" t="n">
        <v>17768.66</v>
      </c>
      <c r="F37" s="90" t="n">
        <v>17787.84</v>
      </c>
      <c r="G37" s="90"/>
      <c r="H37" s="95" t="s">
        <v>406</v>
      </c>
    </row>
    <row r="38" s="91" customFormat="true" ht="27.75" hidden="false" customHeight="true" outlineLevel="0" collapsed="false">
      <c r="A38" s="87" t="s">
        <v>447</v>
      </c>
      <c r="B38" s="94" t="n">
        <v>45473</v>
      </c>
      <c r="C38" s="89" t="s">
        <v>448</v>
      </c>
      <c r="D38" s="90" t="n">
        <f aca="false">SUM(E38:G38)</f>
        <v>33821.47</v>
      </c>
      <c r="E38" s="90" t="n">
        <v>16610.82</v>
      </c>
      <c r="F38" s="90" t="n">
        <v>16628.76</v>
      </c>
      <c r="G38" s="90" t="n">
        <v>581.89</v>
      </c>
      <c r="H38" s="95" t="s">
        <v>406</v>
      </c>
    </row>
    <row r="39" s="91" customFormat="true" ht="27.75" hidden="false" customHeight="true" outlineLevel="0" collapsed="false">
      <c r="A39" s="87" t="s">
        <v>449</v>
      </c>
      <c r="B39" s="94" t="n">
        <v>45504</v>
      </c>
      <c r="C39" s="89" t="s">
        <v>450</v>
      </c>
      <c r="D39" s="90" t="n">
        <f aca="false">SUM(E39:G39)</f>
        <v>26442.01</v>
      </c>
      <c r="E39" s="90" t="n">
        <v>8706.64</v>
      </c>
      <c r="F39" s="90" t="n">
        <v>8716.04</v>
      </c>
      <c r="G39" s="90" t="n">
        <v>9019.33</v>
      </c>
      <c r="H39" s="95" t="s">
        <v>406</v>
      </c>
    </row>
    <row r="40" s="91" customFormat="true" ht="27.75" hidden="false" customHeight="true" outlineLevel="0" collapsed="false">
      <c r="A40" s="87" t="s">
        <v>451</v>
      </c>
      <c r="B40" s="94" t="n">
        <v>45535</v>
      </c>
      <c r="C40" s="89" t="s">
        <v>452</v>
      </c>
      <c r="D40" s="90" t="n">
        <f aca="false">SUM(E40:G40)</f>
        <v>26442.01</v>
      </c>
      <c r="E40" s="90" t="n">
        <v>8706.64</v>
      </c>
      <c r="F40" s="90" t="n">
        <v>8716.04</v>
      </c>
      <c r="G40" s="90" t="n">
        <v>9019.33</v>
      </c>
      <c r="H40" s="95" t="s">
        <v>406</v>
      </c>
    </row>
    <row r="41" s="91" customFormat="true" ht="27.75" hidden="false" customHeight="true" outlineLevel="0" collapsed="false">
      <c r="A41" s="87" t="s">
        <v>453</v>
      </c>
      <c r="B41" s="94" t="n">
        <v>45565</v>
      </c>
      <c r="C41" s="89" t="s">
        <v>454</v>
      </c>
      <c r="D41" s="90" t="n">
        <f aca="false">SUM(E41:G41)</f>
        <v>25136.22</v>
      </c>
      <c r="E41" s="90" t="n">
        <v>8164.22</v>
      </c>
      <c r="F41" s="90" t="n">
        <v>8243.62</v>
      </c>
      <c r="G41" s="90" t="n">
        <v>8728.38</v>
      </c>
      <c r="H41" s="95" t="s">
        <v>406</v>
      </c>
    </row>
    <row r="42" s="91" customFormat="true" ht="27.75" hidden="false" customHeight="true" outlineLevel="0" collapsed="false">
      <c r="A42" s="87" t="s">
        <v>455</v>
      </c>
      <c r="B42" s="94" t="n">
        <v>45596</v>
      </c>
      <c r="C42" s="89" t="s">
        <v>456</v>
      </c>
      <c r="D42" s="90" t="n">
        <f aca="false">SUM(E42:G42)</f>
        <v>25632.38</v>
      </c>
      <c r="E42" s="90" t="n">
        <v>8320.51</v>
      </c>
      <c r="F42" s="90" t="n">
        <v>8292.54</v>
      </c>
      <c r="G42" s="90" t="n">
        <v>9019.33</v>
      </c>
      <c r="H42" s="95" t="s">
        <v>406</v>
      </c>
    </row>
    <row r="43" s="91" customFormat="true" ht="27.75" hidden="false" customHeight="true" outlineLevel="0" collapsed="false">
      <c r="A43" s="87" t="s">
        <v>457</v>
      </c>
      <c r="B43" s="94" t="n">
        <v>45626</v>
      </c>
      <c r="C43" s="89" t="s">
        <v>458</v>
      </c>
      <c r="D43" s="90" t="n">
        <f aca="false">SUM(E43:G43)</f>
        <v>24805.54</v>
      </c>
      <c r="E43" s="90" t="n">
        <v>8052.11</v>
      </c>
      <c r="F43" s="90" t="n">
        <v>8025.05</v>
      </c>
      <c r="G43" s="90" t="n">
        <v>8728.38</v>
      </c>
      <c r="H43" s="95" t="s">
        <v>406</v>
      </c>
    </row>
    <row r="44" s="91" customFormat="true" ht="27.75" hidden="false" customHeight="true" outlineLevel="0" collapsed="false">
      <c r="A44" s="87" t="s">
        <v>459</v>
      </c>
      <c r="B44" s="94" t="n">
        <v>45657</v>
      </c>
      <c r="C44" s="89" t="s">
        <v>460</v>
      </c>
      <c r="D44" s="90" t="n">
        <f aca="false">SUM(E44:G44)</f>
        <v>25632.39</v>
      </c>
      <c r="E44" s="90" t="n">
        <v>8320.52</v>
      </c>
      <c r="F44" s="90" t="n">
        <v>8292.54</v>
      </c>
      <c r="G44" s="90" t="n">
        <v>9019.33</v>
      </c>
      <c r="H44" s="95" t="s">
        <v>406</v>
      </c>
    </row>
    <row r="45" customFormat="false" ht="27.75" hidden="false" customHeight="true" outlineLevel="0" collapsed="false">
      <c r="A45" s="87" t="s">
        <v>461</v>
      </c>
      <c r="B45" s="94" t="n">
        <v>45688</v>
      </c>
      <c r="C45" s="89" t="s">
        <v>462</v>
      </c>
      <c r="D45" s="90" t="n">
        <f aca="false">SUM(E45:G45)</f>
        <v>25676.43</v>
      </c>
      <c r="E45" s="90" t="n">
        <v>8342.57</v>
      </c>
      <c r="F45" s="90" t="n">
        <v>8314.53</v>
      </c>
      <c r="G45" s="90" t="n">
        <v>9019.33</v>
      </c>
      <c r="H45" s="95" t="s">
        <v>406</v>
      </c>
    </row>
    <row r="46" customFormat="false" ht="27.75" hidden="false" customHeight="true" outlineLevel="0" collapsed="false">
      <c r="A46" s="87" t="s">
        <v>463</v>
      </c>
      <c r="B46" s="94" t="n">
        <v>45716</v>
      </c>
      <c r="C46" s="89" t="s">
        <v>464</v>
      </c>
      <c r="D46" s="90" t="n">
        <f aca="false">SUM(E46:G46)</f>
        <v>23192.95</v>
      </c>
      <c r="E46" s="90" t="n">
        <v>7535.9</v>
      </c>
      <c r="F46" s="90" t="n">
        <v>7510.56</v>
      </c>
      <c r="G46" s="90" t="n">
        <v>8146.49</v>
      </c>
      <c r="H46" s="95" t="s">
        <v>406</v>
      </c>
    </row>
    <row r="47" customFormat="false" ht="27.75" hidden="false" customHeight="true" outlineLevel="0" collapsed="false">
      <c r="A47" s="87" t="s">
        <v>465</v>
      </c>
      <c r="B47" s="94" t="n">
        <v>45747</v>
      </c>
      <c r="C47" s="89" t="s">
        <v>466</v>
      </c>
      <c r="D47" s="90" t="n">
        <f aca="false">SUM(E47:G47)</f>
        <v>25394.35</v>
      </c>
      <c r="E47" s="90" t="n">
        <v>8163.53</v>
      </c>
      <c r="F47" s="90" t="n">
        <v>8211.49</v>
      </c>
      <c r="G47" s="90" t="n">
        <v>9019.33</v>
      </c>
      <c r="H47" s="95" t="s">
        <v>406</v>
      </c>
    </row>
    <row r="48" customFormat="false" ht="27.75" hidden="false" customHeight="true" outlineLevel="0" collapsed="false">
      <c r="A48" s="87" t="s">
        <v>467</v>
      </c>
      <c r="B48" s="94" t="n">
        <v>45777</v>
      </c>
      <c r="C48" s="89" t="s">
        <v>468</v>
      </c>
      <c r="D48" s="90" t="n">
        <f aca="false">SUM(E48:G48)</f>
        <v>24370.38</v>
      </c>
      <c r="E48" s="90" t="n">
        <v>7817.34</v>
      </c>
      <c r="F48" s="90" t="n">
        <v>7824.66</v>
      </c>
      <c r="G48" s="90" t="n">
        <v>8728.38</v>
      </c>
      <c r="H48" s="95" t="s">
        <v>406</v>
      </c>
    </row>
    <row r="49" customFormat="false" ht="27.75" hidden="false" customHeight="true" outlineLevel="0" collapsed="false">
      <c r="A49" s="87" t="s">
        <v>469</v>
      </c>
      <c r="B49" s="94" t="n">
        <v>45808</v>
      </c>
      <c r="C49" s="89" t="s">
        <v>470</v>
      </c>
      <c r="D49" s="90" t="n">
        <f aca="false">SUM(E49:G49)</f>
        <v>25182.73</v>
      </c>
      <c r="E49" s="90" t="n">
        <v>8077.92</v>
      </c>
      <c r="F49" s="90" t="n">
        <v>8085.48</v>
      </c>
      <c r="G49" s="90" t="n">
        <v>9019.33</v>
      </c>
      <c r="H49" s="95" t="s">
        <v>406</v>
      </c>
    </row>
    <row r="50" customFormat="false" ht="27.75" hidden="false" customHeight="true" outlineLevel="0" collapsed="false">
      <c r="A50" s="87" t="s">
        <v>471</v>
      </c>
      <c r="B50" s="94" t="n">
        <v>45838</v>
      </c>
      <c r="C50" s="89" t="s">
        <v>472</v>
      </c>
      <c r="D50" s="90" t="n">
        <f aca="false">SUM(E50:G50)</f>
        <v>24370.38</v>
      </c>
      <c r="E50" s="90" t="n">
        <v>7817.34</v>
      </c>
      <c r="F50" s="90" t="n">
        <v>7824.66</v>
      </c>
      <c r="G50" s="90" t="n">
        <v>8728.38</v>
      </c>
      <c r="H50" s="95" t="s">
        <v>406</v>
      </c>
    </row>
    <row r="51" customFormat="false" ht="27.75" hidden="false" customHeight="true" outlineLevel="0" collapsed="false">
      <c r="A51" s="87" t="s">
        <v>473</v>
      </c>
      <c r="B51" s="94" t="n">
        <v>45869</v>
      </c>
      <c r="C51" s="89" t="s">
        <v>474</v>
      </c>
      <c r="D51" s="90" t="n">
        <f aca="false">SUM(E51:G51)</f>
        <v>25182.73</v>
      </c>
      <c r="E51" s="90" t="n">
        <v>8077.92</v>
      </c>
      <c r="F51" s="90" t="n">
        <v>8085.48</v>
      </c>
      <c r="G51" s="90" t="n">
        <v>9019.33</v>
      </c>
      <c r="H51" s="95" t="s">
        <v>406</v>
      </c>
    </row>
    <row r="52" customFormat="false" ht="27.75" hidden="false" customHeight="true" outlineLevel="0" collapsed="false">
      <c r="A52" s="87" t="s">
        <v>475</v>
      </c>
      <c r="B52" s="94" t="n">
        <v>45900</v>
      </c>
      <c r="C52" s="89" t="s">
        <v>476</v>
      </c>
      <c r="D52" s="90" t="n">
        <f aca="false">SUM(E52:G52)</f>
        <v>25182.73</v>
      </c>
      <c r="E52" s="90" t="n">
        <v>8077.92</v>
      </c>
      <c r="F52" s="90" t="n">
        <v>8085.48</v>
      </c>
      <c r="G52" s="90" t="n">
        <v>9019.33</v>
      </c>
      <c r="H52" s="95" t="s">
        <v>406</v>
      </c>
    </row>
    <row r="53" customFormat="false" ht="27.75" hidden="false" customHeight="true" outlineLevel="0" collapsed="false">
      <c r="A53" s="87" t="s">
        <v>477</v>
      </c>
      <c r="B53" s="94" t="n">
        <v>45930</v>
      </c>
      <c r="C53" s="89" t="s">
        <v>478</v>
      </c>
      <c r="D53" s="90" t="n">
        <f aca="false">SUM(E53:G53)</f>
        <v>24173.74</v>
      </c>
      <c r="E53" s="90" t="n">
        <v>7722.82</v>
      </c>
      <c r="F53" s="90" t="n">
        <v>7722.54</v>
      </c>
      <c r="G53" s="90" t="n">
        <v>8728.38</v>
      </c>
      <c r="H53" s="95" t="s">
        <v>406</v>
      </c>
    </row>
    <row r="54" customFormat="false" ht="27.75" hidden="false" customHeight="true" outlineLevel="0" collapsed="false">
      <c r="A54" s="87" t="s">
        <v>479</v>
      </c>
      <c r="B54" s="94" t="n">
        <v>45961</v>
      </c>
      <c r="C54" s="89" t="s">
        <v>480</v>
      </c>
      <c r="D54" s="90" t="n">
        <f aca="false">SUM(E54:G54)</f>
        <v>24832.18</v>
      </c>
      <c r="E54" s="90" t="n">
        <v>7938.4</v>
      </c>
      <c r="F54" s="90" t="n">
        <v>7874.45</v>
      </c>
      <c r="G54" s="90" t="n">
        <v>9019.33</v>
      </c>
      <c r="H54" s="95" t="s">
        <v>406</v>
      </c>
    </row>
    <row r="55" customFormat="false" ht="27.75" hidden="false" customHeight="true" outlineLevel="0" collapsed="false">
      <c r="A55" s="87" t="s">
        <v>481</v>
      </c>
      <c r="B55" s="94" t="n">
        <v>45991</v>
      </c>
      <c r="C55" s="89" t="s">
        <v>482</v>
      </c>
      <c r="D55" s="90" t="n">
        <f aca="false">SUM(E55:G55)</f>
        <v>24031.13</v>
      </c>
      <c r="E55" s="90" t="n">
        <v>7682.31</v>
      </c>
      <c r="F55" s="90" t="n">
        <v>7620.44</v>
      </c>
      <c r="G55" s="90" t="n">
        <v>8728.38</v>
      </c>
      <c r="H55" s="95" t="s">
        <v>406</v>
      </c>
    </row>
    <row r="56" customFormat="false" ht="27.75" hidden="false" customHeight="true" outlineLevel="0" collapsed="false">
      <c r="A56" s="87" t="s">
        <v>483</v>
      </c>
      <c r="B56" s="94" t="n">
        <v>46022</v>
      </c>
      <c r="C56" s="89" t="s">
        <v>484</v>
      </c>
      <c r="D56" s="90" t="n">
        <f aca="false">SUM(E56:G56)</f>
        <v>24832.18</v>
      </c>
      <c r="E56" s="90" t="n">
        <v>7938.4</v>
      </c>
      <c r="F56" s="90" t="n">
        <v>7874.45</v>
      </c>
      <c r="G56" s="90" t="n">
        <v>9019.33</v>
      </c>
      <c r="H56" s="95" t="s">
        <v>406</v>
      </c>
    </row>
    <row r="57" customFormat="false" ht="13.5" hidden="false" customHeight="true" outlineLevel="0" collapsed="false">
      <c r="C57" s="96" t="s">
        <v>8</v>
      </c>
      <c r="D57" s="97" t="n">
        <f aca="false">SUM(D17:D56)</f>
        <v>1123293.29</v>
      </c>
      <c r="E57" s="97" t="n">
        <f aca="false">SUM(E17:E56)</f>
        <v>481899.2</v>
      </c>
      <c r="F57" s="97" t="n">
        <f aca="false">SUM(F17:F56)</f>
        <v>481082.8</v>
      </c>
      <c r="G57" s="97" t="n">
        <f aca="false">SUM(G17:G56)</f>
        <v>160311.29</v>
      </c>
      <c r="H57" s="96" t="str">
        <f aca="false">IF(ROUND(D57-E57-F57-G57,2)=0,"Balanced","CHECK")</f>
        <v>Balanced</v>
      </c>
    </row>
    <row r="59" customFormat="false" ht="13.5" hidden="false" customHeight="true" outlineLevel="0" collapsed="false">
      <c r="C59" s="98" t="s">
        <v>485</v>
      </c>
    </row>
    <row r="60" customFormat="false" ht="13.5" hidden="false" customHeight="true" outlineLevel="0" collapsed="false">
      <c r="C60" s="98" t="s">
        <v>486</v>
      </c>
      <c r="D60" s="99" t="n">
        <f aca="false">SUMPRODUCT((YEAR($B$17:$B$56)=2022)*D$17:D$56)</f>
        <v>94455.62</v>
      </c>
      <c r="E60" s="99" t="n">
        <f aca="false">SUMPRODUCT((YEAR($B$17:$B$56)=2022)*E$17:E$56)</f>
        <v>47227.81</v>
      </c>
      <c r="F60" s="99" t="n">
        <f aca="false">SUMPRODUCT((YEAR($B$17:$B$56)=2022)*F$17:F$56)</f>
        <v>47227.81</v>
      </c>
      <c r="G60" s="99" t="n">
        <f aca="false">SUMPRODUCT((YEAR($B$17:$B$56)=2022)*G$17:G$56)</f>
        <v>0</v>
      </c>
      <c r="H60" s="100"/>
    </row>
    <row r="61" customFormat="false" ht="13.5" hidden="false" customHeight="true" outlineLevel="0" collapsed="false">
      <c r="C61" s="98" t="s">
        <v>487</v>
      </c>
      <c r="D61" s="99" t="n">
        <f aca="false">SUMPRODUCT((YEAR($B$17:$B$56)=2023)*D$17:D$56)</f>
        <v>368774.94</v>
      </c>
      <c r="E61" s="99" t="n">
        <f aca="false">SUMPRODUCT((YEAR($B$17:$B$56)=2023)*E$17:E$56)</f>
        <v>184772.83</v>
      </c>
      <c r="F61" s="99" t="n">
        <f aca="false">SUMPRODUCT((YEAR($B$17:$B$56)=2023)*F$17:F$56)</f>
        <v>184002.11</v>
      </c>
      <c r="G61" s="99" t="n">
        <f aca="false">SUMPRODUCT((YEAR($B$17:$B$56)=2023)*G$17:G$56)</f>
        <v>0</v>
      </c>
      <c r="H61" s="100"/>
    </row>
    <row r="62" customFormat="false" ht="13.5" hidden="false" customHeight="true" outlineLevel="0" collapsed="false">
      <c r="C62" s="98" t="s">
        <v>488</v>
      </c>
      <c r="D62" s="99" t="n">
        <f aca="false">SUMPRODUCT((YEAR($B$17:$B$56)=2024)*D$17:D$56)</f>
        <v>363640.82</v>
      </c>
      <c r="E62" s="99" t="n">
        <f aca="false">SUMPRODUCT((YEAR($B$17:$B$56)=2024)*E$17:E$56)</f>
        <v>154706.19</v>
      </c>
      <c r="F62" s="99" t="n">
        <f aca="false">SUMPRODUCT((YEAR($B$17:$B$56)=2024)*F$17:F$56)</f>
        <v>154818.66</v>
      </c>
      <c r="G62" s="99" t="n">
        <f aca="false">SUMPRODUCT((YEAR($B$17:$B$56)=2024)*G$17:G$56)</f>
        <v>54115.97</v>
      </c>
      <c r="H62" s="100"/>
    </row>
    <row r="63" customFormat="false" ht="13.5" hidden="false" customHeight="true" outlineLevel="0" collapsed="false">
      <c r="C63" s="98" t="s">
        <v>489</v>
      </c>
      <c r="D63" s="99" t="n">
        <f aca="false">SUMPRODUCT((YEAR($B$17:$B$56)=2025)*D$17:D$56)</f>
        <v>296421.91</v>
      </c>
      <c r="E63" s="99" t="n">
        <f aca="false">SUMPRODUCT((YEAR($B$17:$B$56)=2025)*E$17:E$56)</f>
        <v>95192.37</v>
      </c>
      <c r="F63" s="99" t="n">
        <f aca="false">SUMPRODUCT((YEAR($B$17:$B$56)=2025)*F$17:F$56)</f>
        <v>95034.22</v>
      </c>
      <c r="G63" s="99" t="n">
        <f aca="false">SUMPRODUCT((YEAR($B$17:$B$56)=2025)*G$17:G$56)</f>
        <v>106195.32</v>
      </c>
      <c r="H63" s="100"/>
    </row>
    <row r="65" customFormat="false" ht="13.5" hidden="false" customHeight="true" outlineLevel="0" collapsed="false">
      <c r="A65" s="85" t="s">
        <v>490</v>
      </c>
    </row>
    <row r="66" customFormat="false" ht="34.5" hidden="false" customHeight="true" outlineLevel="0" collapsed="false">
      <c r="A66" s="101" t="s">
        <v>402</v>
      </c>
      <c r="B66" s="101" t="s">
        <v>312</v>
      </c>
      <c r="C66" s="101" t="s">
        <v>491</v>
      </c>
      <c r="D66" s="101" t="s">
        <v>492</v>
      </c>
      <c r="E66" s="101" t="s">
        <v>493</v>
      </c>
      <c r="F66" s="101" t="s">
        <v>494</v>
      </c>
      <c r="G66" s="101" t="s">
        <v>495</v>
      </c>
      <c r="H66" s="101" t="s">
        <v>496</v>
      </c>
    </row>
    <row r="67" customFormat="false" ht="13.5" hidden="false" customHeight="true" outlineLevel="0" collapsed="false">
      <c r="A67" s="98" t="s">
        <v>497</v>
      </c>
      <c r="B67" s="102" t="n">
        <v>44926</v>
      </c>
      <c r="C67" s="103" t="s">
        <v>498</v>
      </c>
      <c r="D67" s="99" t="n">
        <f aca="false">D60</f>
        <v>94455.62</v>
      </c>
      <c r="E67" s="99" t="n">
        <f aca="false">ROUND(D67/0.86*0.14,2)</f>
        <v>15376.5</v>
      </c>
      <c r="F67" s="99" t="n">
        <v>0</v>
      </c>
      <c r="G67" s="99" t="n">
        <f aca="false">E67-F67</f>
        <v>15376.5</v>
      </c>
      <c r="H67" s="103" t="s">
        <v>499</v>
      </c>
    </row>
    <row r="68" customFormat="false" ht="13.5" hidden="false" customHeight="true" outlineLevel="0" collapsed="false">
      <c r="A68" s="98" t="s">
        <v>500</v>
      </c>
      <c r="B68" s="102" t="n">
        <v>45291</v>
      </c>
      <c r="C68" s="103" t="s">
        <v>501</v>
      </c>
      <c r="D68" s="99" t="n">
        <f aca="false">D61</f>
        <v>368774.94</v>
      </c>
      <c r="E68" s="99" t="n">
        <f aca="false">ROUND(D68/0.86*0.14,2)</f>
        <v>60033.13</v>
      </c>
      <c r="F68" s="99" t="n">
        <v>40281.18</v>
      </c>
      <c r="G68" s="99" t="n">
        <f aca="false">E68-F68</f>
        <v>19751.95</v>
      </c>
      <c r="H68" s="103"/>
    </row>
    <row r="69" customFormat="false" ht="13.5" hidden="false" customHeight="true" outlineLevel="0" collapsed="false">
      <c r="A69" s="98" t="s">
        <v>502</v>
      </c>
      <c r="B69" s="102" t="n">
        <v>45657</v>
      </c>
      <c r="C69" s="103" t="s">
        <v>503</v>
      </c>
      <c r="D69" s="99" t="n">
        <f aca="false">D62</f>
        <v>363640.82</v>
      </c>
      <c r="E69" s="99" t="n">
        <f aca="false">ROUND(D69/0.86*0.14,2)</f>
        <v>59197.34</v>
      </c>
      <c r="F69" s="99" t="n">
        <v>34387.29</v>
      </c>
      <c r="G69" s="99" t="n">
        <f aca="false">E69-F69</f>
        <v>24810.05</v>
      </c>
      <c r="H69" s="103"/>
    </row>
    <row r="70" customFormat="false" ht="23.25" hidden="false" customHeight="true" outlineLevel="0" collapsed="false">
      <c r="A70" s="98" t="s">
        <v>504</v>
      </c>
      <c r="B70" s="102" t="n">
        <v>46022</v>
      </c>
      <c r="C70" s="103" t="s">
        <v>505</v>
      </c>
      <c r="D70" s="99" t="n">
        <f aca="false">D63</f>
        <v>296421.91</v>
      </c>
      <c r="E70" s="99" t="n">
        <f aca="false">ROUND(D70/0.86*0.14,2)</f>
        <v>48254.73</v>
      </c>
      <c r="F70" s="99" t="n">
        <v>0</v>
      </c>
      <c r="G70" s="99" t="n">
        <f aca="false">E70-F70</f>
        <v>48254.73</v>
      </c>
      <c r="H70" s="103" t="s">
        <v>506</v>
      </c>
    </row>
    <row r="71" customFormat="false" ht="13.5" hidden="false" customHeight="true" outlineLevel="0" collapsed="false">
      <c r="C71" s="104" t="s">
        <v>8</v>
      </c>
      <c r="D71" s="105" t="n">
        <f aca="false">SUM(D67:D70)</f>
        <v>1123293.29</v>
      </c>
      <c r="E71" s="105" t="n">
        <f aca="false">SUM(E67:E70)</f>
        <v>182861.7</v>
      </c>
      <c r="F71" s="105" t="n">
        <f aca="false">SUM(F67:F70)</f>
        <v>74668.47</v>
      </c>
      <c r="G71" s="105" t="n">
        <f aca="false">SUM(G67:G70)</f>
        <v>108193.23</v>
      </c>
      <c r="H71" s="104"/>
    </row>
    <row r="73" customFormat="false" ht="30" hidden="false" customHeight="true" outlineLevel="0" collapsed="false">
      <c r="A73" s="106" t="s">
        <v>507</v>
      </c>
      <c r="B73" s="106"/>
      <c r="C73" s="106"/>
      <c r="D73" s="106"/>
      <c r="E73" s="106"/>
      <c r="F73" s="106"/>
      <c r="G73" s="106"/>
      <c r="H73" s="106"/>
    </row>
  </sheetData>
  <mergeCells count="1">
    <mergeCell ref="A73:H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6"/>
  </cols>
  <sheetData>
    <row r="1" customFormat="false" ht="18" hidden="false" customHeight="true" outlineLevel="0" collapsed="false">
      <c r="A1" s="1" t="s">
        <v>508</v>
      </c>
    </row>
    <row r="2" customFormat="false" ht="15" hidden="false" customHeight="false" outlineLevel="0" collapsed="false">
      <c r="A2" s="2" t="s">
        <v>509</v>
      </c>
    </row>
    <row r="4" customFormat="false" ht="24" hidden="false" customHeight="true" outlineLevel="0" collapsed="false">
      <c r="A4" s="8" t="s">
        <v>5</v>
      </c>
      <c r="B4" s="8" t="s">
        <v>46</v>
      </c>
      <c r="C4" s="8" t="s">
        <v>47</v>
      </c>
      <c r="D4" s="8" t="s">
        <v>48</v>
      </c>
      <c r="E4" s="8" t="s">
        <v>49</v>
      </c>
      <c r="F4" s="8" t="s">
        <v>510</v>
      </c>
      <c r="G4" s="8" t="s">
        <v>511</v>
      </c>
      <c r="H4" s="8" t="s">
        <v>512</v>
      </c>
    </row>
    <row r="5" customFormat="false" ht="15" hidden="false" customHeight="false" outlineLevel="0" collapsed="false">
      <c r="A5" s="2" t="s">
        <v>51</v>
      </c>
      <c r="B5" s="20" t="n">
        <v>44813</v>
      </c>
      <c r="C5" s="20" t="n">
        <v>44927</v>
      </c>
      <c r="D5" s="20" t="n">
        <v>45292</v>
      </c>
      <c r="E5" s="20" t="n">
        <v>45658</v>
      </c>
      <c r="F5" s="20" t="n">
        <v>46023</v>
      </c>
      <c r="G5" s="20" t="n">
        <v>46204</v>
      </c>
      <c r="H5" s="32" t="n">
        <f aca="false">B5</f>
        <v>44813</v>
      </c>
    </row>
    <row r="6" customFormat="false" ht="15" hidden="false" customHeight="false" outlineLevel="0" collapsed="false">
      <c r="A6" s="2" t="s">
        <v>513</v>
      </c>
      <c r="B6" s="20" t="n">
        <v>44926</v>
      </c>
      <c r="C6" s="20" t="n">
        <v>45291</v>
      </c>
      <c r="D6" s="20" t="n">
        <v>45657</v>
      </c>
      <c r="E6" s="20" t="n">
        <v>46022</v>
      </c>
      <c r="F6" s="20" t="n">
        <v>46203</v>
      </c>
      <c r="G6" s="20" t="n">
        <v>46295</v>
      </c>
      <c r="H6" s="32" t="n">
        <f aca="false">G6</f>
        <v>46295</v>
      </c>
    </row>
    <row r="8" customFormat="false" ht="15" hidden="false" customHeight="false" outlineLevel="0" collapsed="false">
      <c r="A8" s="6" t="s">
        <v>6</v>
      </c>
      <c r="B8" s="7"/>
      <c r="C8" s="7"/>
      <c r="D8" s="7"/>
      <c r="E8" s="7"/>
      <c r="F8" s="7"/>
      <c r="G8" s="7"/>
      <c r="H8" s="7"/>
    </row>
    <row r="9" customFormat="false" ht="15" hidden="false" customHeight="false" outlineLevel="0" collapsed="false">
      <c r="A9" s="3" t="s">
        <v>514</v>
      </c>
    </row>
    <row r="10" customFormat="false" ht="15" hidden="false" customHeight="false" outlineLevel="0" collapsed="false">
      <c r="A10" s="9" t="s">
        <v>515</v>
      </c>
      <c r="B10" s="10" t="n">
        <f aca="false">SUMIFS(rAGMF_Monthly!$J$7:$J$85,rAGMF_Monthly!$A$7:$A$85,"&gt;="&amp;B$5,rAGMF_Monthly!$A$7:$A$85,"&lt;="&amp;B$6)</f>
        <v>47227.8068508287</v>
      </c>
      <c r="C10" s="10" t="n">
        <f aca="false">SUMIFS(rAGMF_Monthly!$J$7:$J$85,rAGMF_Monthly!$A$7:$A$85,"&gt;="&amp;C$5,rAGMF_Monthly!$A$7:$A$85,"&lt;="&amp;C$6)</f>
        <v>175649.545888897</v>
      </c>
      <c r="D10" s="10" t="n">
        <f aca="false">SUMIFS(rAGMF_Monthly!$J$7:$J$85,rAGMF_Monthly!$A$7:$A$85,"&gt;="&amp;D$5,rAGMF_Monthly!$A$7:$A$85,"&lt;="&amp;D$6)</f>
        <v>132481.373283517</v>
      </c>
      <c r="E10" s="10" t="n">
        <f aca="false">SUMIFS(rAGMF_Monthly!$J$7:$J$85,rAGMF_Monthly!$A$7:$A$85,"&gt;="&amp;E$5,rAGMF_Monthly!$A$7:$A$85,"&lt;="&amp;E$6)</f>
        <v>80492.4784197507</v>
      </c>
      <c r="F10" s="10" t="n">
        <f aca="false">SUMIFS(rAGMF_Monthly!$J$7:$J$85,rAGMF_Monthly!$A$7:$A$85,"&gt;="&amp;F$5,rAGMF_Monthly!$A$7:$A$85,"&lt;="&amp;F$6)</f>
        <v>38299.2174945206</v>
      </c>
      <c r="G10" s="10" t="n">
        <f aca="false">SUMIFS(rAGMF_Monthly!$J$7:$J$85,rAGMF_Monthly!$A$7:$A$85,"&gt;="&amp;G$5,rAGMF_Monthly!$A$7:$A$85,"&lt;="&amp;G$6)</f>
        <v>19234.1847945206</v>
      </c>
      <c r="H10" s="10" t="n">
        <f aca="false">SUMIFS(rAGMF_Monthly!$J$7:$J$85,rAGMF_Monthly!$A$7:$A$85,"&gt;="&amp;H$5,rAGMF_Monthly!$A$7:$A$85,"&lt;="&amp;H$6)</f>
        <v>493384.606732035</v>
      </c>
    </row>
    <row r="11" customFormat="false" ht="15" hidden="false" customHeight="false" outlineLevel="0" collapsed="false">
      <c r="A11" s="9" t="s">
        <v>516</v>
      </c>
      <c r="B11" s="10" t="n">
        <f aca="false">SUMIFS(rAGMF_Monthly!$K$7:$K$85,rAGMF_Monthly!$A$7:$A$85,"&gt;="&amp;B$5,rAGMF_Monthly!$A$7:$A$85,"&lt;="&amp;B$6)</f>
        <v>0</v>
      </c>
      <c r="C11" s="10" t="n">
        <f aca="false">SUMIFS(rAGMF_Monthly!$K$7:$K$85,rAGMF_Monthly!$A$7:$A$85,"&gt;="&amp;C$5,rAGMF_Monthly!$A$7:$A$85,"&lt;="&amp;C$6)</f>
        <v>9123.28767123288</v>
      </c>
      <c r="D11" s="10" t="n">
        <f aca="false">SUMIFS(rAGMF_Monthly!$K$7:$K$85,rAGMF_Monthly!$A$7:$A$85,"&gt;="&amp;D$5,rAGMF_Monthly!$A$7:$A$85,"&lt;="&amp;D$6)</f>
        <v>22224.8147316416</v>
      </c>
      <c r="E11" s="10" t="n">
        <f aca="false">SUMIFS(rAGMF_Monthly!$K$7:$K$85,rAGMF_Monthly!$A$7:$A$85,"&gt;="&amp;E$5,rAGMF_Monthly!$A$7:$A$85,"&lt;="&amp;E$6)</f>
        <v>14699.8899618235</v>
      </c>
      <c r="F11" s="10" t="n">
        <f aca="false">SUMIFS(rAGMF_Monthly!$K$7:$K$85,rAGMF_Monthly!$A$7:$A$85,"&gt;="&amp;F$5,rAGMF_Monthly!$A$7:$A$85,"&lt;="&amp;F$6)</f>
        <v>7289.58904109589</v>
      </c>
      <c r="G11" s="10" t="n">
        <f aca="false">SUMIFS(rAGMF_Monthly!$K$7:$K$85,rAGMF_Monthly!$A$7:$A$85,"&gt;="&amp;G$5,rAGMF_Monthly!$A$7:$A$85,"&lt;="&amp;G$6)</f>
        <v>3705.20547945205</v>
      </c>
      <c r="H11" s="10" t="n">
        <f aca="false">SUMIFS(rAGMF_Monthly!$K$7:$K$85,rAGMF_Monthly!$A$7:$A$85,"&gt;="&amp;H$5,rAGMF_Monthly!$A$7:$A$85,"&lt;="&amp;H$6)</f>
        <v>57042.7868852459</v>
      </c>
    </row>
    <row r="12" customFormat="false" ht="15" hidden="false" customHeight="false" outlineLevel="0" collapsed="false">
      <c r="A12" s="9" t="s">
        <v>517</v>
      </c>
      <c r="B12" s="107" t="n">
        <f aca="false">SUMIFS(rAGMF_Monthly!$L$7:$L$85,rAGMF_Monthly!$A$7:$A$85,"&gt;="&amp;B$5,rAGMF_Monthly!$A$7:$A$85,"&lt;="&amp;B$6)</f>
        <v>47227.8068508287</v>
      </c>
      <c r="C12" s="107" t="n">
        <f aca="false">SUMIFS(rAGMF_Monthly!$L$7:$L$85,rAGMF_Monthly!$A$7:$A$85,"&gt;="&amp;C$5,rAGMF_Monthly!$A$7:$A$85,"&lt;="&amp;C$6)</f>
        <v>184772.83356013</v>
      </c>
      <c r="D12" s="107" t="n">
        <f aca="false">SUMIFS(rAGMF_Monthly!$L$7:$L$85,rAGMF_Monthly!$A$7:$A$85,"&gt;="&amp;D$5,rAGMF_Monthly!$A$7:$A$85,"&lt;="&amp;D$6)</f>
        <v>154706.188015158</v>
      </c>
      <c r="E12" s="107" t="n">
        <f aca="false">SUMIFS(rAGMF_Monthly!$L$7:$L$85,rAGMF_Monthly!$A$7:$A$85,"&gt;="&amp;E$5,rAGMF_Monthly!$A$7:$A$85,"&lt;="&amp;E$6)</f>
        <v>95192.3683815742</v>
      </c>
      <c r="F12" s="107" t="n">
        <f aca="false">SUMIFS(rAGMF_Monthly!$L$7:$L$85,rAGMF_Monthly!$A$7:$A$85,"&gt;="&amp;F$5,rAGMF_Monthly!$A$7:$A$85,"&lt;="&amp;F$6)</f>
        <v>45588.8065356164</v>
      </c>
      <c r="G12" s="107" t="n">
        <f aca="false">SUMIFS(rAGMF_Monthly!$L$7:$L$85,rAGMF_Monthly!$A$7:$A$85,"&gt;="&amp;G$5,rAGMF_Monthly!$A$7:$A$85,"&lt;="&amp;G$6)</f>
        <v>22939.3902739726</v>
      </c>
      <c r="H12" s="107" t="n">
        <f aca="false">SUMIFS(rAGMF_Monthly!$L$7:$L$85,rAGMF_Monthly!$A$7:$A$85,"&gt;="&amp;H$5,rAGMF_Monthly!$A$7:$A$85,"&lt;="&amp;H$6)</f>
        <v>550427.393617281</v>
      </c>
    </row>
    <row r="13" customFormat="false" ht="15" hidden="false" customHeight="false" outlineLevel="0" collapsed="false">
      <c r="A13" s="3" t="s">
        <v>518</v>
      </c>
    </row>
    <row r="14" customFormat="false" ht="15" hidden="false" customHeight="false" outlineLevel="0" collapsed="false">
      <c r="A14" s="9" t="s">
        <v>519</v>
      </c>
      <c r="B14" s="10" t="n">
        <f aca="false">SUMIFS(rAGMF_Monthly!$N$7:$N$85,rAGMF_Monthly!$A$7:$A$85,"&gt;="&amp;B$5,rAGMF_Monthly!$A$7:$A$85,"&lt;="&amp;B$6)</f>
        <v>0</v>
      </c>
      <c r="C14" s="10" t="n">
        <f aca="false">SUMIFS(rAGMF_Monthly!$N$7:$N$85,rAGMF_Monthly!$A$7:$A$85,"&gt;="&amp;C$5,rAGMF_Monthly!$A$7:$A$85,"&lt;="&amp;C$6)</f>
        <v>75648.08</v>
      </c>
      <c r="D14" s="10" t="n">
        <f aca="false">SUMIFS(rAGMF_Monthly!$N$7:$N$85,rAGMF_Monthly!$A$7:$A$85,"&gt;="&amp;D$5,rAGMF_Monthly!$A$7:$A$85,"&lt;="&amp;D$6)</f>
        <v>0</v>
      </c>
      <c r="E14" s="10" t="n">
        <f aca="false">SUMIFS(rAGMF_Monthly!$N$7:$N$85,rAGMF_Monthly!$A$7:$A$85,"&gt;="&amp;E$5,rAGMF_Monthly!$A$7:$A$85,"&lt;="&amp;E$6)</f>
        <v>0</v>
      </c>
      <c r="F14" s="10" t="n">
        <f aca="false">SUMIFS(rAGMF_Monthly!$N$7:$N$85,rAGMF_Monthly!$A$7:$A$85,"&gt;="&amp;F$5,rAGMF_Monthly!$A$7:$A$85,"&lt;="&amp;F$6)</f>
        <v>0</v>
      </c>
      <c r="G14" s="10" t="n">
        <f aca="false">SUMIFS(rAGMF_Monthly!$N$7:$N$85,rAGMF_Monthly!$A$7:$A$85,"&gt;="&amp;G$5,rAGMF_Monthly!$A$7:$A$85,"&lt;="&amp;G$6)</f>
        <v>0</v>
      </c>
      <c r="H14" s="10" t="n">
        <f aca="false">SUMIFS(rAGMF_Monthly!$N$7:$N$85,rAGMF_Monthly!$A$7:$A$85,"&gt;="&amp;H$5,rAGMF_Monthly!$A$7:$A$85,"&lt;="&amp;H$6)</f>
        <v>75648.08</v>
      </c>
    </row>
    <row r="15" customFormat="false" ht="15" hidden="false" customHeight="false" outlineLevel="0" collapsed="false">
      <c r="A15" s="9" t="s">
        <v>520</v>
      </c>
      <c r="B15" s="10" t="n">
        <f aca="false">SUMIFS(rAGMF_Monthly!$O$7:$O$85,rAGMF_Monthly!$A$7:$A$85,"&gt;="&amp;B$5,rAGMF_Monthly!$A$7:$A$85,"&lt;="&amp;B$6)</f>
        <v>0</v>
      </c>
      <c r="C15" s="10" t="n">
        <f aca="false">SUMIFS(rAGMF_Monthly!$O$7:$O$85,rAGMF_Monthly!$A$7:$A$85,"&gt;="&amp;C$5,rAGMF_Monthly!$A$7:$A$85,"&lt;="&amp;C$6)</f>
        <v>0</v>
      </c>
      <c r="D15" s="10" t="n">
        <f aca="false">SUMIFS(rAGMF_Monthly!$O$7:$O$85,rAGMF_Monthly!$A$7:$A$85,"&gt;="&amp;D$5,rAGMF_Monthly!$A$7:$A$85,"&lt;="&amp;D$6)</f>
        <v>100477.79</v>
      </c>
      <c r="E15" s="10" t="n">
        <f aca="false">SUMIFS(rAGMF_Monthly!$O$7:$O$85,rAGMF_Monthly!$A$7:$A$85,"&gt;="&amp;E$5,rAGMF_Monthly!$A$7:$A$85,"&lt;="&amp;E$6)</f>
        <v>0</v>
      </c>
      <c r="F15" s="10" t="n">
        <f aca="false">SUMIFS(rAGMF_Monthly!$O$7:$O$85,rAGMF_Monthly!$A$7:$A$85,"&gt;="&amp;F$5,rAGMF_Monthly!$A$7:$A$85,"&lt;="&amp;F$6)</f>
        <v>0</v>
      </c>
      <c r="G15" s="10" t="n">
        <f aca="false">SUMIFS(rAGMF_Monthly!$O$7:$O$85,rAGMF_Monthly!$A$7:$A$85,"&gt;="&amp;G$5,rAGMF_Monthly!$A$7:$A$85,"&lt;="&amp;G$6)</f>
        <v>0</v>
      </c>
      <c r="H15" s="10" t="n">
        <f aca="false">SUMIFS(rAGMF_Monthly!$O$7:$O$85,rAGMF_Monthly!$A$7:$A$85,"&gt;="&amp;H$5,rAGMF_Monthly!$A$7:$A$85,"&lt;="&amp;H$6)</f>
        <v>100477.79</v>
      </c>
    </row>
    <row r="16" customFormat="false" ht="15" hidden="false" customHeight="false" outlineLevel="0" collapsed="false">
      <c r="A16" s="9" t="s">
        <v>521</v>
      </c>
      <c r="B16" s="10" t="n">
        <f aca="false">SUMIFS(rAGMF_Monthly!$R$7:$R$85,rAGMF_Monthly!$A$7:$A$85,"&gt;="&amp;B$5,rAGMF_Monthly!$A$7:$A$85,"&lt;="&amp;B$6)</f>
        <v>0</v>
      </c>
      <c r="C16" s="10" t="n">
        <f aca="false">SUMIFS(rAGMF_Monthly!$R$7:$R$85,rAGMF_Monthly!$A$7:$A$85,"&gt;="&amp;C$5,rAGMF_Monthly!$A$7:$A$85,"&lt;="&amp;C$6)</f>
        <v>0</v>
      </c>
      <c r="D16" s="10" t="n">
        <f aca="false">SUMIFS(rAGMF_Monthly!$R$7:$R$85,rAGMF_Monthly!$A$7:$A$85,"&gt;="&amp;D$5,rAGMF_Monthly!$A$7:$A$85,"&lt;="&amp;D$6)</f>
        <v>8687.9</v>
      </c>
      <c r="E16" s="10" t="n">
        <f aca="false">SUMIFS(rAGMF_Monthly!$R$7:$R$85,rAGMF_Monthly!$A$7:$A$85,"&gt;="&amp;E$5,rAGMF_Monthly!$A$7:$A$85,"&lt;="&amp;E$6)</f>
        <v>0</v>
      </c>
      <c r="F16" s="10" t="n">
        <f aca="false">SUMIFS(rAGMF_Monthly!$R$7:$R$85,rAGMF_Monthly!$A$7:$A$85,"&gt;="&amp;F$5,rAGMF_Monthly!$A$7:$A$85,"&lt;="&amp;F$6)</f>
        <v>0</v>
      </c>
      <c r="G16" s="10" t="n">
        <f aca="false">SUMIFS(rAGMF_Monthly!$R$7:$R$85,rAGMF_Monthly!$A$7:$A$85,"&gt;="&amp;G$5,rAGMF_Monthly!$A$7:$A$85,"&lt;="&amp;G$6)</f>
        <v>0</v>
      </c>
      <c r="H16" s="10" t="n">
        <f aca="false">SUMIFS(rAGMF_Monthly!$R$7:$R$85,rAGMF_Monthly!$A$7:$A$85,"&gt;="&amp;H$5,rAGMF_Monthly!$A$7:$A$85,"&lt;="&amp;H$6)</f>
        <v>8687.9</v>
      </c>
    </row>
    <row r="17" customFormat="false" ht="15" hidden="false" customHeight="false" outlineLevel="0" collapsed="false">
      <c r="A17" s="9" t="s">
        <v>522</v>
      </c>
      <c r="B17" s="12" t="n">
        <f aca="false">B14+B15+B16</f>
        <v>0</v>
      </c>
      <c r="C17" s="12" t="n">
        <f aca="false">C14+C15+C16</f>
        <v>75648.08</v>
      </c>
      <c r="D17" s="12" t="n">
        <f aca="false">D14+D15+D16</f>
        <v>109165.69</v>
      </c>
      <c r="E17" s="12" t="n">
        <f aca="false">E14+E15+E16</f>
        <v>0</v>
      </c>
      <c r="F17" s="12" t="n">
        <f aca="false">F14+F15+F16</f>
        <v>0</v>
      </c>
      <c r="G17" s="12" t="n">
        <f aca="false">G14+G15+G16</f>
        <v>0</v>
      </c>
      <c r="H17" s="12" t="n">
        <f aca="false">H14+H15+H16</f>
        <v>184813.77</v>
      </c>
    </row>
    <row r="18" customFormat="false" ht="15" hidden="false" customHeight="false" outlineLevel="0" collapsed="false">
      <c r="A18" s="3" t="s">
        <v>523</v>
      </c>
    </row>
    <row r="19" customFormat="false" ht="15" hidden="false" customHeight="false" outlineLevel="0" collapsed="false">
      <c r="A19" s="9" t="s">
        <v>524</v>
      </c>
      <c r="B19" s="10" t="n">
        <f aca="false">INDEX(rAGMF_Monthly!$G$7:$G$85,MATCH(B$6,rAGMF_Monthly!$A$7:$A$85,0))</f>
        <v>1500000</v>
      </c>
      <c r="C19" s="10" t="n">
        <f aca="false">INDEX(rAGMF_Monthly!$G$7:$G$85,MATCH(C$6,rAGMF_Monthly!$A$7:$A$85,0))</f>
        <v>1500000</v>
      </c>
      <c r="D19" s="10" t="n">
        <f aca="false">INDEX(rAGMF_Monthly!$G$7:$G$85,MATCH(D$6,rAGMF_Monthly!$A$7:$A$85,0))</f>
        <v>735000</v>
      </c>
      <c r="E19" s="10" t="n">
        <f aca="false">INDEX(rAGMF_Monthly!$G$7:$G$85,MATCH(E$6,rAGMF_Monthly!$A$7:$A$85,0))</f>
        <v>735000</v>
      </c>
      <c r="F19" s="10" t="n">
        <f aca="false">INDEX(rAGMF_Monthly!$G$7:$G$85,MATCH(F$6,rAGMF_Monthly!$A$7:$A$85,0))</f>
        <v>735000</v>
      </c>
      <c r="G19" s="10" t="n">
        <f aca="false">INDEX(rAGMF_Monthly!$G$7:$G$85,MATCH(G$6,rAGMF_Monthly!$A$7:$A$85,0))</f>
        <v>735000</v>
      </c>
      <c r="H19" s="10" t="n">
        <f aca="false">INDEX(rAGMF_Monthly!$G$7:$G$85,MATCH(H$6,rAGMF_Monthly!$A$7:$A$85,0))</f>
        <v>735000</v>
      </c>
    </row>
    <row r="20" customFormat="false" ht="15" hidden="false" customHeight="false" outlineLevel="0" collapsed="false">
      <c r="A20" s="9" t="s">
        <v>525</v>
      </c>
      <c r="B20" s="10" t="n">
        <f aca="false">INDEX(rAGMF_Monthly!$P$7:$P$85,MATCH(B$6,rAGMF_Monthly!$A$7:$A$85,0))</f>
        <v>47227.8068508287</v>
      </c>
      <c r="C20" s="10" t="n">
        <f aca="false">INDEX(rAGMF_Monthly!$P$7:$P$85,MATCH(C$6,rAGMF_Monthly!$A$7:$A$85,0))</f>
        <v>147229.272739726</v>
      </c>
      <c r="D20" s="10" t="n">
        <f aca="false">INDEX(rAGMF_Monthly!$P$7:$P$85,MATCH(D$6,rAGMF_Monthly!$A$7:$A$85,0))</f>
        <v>179232.856023243</v>
      </c>
      <c r="E20" s="10" t="n">
        <f aca="false">INDEX(rAGMF_Monthly!$P$7:$P$85,MATCH(E$6,rAGMF_Monthly!$A$7:$A$85,0))</f>
        <v>259725.334442994</v>
      </c>
      <c r="F20" s="10" t="n">
        <f aca="false">INDEX(rAGMF_Monthly!$P$7:$P$85,MATCH(F$6,rAGMF_Monthly!$A$7:$A$85,0))</f>
        <v>298024.551937514</v>
      </c>
      <c r="G20" s="10" t="n">
        <f aca="false">INDEX(rAGMF_Monthly!$P$7:$P$85,MATCH(G$6,rAGMF_Monthly!$A$7:$A$85,0))</f>
        <v>317258.736732035</v>
      </c>
      <c r="H20" s="10" t="n">
        <f aca="false">INDEX(rAGMF_Monthly!$P$7:$P$85,MATCH(H$6,rAGMF_Monthly!$A$7:$A$85,0))</f>
        <v>317258.736732035</v>
      </c>
    </row>
    <row r="21" customFormat="false" ht="15" hidden="false" customHeight="false" outlineLevel="0" collapsed="false">
      <c r="A21" s="9" t="s">
        <v>526</v>
      </c>
      <c r="B21" s="10" t="n">
        <f aca="false">INDEX(rAGMF_Monthly!$S$7:$S$85,MATCH(B$6,rAGMF_Monthly!$A$7:$A$85,0))</f>
        <v>0</v>
      </c>
      <c r="C21" s="10" t="n">
        <f aca="false">INDEX(rAGMF_Monthly!$S$7:$S$85,MATCH(C$6,rAGMF_Monthly!$A$7:$A$85,0))</f>
        <v>9123.28767123288</v>
      </c>
      <c r="D21" s="10" t="n">
        <f aca="false">INDEX(rAGMF_Monthly!$S$7:$S$85,MATCH(D$6,rAGMF_Monthly!$A$7:$A$85,0))</f>
        <v>22660.2024028745</v>
      </c>
      <c r="E21" s="10" t="n">
        <f aca="false">INDEX(rAGMF_Monthly!$S$7:$S$85,MATCH(E$6,rAGMF_Monthly!$A$7:$A$85,0))</f>
        <v>37360.092364698</v>
      </c>
      <c r="F21" s="10" t="n">
        <f aca="false">INDEX(rAGMF_Monthly!$S$7:$S$85,MATCH(F$6,rAGMF_Monthly!$A$7:$A$85,0))</f>
        <v>44649.6814057938</v>
      </c>
      <c r="G21" s="10" t="n">
        <f aca="false">INDEX(rAGMF_Monthly!$S$7:$S$85,MATCH(G$6,rAGMF_Monthly!$A$7:$A$85,0))</f>
        <v>48354.8868852459</v>
      </c>
      <c r="H21" s="10" t="n">
        <f aca="false">INDEX(rAGMF_Monthly!$S$7:$S$85,MATCH(H$6,rAGMF_Monthly!$A$7:$A$85,0))</f>
        <v>48354.8868852459</v>
      </c>
    </row>
    <row r="22" customFormat="false" ht="15" hidden="false" customHeight="false" outlineLevel="0" collapsed="false">
      <c r="A22" s="9" t="s">
        <v>527</v>
      </c>
      <c r="B22" s="107" t="n">
        <f aca="false">INDEX(rAGMF_Monthly!$T$7:$T$85,MATCH(B$6,rAGMF_Monthly!$A$7:$A$85,0))</f>
        <v>47227.8068508287</v>
      </c>
      <c r="C22" s="107" t="n">
        <f aca="false">INDEX(rAGMF_Monthly!$T$7:$T$85,MATCH(C$6,rAGMF_Monthly!$A$7:$A$85,0))</f>
        <v>156352.560410959</v>
      </c>
      <c r="D22" s="107" t="n">
        <f aca="false">INDEX(rAGMF_Monthly!$T$7:$T$85,MATCH(D$6,rAGMF_Monthly!$A$7:$A$85,0))</f>
        <v>201893.058426117</v>
      </c>
      <c r="E22" s="107" t="n">
        <f aca="false">INDEX(rAGMF_Monthly!$T$7:$T$85,MATCH(E$6,rAGMF_Monthly!$A$7:$A$85,0))</f>
        <v>297085.426807691</v>
      </c>
      <c r="F22" s="107" t="n">
        <f aca="false">INDEX(rAGMF_Monthly!$T$7:$T$85,MATCH(F$6,rAGMF_Monthly!$A$7:$A$85,0))</f>
        <v>342674.233343308</v>
      </c>
      <c r="G22" s="107" t="n">
        <f aca="false">INDEX(rAGMF_Monthly!$T$7:$T$85,MATCH(G$6,rAGMF_Monthly!$A$7:$A$85,0))</f>
        <v>365613.62361728</v>
      </c>
      <c r="H22" s="107" t="n">
        <f aca="false">INDEX(rAGMF_Monthly!$T$7:$T$85,MATCH(H$6,rAGMF_Monthly!$A$7:$A$85,0))</f>
        <v>365613.62361728</v>
      </c>
    </row>
    <row r="23" customFormat="false" ht="15" hidden="false" customHeight="false" outlineLevel="0" collapsed="false">
      <c r="A23" s="9" t="s">
        <v>528</v>
      </c>
      <c r="B23" s="19" t="n">
        <f aca="false">INDEX(rAGMF_Monthly!$U$7:$U$85,MATCH(B$6,rAGMF_Monthly!$A$7:$A$85,0))</f>
        <v>1547227.80685083</v>
      </c>
      <c r="C23" s="19" t="n">
        <f aca="false">INDEX(rAGMF_Monthly!$U$7:$U$85,MATCH(C$6,rAGMF_Monthly!$A$7:$A$85,0))</f>
        <v>1656352.56041096</v>
      </c>
      <c r="D23" s="19" t="n">
        <f aca="false">INDEX(rAGMF_Monthly!$U$7:$U$85,MATCH(D$6,rAGMF_Monthly!$A$7:$A$85,0))</f>
        <v>936893.058426117</v>
      </c>
      <c r="E23" s="19" t="n">
        <f aca="false">INDEX(rAGMF_Monthly!$U$7:$U$85,MATCH(E$6,rAGMF_Monthly!$A$7:$A$85,0))</f>
        <v>1032085.42680769</v>
      </c>
      <c r="F23" s="19" t="n">
        <f aca="false">INDEX(rAGMF_Monthly!$U$7:$U$85,MATCH(F$6,rAGMF_Monthly!$A$7:$A$85,0))</f>
        <v>1077674.23334331</v>
      </c>
      <c r="G23" s="19" t="n">
        <f aca="false">INDEX(rAGMF_Monthly!$U$7:$U$85,MATCH(G$6,rAGMF_Monthly!$A$7:$A$85,0))</f>
        <v>1100613.62361728</v>
      </c>
      <c r="H23" s="19" t="n">
        <f aca="false">INDEX(rAGMF_Monthly!$U$7:$U$85,MATCH(H$6,rAGMF_Monthly!$A$7:$A$85,0))</f>
        <v>1100613.62361728</v>
      </c>
    </row>
    <row r="25" customFormat="false" ht="15" hidden="false" customHeight="false" outlineLevel="0" collapsed="false">
      <c r="A25" s="6" t="s">
        <v>7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0" collapsed="false">
      <c r="A26" s="3" t="s">
        <v>514</v>
      </c>
    </row>
    <row r="27" customFormat="false" ht="15" hidden="false" customHeight="false" outlineLevel="0" collapsed="false">
      <c r="A27" s="9" t="s">
        <v>515</v>
      </c>
      <c r="B27" s="10" t="n">
        <f aca="false">SUMIFS(FHL_Monthly!$J$7:$J$85,FHL_Monthly!$A$7:$A$85,"&gt;="&amp;B$5,FHL_Monthly!$A$7:$A$85,"&lt;="&amp;B$6)</f>
        <v>47227.8061497326</v>
      </c>
      <c r="C27" s="10" t="n">
        <f aca="false">SUMIFS(FHL_Monthly!$J$7:$J$85,FHL_Monthly!$A$7:$A$85,"&gt;="&amp;C$5,FHL_Monthly!$A$7:$A$85,"&lt;="&amp;C$6)</f>
        <v>175207.593987254</v>
      </c>
      <c r="D27" s="10" t="n">
        <f aca="false">SUMIFS(FHL_Monthly!$J$7:$J$85,FHL_Monthly!$A$7:$A$85,"&gt;="&amp;D$5,FHL_Monthly!$A$7:$A$85,"&lt;="&amp;D$6)</f>
        <v>132593.847141029</v>
      </c>
      <c r="E27" s="10" t="n">
        <f aca="false">SUMIFS(FHL_Monthly!$J$7:$J$85,FHL_Monthly!$A$7:$A$85,"&gt;="&amp;E$5,FHL_Monthly!$A$7:$A$85,"&lt;="&amp;E$6)</f>
        <v>80334.3324520323</v>
      </c>
      <c r="F27" s="10" t="n">
        <f aca="false">SUMIFS(FHL_Monthly!$J$7:$J$85,FHL_Monthly!$A$7:$A$85,"&gt;="&amp;F$5,FHL_Monthly!$A$7:$A$85,"&lt;="&amp;F$6)</f>
        <v>38209.367469863</v>
      </c>
      <c r="G27" s="10" t="n">
        <f aca="false">SUMIFS(FHL_Monthly!$J$7:$J$85,FHL_Monthly!$A$7:$A$85,"&gt;="&amp;G$5,FHL_Monthly!$A$7:$A$85,"&lt;="&amp;G$6)</f>
        <v>19249.5428712329</v>
      </c>
      <c r="H27" s="10" t="n">
        <f aca="false">SUMIFS(FHL_Monthly!$J$7:$J$85,FHL_Monthly!$A$7:$A$85,"&gt;="&amp;H$5,FHL_Monthly!$A$7:$A$85,"&lt;="&amp;H$6)</f>
        <v>492822.490071143</v>
      </c>
    </row>
    <row r="28" customFormat="false" ht="15" hidden="false" customHeight="false" outlineLevel="0" collapsed="false">
      <c r="A28" s="9" t="s">
        <v>516</v>
      </c>
      <c r="B28" s="10" t="n">
        <f aca="false">SUMIFS(FHL_Monthly!$K$7:$K$85,FHL_Monthly!$A$7:$A$85,"&gt;="&amp;B$5,FHL_Monthly!$A$7:$A$85,"&lt;="&amp;B$6)</f>
        <v>0</v>
      </c>
      <c r="C28" s="10" t="n">
        <f aca="false">SUMIFS(FHL_Monthly!$K$7:$K$85,FHL_Monthly!$A$7:$A$85,"&gt;="&amp;C$5,FHL_Monthly!$A$7:$A$85,"&lt;="&amp;C$6)</f>
        <v>8794.52054794521</v>
      </c>
      <c r="D28" s="10" t="n">
        <f aca="false">SUMIFS(FHL_Monthly!$K$7:$K$85,FHL_Monthly!$A$7:$A$85,"&gt;="&amp;D$5,FHL_Monthly!$A$7:$A$85,"&lt;="&amp;D$6)</f>
        <v>22224.8147316416</v>
      </c>
      <c r="E28" s="10" t="n">
        <f aca="false">SUMIFS(FHL_Monthly!$K$7:$K$85,FHL_Monthly!$A$7:$A$85,"&gt;="&amp;E$5,FHL_Monthly!$A$7:$A$85,"&lt;="&amp;E$6)</f>
        <v>14699.8899618235</v>
      </c>
      <c r="F28" s="10" t="n">
        <f aca="false">SUMIFS(FHL_Monthly!$K$7:$K$85,FHL_Monthly!$A$7:$A$85,"&gt;="&amp;F$5,FHL_Monthly!$A$7:$A$85,"&lt;="&amp;F$6)</f>
        <v>7289.58904109589</v>
      </c>
      <c r="G28" s="10" t="n">
        <f aca="false">SUMIFS(FHL_Monthly!$K$7:$K$85,FHL_Monthly!$A$7:$A$85,"&gt;="&amp;G$5,FHL_Monthly!$A$7:$A$85,"&lt;="&amp;G$6)</f>
        <v>3705.20547945205</v>
      </c>
      <c r="H28" s="10" t="n">
        <f aca="false">SUMIFS(FHL_Monthly!$K$7:$K$85,FHL_Monthly!$A$7:$A$85,"&gt;="&amp;H$5,FHL_Monthly!$A$7:$A$85,"&lt;="&amp;H$6)</f>
        <v>56714.0197619582</v>
      </c>
    </row>
    <row r="29" customFormat="false" ht="15" hidden="false" customHeight="false" outlineLevel="0" collapsed="false">
      <c r="A29" s="9" t="s">
        <v>517</v>
      </c>
      <c r="B29" s="107" t="n">
        <f aca="false">SUMIFS(FHL_Monthly!$L$7:$L$85,FHL_Monthly!$A$7:$A$85,"&gt;="&amp;B$5,FHL_Monthly!$A$7:$A$85,"&lt;="&amp;B$6)</f>
        <v>47227.8061497326</v>
      </c>
      <c r="C29" s="107" t="n">
        <f aca="false">SUMIFS(FHL_Monthly!$L$7:$L$85,FHL_Monthly!$A$7:$A$85,"&gt;="&amp;C$5,FHL_Monthly!$A$7:$A$85,"&lt;="&amp;C$6)</f>
        <v>184002.114535199</v>
      </c>
      <c r="D29" s="107" t="n">
        <f aca="false">SUMIFS(FHL_Monthly!$L$7:$L$85,FHL_Monthly!$A$7:$A$85,"&gt;="&amp;D$5,FHL_Monthly!$A$7:$A$85,"&lt;="&amp;D$6)</f>
        <v>154818.66187267</v>
      </c>
      <c r="E29" s="107" t="n">
        <f aca="false">SUMIFS(FHL_Monthly!$L$7:$L$85,FHL_Monthly!$A$7:$A$85,"&gt;="&amp;E$5,FHL_Monthly!$A$7:$A$85,"&lt;="&amp;E$6)</f>
        <v>95034.2224138558</v>
      </c>
      <c r="F29" s="107" t="n">
        <f aca="false">SUMIFS(FHL_Monthly!$L$7:$L$85,FHL_Monthly!$A$7:$A$85,"&gt;="&amp;F$5,FHL_Monthly!$A$7:$A$85,"&lt;="&amp;F$6)</f>
        <v>45498.9565109589</v>
      </c>
      <c r="G29" s="107" t="n">
        <f aca="false">SUMIFS(FHL_Monthly!$L$7:$L$85,FHL_Monthly!$A$7:$A$85,"&gt;="&amp;G$5,FHL_Monthly!$A$7:$A$85,"&lt;="&amp;G$6)</f>
        <v>22954.7483506849</v>
      </c>
      <c r="H29" s="107" t="n">
        <f aca="false">SUMIFS(FHL_Monthly!$L$7:$L$85,FHL_Monthly!$A$7:$A$85,"&gt;="&amp;H$5,FHL_Monthly!$A$7:$A$85,"&lt;="&amp;H$6)</f>
        <v>549536.509833101</v>
      </c>
    </row>
    <row r="30" customFormat="false" ht="15" hidden="false" customHeight="false" outlineLevel="0" collapsed="false">
      <c r="A30" s="3" t="s">
        <v>518</v>
      </c>
    </row>
    <row r="31" customFormat="false" ht="15" hidden="false" customHeight="false" outlineLevel="0" collapsed="false">
      <c r="A31" s="9" t="s">
        <v>519</v>
      </c>
      <c r="B31" s="10" t="n">
        <f aca="false">SUMIFS(FHL_Monthly!$N$7:$N$85,FHL_Monthly!$A$7:$A$85,"&gt;="&amp;B$5,FHL_Monthly!$A$7:$A$85,"&lt;="&amp;B$6)</f>
        <v>0</v>
      </c>
      <c r="C31" s="10" t="n">
        <f aca="false">SUMIFS(FHL_Monthly!$N$7:$N$85,FHL_Monthly!$A$7:$A$85,"&gt;="&amp;C$5,FHL_Monthly!$A$7:$A$85,"&lt;="&amp;C$6)</f>
        <v>78155.75</v>
      </c>
      <c r="D31" s="10" t="n">
        <f aca="false">SUMIFS(FHL_Monthly!$N$7:$N$85,FHL_Monthly!$A$7:$A$85,"&gt;="&amp;D$5,FHL_Monthly!$A$7:$A$85,"&lt;="&amp;D$6)</f>
        <v>0</v>
      </c>
      <c r="E31" s="10" t="n">
        <f aca="false">SUMIFS(FHL_Monthly!$N$7:$N$85,FHL_Monthly!$A$7:$A$85,"&gt;="&amp;E$5,FHL_Monthly!$A$7:$A$85,"&lt;="&amp;E$6)</f>
        <v>0</v>
      </c>
      <c r="F31" s="10" t="n">
        <f aca="false">SUMIFS(FHL_Monthly!$N$7:$N$85,FHL_Monthly!$A$7:$A$85,"&gt;="&amp;F$5,FHL_Monthly!$A$7:$A$85,"&lt;="&amp;F$6)</f>
        <v>0</v>
      </c>
      <c r="G31" s="10" t="n">
        <f aca="false">SUMIFS(FHL_Monthly!$N$7:$N$85,FHL_Monthly!$A$7:$A$85,"&gt;="&amp;G$5,FHL_Monthly!$A$7:$A$85,"&lt;="&amp;G$6)</f>
        <v>0</v>
      </c>
      <c r="H31" s="10" t="n">
        <f aca="false">SUMIFS(FHL_Monthly!$N$7:$N$85,FHL_Monthly!$A$7:$A$85,"&gt;="&amp;H$5,FHL_Monthly!$A$7:$A$85,"&lt;="&amp;H$6)</f>
        <v>78155.75</v>
      </c>
    </row>
    <row r="32" customFormat="false" ht="15" hidden="false" customHeight="false" outlineLevel="0" collapsed="false">
      <c r="A32" s="9" t="s">
        <v>520</v>
      </c>
      <c r="B32" s="10" t="n">
        <f aca="false">SUMIFS(FHL_Monthly!$O$7:$O$85,FHL_Monthly!$A$7:$A$85,"&gt;="&amp;B$5,FHL_Monthly!$A$7:$A$85,"&lt;="&amp;B$6)</f>
        <v>0</v>
      </c>
      <c r="C32" s="10" t="n">
        <f aca="false">SUMIFS(FHL_Monthly!$O$7:$O$85,FHL_Monthly!$A$7:$A$85,"&gt;="&amp;C$5,FHL_Monthly!$A$7:$A$85,"&lt;="&amp;C$6)</f>
        <v>0</v>
      </c>
      <c r="D32" s="10" t="n">
        <f aca="false">SUMIFS(FHL_Monthly!$O$7:$O$85,FHL_Monthly!$A$7:$A$85,"&gt;="&amp;D$5,FHL_Monthly!$A$7:$A$85,"&lt;="&amp;D$6)</f>
        <v>98034.5</v>
      </c>
      <c r="E32" s="10" t="n">
        <f aca="false">SUMIFS(FHL_Monthly!$O$7:$O$85,FHL_Monthly!$A$7:$A$85,"&gt;="&amp;E$5,FHL_Monthly!$A$7:$A$85,"&lt;="&amp;E$6)</f>
        <v>0</v>
      </c>
      <c r="F32" s="10" t="n">
        <f aca="false">SUMIFS(FHL_Monthly!$O$7:$O$85,FHL_Monthly!$A$7:$A$85,"&gt;="&amp;F$5,FHL_Monthly!$A$7:$A$85,"&lt;="&amp;F$6)</f>
        <v>0</v>
      </c>
      <c r="G32" s="10" t="n">
        <f aca="false">SUMIFS(FHL_Monthly!$O$7:$O$85,FHL_Monthly!$A$7:$A$85,"&gt;="&amp;G$5,FHL_Monthly!$A$7:$A$85,"&lt;="&amp;G$6)</f>
        <v>0</v>
      </c>
      <c r="H32" s="10" t="n">
        <f aca="false">SUMIFS(FHL_Monthly!$O$7:$O$85,FHL_Monthly!$A$7:$A$85,"&gt;="&amp;H$5,FHL_Monthly!$A$7:$A$85,"&lt;="&amp;H$6)</f>
        <v>98034.5</v>
      </c>
    </row>
    <row r="33" customFormat="false" ht="15" hidden="false" customHeight="false" outlineLevel="0" collapsed="false">
      <c r="A33" s="9" t="s">
        <v>521</v>
      </c>
      <c r="B33" s="10" t="n">
        <f aca="false">SUMIFS(FHL_Monthly!$R$7:$R$85,FHL_Monthly!$A$7:$A$85,"&gt;="&amp;B$5,FHL_Monthly!$A$7:$A$85,"&lt;="&amp;B$6)</f>
        <v>0</v>
      </c>
      <c r="C33" s="10" t="n">
        <f aca="false">SUMIFS(FHL_Monthly!$R$7:$R$85,FHL_Monthly!$A$7:$A$85,"&gt;="&amp;C$5,FHL_Monthly!$A$7:$A$85,"&lt;="&amp;C$6)</f>
        <v>0</v>
      </c>
      <c r="D33" s="10" t="n">
        <f aca="false">SUMIFS(FHL_Monthly!$R$7:$R$85,FHL_Monthly!$A$7:$A$85,"&gt;="&amp;D$5,FHL_Monthly!$A$7:$A$85,"&lt;="&amp;D$6)</f>
        <v>8476.64</v>
      </c>
      <c r="E33" s="10" t="n">
        <f aca="false">SUMIFS(FHL_Monthly!$R$7:$R$85,FHL_Monthly!$A$7:$A$85,"&gt;="&amp;E$5,FHL_Monthly!$A$7:$A$85,"&lt;="&amp;E$6)</f>
        <v>0</v>
      </c>
      <c r="F33" s="10" t="n">
        <f aca="false">SUMIFS(FHL_Monthly!$R$7:$R$85,FHL_Monthly!$A$7:$A$85,"&gt;="&amp;F$5,FHL_Monthly!$A$7:$A$85,"&lt;="&amp;F$6)</f>
        <v>0</v>
      </c>
      <c r="G33" s="10" t="n">
        <f aca="false">SUMIFS(FHL_Monthly!$R$7:$R$85,FHL_Monthly!$A$7:$A$85,"&gt;="&amp;G$5,FHL_Monthly!$A$7:$A$85,"&lt;="&amp;G$6)</f>
        <v>0</v>
      </c>
      <c r="H33" s="10" t="n">
        <f aca="false">SUMIFS(FHL_Monthly!$R$7:$R$85,FHL_Monthly!$A$7:$A$85,"&gt;="&amp;H$5,FHL_Monthly!$A$7:$A$85,"&lt;="&amp;H$6)</f>
        <v>8476.64</v>
      </c>
    </row>
    <row r="34" customFormat="false" ht="15" hidden="false" customHeight="false" outlineLevel="0" collapsed="false">
      <c r="A34" s="9" t="s">
        <v>522</v>
      </c>
      <c r="B34" s="12" t="n">
        <f aca="false">B31+B32+B33</f>
        <v>0</v>
      </c>
      <c r="C34" s="12" t="n">
        <f aca="false">C31+C32+C33</f>
        <v>78155.75</v>
      </c>
      <c r="D34" s="12" t="n">
        <f aca="false">D31+D32+D33</f>
        <v>106511.14</v>
      </c>
      <c r="E34" s="12" t="n">
        <f aca="false">E31+E32+E33</f>
        <v>0</v>
      </c>
      <c r="F34" s="12" t="n">
        <f aca="false">F31+F32+F33</f>
        <v>0</v>
      </c>
      <c r="G34" s="12" t="n">
        <f aca="false">G31+G32+G33</f>
        <v>0</v>
      </c>
      <c r="H34" s="12" t="n">
        <f aca="false">H31+H32+H33</f>
        <v>184666.89</v>
      </c>
    </row>
    <row r="35" customFormat="false" ht="15" hidden="false" customHeight="false" outlineLevel="0" collapsed="false">
      <c r="A35" s="3" t="s">
        <v>523</v>
      </c>
    </row>
    <row r="36" customFormat="false" ht="15" hidden="false" customHeight="false" outlineLevel="0" collapsed="false">
      <c r="A36" s="9" t="s">
        <v>524</v>
      </c>
      <c r="B36" s="10" t="n">
        <f aca="false">INDEX(FHL_Monthly!$G$7:$G$85,MATCH(B$6,FHL_Monthly!$A$7:$A$85,0))</f>
        <v>1500000</v>
      </c>
      <c r="C36" s="10" t="n">
        <f aca="false">INDEX(FHL_Monthly!$G$7:$G$85,MATCH(C$6,FHL_Monthly!$A$7:$A$85,0))</f>
        <v>1500000</v>
      </c>
      <c r="D36" s="10" t="n">
        <f aca="false">INDEX(FHL_Monthly!$G$7:$G$85,MATCH(D$6,FHL_Monthly!$A$7:$A$85,0))</f>
        <v>735000</v>
      </c>
      <c r="E36" s="10" t="n">
        <f aca="false">INDEX(FHL_Monthly!$G$7:$G$85,MATCH(E$6,FHL_Monthly!$A$7:$A$85,0))</f>
        <v>735000</v>
      </c>
      <c r="F36" s="10" t="n">
        <f aca="false">INDEX(FHL_Monthly!$G$7:$G$85,MATCH(F$6,FHL_Monthly!$A$7:$A$85,0))</f>
        <v>735000</v>
      </c>
      <c r="G36" s="10" t="n">
        <f aca="false">INDEX(FHL_Monthly!$G$7:$G$85,MATCH(G$6,FHL_Monthly!$A$7:$A$85,0))</f>
        <v>735000</v>
      </c>
      <c r="H36" s="10" t="n">
        <f aca="false">INDEX(FHL_Monthly!$G$7:$G$85,MATCH(H$6,FHL_Monthly!$A$7:$A$85,0))</f>
        <v>735000</v>
      </c>
    </row>
    <row r="37" customFormat="false" ht="15" hidden="false" customHeight="false" outlineLevel="0" collapsed="false">
      <c r="A37" s="9" t="s">
        <v>525</v>
      </c>
      <c r="B37" s="10" t="n">
        <f aca="false">INDEX(FHL_Monthly!$P$7:$P$85,MATCH(B$6,FHL_Monthly!$A$7:$A$85,0))</f>
        <v>47227.8061497326</v>
      </c>
      <c r="C37" s="10" t="n">
        <f aca="false">INDEX(FHL_Monthly!$P$7:$P$85,MATCH(C$6,FHL_Monthly!$A$7:$A$85,0))</f>
        <v>144279.650136986</v>
      </c>
      <c r="D37" s="10" t="n">
        <f aca="false">INDEX(FHL_Monthly!$P$7:$P$85,MATCH(D$6,FHL_Monthly!$A$7:$A$85,0))</f>
        <v>178838.997278015</v>
      </c>
      <c r="E37" s="10" t="n">
        <f aca="false">INDEX(FHL_Monthly!$P$7:$P$85,MATCH(E$6,FHL_Monthly!$A$7:$A$85,0))</f>
        <v>259173.329730047</v>
      </c>
      <c r="F37" s="10" t="n">
        <f aca="false">INDEX(FHL_Monthly!$P$7:$P$85,MATCH(F$6,FHL_Monthly!$A$7:$A$85,0))</f>
        <v>297382.69719991</v>
      </c>
      <c r="G37" s="10" t="n">
        <f aca="false">INDEX(FHL_Monthly!$P$7:$P$85,MATCH(G$6,FHL_Monthly!$A$7:$A$85,0))</f>
        <v>316632.240071143</v>
      </c>
      <c r="H37" s="10" t="n">
        <f aca="false">INDEX(FHL_Monthly!$P$7:$P$85,MATCH(H$6,FHL_Monthly!$A$7:$A$85,0))</f>
        <v>316632.240071143</v>
      </c>
    </row>
    <row r="38" customFormat="false" ht="15" hidden="false" customHeight="false" outlineLevel="0" collapsed="false">
      <c r="A38" s="9" t="s">
        <v>526</v>
      </c>
      <c r="B38" s="10" t="n">
        <f aca="false">INDEX(FHL_Monthly!$S$7:$S$85,MATCH(B$6,FHL_Monthly!$A$7:$A$85,0))</f>
        <v>0</v>
      </c>
      <c r="C38" s="10" t="n">
        <f aca="false">INDEX(FHL_Monthly!$S$7:$S$85,MATCH(C$6,FHL_Monthly!$A$7:$A$85,0))</f>
        <v>8794.52054794521</v>
      </c>
      <c r="D38" s="10" t="n">
        <f aca="false">INDEX(FHL_Monthly!$S$7:$S$85,MATCH(D$6,FHL_Monthly!$A$7:$A$85,0))</f>
        <v>22542.6952795868</v>
      </c>
      <c r="E38" s="10" t="n">
        <f aca="false">INDEX(FHL_Monthly!$S$7:$S$85,MATCH(E$6,FHL_Monthly!$A$7:$A$85,0))</f>
        <v>37242.5852414103</v>
      </c>
      <c r="F38" s="10" t="n">
        <f aca="false">INDEX(FHL_Monthly!$S$7:$S$85,MATCH(F$6,FHL_Monthly!$A$7:$A$85,0))</f>
        <v>44532.1742825062</v>
      </c>
      <c r="G38" s="10" t="n">
        <f aca="false">INDEX(FHL_Monthly!$S$7:$S$85,MATCH(G$6,FHL_Monthly!$A$7:$A$85,0))</f>
        <v>48237.3797619582</v>
      </c>
      <c r="H38" s="10" t="n">
        <f aca="false">INDEX(FHL_Monthly!$S$7:$S$85,MATCH(H$6,FHL_Monthly!$A$7:$A$85,0))</f>
        <v>48237.3797619582</v>
      </c>
    </row>
    <row r="39" customFormat="false" ht="15" hidden="false" customHeight="false" outlineLevel="0" collapsed="false">
      <c r="A39" s="9" t="s">
        <v>527</v>
      </c>
      <c r="B39" s="107" t="n">
        <f aca="false">INDEX(FHL_Monthly!$T$7:$T$85,MATCH(B$6,FHL_Monthly!$A$7:$A$85,0))</f>
        <v>47227.8061497326</v>
      </c>
      <c r="C39" s="107" t="n">
        <f aca="false">INDEX(FHL_Monthly!$T$7:$T$85,MATCH(C$6,FHL_Monthly!$A$7:$A$85,0))</f>
        <v>153074.170684932</v>
      </c>
      <c r="D39" s="107" t="n">
        <f aca="false">INDEX(FHL_Monthly!$T$7:$T$85,MATCH(D$6,FHL_Monthly!$A$7:$A$85,0))</f>
        <v>201381.692557602</v>
      </c>
      <c r="E39" s="107" t="n">
        <f aca="false">INDEX(FHL_Monthly!$T$7:$T$85,MATCH(E$6,FHL_Monthly!$A$7:$A$85,0))</f>
        <v>296415.914971458</v>
      </c>
      <c r="F39" s="107" t="n">
        <f aca="false">INDEX(FHL_Monthly!$T$7:$T$85,MATCH(F$6,FHL_Monthly!$A$7:$A$85,0))</f>
        <v>341914.871482416</v>
      </c>
      <c r="G39" s="107" t="n">
        <f aca="false">INDEX(FHL_Monthly!$T$7:$T$85,MATCH(G$6,FHL_Monthly!$A$7:$A$85,0))</f>
        <v>364869.619833101</v>
      </c>
      <c r="H39" s="107" t="n">
        <f aca="false">INDEX(FHL_Monthly!$T$7:$T$85,MATCH(H$6,FHL_Monthly!$A$7:$A$85,0))</f>
        <v>364869.619833101</v>
      </c>
    </row>
    <row r="40" customFormat="false" ht="15" hidden="false" customHeight="false" outlineLevel="0" collapsed="false">
      <c r="A40" s="9" t="s">
        <v>528</v>
      </c>
      <c r="B40" s="19" t="n">
        <f aca="false">INDEX(FHL_Monthly!$U$7:$U$85,MATCH(B$6,FHL_Monthly!$A$7:$A$85,0))</f>
        <v>1547227.80614973</v>
      </c>
      <c r="C40" s="19" t="n">
        <f aca="false">INDEX(FHL_Monthly!$U$7:$U$85,MATCH(C$6,FHL_Monthly!$A$7:$A$85,0))</f>
        <v>1653074.17068493</v>
      </c>
      <c r="D40" s="19" t="n">
        <f aca="false">INDEX(FHL_Monthly!$U$7:$U$85,MATCH(D$6,FHL_Monthly!$A$7:$A$85,0))</f>
        <v>936381.692557602</v>
      </c>
      <c r="E40" s="19" t="n">
        <f aca="false">INDEX(FHL_Monthly!$U$7:$U$85,MATCH(E$6,FHL_Monthly!$A$7:$A$85,0))</f>
        <v>1031415.91497146</v>
      </c>
      <c r="F40" s="19" t="n">
        <f aca="false">INDEX(FHL_Monthly!$U$7:$U$85,MATCH(F$6,FHL_Monthly!$A$7:$A$85,0))</f>
        <v>1076914.87148242</v>
      </c>
      <c r="G40" s="19" t="n">
        <f aca="false">INDEX(FHL_Monthly!$U$7:$U$85,MATCH(G$6,FHL_Monthly!$A$7:$A$85,0))</f>
        <v>1099869.6198331</v>
      </c>
      <c r="H40" s="19" t="n">
        <f aca="false">INDEX(FHL_Monthly!$U$7:$U$85,MATCH(H$6,FHL_Monthly!$A$7:$A$85,0))</f>
        <v>1099869.6198331</v>
      </c>
    </row>
    <row r="42" customFormat="false" ht="15" hidden="false" customHeight="false" outlineLevel="0" collapsed="false">
      <c r="A42" s="6" t="s">
        <v>75</v>
      </c>
      <c r="B42" s="7"/>
      <c r="C42" s="7"/>
      <c r="D42" s="7"/>
      <c r="E42" s="7"/>
      <c r="F42" s="7"/>
      <c r="G42" s="7"/>
      <c r="H42" s="7"/>
    </row>
    <row r="43" customFormat="false" ht="15" hidden="false" customHeight="false" outlineLevel="0" collapsed="false">
      <c r="A43" s="3" t="s">
        <v>514</v>
      </c>
    </row>
    <row r="44" customFormat="false" ht="15" hidden="false" customHeight="false" outlineLevel="0" collapsed="false">
      <c r="A44" s="9" t="s">
        <v>515</v>
      </c>
      <c r="B44" s="11" t="n">
        <f aca="false">B10+B27</f>
        <v>94455.6130005613</v>
      </c>
      <c r="C44" s="11" t="n">
        <f aca="false">C10+C27</f>
        <v>350857.139876151</v>
      </c>
      <c r="D44" s="11" t="n">
        <f aca="false">D10+D27</f>
        <v>265075.220424545</v>
      </c>
      <c r="E44" s="11" t="n">
        <f aca="false">E10+E27</f>
        <v>160826.810871783</v>
      </c>
      <c r="F44" s="11" t="n">
        <f aca="false">F10+F27</f>
        <v>76508.5849643836</v>
      </c>
      <c r="G44" s="11" t="n">
        <f aca="false">G10+G27</f>
        <v>38483.7276657534</v>
      </c>
      <c r="H44" s="11" t="n">
        <f aca="false">H10+H27</f>
        <v>986207.096803178</v>
      </c>
    </row>
    <row r="45" customFormat="false" ht="15" hidden="false" customHeight="false" outlineLevel="0" collapsed="false">
      <c r="A45" s="9" t="s">
        <v>516</v>
      </c>
      <c r="B45" s="11" t="n">
        <f aca="false">B11+B28</f>
        <v>0</v>
      </c>
      <c r="C45" s="11" t="n">
        <f aca="false">C11+C28</f>
        <v>17917.8082191781</v>
      </c>
      <c r="D45" s="11" t="n">
        <f aca="false">D11+D28</f>
        <v>44449.6294632832</v>
      </c>
      <c r="E45" s="11" t="n">
        <f aca="false">E11+E28</f>
        <v>29399.779923647</v>
      </c>
      <c r="F45" s="11" t="n">
        <f aca="false">F11+F28</f>
        <v>14579.1780821918</v>
      </c>
      <c r="G45" s="11" t="n">
        <f aca="false">G11+G28</f>
        <v>7410.41095890411</v>
      </c>
      <c r="H45" s="11" t="n">
        <f aca="false">H11+H28</f>
        <v>113756.806647204</v>
      </c>
    </row>
    <row r="46" customFormat="false" ht="15" hidden="false" customHeight="false" outlineLevel="0" collapsed="false">
      <c r="A46" s="9" t="s">
        <v>517</v>
      </c>
      <c r="B46" s="12" t="n">
        <f aca="false">B12+B29</f>
        <v>94455.6130005613</v>
      </c>
      <c r="C46" s="12" t="n">
        <f aca="false">C12+C29</f>
        <v>368774.948095329</v>
      </c>
      <c r="D46" s="12" t="n">
        <f aca="false">D12+D29</f>
        <v>309524.849887828</v>
      </c>
      <c r="E46" s="12" t="n">
        <f aca="false">E12+E29</f>
        <v>190226.59079543</v>
      </c>
      <c r="F46" s="12" t="n">
        <f aca="false">F12+F29</f>
        <v>91087.7630465753</v>
      </c>
      <c r="G46" s="12" t="n">
        <f aca="false">G12+G29</f>
        <v>45894.1386246575</v>
      </c>
      <c r="H46" s="12" t="n">
        <f aca="false">H12+H29</f>
        <v>1099963.90345038</v>
      </c>
    </row>
    <row r="47" customFormat="false" ht="15" hidden="false" customHeight="false" outlineLevel="0" collapsed="false">
      <c r="A47" s="3" t="s">
        <v>518</v>
      </c>
    </row>
    <row r="48" customFormat="false" ht="15" hidden="false" customHeight="false" outlineLevel="0" collapsed="false">
      <c r="A48" s="9" t="s">
        <v>519</v>
      </c>
      <c r="B48" s="11" t="n">
        <f aca="false">B14+B31</f>
        <v>0</v>
      </c>
      <c r="C48" s="11" t="n">
        <f aca="false">C14+C31</f>
        <v>153803.83</v>
      </c>
      <c r="D48" s="11" t="n">
        <f aca="false">D14+D31</f>
        <v>0</v>
      </c>
      <c r="E48" s="11" t="n">
        <f aca="false">E14+E31</f>
        <v>0</v>
      </c>
      <c r="F48" s="11" t="n">
        <f aca="false">F14+F31</f>
        <v>0</v>
      </c>
      <c r="G48" s="11" t="n">
        <f aca="false">G14+G31</f>
        <v>0</v>
      </c>
      <c r="H48" s="11" t="n">
        <f aca="false">H14+H31</f>
        <v>153803.83</v>
      </c>
    </row>
    <row r="49" customFormat="false" ht="15" hidden="false" customHeight="false" outlineLevel="0" collapsed="false">
      <c r="A49" s="9" t="s">
        <v>520</v>
      </c>
      <c r="B49" s="11" t="n">
        <f aca="false">B15+B32</f>
        <v>0</v>
      </c>
      <c r="C49" s="11" t="n">
        <f aca="false">C15+C32</f>
        <v>0</v>
      </c>
      <c r="D49" s="11" t="n">
        <f aca="false">D15+D32</f>
        <v>198512.29</v>
      </c>
      <c r="E49" s="11" t="n">
        <f aca="false">E15+E32</f>
        <v>0</v>
      </c>
      <c r="F49" s="11" t="n">
        <f aca="false">F15+F32</f>
        <v>0</v>
      </c>
      <c r="G49" s="11" t="n">
        <f aca="false">G15+G32</f>
        <v>0</v>
      </c>
      <c r="H49" s="11" t="n">
        <f aca="false">H15+H32</f>
        <v>198512.29</v>
      </c>
    </row>
    <row r="50" customFormat="false" ht="15" hidden="false" customHeight="false" outlineLevel="0" collapsed="false">
      <c r="A50" s="9" t="s">
        <v>521</v>
      </c>
      <c r="B50" s="11" t="n">
        <f aca="false">B16+B33</f>
        <v>0</v>
      </c>
      <c r="C50" s="11" t="n">
        <f aca="false">C16+C33</f>
        <v>0</v>
      </c>
      <c r="D50" s="11" t="n">
        <f aca="false">D16+D33</f>
        <v>17164.54</v>
      </c>
      <c r="E50" s="11" t="n">
        <f aca="false">E16+E33</f>
        <v>0</v>
      </c>
      <c r="F50" s="11" t="n">
        <f aca="false">F16+F33</f>
        <v>0</v>
      </c>
      <c r="G50" s="11" t="n">
        <f aca="false">G16+G33</f>
        <v>0</v>
      </c>
      <c r="H50" s="11" t="n">
        <f aca="false">H16+H33</f>
        <v>17164.54</v>
      </c>
    </row>
    <row r="51" customFormat="false" ht="15" hidden="false" customHeight="false" outlineLevel="0" collapsed="false">
      <c r="A51" s="9" t="s">
        <v>522</v>
      </c>
      <c r="B51" s="12" t="n">
        <f aca="false">B17+B34</f>
        <v>0</v>
      </c>
      <c r="C51" s="12" t="n">
        <f aca="false">C17+C34</f>
        <v>153803.83</v>
      </c>
      <c r="D51" s="12" t="n">
        <f aca="false">D17+D34</f>
        <v>215676.83</v>
      </c>
      <c r="E51" s="12" t="n">
        <f aca="false">E17+E34</f>
        <v>0</v>
      </c>
      <c r="F51" s="12" t="n">
        <f aca="false">F17+F34</f>
        <v>0</v>
      </c>
      <c r="G51" s="12" t="n">
        <f aca="false">G17+G34</f>
        <v>0</v>
      </c>
      <c r="H51" s="12" t="n">
        <f aca="false">H17+H34</f>
        <v>369480.66</v>
      </c>
    </row>
    <row r="52" customFormat="false" ht="15" hidden="false" customHeight="false" outlineLevel="0" collapsed="false">
      <c r="A52" s="3" t="s">
        <v>523</v>
      </c>
    </row>
    <row r="53" customFormat="false" ht="15" hidden="false" customHeight="false" outlineLevel="0" collapsed="false">
      <c r="A53" s="9" t="s">
        <v>524</v>
      </c>
      <c r="B53" s="11" t="n">
        <f aca="false">B19+B36</f>
        <v>3000000</v>
      </c>
      <c r="C53" s="11" t="n">
        <f aca="false">C19+C36</f>
        <v>3000000</v>
      </c>
      <c r="D53" s="11" t="n">
        <f aca="false">D19+D36</f>
        <v>1470000</v>
      </c>
      <c r="E53" s="11" t="n">
        <f aca="false">E19+E36</f>
        <v>1470000</v>
      </c>
      <c r="F53" s="11" t="n">
        <f aca="false">F19+F36</f>
        <v>1470000</v>
      </c>
      <c r="G53" s="11" t="n">
        <f aca="false">G19+G36</f>
        <v>1470000</v>
      </c>
      <c r="H53" s="11" t="n">
        <f aca="false">H19+H36</f>
        <v>1470000</v>
      </c>
    </row>
    <row r="54" customFormat="false" ht="15" hidden="false" customHeight="false" outlineLevel="0" collapsed="false">
      <c r="A54" s="9" t="s">
        <v>525</v>
      </c>
      <c r="B54" s="11" t="n">
        <f aca="false">B20+B37</f>
        <v>94455.6130005613</v>
      </c>
      <c r="C54" s="11" t="n">
        <f aca="false">C20+C37</f>
        <v>291508.922876712</v>
      </c>
      <c r="D54" s="11" t="n">
        <f aca="false">D20+D37</f>
        <v>358071.853301258</v>
      </c>
      <c r="E54" s="11" t="n">
        <f aca="false">E20+E37</f>
        <v>518898.664173041</v>
      </c>
      <c r="F54" s="11" t="n">
        <f aca="false">F20+F37</f>
        <v>595407.249137424</v>
      </c>
      <c r="G54" s="11" t="n">
        <f aca="false">G20+G37</f>
        <v>633890.976803178</v>
      </c>
      <c r="H54" s="11" t="n">
        <f aca="false">H20+H37</f>
        <v>633890.976803178</v>
      </c>
    </row>
    <row r="55" customFormat="false" ht="15" hidden="false" customHeight="false" outlineLevel="0" collapsed="false">
      <c r="A55" s="9" t="s">
        <v>526</v>
      </c>
      <c r="B55" s="11" t="n">
        <f aca="false">B21+B38</f>
        <v>0</v>
      </c>
      <c r="C55" s="11" t="n">
        <f aca="false">C21+C38</f>
        <v>17917.8082191781</v>
      </c>
      <c r="D55" s="11" t="n">
        <f aca="false">D21+D38</f>
        <v>45202.8976824613</v>
      </c>
      <c r="E55" s="11" t="n">
        <f aca="false">E21+E38</f>
        <v>74602.6776061083</v>
      </c>
      <c r="F55" s="11" t="n">
        <f aca="false">F21+F38</f>
        <v>89181.8556883</v>
      </c>
      <c r="G55" s="11" t="n">
        <f aca="false">G21+G38</f>
        <v>96592.2666472041</v>
      </c>
      <c r="H55" s="11" t="n">
        <f aca="false">H21+H38</f>
        <v>96592.2666472041</v>
      </c>
    </row>
    <row r="56" customFormat="false" ht="15" hidden="false" customHeight="false" outlineLevel="0" collapsed="false">
      <c r="A56" s="9" t="s">
        <v>527</v>
      </c>
      <c r="B56" s="12" t="n">
        <f aca="false">B22+B39</f>
        <v>94455.6130005613</v>
      </c>
      <c r="C56" s="12" t="n">
        <f aca="false">C22+C39</f>
        <v>309426.73109589</v>
      </c>
      <c r="D56" s="12" t="n">
        <f aca="false">D22+D39</f>
        <v>403274.750983719</v>
      </c>
      <c r="E56" s="12" t="n">
        <f aca="false">E22+E39</f>
        <v>593501.341779149</v>
      </c>
      <c r="F56" s="12" t="n">
        <f aca="false">F22+F39</f>
        <v>684589.104825724</v>
      </c>
      <c r="G56" s="12" t="n">
        <f aca="false">G22+G39</f>
        <v>730483.243450382</v>
      </c>
      <c r="H56" s="12" t="n">
        <f aca="false">H22+H39</f>
        <v>730483.243450382</v>
      </c>
    </row>
    <row r="57" customFormat="false" ht="15" hidden="false" customHeight="false" outlineLevel="0" collapsed="false">
      <c r="A57" s="9" t="s">
        <v>528</v>
      </c>
      <c r="B57" s="12" t="n">
        <f aca="false">B23+B40</f>
        <v>3094455.61300056</v>
      </c>
      <c r="C57" s="12" t="n">
        <f aca="false">C23+C40</f>
        <v>3309426.73109589</v>
      </c>
      <c r="D57" s="12" t="n">
        <f aca="false">D23+D40</f>
        <v>1873274.75098372</v>
      </c>
      <c r="E57" s="12" t="n">
        <f aca="false">E23+E40</f>
        <v>2063501.34177915</v>
      </c>
      <c r="F57" s="12" t="n">
        <f aca="false">F23+F40</f>
        <v>2154589.10482572</v>
      </c>
      <c r="G57" s="12" t="n">
        <f aca="false">G23+G40</f>
        <v>2200483.24345038</v>
      </c>
      <c r="H57" s="12" t="n">
        <f aca="false">H23+H40</f>
        <v>2200483.24345038</v>
      </c>
    </row>
    <row r="59" customFormat="false" ht="15" hidden="false" customHeight="false" outlineLevel="0" collapsed="false">
      <c r="A59" s="6" t="s">
        <v>529</v>
      </c>
      <c r="B59" s="7"/>
      <c r="C59" s="7"/>
      <c r="D59" s="7"/>
      <c r="E59" s="7"/>
      <c r="F59" s="7"/>
      <c r="G59" s="7"/>
      <c r="H59" s="7"/>
    </row>
    <row r="60" customFormat="false" ht="15" hidden="false" customHeight="false" outlineLevel="0" collapsed="false">
      <c r="A60" s="9" t="s">
        <v>78</v>
      </c>
      <c r="B60" s="10" t="n">
        <f aca="false">SUMIFS(Cash_Events!$G$6:$G$20,Cash_Events!$D$6:$D$20,"800S",Cash_Events!$B$6:$B$20,"&lt;="&amp;B$6)</f>
        <v>0</v>
      </c>
      <c r="C60" s="10" t="n">
        <f aca="false">SUMIFS(Cash_Events!$G$6:$G$20,Cash_Events!$D$6:$D$20,"800S",Cash_Events!$B$6:$B$20,"&lt;="&amp;C$6)</f>
        <v>0</v>
      </c>
      <c r="D60" s="10" t="n">
        <f aca="false">SUMIFS(Cash_Events!$G$6:$G$20,Cash_Events!$D$6:$D$20,"800S",Cash_Events!$B$6:$B$20,"&lt;="&amp;D$6)</f>
        <v>1530000</v>
      </c>
      <c r="E60" s="10" t="n">
        <f aca="false">SUMIFS(Cash_Events!$G$6:$G$20,Cash_Events!$D$6:$D$20,"800S",Cash_Events!$B$6:$B$20,"&lt;="&amp;E$6)</f>
        <v>1530000</v>
      </c>
      <c r="F60" s="10" t="n">
        <f aca="false">SUMIFS(Cash_Events!$G$6:$G$20,Cash_Events!$D$6:$D$20,"800S",Cash_Events!$B$6:$B$20,"&lt;="&amp;F$6)</f>
        <v>1530000</v>
      </c>
      <c r="G60" s="10" t="n">
        <f aca="false">SUMIFS(Cash_Events!$G$6:$G$20,Cash_Events!$D$6:$D$20,"800S",Cash_Events!$B$6:$B$20,"&lt;="&amp;G$6)</f>
        <v>1530000</v>
      </c>
      <c r="H60" s="10" t="n">
        <f aca="false">SUMIFS(Cash_Events!$G$6:$G$20,Cash_Events!$D$6:$D$20,"800S",Cash_Events!$B$6:$B$20,"&lt;="&amp;H$6)</f>
        <v>1530000</v>
      </c>
    </row>
    <row r="61" customFormat="false" ht="15" hidden="false" customHeight="false" outlineLevel="0" collapsed="false">
      <c r="A61" s="9" t="s">
        <v>79</v>
      </c>
      <c r="B61" s="10" t="n">
        <f aca="false">SUMIFS(Cash_Events!$H$6:$H$20,Cash_Events!$D$6:$D$20,"800S",Cash_Events!$B$6:$B$20,"&lt;="&amp;B$6)+SUMIFS(Cash_Events!$I$6:$I$20,Cash_Events!$D$6:$D$20,"800S",Cash_Events!$B$6:$B$20,"&lt;="&amp;B$6)</f>
        <v>0</v>
      </c>
      <c r="C61" s="10" t="n">
        <f aca="false">SUMIFS(Cash_Events!$H$6:$H$20,Cash_Events!$D$6:$D$20,"800S",Cash_Events!$B$6:$B$20,"&lt;="&amp;C$6)+SUMIFS(Cash_Events!$I$6:$I$20,Cash_Events!$D$6:$D$20,"800S",Cash_Events!$B$6:$B$20,"&lt;="&amp;C$6)</f>
        <v>0</v>
      </c>
      <c r="D61" s="10" t="n">
        <f aca="false">SUMIFS(Cash_Events!$H$6:$H$20,Cash_Events!$D$6:$D$20,"800S",Cash_Events!$B$6:$B$20,"&lt;="&amp;D$6)+SUMIFS(Cash_Events!$I$6:$I$20,Cash_Events!$D$6:$D$20,"800S",Cash_Events!$B$6:$B$20,"&lt;="&amp;D$6)</f>
        <v>215676.83</v>
      </c>
      <c r="E61" s="10" t="n">
        <f aca="false">SUMIFS(Cash_Events!$H$6:$H$20,Cash_Events!$D$6:$D$20,"800S",Cash_Events!$B$6:$B$20,"&lt;="&amp;E$6)+SUMIFS(Cash_Events!$I$6:$I$20,Cash_Events!$D$6:$D$20,"800S",Cash_Events!$B$6:$B$20,"&lt;="&amp;E$6)</f>
        <v>215676.83</v>
      </c>
      <c r="F61" s="10" t="n">
        <f aca="false">SUMIFS(Cash_Events!$H$6:$H$20,Cash_Events!$D$6:$D$20,"800S",Cash_Events!$B$6:$B$20,"&lt;="&amp;F$6)+SUMIFS(Cash_Events!$I$6:$I$20,Cash_Events!$D$6:$D$20,"800S",Cash_Events!$B$6:$B$20,"&lt;="&amp;F$6)</f>
        <v>215676.83</v>
      </c>
      <c r="G61" s="10" t="n">
        <f aca="false">SUMIFS(Cash_Events!$H$6:$H$20,Cash_Events!$D$6:$D$20,"800S",Cash_Events!$B$6:$B$20,"&lt;="&amp;G$6)+SUMIFS(Cash_Events!$I$6:$I$20,Cash_Events!$D$6:$D$20,"800S",Cash_Events!$B$6:$B$20,"&lt;="&amp;G$6)</f>
        <v>215676.83</v>
      </c>
      <c r="H61" s="10" t="n">
        <f aca="false">SUMIFS(Cash_Events!$H$6:$H$20,Cash_Events!$D$6:$D$20,"800S",Cash_Events!$B$6:$B$20,"&lt;="&amp;H$6)+SUMIFS(Cash_Events!$I$6:$I$20,Cash_Events!$D$6:$D$20,"800S",Cash_Events!$B$6:$B$20,"&lt;="&amp;H$6)</f>
        <v>215676.83</v>
      </c>
    </row>
    <row r="62" customFormat="false" ht="15" hidden="false" customHeight="false" outlineLevel="0" collapsed="false">
      <c r="A62" s="9" t="s">
        <v>530</v>
      </c>
      <c r="B62" s="12" t="n">
        <f aca="false">B60+B61</f>
        <v>0</v>
      </c>
      <c r="C62" s="12" t="n">
        <f aca="false">C60+C61</f>
        <v>0</v>
      </c>
      <c r="D62" s="12" t="n">
        <f aca="false">D60+D61</f>
        <v>1745676.83</v>
      </c>
      <c r="E62" s="12" t="n">
        <f aca="false">E60+E61</f>
        <v>1745676.83</v>
      </c>
      <c r="F62" s="12" t="n">
        <f aca="false">F60+F61</f>
        <v>1745676.83</v>
      </c>
      <c r="G62" s="12" t="n">
        <f aca="false">G60+G61</f>
        <v>1745676.83</v>
      </c>
      <c r="H62" s="12" t="n">
        <f aca="false">H60+H61</f>
        <v>1745676.83</v>
      </c>
    </row>
    <row r="63" customFormat="false" ht="15" hidden="false" customHeight="false" outlineLevel="0" collapsed="false">
      <c r="A63" s="2" t="s">
        <v>531</v>
      </c>
      <c r="H63" s="16" t="n">
        <f aca="false">ROUND(H62-Inputs!B36,2)</f>
        <v>0</v>
      </c>
    </row>
    <row r="65" customFormat="false" ht="15" hidden="false" customHeight="false" outlineLevel="0" collapsed="false">
      <c r="A65" s="6" t="s">
        <v>532</v>
      </c>
      <c r="B65" s="7"/>
      <c r="C65" s="7"/>
      <c r="D65" s="7"/>
      <c r="E65" s="7"/>
      <c r="F65" s="7"/>
      <c r="G65" s="7"/>
      <c r="H65" s="7"/>
    </row>
    <row r="66" customFormat="false" ht="15" hidden="false" customHeight="false" outlineLevel="0" collapsed="false">
      <c r="A66" s="9" t="s">
        <v>533</v>
      </c>
      <c r="B66" s="11" t="n">
        <f aca="false">B57</f>
        <v>3094455.61300056</v>
      </c>
      <c r="C66" s="11" t="n">
        <f aca="false">C57</f>
        <v>3309426.73109589</v>
      </c>
      <c r="D66" s="11" t="n">
        <f aca="false">D57</f>
        <v>1873274.75098372</v>
      </c>
      <c r="E66" s="11" t="n">
        <f aca="false">E57</f>
        <v>2063501.34177915</v>
      </c>
      <c r="F66" s="11" t="n">
        <f aca="false">F57</f>
        <v>2154589.10482572</v>
      </c>
      <c r="G66" s="11" t="n">
        <f aca="false">G57</f>
        <v>2200483.24345038</v>
      </c>
      <c r="H66" s="11" t="n">
        <f aca="false">H57</f>
        <v>2200483.24345038</v>
      </c>
    </row>
    <row r="67" customFormat="false" ht="15" hidden="false" customHeight="false" outlineLevel="0" collapsed="false">
      <c r="A67" s="9" t="s">
        <v>534</v>
      </c>
      <c r="B67" s="11" t="n">
        <f aca="false">B62</f>
        <v>0</v>
      </c>
      <c r="C67" s="11" t="n">
        <f aca="false">C62</f>
        <v>0</v>
      </c>
      <c r="D67" s="11" t="n">
        <f aca="false">D62</f>
        <v>1745676.83</v>
      </c>
      <c r="E67" s="11" t="n">
        <f aca="false">E62</f>
        <v>1745676.83</v>
      </c>
      <c r="F67" s="11" t="n">
        <f aca="false">F62</f>
        <v>1745676.83</v>
      </c>
      <c r="G67" s="11" t="n">
        <f aca="false">G62</f>
        <v>1745676.83</v>
      </c>
      <c r="H67" s="11" t="n">
        <f aca="false">H62</f>
        <v>1745676.83</v>
      </c>
    </row>
    <row r="68" customFormat="false" ht="15" hidden="false" customHeight="false" outlineLevel="0" collapsed="false">
      <c r="A68" s="3" t="s">
        <v>84</v>
      </c>
      <c r="B68" s="12" t="n">
        <f aca="false">B66+B67</f>
        <v>3094455.61300056</v>
      </c>
      <c r="C68" s="12" t="n">
        <f aca="false">C66+C67</f>
        <v>3309426.73109589</v>
      </c>
      <c r="D68" s="12" t="n">
        <f aca="false">D66+D67</f>
        <v>3618951.58098372</v>
      </c>
      <c r="E68" s="12" t="n">
        <f aca="false">E66+E67</f>
        <v>3809178.17177915</v>
      </c>
      <c r="F68" s="12" t="n">
        <f aca="false">F66+F67</f>
        <v>3900265.93482572</v>
      </c>
      <c r="G68" s="12" t="n">
        <f aca="false">G66+G67</f>
        <v>3946160.07345038</v>
      </c>
      <c r="H68" s="12" t="n">
        <f aca="false">H66+H67</f>
        <v>3946160.07345038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7" min="2" style="0" width="17"/>
  </cols>
  <sheetData>
    <row r="1" customFormat="false" ht="18" hidden="false" customHeight="true" outlineLevel="0" collapsed="false">
      <c r="A1" s="1" t="s">
        <v>535</v>
      </c>
    </row>
    <row r="2" customFormat="false" ht="15" hidden="false" customHeight="false" outlineLevel="0" collapsed="false">
      <c r="A2" s="2" t="s">
        <v>536</v>
      </c>
    </row>
    <row r="4" customFormat="false" ht="15" hidden="false" customHeight="false" outlineLevel="0" collapsed="false">
      <c r="A4" s="6" t="s">
        <v>537</v>
      </c>
      <c r="B4" s="7"/>
      <c r="C4" s="7"/>
      <c r="D4" s="7"/>
      <c r="E4" s="7"/>
      <c r="F4" s="7"/>
      <c r="G4" s="7"/>
    </row>
    <row r="5" customFormat="false" ht="30" hidden="false" customHeight="true" outlineLevel="0" collapsed="false">
      <c r="A5" s="8" t="s">
        <v>491</v>
      </c>
      <c r="B5" s="8" t="s">
        <v>538</v>
      </c>
      <c r="C5" s="8" t="s">
        <v>539</v>
      </c>
      <c r="D5" s="8" t="s">
        <v>32</v>
      </c>
      <c r="E5" s="8" t="s">
        <v>540</v>
      </c>
      <c r="F5" s="8" t="s">
        <v>541</v>
      </c>
      <c r="G5" s="8" t="s">
        <v>32</v>
      </c>
    </row>
    <row r="6" customFormat="false" ht="15" hidden="false" customHeight="false" outlineLevel="0" collapsed="false">
      <c r="A6" s="9" t="s">
        <v>54</v>
      </c>
      <c r="B6" s="10" t="n">
        <f aca="false">INDEX(rAGMF_Monthly!$G$7:$G$85,MATCH(Inputs!$B$19,rAGMF_Monthly!$A$7:$A$85,0))</f>
        <v>735000</v>
      </c>
      <c r="C6" s="24" t="n">
        <v>735000</v>
      </c>
      <c r="D6" s="16" t="n">
        <f aca="false">ROUND(B6-C6,2)</f>
        <v>0</v>
      </c>
      <c r="E6" s="10" t="n">
        <f aca="false">INDEX(FHL_Monthly!$G$7:$G$85,MATCH(Inputs!$B$19,FHL_Monthly!$A$7:$A$85,0))</f>
        <v>735000</v>
      </c>
      <c r="F6" s="24" t="n">
        <v>735000</v>
      </c>
      <c r="G6" s="16" t="n">
        <f aca="false">ROUND(E6-F6,2)</f>
        <v>0</v>
      </c>
    </row>
    <row r="7" customFormat="false" ht="15" hidden="false" customHeight="false" outlineLevel="0" collapsed="false">
      <c r="A7" s="9" t="s">
        <v>542</v>
      </c>
      <c r="B7" s="10" t="n">
        <f aca="false">INDEX(rAGMF_Monthly!$P$7:$P$85,MATCH(Inputs!$B$19,rAGMF_Monthly!$A$7:$A$85,0))</f>
        <v>298024.551937514</v>
      </c>
      <c r="C7" s="10" t="n">
        <f aca="false">Inputs!B26</f>
        <v>298024.552348473</v>
      </c>
      <c r="D7" s="16" t="n">
        <f aca="false">ROUND(B7-C7,2)</f>
        <v>-0</v>
      </c>
      <c r="E7" s="10" t="n">
        <f aca="false">INDEX(FHL_Monthly!$P$7:$P$85,MATCH(Inputs!$B$19,FHL_Monthly!$A$7:$A$85,0))</f>
        <v>297382.69719991</v>
      </c>
      <c r="F7" s="10" t="n">
        <f aca="false">Inputs!C26</f>
        <v>297382.698021828</v>
      </c>
      <c r="G7" s="16" t="n">
        <f aca="false">ROUND(E7-F7,2)</f>
        <v>-0</v>
      </c>
    </row>
    <row r="8" customFormat="false" ht="15" hidden="false" customHeight="false" outlineLevel="0" collapsed="false">
      <c r="A8" s="9" t="s">
        <v>179</v>
      </c>
      <c r="B8" s="10" t="n">
        <f aca="false">INDEX(rAGMF_Monthly!$S$7:$S$85,MATCH(Inputs!$B$19,rAGMF_Monthly!$A$7:$A$85,0))</f>
        <v>44649.6814057938</v>
      </c>
      <c r="C8" s="10" t="n">
        <f aca="false">Inputs!B27</f>
        <v>44649.6814057938</v>
      </c>
      <c r="D8" s="16" t="n">
        <f aca="false">ROUND(B8-C8,2)</f>
        <v>0</v>
      </c>
      <c r="E8" s="10" t="n">
        <f aca="false">INDEX(FHL_Monthly!$S$7:$S$85,MATCH(Inputs!$B$19,FHL_Monthly!$A$7:$A$85,0))</f>
        <v>44532.1742825062</v>
      </c>
      <c r="F8" s="10" t="n">
        <f aca="false">Inputs!C27</f>
        <v>44532.1742825062</v>
      </c>
      <c r="G8" s="16" t="n">
        <f aca="false">ROUND(E8-F8,2)</f>
        <v>0</v>
      </c>
    </row>
    <row r="9" customFormat="false" ht="15" hidden="false" customHeight="false" outlineLevel="0" collapsed="false">
      <c r="A9" s="3" t="s">
        <v>543</v>
      </c>
      <c r="B9" s="10" t="n">
        <f aca="false">INDEX(rAGMF_Monthly!$T$7:$T$85,MATCH(Inputs!$B$19,rAGMF_Monthly!$A$7:$A$85,0))</f>
        <v>342674.233343308</v>
      </c>
      <c r="C9" s="10" t="n">
        <f aca="false">Inputs!B25</f>
        <v>342674.23</v>
      </c>
      <c r="D9" s="16" t="n">
        <f aca="false">ROUND(B9-C9,2)</f>
        <v>0</v>
      </c>
      <c r="E9" s="10" t="n">
        <f aca="false">INDEX(FHL_Monthly!$T$7:$T$85,MATCH(Inputs!$B$19,FHL_Monthly!$A$7:$A$85,0))</f>
        <v>341914.871482416</v>
      </c>
      <c r="F9" s="10" t="n">
        <f aca="false">Inputs!C25</f>
        <v>341914.87</v>
      </c>
      <c r="G9" s="16" t="n">
        <f aca="false">ROUND(E9-F9,2)</f>
        <v>0</v>
      </c>
    </row>
    <row r="11" customFormat="false" ht="15" hidden="false" customHeight="false" outlineLevel="0" collapsed="false">
      <c r="A11" s="6" t="s">
        <v>544</v>
      </c>
      <c r="B11" s="7"/>
      <c r="C11" s="7"/>
      <c r="D11" s="7"/>
      <c r="E11" s="7"/>
      <c r="F11" s="7"/>
      <c r="G11" s="7"/>
    </row>
    <row r="12" customFormat="false" ht="30" hidden="false" customHeight="true" outlineLevel="0" collapsed="false">
      <c r="A12" s="8" t="s">
        <v>491</v>
      </c>
      <c r="B12" s="8" t="s">
        <v>6</v>
      </c>
      <c r="C12" s="8"/>
      <c r="D12" s="8"/>
      <c r="E12" s="8" t="s">
        <v>7</v>
      </c>
      <c r="F12" s="8"/>
      <c r="G12" s="8"/>
    </row>
    <row r="13" customFormat="false" ht="15" hidden="false" customHeight="false" outlineLevel="0" collapsed="false">
      <c r="A13" s="9" t="s">
        <v>545</v>
      </c>
      <c r="B13" s="10" t="n">
        <f aca="false">Inputs!B25</f>
        <v>342674.23</v>
      </c>
      <c r="E13" s="10" t="n">
        <f aca="false">Inputs!C25</f>
        <v>341914.87</v>
      </c>
    </row>
    <row r="14" customFormat="false" ht="15" hidden="false" customHeight="false" outlineLevel="0" collapsed="false">
      <c r="A14" s="9" t="s">
        <v>546</v>
      </c>
      <c r="B14" s="108" t="n">
        <f aca="false">Inputs!$B$21-Inputs!$B$19</f>
        <v>1005</v>
      </c>
      <c r="E14" s="108" t="n">
        <f aca="false">Inputs!$B$21-Inputs!$B$19</f>
        <v>1005</v>
      </c>
    </row>
    <row r="15" customFormat="false" ht="15" hidden="false" customHeight="false" outlineLevel="0" collapsed="false">
      <c r="A15" s="9" t="s">
        <v>547</v>
      </c>
      <c r="B15" s="10" t="n">
        <f aca="false">735000*Inputs!C47*B14/365</f>
        <v>210112.562157534</v>
      </c>
      <c r="E15" s="10" t="n">
        <f aca="false">735000*Inputs!H47*E14/365</f>
        <v>210280.332452055</v>
      </c>
    </row>
    <row r="16" customFormat="false" ht="15" hidden="false" customHeight="false" outlineLevel="0" collapsed="false">
      <c r="A16" s="9" t="s">
        <v>548</v>
      </c>
      <c r="B16" s="10" t="n">
        <f aca="false">735000*Inputs!B11*B14/365</f>
        <v>40475.3424657534</v>
      </c>
      <c r="E16" s="10" t="n">
        <f aca="false">735000*Inputs!C11*E14/365</f>
        <v>40475.3424657534</v>
      </c>
    </row>
    <row r="17" customFormat="false" ht="15" hidden="false" customHeight="false" outlineLevel="0" collapsed="false">
      <c r="A17" s="9" t="s">
        <v>549</v>
      </c>
      <c r="B17" s="10" t="n">
        <f aca="false">B13+B15+B16</f>
        <v>593262.134623288</v>
      </c>
      <c r="E17" s="10" t="n">
        <f aca="false">E13+E15+E16</f>
        <v>592670.544917808</v>
      </c>
    </row>
    <row r="18" customFormat="false" ht="15" hidden="false" customHeight="false" outlineLevel="0" collapsed="false">
      <c r="A18" s="9" t="s">
        <v>550</v>
      </c>
      <c r="B18" s="10" t="n">
        <f aca="false">Inputs!B28</f>
        <v>593262.138377555</v>
      </c>
      <c r="E18" s="10" t="n">
        <f aca="false">Inputs!C28</f>
        <v>592670.547222142</v>
      </c>
    </row>
    <row r="19" customFormat="false" ht="15" hidden="false" customHeight="false" outlineLevel="0" collapsed="false">
      <c r="A19" s="9" t="s">
        <v>551</v>
      </c>
      <c r="B19" s="43" t="n">
        <f aca="false">ROUND(B17-B18,2)</f>
        <v>-0</v>
      </c>
      <c r="E19" s="43" t="n">
        <f aca="false">ROUND(E17-E18,2)</f>
        <v>-0</v>
      </c>
    </row>
    <row r="20" customFormat="false" ht="15" hidden="false" customHeight="false" outlineLevel="0" collapsed="false">
      <c r="A20" s="9" t="s">
        <v>552</v>
      </c>
      <c r="B20" s="10" t="n">
        <f aca="false">INDEX(rAGMF_Monthly!$T$7:$T$85,MATCH(Inputs!$B$21,rAGMF_Monthly!$A$7:$A$85,0))</f>
        <v>593012.796767965</v>
      </c>
      <c r="E20" s="10" t="n">
        <f aca="false">INDEX(FHL_Monthly!$T$7:$T$85,MATCH(Inputs!$B$21,FHL_Monthly!$A$7:$A$85,0))</f>
        <v>592421.038265978</v>
      </c>
    </row>
    <row r="21" customFormat="false" ht="15" hidden="false" customHeight="false" outlineLevel="0" collapsed="false">
      <c r="A21" s="9" t="s">
        <v>553</v>
      </c>
      <c r="B21" s="43" t="n">
        <f aca="false">B20-B18</f>
        <v>-249.341609589756</v>
      </c>
      <c r="E21" s="43" t="n">
        <f aca="false">E20-E18</f>
        <v>-249.508956164354</v>
      </c>
    </row>
    <row r="23" customFormat="false" ht="15" hidden="false" customHeight="false" outlineLevel="0" collapsed="false">
      <c r="A23" s="6" t="s">
        <v>554</v>
      </c>
      <c r="B23" s="7"/>
      <c r="C23" s="7"/>
      <c r="D23" s="7"/>
      <c r="E23" s="7"/>
      <c r="F23" s="7"/>
      <c r="G23" s="7"/>
    </row>
    <row r="24" customFormat="false" ht="30" hidden="false" customHeight="true" outlineLevel="0" collapsed="false">
      <c r="A24" s="8" t="s">
        <v>491</v>
      </c>
      <c r="B24" s="8" t="s">
        <v>6</v>
      </c>
      <c r="C24" s="8"/>
      <c r="D24" s="8"/>
      <c r="E24" s="8" t="s">
        <v>7</v>
      </c>
      <c r="F24" s="8"/>
      <c r="G24" s="8"/>
    </row>
    <row r="25" customFormat="false" ht="15" hidden="false" customHeight="false" outlineLevel="0" collapsed="false">
      <c r="A25" s="9" t="s">
        <v>555</v>
      </c>
      <c r="B25" s="10" t="n">
        <f aca="false">Cash_Events!F8</f>
        <v>108002.4</v>
      </c>
      <c r="E25" s="10" t="n">
        <f aca="false">Cash_Events!F9</f>
        <v>107674.43</v>
      </c>
    </row>
    <row r="26" customFormat="false" ht="15" hidden="false" customHeight="false" outlineLevel="0" collapsed="false">
      <c r="A26" s="9" t="s">
        <v>556</v>
      </c>
      <c r="B26" s="10" t="n">
        <f aca="false">Cash_Events!F10</f>
        <v>766163.29</v>
      </c>
      <c r="E26" s="10" t="n">
        <f aca="false">Cash_Events!F11</f>
        <v>763836.71</v>
      </c>
    </row>
    <row r="27" customFormat="false" ht="15" hidden="false" customHeight="false" outlineLevel="0" collapsed="false">
      <c r="A27" s="3" t="s">
        <v>557</v>
      </c>
      <c r="B27" s="10" t="n">
        <f aca="false">B25+B26</f>
        <v>874165.69</v>
      </c>
      <c r="E27" s="10" t="n">
        <f aca="false">E25+E26</f>
        <v>871511.14</v>
      </c>
    </row>
    <row r="28" customFormat="false" ht="15" hidden="false" customHeight="false" outlineLevel="0" collapsed="false">
      <c r="A28" s="9" t="s">
        <v>558</v>
      </c>
      <c r="B28" s="10" t="n">
        <f aca="false">-Cash_Events!G10</f>
        <v>-765000</v>
      </c>
      <c r="E28" s="10" t="n">
        <f aca="false">-Cash_Events!G11</f>
        <v>-765000</v>
      </c>
    </row>
    <row r="29" customFormat="false" ht="15" hidden="false" customHeight="false" outlineLevel="0" collapsed="false">
      <c r="A29" s="9" t="s">
        <v>559</v>
      </c>
      <c r="B29" s="10" t="n">
        <f aca="false">-Inputs!B29</f>
        <v>-91458.5695890411</v>
      </c>
      <c r="E29" s="10" t="n">
        <f aca="false">-Inputs!C29</f>
        <v>-90529.7391780822</v>
      </c>
    </row>
    <row r="30" customFormat="false" ht="15" hidden="false" customHeight="false" outlineLevel="0" collapsed="false">
      <c r="A30" s="9" t="s">
        <v>560</v>
      </c>
      <c r="B30" s="10" t="n">
        <f aca="false">-Inputs!B30</f>
        <v>-9019.22</v>
      </c>
      <c r="E30" s="10" t="n">
        <f aca="false">-Inputs!C30</f>
        <v>-7504.76</v>
      </c>
    </row>
    <row r="31" customFormat="false" ht="15" hidden="false" customHeight="false" outlineLevel="0" collapsed="false">
      <c r="A31" s="9" t="s">
        <v>561</v>
      </c>
      <c r="B31" s="10" t="n">
        <f aca="false">-Inputs!B31</f>
        <v>-8687.9</v>
      </c>
      <c r="E31" s="10" t="n">
        <f aca="false">-Inputs!C31</f>
        <v>-8476.64</v>
      </c>
    </row>
    <row r="32" customFormat="false" ht="15" hidden="false" customHeight="false" outlineLevel="0" collapsed="false">
      <c r="A32" s="3" t="s">
        <v>562</v>
      </c>
      <c r="B32" s="43" t="n">
        <f aca="false">ROUND(SUM(B27:B31),2)</f>
        <v>0</v>
      </c>
      <c r="E32" s="43" t="n">
        <f aca="false">ROUND(SUM(E27:E31),2)</f>
        <v>0</v>
      </c>
    </row>
    <row r="33" customFormat="false" ht="15" hidden="false" customHeight="false" outlineLevel="0" collapsed="false">
      <c r="A33" s="9" t="s">
        <v>563</v>
      </c>
      <c r="B33" s="10" t="n">
        <f aca="false">SUMIFS(Daily!$G$6:$G$2400,Daily!$A$6:$A$2400,"&gt;="&amp;Inputs!A41,Daily!$A$6:$A$2400,"&lt;"&amp;Inputs!A42)</f>
        <v>91458.5695890411</v>
      </c>
      <c r="E33" s="10" t="n">
        <f aca="false">SUMIFS(Daily!$L$6:$L$2400,Daily!$A$6:$A$2400,"&gt;="&amp;Inputs!F41,Daily!$A$6:$A$2400,"&lt;"&amp;Inputs!F42)</f>
        <v>90529.7391780822</v>
      </c>
    </row>
    <row r="34" customFormat="false" ht="15" hidden="false" customHeight="false" outlineLevel="0" collapsed="false">
      <c r="A34" s="9" t="s">
        <v>564</v>
      </c>
      <c r="B34" s="43" t="n">
        <f aca="false">ROUND(B33-Inputs!B29,2)</f>
        <v>0</v>
      </c>
      <c r="E34" s="43" t="n">
        <f aca="false">ROUND(E33-Inputs!C29,2)</f>
        <v>0</v>
      </c>
    </row>
    <row r="35" customFormat="false" ht="15" hidden="false" customHeight="false" outlineLevel="0" collapsed="false">
      <c r="A35" s="3" t="s">
        <v>565</v>
      </c>
      <c r="B35" s="11" t="n">
        <f aca="false">B27+E27</f>
        <v>1745676.83</v>
      </c>
      <c r="C35" s="10" t="n">
        <f aca="false">Inputs!B36</f>
        <v>1745676.83</v>
      </c>
      <c r="D35" s="16" t="n">
        <f aca="false">ROUND(B35-C35,2)</f>
        <v>0</v>
      </c>
    </row>
    <row r="36" customFormat="false" ht="15" hidden="false" customHeight="false" outlineLevel="0" collapsed="false">
      <c r="A36" s="9" t="s">
        <v>566</v>
      </c>
      <c r="B36" s="109" t="n">
        <f aca="false">B25/(SUMIFS(Daily!$G$6:$G$2400,Daily!$A$6:$A$2400,"&lt;"&amp;Cash_Events!B8)+SUMIFS(Daily!$H$6:$H$2400,Daily!$A$6:$A$2400,"&lt;"&amp;Cash_Events!B8)-Cash_Events!F6)</f>
        <v>0.429213432144789</v>
      </c>
      <c r="E36" s="109" t="n">
        <f aca="false">E25/(SUMIFS(Daily!$L$6:$L$2400,Daily!$A$6:$A$2400,"&lt;"&amp;Cash_Events!B9)+SUMIFS(Daily!$M$6:$M$2400,Daily!$A$6:$A$2400,"&lt;"&amp;Cash_Events!B9)-Cash_Events!F7)</f>
        <v>0.433406243778606</v>
      </c>
    </row>
    <row r="38" customFormat="false" ht="15" hidden="false" customHeight="false" outlineLevel="0" collapsed="false">
      <c r="A38" s="6" t="s">
        <v>567</v>
      </c>
      <c r="B38" s="7"/>
      <c r="C38" s="7"/>
      <c r="D38" s="7"/>
      <c r="E38" s="7"/>
      <c r="F38" s="7"/>
      <c r="G38" s="7"/>
    </row>
    <row r="39" customFormat="false" ht="30" hidden="false" customHeight="true" outlineLevel="0" collapsed="false">
      <c r="A39" s="8" t="s">
        <v>491</v>
      </c>
      <c r="B39" s="8" t="s">
        <v>568</v>
      </c>
      <c r="C39" s="8" t="s">
        <v>569</v>
      </c>
      <c r="D39" s="8" t="s">
        <v>8</v>
      </c>
      <c r="E39" s="8"/>
      <c r="F39" s="8"/>
      <c r="G39" s="8"/>
    </row>
    <row r="40" customFormat="false" ht="15" hidden="false" customHeight="false" outlineLevel="0" collapsed="false">
      <c r="A40" s="9" t="s">
        <v>570</v>
      </c>
      <c r="B40" s="10" t="n">
        <f aca="false">Inputs!B34</f>
        <v>456652.95</v>
      </c>
      <c r="C40" s="10" t="n">
        <f aca="false">Inputs!B35</f>
        <v>63003.77</v>
      </c>
      <c r="D40" s="11" t="n">
        <f aca="false">B40+C40</f>
        <v>519656.72</v>
      </c>
    </row>
    <row r="41" customFormat="false" ht="15" hidden="false" customHeight="false" outlineLevel="0" collapsed="false">
      <c r="A41" s="9" t="s">
        <v>571</v>
      </c>
      <c r="B41" s="20" t="n">
        <v>45878</v>
      </c>
    </row>
    <row r="42" customFormat="false" ht="15" hidden="false" customHeight="false" outlineLevel="0" collapsed="false">
      <c r="A42" s="9" t="s">
        <v>572</v>
      </c>
      <c r="B42" s="10" t="n">
        <f aca="false">SUMIFS(Daily!$G$6:$G$2400,Daily!$A$6:$A$2400,"&lt;"&amp;B41)+SUMIFS(Daily!$L$6:$L$2400,Daily!$A$6:$A$2400,"&lt;"&amp;B41)-SUMIFS(Cash_Events!$H$6:$H$20,Cash_Events!$B$6:$B$20,"&lt;"&amp;B41)</f>
        <v>456652.951551123</v>
      </c>
      <c r="C42" s="10" t="n">
        <f aca="false">SUMIFS(Daily!$H$6:$H$2400,Daily!$A$6:$A$2400,"&lt;"&amp;B41)+SUMIFS(Daily!$M$6:$M$2400,Daily!$A$6:$A$2400,"&lt;"&amp;B41)-SUMIFS(Cash_Events!$I$6:$I$20,Cash_Events!$B$6:$B$20,"&lt;"&amp;B41)</f>
        <v>63003.7734965192</v>
      </c>
      <c r="D42" s="11" t="n">
        <f aca="false">B42+C42</f>
        <v>519656.725047642</v>
      </c>
    </row>
    <row r="43" customFormat="false" ht="15" hidden="false" customHeight="false" outlineLevel="0" collapsed="false">
      <c r="A43" s="9" t="s">
        <v>32</v>
      </c>
      <c r="B43" s="16" t="n">
        <f aca="false">ROUND(B42-B40,2)</f>
        <v>0</v>
      </c>
      <c r="C43" s="16" t="n">
        <f aca="false">ROUND(C42-C40,2)</f>
        <v>0</v>
      </c>
      <c r="D43" s="16" t="n">
        <f aca="false">ROUND(D42-D40,2)</f>
        <v>0.01</v>
      </c>
    </row>
    <row r="44" customFormat="false" ht="15" hidden="false" customHeight="false" outlineLevel="0" collapsed="false">
      <c r="A44" s="9" t="s">
        <v>573</v>
      </c>
      <c r="B44" s="10" t="n">
        <f aca="false">BS_View!G54</f>
        <v>633890.976803178</v>
      </c>
      <c r="C44" s="10" t="n">
        <f aca="false">BS_View!G55</f>
        <v>96592.2666472041</v>
      </c>
      <c r="D44" s="11" t="n">
        <f aca="false">B44+C44</f>
        <v>730483.243450382</v>
      </c>
    </row>
    <row r="45" customFormat="false" ht="15" hidden="false" customHeight="false" outlineLevel="0" collapsed="false">
      <c r="A45" s="3" t="s">
        <v>36</v>
      </c>
      <c r="B45" s="14" t="n">
        <f aca="false">B44-B40</f>
        <v>177238.026803178</v>
      </c>
      <c r="C45" s="14" t="n">
        <f aca="false">C44-C40</f>
        <v>33588.4966472041</v>
      </c>
      <c r="D45" s="14" t="n">
        <f aca="false">D44-D40</f>
        <v>210826.523450382</v>
      </c>
    </row>
    <row r="47" customFormat="false" ht="15" hidden="false" customHeight="false" outlineLevel="0" collapsed="false">
      <c r="A47" s="6" t="s">
        <v>574</v>
      </c>
      <c r="B47" s="7"/>
      <c r="C47" s="7"/>
      <c r="D47" s="7"/>
      <c r="E47" s="7"/>
      <c r="F47" s="7"/>
      <c r="G47" s="7"/>
    </row>
    <row r="48" customFormat="false" ht="30" hidden="false" customHeight="true" outlineLevel="0" collapsed="false">
      <c r="A48" s="8" t="s">
        <v>491</v>
      </c>
      <c r="B48" s="8" t="s">
        <v>6</v>
      </c>
      <c r="C48" s="8"/>
      <c r="D48" s="8"/>
      <c r="E48" s="8" t="s">
        <v>7</v>
      </c>
      <c r="F48" s="8"/>
      <c r="G48" s="8"/>
    </row>
    <row r="49" customFormat="false" ht="15" hidden="false" customHeight="false" outlineLevel="0" collapsed="false">
      <c r="A49" s="9" t="s">
        <v>575</v>
      </c>
      <c r="B49" s="110" t="n">
        <f aca="false">ROUND(INDEX(rAGMF_Monthly!$P$7:$P$85,MATCH(DATE(2026,3,31),rAGMF_Monthly!$A$7:$A$85,0))-Inputs!B32,0)</f>
        <v>0</v>
      </c>
      <c r="E49" s="110" t="n">
        <f aca="false">ROUND(INDEX(FHL_Monthly!$P$7:$P$85,MATCH(DATE(2026,3,31),FHL_Monthly!$A$7:$A$85,0))-Inputs!C32,0)</f>
        <v>0</v>
      </c>
    </row>
    <row r="50" customFormat="false" ht="15" hidden="false" customHeight="false" outlineLevel="0" collapsed="false">
      <c r="A50" s="9" t="s">
        <v>576</v>
      </c>
      <c r="B50" s="110" t="n">
        <f aca="false">ROUND(INDEX(rAGMF_Monthly!$S$7:$S$85,MATCH(DATE(2026,3,31),rAGMF_Monthly!$A$7:$A$85,0))-Inputs!B33,0)</f>
        <v>-0</v>
      </c>
      <c r="E50" s="110" t="n">
        <f aca="false">ROUND(INDEX(FHL_Monthly!$S$7:$S$85,MATCH(DATE(2026,3,31),FHL_Monthly!$A$7:$A$85,0))-Inputs!C33,0)</f>
        <v>0</v>
      </c>
    </row>
    <row r="51" customFormat="false" ht="15" hidden="false" customHeight="false" outlineLevel="0" collapsed="false">
      <c r="A51" s="9" t="s">
        <v>577</v>
      </c>
      <c r="B51" s="28" t="n">
        <f aca="false">Inputs!C40</f>
        <v>0.101699997053407</v>
      </c>
      <c r="E51" s="28" t="n">
        <f aca="false">Inputs!H40</f>
        <v>0.101699995543672</v>
      </c>
    </row>
    <row r="52" customFormat="false" ht="15" hidden="false" customHeight="false" outlineLevel="0" collapsed="false">
      <c r="A52" s="9" t="s">
        <v>578</v>
      </c>
      <c r="B52" s="43" t="n">
        <f aca="false">SUMPRODUCT(ABS(rAGMF_Monthly!$X$7:$X$85))</f>
        <v>0</v>
      </c>
      <c r="E52" s="43" t="n">
        <f aca="false">SUMPRODUCT(ABS(FHL_Monthly!$X$7:$X$85))</f>
        <v>0</v>
      </c>
    </row>
    <row r="53" customFormat="false" ht="15" hidden="false" customHeight="false" outlineLevel="0" collapsed="false">
      <c r="A53" s="9" t="s">
        <v>579</v>
      </c>
      <c r="B53" s="43" t="n">
        <f aca="false">ROUND(SUM(Daily!$G$6:$G$2400)-SUM(rAGMF_Monthly!$J$7:$J$85),2)</f>
        <v>0</v>
      </c>
      <c r="E53" s="43" t="n">
        <f aca="false">ROUND(SUM(Daily!$L$6:$L$2400)-SUM(FHL_Monthly!$J$7:$J$85),2)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0"/>
  </cols>
  <sheetData>
    <row r="1" customFormat="false" ht="18" hidden="false" customHeight="true" outlineLevel="0" collapsed="false">
      <c r="A1" s="1" t="s">
        <v>580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6" t="s">
        <v>53</v>
      </c>
      <c r="B3" s="7"/>
    </row>
    <row r="4" customFormat="false" ht="30" hidden="false" customHeight="true" outlineLevel="0" collapsed="false">
      <c r="A4" s="111" t="s">
        <v>581</v>
      </c>
      <c r="B4" s="112" t="s">
        <v>582</v>
      </c>
    </row>
    <row r="5" customFormat="false" ht="45" hidden="false" customHeight="true" outlineLevel="0" collapsed="false">
      <c r="A5" s="111" t="s">
        <v>583</v>
      </c>
      <c r="B5" s="112" t="s">
        <v>584</v>
      </c>
    </row>
    <row r="6" customFormat="false" ht="30" hidden="false" customHeight="true" outlineLevel="0" collapsed="false">
      <c r="A6" s="111" t="s">
        <v>585</v>
      </c>
      <c r="B6" s="112" t="s">
        <v>586</v>
      </c>
    </row>
    <row r="7" customFormat="false" ht="45" hidden="false" customHeight="true" outlineLevel="0" collapsed="false">
      <c r="A7" s="111" t="s">
        <v>587</v>
      </c>
      <c r="B7" s="112" t="s">
        <v>588</v>
      </c>
    </row>
    <row r="8" customFormat="false" ht="45" hidden="false" customHeight="true" outlineLevel="0" collapsed="false">
      <c r="A8" s="111" t="s">
        <v>589</v>
      </c>
      <c r="B8" s="112" t="s">
        <v>590</v>
      </c>
    </row>
    <row r="9" customFormat="false" ht="15" hidden="false" customHeight="false" outlineLevel="0" collapsed="false">
      <c r="A9" s="6" t="s">
        <v>591</v>
      </c>
      <c r="B9" s="7"/>
    </row>
    <row r="10" customFormat="false" ht="30" hidden="false" customHeight="true" outlineLevel="0" collapsed="false">
      <c r="A10" s="111" t="s">
        <v>592</v>
      </c>
      <c r="B10" s="112" t="s">
        <v>593</v>
      </c>
    </row>
    <row r="11" customFormat="false" ht="15" hidden="false" customHeight="true" outlineLevel="0" collapsed="false">
      <c r="A11" s="111" t="s">
        <v>594</v>
      </c>
      <c r="B11" s="112" t="s">
        <v>595</v>
      </c>
    </row>
    <row r="12" customFormat="false" ht="15" hidden="false" customHeight="true" outlineLevel="0" collapsed="false">
      <c r="A12" s="111" t="s">
        <v>596</v>
      </c>
      <c r="B12" s="112" t="s">
        <v>597</v>
      </c>
    </row>
    <row r="13" customFormat="false" ht="15" hidden="false" customHeight="true" outlineLevel="0" collapsed="false">
      <c r="A13" s="111" t="s">
        <v>598</v>
      </c>
      <c r="B13" s="112" t="s">
        <v>599</v>
      </c>
    </row>
    <row r="14" customFormat="false" ht="30" hidden="false" customHeight="true" outlineLevel="0" collapsed="false">
      <c r="A14" s="111" t="s">
        <v>600</v>
      </c>
      <c r="B14" s="112" t="s">
        <v>601</v>
      </c>
    </row>
    <row r="15" customFormat="false" ht="15" hidden="false" customHeight="true" outlineLevel="0" collapsed="false">
      <c r="A15" s="111" t="s">
        <v>602</v>
      </c>
      <c r="B15" s="112" t="s">
        <v>603</v>
      </c>
    </row>
    <row r="16" customFormat="false" ht="15" hidden="false" customHeight="true" outlineLevel="0" collapsed="false">
      <c r="A16" s="111" t="s">
        <v>604</v>
      </c>
      <c r="B16" s="112" t="s">
        <v>605</v>
      </c>
    </row>
    <row r="17" customFormat="false" ht="15" hidden="false" customHeight="false" outlineLevel="0" collapsed="false">
      <c r="A17" s="6" t="s">
        <v>606</v>
      </c>
      <c r="B17" s="7"/>
    </row>
    <row r="18" customFormat="false" ht="30" hidden="false" customHeight="true" outlineLevel="0" collapsed="false">
      <c r="A18" s="111" t="s">
        <v>607</v>
      </c>
      <c r="B18" s="112" t="s">
        <v>608</v>
      </c>
    </row>
    <row r="19" customFormat="false" ht="30" hidden="false" customHeight="true" outlineLevel="0" collapsed="false">
      <c r="A19" s="111" t="s">
        <v>609</v>
      </c>
      <c r="B19" s="112" t="s">
        <v>610</v>
      </c>
    </row>
    <row r="20" customFormat="false" ht="30" hidden="false" customHeight="true" outlineLevel="0" collapsed="false">
      <c r="A20" s="111" t="s">
        <v>611</v>
      </c>
      <c r="B20" s="112" t="s">
        <v>612</v>
      </c>
    </row>
    <row r="21" customFormat="false" ht="15" hidden="false" customHeight="true" outlineLevel="0" collapsed="false">
      <c r="A21" s="111" t="s">
        <v>613</v>
      </c>
      <c r="B21" s="112" t="s">
        <v>614</v>
      </c>
    </row>
    <row r="22" customFormat="false" ht="15" hidden="false" customHeight="false" outlineLevel="0" collapsed="false">
      <c r="A22" s="6" t="s">
        <v>615</v>
      </c>
      <c r="B22" s="7"/>
    </row>
    <row r="23" customFormat="false" ht="45" hidden="false" customHeight="true" outlineLevel="0" collapsed="false">
      <c r="A23" s="111" t="s">
        <v>616</v>
      </c>
      <c r="B23" s="112" t="s">
        <v>617</v>
      </c>
    </row>
    <row r="24" customFormat="false" ht="45" hidden="false" customHeight="true" outlineLevel="0" collapsed="false">
      <c r="A24" s="111" t="s">
        <v>618</v>
      </c>
      <c r="B24" s="112" t="s">
        <v>619</v>
      </c>
    </row>
    <row r="25" customFormat="false" ht="30" hidden="false" customHeight="true" outlineLevel="0" collapsed="false">
      <c r="A25" s="111" t="s">
        <v>620</v>
      </c>
      <c r="B25" s="112" t="s">
        <v>621</v>
      </c>
    </row>
    <row r="26" customFormat="false" ht="30" hidden="false" customHeight="true" outlineLevel="0" collapsed="false">
      <c r="A26" s="111" t="s">
        <v>622</v>
      </c>
      <c r="B26" s="112" t="s">
        <v>623</v>
      </c>
    </row>
    <row r="27" customFormat="false" ht="45" hidden="false" customHeight="true" outlineLevel="0" collapsed="false">
      <c r="A27" s="111" t="s">
        <v>624</v>
      </c>
      <c r="B27" s="112" t="s">
        <v>625</v>
      </c>
    </row>
    <row r="28" customFormat="false" ht="30" hidden="false" customHeight="true" outlineLevel="0" collapsed="false">
      <c r="A28" s="111" t="s">
        <v>626</v>
      </c>
      <c r="B28" s="112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2026-10-05T11:34:54Z</dcterms:created>
  <dc:creator>openpyxl</dc:creator>
  <dc:description/>
  <dc:language>en-US</dc:language>
  <cp:lastModifiedBy>Alvin John Rhey Camacho</cp:lastModifiedBy>
  <dcterms:modified xsi:type="dcterms:W3CDTF">2026-10-17T10:36:19Z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