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 Me" sheetId="1" state="visible" r:id="rId3"/>
    <sheet name="Client vs Our Recon" sheetId="2" state="visible" r:id="rId4"/>
    <sheet name="QuickBooks - Delete &amp; Edit" sheetId="3" state="visible" r:id="rId5"/>
    <sheet name="Correcting Entries" sheetId="4" state="visible" r:id="rId6"/>
    <sheet name="Before vs After" sheetId="5" state="visible" r:id="rId7"/>
    <sheet name="Option B - Locked Year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<sst xmlns="http://schemas.openxmlformats.org/spreadsheetml/2006/main" count="746" uniqueCount="430">
  <si>
    <t xml:space="preserve">800 Super GAEA - Loan &amp; Interest Clean-up (responsAbility + Healthier loans)</t>
  </si>
  <si>
    <t xml:space="preserve">Prepared from: client file (GAEA Dual Loan Lifecycle v6), our 2024 Loan Reconciliation, and the QuickBooks General Ledger Jan 2022 - Dec 2024. All amounts in USD.</t>
  </si>
  <si>
    <t xml:space="preserve">WHAT IS IN THIS FILE (read the tabs from left to right)</t>
  </si>
  <si>
    <t xml:space="preserve">1</t>
  </si>
  <si>
    <t xml:space="preserve">Client vs Our Recon - every item compared side by side, with colours (legend below).</t>
  </si>
  <si>
    <t xml:space="preserve">2</t>
  </si>
  <si>
    <t xml:space="preserve">QuickBooks - Delete &amp; Edit - the exact entries in QuickBooks to DELETE, and the ones to EDIT (change the account only).</t>
  </si>
  <si>
    <t xml:space="preserve">3</t>
  </si>
  <si>
    <t xml:space="preserve">Correcting Entries - the new journal entries to post after the deletions, so the books show the correct flow.</t>
  </si>
  <si>
    <t xml:space="preserve">4</t>
  </si>
  <si>
    <t xml:space="preserve">Before vs After - what the balances look like now in QuickBooks vs after the clean-up (with a check that it balances).</t>
  </si>
  <si>
    <t xml:space="preserve">5</t>
  </si>
  <si>
    <t xml:space="preserve">Option B - Locked Years - use this instead of tabs 2-3 for 2022/2023 if those years are already closed/audited and cannot be changed.</t>
  </si>
  <si>
    <t xml:space="preserve">COLOUR LEGEND (tab 1)</t>
  </si>
  <si>
    <t xml:space="preserve">BLUE = item is in our recon AND agrees with the client file.</t>
  </si>
  <si>
    <t xml:space="preserve">GREEN = item is in the client file but was NOT captured in our recon.</t>
  </si>
  <si>
    <t xml:space="preserve">ORANGE = item is in both files, but the amounts are different (difference shown + reason).</t>
  </si>
  <si>
    <t xml:space="preserve">GREY = item is only in our recon (not in the client file).</t>
  </si>
  <si>
    <t xml:space="preserve">THE STORY IN PLAIN WORDS</t>
  </si>
  <si>
    <t xml:space="preserve">•</t>
  </si>
  <si>
    <t xml:space="preserve">In Sept 2022 the company borrowed USD 1.5M from responsAbility (rA) and USD 1.5M from Healthier (FHL). Interest = 6-month SOFR + 6.75% a year.</t>
  </si>
  <si>
    <t xml:space="preserve">The company paid only the first interest payment (March 2023). From Sept 2023 it stopped paying, so the lenders also charged 2% "late" (default) interest.</t>
  </si>
  <si>
    <t xml:space="preserve">In June 2024 the shareholder 800 Super WM Pte (800S) paid 51% for the company: USD 1,530,000 principal + USD 215,676.83 interest. The company now owes this USD 1,745,676.83 to 800S instead.</t>
  </si>
  <si>
    <t xml:space="preserve">The client file is built from the lenders' own calculation and ties to the lenders to the cent. Our recon used some ESTIMATED rates (e.g. 13.91% for rA from March 2024), so our 2024-2025 interest is too high.</t>
  </si>
  <si>
    <t xml:space="preserve">So: we use the CLIENT FILE figures for the lender interest in the correcting entries. We keep our recon's 800S interest (6% per the 800S loan agreement), which the client file does not cover - please confirm it with the client.</t>
  </si>
  <si>
    <t xml:space="preserve">WHAT IS WRONG IN QUICKBOOKS TODAY</t>
  </si>
  <si>
    <t xml:space="preserve">The two loans (USD 3M) were recorded in 20520 Related Party PNP-Holding, as if the money came from a group company. They should be in their own loan accounts.</t>
  </si>
  <si>
    <t xml:space="preserve">No interest was recorded for 2022 (Sep-Dec). The March 2023 payment was put fully into 2023 expense.</t>
  </si>
  <si>
    <t xml:space="preserve">2023 interest was recorded with rough monthly guesses (USD 316,881.39) into 20010 Operating Account Payable (trade payables) instead of interest payable accounts.</t>
  </si>
  <si>
    <t xml:space="preserve">2024 interest was already re-posted (INT24-001 to INT24-012) using our recon's estimated rates - lender interest is overstated by USD 18,777.99 for 2024.</t>
  </si>
  <si>
    <t xml:space="preserve">The June 2024 800S payments (LOAN24-001/002) are dated 30 June instead of the real dates (13 June interest, 28 June principal) and hit the wrong accounts (20010 and 20520).</t>
  </si>
  <si>
    <t xml:space="preserve">6</t>
  </si>
  <si>
    <t xml:space="preserve">NEW FINDING (not in either file): QuickBooks booked and PAID 14% withholding tax (WHT) on this interest every month from May 2023 to July 2024 - USD 74,668.47 in total - by reducing 20010 (as if the lenders were paid less). The lenders were not paid less (the loan has a tax gross-up clause), so this tax is the company's own cost and must move to 63025 WTH 14% Non Deductible. Our recon had said these WHT entries were unrelated - they are related (each one is exactly 14% of that month's interest accrual).</t>
  </si>
  <si>
    <t xml:space="preserve">THE RESULT AFTER CLEAN-UP (31 Dec 2024)</t>
  </si>
  <si>
    <t xml:space="preserve">Loan payable - responsAbility USD 735,000 | Loan payable - Healthier USD 735,000 | Shareholder loan 800S USD 1,745,676.83</t>
  </si>
  <si>
    <t xml:space="preserve">Interest payable - responsAbility USD 201,893.06 | Interest payable - Healthier USD 201,381.69 (= client file / lender figures) | Interest payable - 800S USD 54,115.97</t>
  </si>
  <si>
    <t xml:space="preserve">Interest expense: 2022 USD 94,455.62 | 2023 USD 368,774.94 | 2024 USD 363,640.82 (incl. 800S USD 54,115.97)</t>
  </si>
  <si>
    <t xml:space="preserve">OPEN POINTS / DECISIONS NEEDED</t>
  </si>
  <si>
    <t xml:space="preserve">If 2022 and 2023 were already reported to the auditors (our recon says they were), do NOT edit those years - use tab "Option B - Locked Years" instead.</t>
  </si>
  <si>
    <t xml:space="preserve">800S interest at 6%: in our recon and already in QuickBooks, but not in the client file. Confirm with the client that 800S charges this interest.</t>
  </si>
  <si>
    <t xml:space="preserve">Extra 14% WHT (gross-up): by law the WHT should be 14% of the grossed-up interest. The company paid 14% of rough accruals only. Optional top-up entries are in tab 3, Part C - confirm with the tax adviser before posting.</t>
  </si>
  <si>
    <t xml:space="preserve">Penalty (default) interest: the client's books note "RA agreed to waive penalties", but the lenders' June 2026 figure still includes it. Get the waiver in writing, otherwise keep it booked (as we do here).</t>
  </si>
  <si>
    <t xml:space="preserve">2025 and 2026: this GL ends Dec 2024. After this clean-up, 2025-2026 interest must also be booked per the client file (client says JV books need USD 210,826.52 catch-up to 30 Sep 2026 on its own figures).</t>
  </si>
  <si>
    <t xml:space="preserve">USD 15,000 fee kept by rA at drawdown: booked as bank charges (66020). The client file calls it a financing fee. Fine to leave as is (no change proposed).</t>
  </si>
  <si>
    <t xml:space="preserve">Client file vs Our 2024 Loan Reconciliation</t>
  </si>
  <si>
    <t xml:space="preserve">Blue = in our recon &amp; same as client | Green = in client file, not in our recon | Orange = in both but different | Grey = only in our recon. Difference = Client - Our recon.</t>
  </si>
  <si>
    <t xml:space="preserve">#</t>
  </si>
  <si>
    <t xml:space="preserve">Item</t>
  </si>
  <si>
    <t xml:space="preserve">Client file</t>
  </si>
  <si>
    <t xml:space="preserve">Our recon</t>
  </si>
  <si>
    <t xml:space="preserve">Difference</t>
  </si>
  <si>
    <t xml:space="preserve">Result</t>
  </si>
  <si>
    <t xml:space="preserve">What it means</t>
  </si>
  <si>
    <t xml:space="preserve">A. Loan basics</t>
  </si>
  <si>
    <t xml:space="preserve">Principal - responsAbility (rA)</t>
  </si>
  <si>
    <t xml:space="preserve">Same</t>
  </si>
  <si>
    <t xml:space="preserve">Same loan amount.</t>
  </si>
  <si>
    <t xml:space="preserve">Principal - Healthier (FHL)</t>
  </si>
  <si>
    <t xml:space="preserve">Interest start date (both loans)</t>
  </si>
  <si>
    <t xml:space="preserve">09-Sep-2022</t>
  </si>
  <si>
    <t xml:space="preserve">Same. Cash arrived in ABA bank on 12-Sep-2022.</t>
  </si>
  <si>
    <t xml:space="preserve">Cash received - rA</t>
  </si>
  <si>
    <t xml:space="preserve">Same. rA kept USD 15,000 (1% upfront fee).</t>
  </si>
  <si>
    <t xml:space="preserve">Cash received - FHL</t>
  </si>
  <si>
    <t xml:space="preserve">Same. USD 30 bank fee taken off.</t>
  </si>
  <si>
    <t xml:space="preserve">Upfront fee kept by rA</t>
  </si>
  <si>
    <t xml:space="preserve">Same amount. Client calls it a financing fee; we booked it as bank charges.</t>
  </si>
  <si>
    <t xml:space="preserve">Interest rate formula</t>
  </si>
  <si>
    <t xml:space="preserve">6M SOFR + 6.75%</t>
  </si>
  <si>
    <t xml:space="preserve">Same.</t>
  </si>
  <si>
    <t xml:space="preserve">Late (default) interest</t>
  </si>
  <si>
    <t xml:space="preserve">2% a year on principal</t>
  </si>
  <si>
    <t xml:space="preserve">Default interest start date</t>
  </si>
  <si>
    <t xml:space="preserve">rA 11-Sep-2023 / FHL 15-Sep-2023</t>
  </si>
  <si>
    <t xml:space="preserve">Same (first missed payment).</t>
  </si>
  <si>
    <t xml:space="preserve">B. Payments</t>
  </si>
  <si>
    <t xml:space="preserve">1st interest payment - rA (Mar 2023)</t>
  </si>
  <si>
    <t xml:space="preserve">1st interest payment - FHL (Mar 2023)</t>
  </si>
  <si>
    <t xml:space="preserve">Same amount. Client dates it 07-Mar-2023, QuickBooks 10-Mar-2023 (minor).</t>
  </si>
  <si>
    <t xml:space="preserve">Missed Sep 2023 payment - rA</t>
  </si>
  <si>
    <t xml:space="preserve">Missed Sep 2023 payment - FHL</t>
  </si>
  <si>
    <t xml:space="preserve">Interest paid by 800S for rA (13-Jun-2024)</t>
  </si>
  <si>
    <t xml:space="preserve">Same (incl. USD 1,163.29 moved from the principal remittance).</t>
  </si>
  <si>
    <t xml:space="preserve">Interest paid by 800S for FHL (13-Jun-2024)</t>
  </si>
  <si>
    <t xml:space="preserve">Same (bank slip 107,674.43 less USD 1,163.29 moved to principal).</t>
  </si>
  <si>
    <t xml:space="preserve">Principal paid by 800S, each loan (28-Jun-2024)</t>
  </si>
  <si>
    <t xml:space="preserve">Same - 51% of each loan.</t>
  </si>
  <si>
    <t xml:space="preserve">Principal still owed, each loan</t>
  </si>
  <si>
    <t xml:space="preserve">Same - 49% left.</t>
  </si>
  <si>
    <t xml:space="preserve">New shareholder loan owed to 800S</t>
  </si>
  <si>
    <t xml:space="preserve">Same (1,530,000 principal + 215,676.83 interest).</t>
  </si>
  <si>
    <t xml:space="preserve">C. Lender figures at 5-Apr-2024 (default notices)</t>
  </si>
  <si>
    <t xml:space="preserve">FHL unpaid interest</t>
  </si>
  <si>
    <t xml:space="preserve">Same - ties to the default notice.</t>
  </si>
  <si>
    <t xml:space="preserve">FHL default interest</t>
  </si>
  <si>
    <t xml:space="preserve">rA default interest</t>
  </si>
  <si>
    <t xml:space="preserve">rA unpaid interest (client figure worked out from its daily schedule)</t>
  </si>
  <si>
    <t xml:space="preserve">Different</t>
  </si>
  <si>
    <t xml:space="preserve">Our recon took the default-notice figure, which used 13.91% for 11-Mar to 5-Apr-2024. The lender's later calculation (used by the client) uses 11.99%.</t>
  </si>
  <si>
    <t xml:space="preserve">D. Interest expense by year</t>
  </si>
  <si>
    <t xml:space="preserve">2022 interest - rA</t>
  </si>
  <si>
    <t xml:space="preserve">2022 interest - FHL</t>
  </si>
  <si>
    <t xml:space="preserve">2023 interest - rA</t>
  </si>
  <si>
    <t xml:space="preserve">Small: different way of splitting the Sep-23 to Mar-24 interest between 2023 and 2024 (we used days/182 of the notice amount; the lender uses days/365, days/366 for 2024, and its month-end cut-off).</t>
  </si>
  <si>
    <t xml:space="preserve">2023 interest - FHL</t>
  </si>
  <si>
    <t xml:space="preserve">Small: same splitting reason as above.</t>
  </si>
  <si>
    <t xml:space="preserve">2024 interest - rA</t>
  </si>
  <si>
    <t xml:space="preserve">BIG: our recon used 13.91% from Mar-2024 (client email). Lender actually charged 11.99% (Mar-Sep 2024) and 11.37% (from Sep 2024).</t>
  </si>
  <si>
    <t xml:space="preserve">2024 interest - FHL</t>
  </si>
  <si>
    <t xml:space="preserve">Our recon kept 12.00% after Sep-2024 (estimate). Lender actual is 11.32%.</t>
  </si>
  <si>
    <t xml:space="preserve">2025 interest - rA</t>
  </si>
  <si>
    <t xml:space="preserve">Same reason - our rates were estimates.</t>
  </si>
  <si>
    <t xml:space="preserve">2025 interest - FHL</t>
  </si>
  <si>
    <t xml:space="preserve">Interest owed to rA at 31-Dec-2024</t>
  </si>
  <si>
    <t xml:space="preserve">Follows from the rate differences above.</t>
  </si>
  <si>
    <t xml:space="preserve">Interest owed to FHL at 31-Dec-2024</t>
  </si>
  <si>
    <t xml:space="preserve">E. In the client file only (not captured in our recon)</t>
  </si>
  <si>
    <t xml:space="preserve">Actual lender SOFR rates for every period from Sep-2024</t>
  </si>
  <si>
    <t xml:space="preserve">From lender exposure calc</t>
  </si>
  <si>
    <t xml:space="preserve">Estimated (held flat)</t>
  </si>
  <si>
    <t xml:space="preserve">Missing in recon</t>
  </si>
  <si>
    <t xml:space="preserve">Client has the real rates (rA 4.62%, 4.19%, 3.97%, 3.63%; FHL 4.57%, 4.20%, 3.86%, 3.64%). We should use these.</t>
  </si>
  <si>
    <t xml:space="preserve">Split of 800S interest payment - rA</t>
  </si>
  <si>
    <t xml:space="preserve">Regular 100,477.79 + Default 8,687.90</t>
  </si>
  <si>
    <t xml:space="preserve">Not split</t>
  </si>
  <si>
    <t xml:space="preserve">Shows how much of the June 2024 payment went to late interest.</t>
  </si>
  <si>
    <t xml:space="preserve">Split of 800S interest payment - FHL</t>
  </si>
  <si>
    <t xml:space="preserve">Regular 98,034.50 + Default 8,476.64</t>
  </si>
  <si>
    <t xml:space="preserve">Same as above.</t>
  </si>
  <si>
    <t xml:space="preserve">2026 interest (full year, actual to Sep + projection)</t>
  </si>
  <si>
    <t xml:space="preserve">rA 91,467.59 + FHL 91,408.45. Our recon stops at Dec-2025.</t>
  </si>
  <si>
    <t xml:space="preserve">Lender overdue interest at 30-Jun-2026 (Amendment cl. 3.8)</t>
  </si>
  <si>
    <t xml:space="preserve">rA 342,674.23 + FHL 341,914.87 - the amount the lenders say is owed.</t>
  </si>
  <si>
    <t xml:space="preserve">Total owed to lenders at 05-Oct-2026 (principal + interest)</t>
  </si>
  <si>
    <t xml:space="preserve">Principal 1,470,000 + interest 732,977.49.</t>
  </si>
  <si>
    <t xml:space="preserve">JV books interest + penalty (BS summary 13-Mar-2026)</t>
  </si>
  <si>
    <t xml:space="preserve">Equals the lender figure at 09-Aug-2025 - the books were not updated after that.</t>
  </si>
  <si>
    <t xml:space="preserve">Catch-up accrual still needed in JV books to 30-Sep-2026</t>
  </si>
  <si>
    <t xml:space="preserve">Per client file: interest 177,238.03 + penalty 33,588.50 (adds to .53 because of rounding; client total is 210,826.52).</t>
  </si>
  <si>
    <t xml:space="preserve">Penalty waiver remark ("RA agreed to waive penalties")</t>
  </si>
  <si>
    <t xml:space="preserve">Open point</t>
  </si>
  <si>
    <t xml:space="preserve">-</t>
  </si>
  <si>
    <t xml:space="preserve">Lender's 2026 figure still includes default interest. Waiver must be documented.</t>
  </si>
  <si>
    <t xml:space="preserve">Share of interest actually covered by 800S in June 2024</t>
  </si>
  <si>
    <t xml:space="preserve">About 43% (rA 42.9% / FHL 43.3%)</t>
  </si>
  <si>
    <t xml:space="preserve">51% assumed</t>
  </si>
  <si>
    <t xml:space="preserve">Under the lender method the June 2024 payment covered ~43% of interest + default owed at 13-Jun-2024, not 51%. Amount paid is the same; only the % differs.</t>
  </si>
  <si>
    <t xml:space="preserve">Amendment Agreement (drafts Jul-2026)</t>
  </si>
  <si>
    <t xml:space="preserve">USD 16,000 instalment + coupon due 15-Sep-2026</t>
  </si>
  <si>
    <t xml:space="preserve">Not recorded as paid. Watch for new payments.</t>
  </si>
  <si>
    <t xml:space="preserve">Projection to 31-Mar-2029 (guarantee purposes)</t>
  </si>
  <si>
    <t xml:space="preserve">Lender's own figure 1,185,932.69 (USD 498.85 leap-year difference).</t>
  </si>
  <si>
    <t xml:space="preserve">F. In our recon only</t>
  </si>
  <si>
    <t xml:space="preserve">Interest on the 800S shareholder loan (6%)</t>
  </si>
  <si>
    <t xml:space="preserve">Not included</t>
  </si>
  <si>
    <t xml:space="preserve">2024: 54,115.97 / 2025: 106,195.32</t>
  </si>
  <si>
    <t xml:space="preserve">Only in recon</t>
  </si>
  <si>
    <t xml:space="preserve">Per the 800S loan agreement (clause 4). Already in QuickBooks for 2024. Confirm with client.</t>
  </si>
  <si>
    <t xml:space="preserve">14% WHT on interest (company pays on top)</t>
  </si>
  <si>
    <t xml:space="preserve">2022-2025: 190,716.62</t>
  </si>
  <si>
    <t xml:space="preserve">Tax point - see tab 3 Part C (optional).</t>
  </si>
  <si>
    <t xml:space="preserve">Move the loans out of 20520 into new loan accounts</t>
  </si>
  <si>
    <t xml:space="preserve">Yes</t>
  </si>
  <si>
    <t xml:space="preserve">Bookkeeping fix - kept in the correcting entries.</t>
  </si>
  <si>
    <t xml:space="preserve">Original repayment schedule (Sep 2024 - Sep 2028)</t>
  </si>
  <si>
    <t xml:space="preserve">Information only.</t>
  </si>
  <si>
    <t xml:space="preserve">Count of items</t>
  </si>
  <si>
    <t xml:space="preserve">Entries in QuickBooks to DELETE or EDIT</t>
  </si>
  <si>
    <t xml:space="preserve">These are the entries to delete &amp; edit to match &amp; align with the final Loan &amp; Interest Schedule</t>
  </si>
  <si>
    <t xml:space="preserve">Action</t>
  </si>
  <si>
    <t xml:space="preserve">Date</t>
  </si>
  <si>
    <t xml:space="preserve">QB No.</t>
  </si>
  <si>
    <t xml:space="preserve">Type</t>
  </si>
  <si>
    <t xml:space="preserve">Account now  -&gt;  should be</t>
  </si>
  <si>
    <t xml:space="preserve">Amount</t>
  </si>
  <si>
    <t xml:space="preserve">Remarks</t>
  </si>
  <si>
    <t xml:space="preserve">DELETE</t>
  </si>
  <si>
    <t xml:space="preserve">ADJ2304-008</t>
  </si>
  <si>
    <t xml:space="preserve">Journal Entry</t>
  </si>
  <si>
    <t xml:space="preserve">Dr 66045 Interest Expense / Cr 20010 Operating Account Payable</t>
  </si>
  <si>
    <t xml:space="preserve">2023 interest guessed monthly and put in trade payables. Replaced by the correct monthly interest in "Correcting Entries" tab</t>
  </si>
  <si>
    <t xml:space="preserve">ADJ2307-002</t>
  </si>
  <si>
    <t xml:space="preserve">ADJ2308-003</t>
  </si>
  <si>
    <t xml:space="preserve">ADJ2309-003</t>
  </si>
  <si>
    <t xml:space="preserve">ADJ2310-003</t>
  </si>
  <si>
    <t xml:space="preserve">ADJ2311-003</t>
  </si>
  <si>
    <t xml:space="preserve">ADJ2312-004</t>
  </si>
  <si>
    <t xml:space="preserve">INT24-001</t>
  </si>
  <si>
    <t xml:space="preserve">Dr 66045 / Cr 20260, 20261 (and 20262 from Jun)</t>
  </si>
  <si>
    <t xml:space="preserve">2024 interest posted with our estimated rates (too high for the lenders). Replaced by "Correcting Entries" tab (800S part is re-posted at the same amount).</t>
  </si>
  <si>
    <t xml:space="preserve">INT24-002</t>
  </si>
  <si>
    <t xml:space="preserve">INT24-003</t>
  </si>
  <si>
    <t xml:space="preserve">INT24-004</t>
  </si>
  <si>
    <t xml:space="preserve">INT24-005</t>
  </si>
  <si>
    <t xml:space="preserve">INT24-006</t>
  </si>
  <si>
    <t xml:space="preserve">INT24-007</t>
  </si>
  <si>
    <t xml:space="preserve">INT24-008</t>
  </si>
  <si>
    <t xml:space="preserve">INT24-009</t>
  </si>
  <si>
    <t xml:space="preserve">INT24-010</t>
  </si>
  <si>
    <t xml:space="preserve">INT24-011</t>
  </si>
  <si>
    <t xml:space="preserve">INT24-012</t>
  </si>
  <si>
    <t xml:space="preserve">LOAN24-001</t>
  </si>
  <si>
    <t xml:space="preserve">Dr 20010 / Cr 20259 Shareholder loan - 800SWM</t>
  </si>
  <si>
    <t xml:space="preserve">Right amount, but wrong date (should be 13-Jun-2024) and wrong debit account (should be the interest payable accounts).</t>
  </si>
  <si>
    <t xml:space="preserve">LOAN24-002</t>
  </si>
  <si>
    <t xml:space="preserve">Dr 20520 / Cr 20259 Shareholder loan - 800SWM</t>
  </si>
  <si>
    <t xml:space="preserve">Right amount, but wrong date (should be 28-Jun-2024) and wrong debit account (should be the new loan payable accounts).</t>
  </si>
  <si>
    <t xml:space="preserve">EDIT</t>
  </si>
  <si>
    <t xml:space="preserve">(Deposit)</t>
  </si>
  <si>
    <t xml:space="preserve">Bank Deposit - ABA USD</t>
  </si>
  <si>
    <t xml:space="preserve">20520 Related Party PNP-Holding  -&gt;  Loan payable - responsAbility (NEW)</t>
  </si>
  <si>
    <t xml:space="preserve">The rA loan was recorded as if it came from a group company.</t>
  </si>
  <si>
    <t xml:space="preserve">20520 Related Party PNP-Holding  -&gt;  Loan payable - Healthier (NEW)</t>
  </si>
  <si>
    <t xml:space="preserve">The Healthier loan was recorded as if it came from a group company.</t>
  </si>
  <si>
    <t xml:space="preserve">(Expense)</t>
  </si>
  <si>
    <t xml:space="preserve">Bank payment - RHB USD</t>
  </si>
  <si>
    <t xml:space="preserve">66045 Interest Expense  -&gt;  20261 Interest payable - responsAbility</t>
  </si>
  <si>
    <t xml:space="preserve">This payment settled interest already accrued for Sep-22 to Mar-23 (part of it belongs to 2022).</t>
  </si>
  <si>
    <t xml:space="preserve">66045 Interest Expense  -&gt;  20260 Interest payable - Healthier</t>
  </si>
  <si>
    <t xml:space="preserve">Same as above, for Healthier.</t>
  </si>
  <si>
    <t xml:space="preserve">ADJ2305-002</t>
  </si>
  <si>
    <t xml:space="preserve">Interest lines: delete.  WHT line: 20010  -&gt;  63025 WTH 14% Non Deductible</t>
  </si>
  <si>
    <t xml:space="preserve">This entry mixes a wrong interest guess (29,158.96) with a real 14% WHT of 4,082.26 that was paid to the tax office.</t>
  </si>
  <si>
    <t xml:space="preserve">ADJ2306-001</t>
  </si>
  <si>
    <t xml:space="preserve">ADJ2307-001.</t>
  </si>
  <si>
    <t xml:space="preserve">20010 Operating Account Payable  -&gt;  63025 WTH 14% Non Deductible</t>
  </si>
  <si>
    <t xml:space="preserve">14% WHT on the lender interest, already paid to the tax office. Lenders were NOT paid less (gross-up clause), so it is the company's own tax cost.</t>
  </si>
  <si>
    <t xml:space="preserve">ADJ2308-001.</t>
  </si>
  <si>
    <t xml:space="preserve">ADJ2309-001</t>
  </si>
  <si>
    <t xml:space="preserve">ADJ2310-001</t>
  </si>
  <si>
    <t xml:space="preserve">ADJ2311-001</t>
  </si>
  <si>
    <t xml:space="preserve">ADJ2312-001.</t>
  </si>
  <si>
    <t xml:space="preserve">JAN24-002</t>
  </si>
  <si>
    <t xml:space="preserve">FEB24-002</t>
  </si>
  <si>
    <t xml:space="preserve">MAR24-031</t>
  </si>
  <si>
    <t xml:space="preserve">APR24-030</t>
  </si>
  <si>
    <t xml:space="preserve">MAY24-031</t>
  </si>
  <si>
    <t xml:space="preserve">JUN24-030</t>
  </si>
  <si>
    <t xml:space="preserve">JUL24-031</t>
  </si>
  <si>
    <t xml:space="preserve">ADJ2502-INT</t>
  </si>
  <si>
    <t xml:space="preserve">Bill</t>
  </si>
  <si>
    <t xml:space="preserve">800S interest for Jan-2025 booked as a bill in trade payables (20010) with the old amount. Not paid. Replaced by LOANINT-2501 in "Correcting Entries" tab (Jan-2025 800S interest = 9,019.33 in 20262).</t>
  </si>
  <si>
    <t xml:space="preserve">New Journal Entries to align with Loan &amp; Interest Schedule</t>
  </si>
  <si>
    <t xml:space="preserve">These entries are applied after we delete &amp; edit out the necessary entries mentioned in the "QuickBooks - Delete &amp; Edit" Tab</t>
  </si>
  <si>
    <t xml:space="preserve">To Establish the new loan from 800 SWM</t>
  </si>
  <si>
    <t xml:space="preserve">Journal Reference</t>
  </si>
  <si>
    <t xml:space="preserve">Account</t>
  </si>
  <si>
    <t xml:space="preserve">Debit</t>
  </si>
  <si>
    <t xml:space="preserve">Credit</t>
  </si>
  <si>
    <t xml:space="preserve">Memo</t>
  </si>
  <si>
    <t xml:space="preserve">800SWM-001</t>
  </si>
  <si>
    <t xml:space="preserve">20261 Interest payable - responsAbility</t>
  </si>
  <si>
    <t xml:space="preserve">800S paid 51% of the lenders' unpaid interest on our behalf (OCBC 13-Jun-2024). We now owe it to 800S.</t>
  </si>
  <si>
    <t xml:space="preserve">20260 Interest payable - Healthier</t>
  </si>
  <si>
    <t xml:space="preserve">20259 Shareholder loan - 800SWM</t>
  </si>
  <si>
    <t xml:space="preserve">800SWM-002</t>
  </si>
  <si>
    <t xml:space="preserve">20263 Loan payable - responsAbility</t>
  </si>
  <si>
    <t xml:space="preserve">800S paid 51% of each loan on our behalf (UOB 28-Jun-2024). We now owe it to 800S.</t>
  </si>
  <si>
    <t xml:space="preserve">20264 Loan payable - Healthier</t>
  </si>
  <si>
    <t xml:space="preserve">Total</t>
  </si>
  <si>
    <t xml:space="preserve">To establish the correct interest accruals</t>
  </si>
  <si>
    <t xml:space="preserve">Entry</t>
  </si>
  <si>
    <t xml:space="preserve">Where the amount comes from</t>
  </si>
  <si>
    <t xml:space="preserve">LOANINT-2209</t>
  </si>
  <si>
    <t xml:space="preserve">Interest for Sep 2022 (lenders)</t>
  </si>
  <si>
    <t xml:space="preserve">From the Loan &amp; Interest Schedule (Tab name: rAGMF_Monthly | FHL_Monthly | 800SWM)</t>
  </si>
  <si>
    <t xml:space="preserve">LOANINT-2210</t>
  </si>
  <si>
    <t xml:space="preserve">Interest for Oct 2022 (lenders)</t>
  </si>
  <si>
    <t xml:space="preserve">LOANINT-2211</t>
  </si>
  <si>
    <t xml:space="preserve">Interest for Nov 2022 (lenders)</t>
  </si>
  <si>
    <t xml:space="preserve">LOANINT-2212</t>
  </si>
  <si>
    <t xml:space="preserve">Interest for Dec 2022 (lenders)</t>
  </si>
  <si>
    <t xml:space="preserve">LOANINT-2301</t>
  </si>
  <si>
    <t xml:space="preserve">Interest for Jan 2023 (lenders)</t>
  </si>
  <si>
    <t xml:space="preserve">LOANINT-2302</t>
  </si>
  <si>
    <t xml:space="preserve">Interest for Feb 2023 (lenders)</t>
  </si>
  <si>
    <t xml:space="preserve">LOANINT-2303</t>
  </si>
  <si>
    <t xml:space="preserve">Interest for Mar 2023 (lenders)</t>
  </si>
  <si>
    <t xml:space="preserve">LOANINT-2304</t>
  </si>
  <si>
    <t xml:space="preserve">Interest for Apr 2023 (lenders)</t>
  </si>
  <si>
    <t xml:space="preserve">LOANINT-2305</t>
  </si>
  <si>
    <t xml:space="preserve">Interest for May 2023 (lenders)</t>
  </si>
  <si>
    <t xml:space="preserve">LOANINT-2306</t>
  </si>
  <si>
    <t xml:space="preserve">Interest for Jun 2023 (lenders)</t>
  </si>
  <si>
    <t xml:space="preserve">LOANINT-2307</t>
  </si>
  <si>
    <t xml:space="preserve">Interest for Jul 2023 (lenders)</t>
  </si>
  <si>
    <t xml:space="preserve">LOANINT-2308</t>
  </si>
  <si>
    <t xml:space="preserve">Interest for Aug 2023 (lenders)</t>
  </si>
  <si>
    <t xml:space="preserve">LOANINT-2309</t>
  </si>
  <si>
    <t xml:space="preserve">Interest for Sep 2023 (lenders, incl. 2% late interest)</t>
  </si>
  <si>
    <t xml:space="preserve">LOANINT-2310</t>
  </si>
  <si>
    <t xml:space="preserve">Interest for Oct 2023 (lenders, incl. 2% late interest)</t>
  </si>
  <si>
    <t xml:space="preserve">LOANINT-2311</t>
  </si>
  <si>
    <t xml:space="preserve">Interest for Nov 2023 (lenders, incl. 2% late interest)</t>
  </si>
  <si>
    <t xml:space="preserve">LOANINT-2312</t>
  </si>
  <si>
    <t xml:space="preserve">Interest for Dec 2023 (lenders, incl. 2% late interest)</t>
  </si>
  <si>
    <t xml:space="preserve">LOANINT-2401</t>
  </si>
  <si>
    <t xml:space="preserve">Interest for Jan 2024 (lenders, incl. 2% late interest)</t>
  </si>
  <si>
    <t xml:space="preserve">LOANINT-2402</t>
  </si>
  <si>
    <t xml:space="preserve">Interest for Feb 2024 (lenders, incl. 2% late interest)</t>
  </si>
  <si>
    <t xml:space="preserve">LOANINT-2403</t>
  </si>
  <si>
    <t xml:space="preserve">Interest for Mar 2024 (lenders, incl. 2% late interest)</t>
  </si>
  <si>
    <t xml:space="preserve">LOANINT-2404</t>
  </si>
  <si>
    <t xml:space="preserve">Interest for Apr 2024 (lenders, incl. 2% late interest)</t>
  </si>
  <si>
    <t xml:space="preserve">LOANINT-2405</t>
  </si>
  <si>
    <t xml:space="preserve">Interest for May 2024 (lenders, incl. 2% late interest)</t>
  </si>
  <si>
    <t xml:space="preserve">LOANINT-2406</t>
  </si>
  <si>
    <t xml:space="preserve">Interest for Jun 2024 (lenders + 800S)</t>
  </si>
  <si>
    <t xml:space="preserve">LOANINT-2407</t>
  </si>
  <si>
    <t xml:space="preserve">Interest for Jul 2024 (lenders + 800S)</t>
  </si>
  <si>
    <t xml:space="preserve">LOANINT-2408</t>
  </si>
  <si>
    <t xml:space="preserve">Interest for Aug 2024 (lenders + 800S)</t>
  </si>
  <si>
    <t xml:space="preserve">LOANINT-2409</t>
  </si>
  <si>
    <t xml:space="preserve">Interest for Sep 2024 (lenders + 800S)</t>
  </si>
  <si>
    <t xml:space="preserve">LOANINT-2410</t>
  </si>
  <si>
    <t xml:space="preserve">Interest for Oct 2024 (lenders + 800S)</t>
  </si>
  <si>
    <t xml:space="preserve">LOANINT-2411</t>
  </si>
  <si>
    <t xml:space="preserve">Interest for Nov 2024 (lenders + 800S)</t>
  </si>
  <si>
    <t xml:space="preserve">LOANINT-2412</t>
  </si>
  <si>
    <t xml:space="preserve">Interest for Dec 2024 (lenders + 800S)</t>
  </si>
  <si>
    <t xml:space="preserve">LOANINT-2501</t>
  </si>
  <si>
    <t xml:space="preserve">Interest for Jan 2025 (lenders + 800S)</t>
  </si>
  <si>
    <t xml:space="preserve">LOANINT-2502</t>
  </si>
  <si>
    <t xml:space="preserve">Interest for Feb 2025 (lenders + 800S)</t>
  </si>
  <si>
    <t xml:space="preserve">LOANINT-2503</t>
  </si>
  <si>
    <t xml:space="preserve">Interest for Mar 2025 (lenders + 800S)</t>
  </si>
  <si>
    <t xml:space="preserve">LOANINT-2504</t>
  </si>
  <si>
    <t xml:space="preserve">Interest for Apr 2025 (lenders + 800S)</t>
  </si>
  <si>
    <t xml:space="preserve">LOANINT-2505</t>
  </si>
  <si>
    <t xml:space="preserve">Interest for May 2025 (lenders + 800S)</t>
  </si>
  <si>
    <t xml:space="preserve">LOANINT-2506</t>
  </si>
  <si>
    <t xml:space="preserve">Interest for Jun 2025 (lenders + 800S)</t>
  </si>
  <si>
    <t xml:space="preserve">LOANINT-2507</t>
  </si>
  <si>
    <t xml:space="preserve">Interest for Jul 2025 (lenders + 800S)</t>
  </si>
  <si>
    <t xml:space="preserve">LOANINT-2508</t>
  </si>
  <si>
    <t xml:space="preserve">Interest for Aug 2025 (lenders + 800S)</t>
  </si>
  <si>
    <t xml:space="preserve">LOANINT-2509</t>
  </si>
  <si>
    <t xml:space="preserve">Interest for Sep 2025 (lenders + 800S)</t>
  </si>
  <si>
    <t xml:space="preserve">LOANINT-2510</t>
  </si>
  <si>
    <t xml:space="preserve">Interest for Oct 2025 (lenders + 800S)</t>
  </si>
  <si>
    <t xml:space="preserve">LOANINT-2511</t>
  </si>
  <si>
    <t xml:space="preserve">Interest for Nov 2025 (lenders + 800S)</t>
  </si>
  <si>
    <t xml:space="preserve">LOANINT-2512</t>
  </si>
  <si>
    <t xml:space="preserve">Interest for Dec 2025 (lenders + 800S)</t>
  </si>
  <si>
    <t xml:space="preserve">Totals by year</t>
  </si>
  <si>
    <t xml:space="preserve">Year 2022</t>
  </si>
  <si>
    <t xml:space="preserve">Year 2023</t>
  </si>
  <si>
    <t xml:space="preserve">Year 2024</t>
  </si>
  <si>
    <t xml:space="preserve">Year 2025</t>
  </si>
  <si>
    <t xml:space="preserve">Withholding Taxes</t>
  </si>
  <si>
    <t xml:space="preserve">Interest for the year</t>
  </si>
  <si>
    <t xml:space="preserve">WHT should be (÷0.86 × 14%)</t>
  </si>
  <si>
    <t xml:space="preserve">WHT already paid &amp; booked</t>
  </si>
  <si>
    <t xml:space="preserve">WHT still to book</t>
  </si>
  <si>
    <t xml:space="preserve">Entry: Dr 63025 WTH 14% Non Deductible / Cr 20220 WHT Payable 14%</t>
  </si>
  <si>
    <t xml:space="preserve">WHT-2022</t>
  </si>
  <si>
    <t xml:space="preserve">14% WHT on 2022 interest</t>
  </si>
  <si>
    <t xml:space="preserve">Nothing was booked for 2022.</t>
  </si>
  <si>
    <t xml:space="preserve">WHT-2023</t>
  </si>
  <si>
    <t xml:space="preserve">14% WHT on 2023 interest</t>
  </si>
  <si>
    <t xml:space="preserve">WHT-2024</t>
  </si>
  <si>
    <t xml:space="preserve">14% WHT on 2024 interest</t>
  </si>
  <si>
    <t xml:space="preserve">WHT-2025</t>
  </si>
  <si>
    <t xml:space="preserve">14% WHT on 2025 interest</t>
  </si>
  <si>
    <t xml:space="preserve">Nothing booked for 2025 yet - post as LOANWHT-25001 (Dr 63025 / Cr 20220).</t>
  </si>
  <si>
    <t xml:space="preserve">The amounts the company already paid (USD 74,668.47) were 14% of rough monthly guesses, not of the correct interest, and were not grossed up.</t>
  </si>
  <si>
    <t xml:space="preserve">Balances at 31-Dec-2024: QuickBooks now vs after clean-up</t>
  </si>
  <si>
    <t xml:space="preserve">Only the loan &amp; interest part of each account is shown. Liabilities shown as positive = amount owed. Excludes optional Part C (WHT top-up).</t>
  </si>
  <si>
    <t xml:space="preserve">QuickBooks now</t>
  </si>
  <si>
    <t xml:space="preserve">After clean-up</t>
  </si>
  <si>
    <t xml:space="preserve">Change</t>
  </si>
  <si>
    <t xml:space="preserve">Explanation</t>
  </si>
  <si>
    <t xml:space="preserve">Balance sheet - what the company owes</t>
  </si>
  <si>
    <t xml:space="preserve">20520 Related Party PNP-Holding (loan part only)</t>
  </si>
  <si>
    <t xml:space="preserve">Loans moved out: 3,000,000 received less 1,530,000 paid by 800S.</t>
  </si>
  <si>
    <t xml:space="preserve">Loan payable - responsAbility (NEW)</t>
  </si>
  <si>
    <t xml:space="preserve">1,500,000 less 765,000 paid by 800S.</t>
  </si>
  <si>
    <t xml:space="preserve">Loan payable - Healthier (NEW)</t>
  </si>
  <si>
    <t xml:space="preserve">20010 Operating Account Payable (lender interest part)</t>
  </si>
  <si>
    <t xml:space="preserve">Now: 316,881.39 guessed 2023 interest - 74,668.47 WHT - 215,676.83 LOAN24-001. After: nothing left in trade payables.</t>
  </si>
  <si>
    <t xml:space="preserve">No change in amount (only dates/accounts fixed).</t>
  </si>
  <si>
    <t xml:space="preserve">Interest 2022-2024 less paid (Mar-2023 78,155.75 and 800S 106,511.14). = client file 201,381.69.</t>
  </si>
  <si>
    <t xml:space="preserve">Interest 2022-2024 less paid (Mar-2023 75,648.08 and 800S 109,165.69). = client file 201,893.06.</t>
  </si>
  <si>
    <t xml:space="preserve">20262 Interest payable - 800SWM</t>
  </si>
  <si>
    <t xml:space="preserve">No change.</t>
  </si>
  <si>
    <t xml:space="preserve">Profit &amp; loss - cost by year</t>
  </si>
  <si>
    <t xml:space="preserve">66045 Interest Expense - 2022</t>
  </si>
  <si>
    <t xml:space="preserve">2022 interest was never booked.</t>
  </si>
  <si>
    <t xml:space="preserve">66045 Interest Expense - 2023</t>
  </si>
  <si>
    <t xml:space="preserve">Guesses and the full Mar-2023 payment replaced by lender figures.</t>
  </si>
  <si>
    <t xml:space="preserve">66045 Interest Expense - 2024</t>
  </si>
  <si>
    <t xml:space="preserve">Lender part lowered to actual lender rates; 800S part unchanged. (Excludes 744.96 overdraft interest.)</t>
  </si>
  <si>
    <t xml:space="preserve">63025 WTH 14% Non Deductible - 2023</t>
  </si>
  <si>
    <t xml:space="preserve">14% WHT already paid, moved out of 20010.</t>
  </si>
  <si>
    <t xml:space="preserve">63025 WTH 14% Non Deductible - 2024</t>
  </si>
  <si>
    <t xml:space="preserve">CHECK: change in liabilities</t>
  </si>
  <si>
    <t xml:space="preserve">CHECK: change in costs (P&amp;L)</t>
  </si>
  <si>
    <t xml:space="preserve">Difference (must be 0)</t>
  </si>
  <si>
    <t xml:space="preserve">Every extra dollar owed = an extra dollar of cost, so the clean-up balances.</t>
  </si>
  <si>
    <t xml:space="preserve">Tie-out to client file (lender interest owed at 31-Dec-2024)</t>
  </si>
  <si>
    <t xml:space="preserve">  responsAbility - after clean-up</t>
  </si>
  <si>
    <t xml:space="preserve">  responsAbility - client file (Year_End_Totals)</t>
  </si>
  <si>
    <t xml:space="preserve">  Difference</t>
  </si>
  <si>
    <t xml:space="preserve">  Healthier - after clean-up</t>
  </si>
  <si>
    <t xml:space="preserve">  Healthier - client file (Year_End_Totals)</t>
  </si>
  <si>
    <t xml:space="preserve">Option B - if 2022 and 2023 are already closed / audited</t>
  </si>
  <si>
    <t xml:space="preserve">Do NOT touch 2022-2023 transactions. Fix everything in one catch-up entry dated 01-Jan-2024. The 31-Dec-2024 balances end up exactly the same as Option A.</t>
  </si>
  <si>
    <t xml:space="preserve">Step 1 - In tab 2, only do these:</t>
  </si>
  <si>
    <t xml:space="preserve">DELETE: INT24-001 to INT24-012, LOAN24-001, LOAN24-002 (all 2024).</t>
  </si>
  <si>
    <t xml:space="preserve">EDIT: the 2024 WHT entries only (JAN24-002, FEB24-002, MAR24-031, APR24-030, MAY24-031, JUN24-030, JUL24-031): change the 20010 WHT line to 63025.</t>
  </si>
  <si>
    <t xml:space="preserve">Skip all 2022 and 2023 deletes/edits.</t>
  </si>
  <si>
    <t xml:space="preserve">Step 2 - Post these 2 catch-up entries dated 01-Jan-2024</t>
  </si>
  <si>
    <t xml:space="preserve">Why</t>
  </si>
  <si>
    <t xml:space="preserve">OB-01</t>
  </si>
  <si>
    <t xml:space="preserve">20520 Related Party PNP-Holding</t>
  </si>
  <si>
    <t xml:space="preserve">Take the loans out of the related-party account.</t>
  </si>
  <si>
    <t xml:space="preserve">Loan owed to rA.</t>
  </si>
  <si>
    <t xml:space="preserve">Loan owed to Healthier.</t>
  </si>
  <si>
    <t xml:space="preserve">OB-02</t>
  </si>
  <si>
    <t xml:space="preserve">20010 Operating Account Payable</t>
  </si>
  <si>
    <t xml:space="preserve">Clear the 2023 interest left in trade payables (316,881.39 guesses less 40,281.18 WHT).</t>
  </si>
  <si>
    <t xml:space="preserve">Retained Earnings (prior-year adjustment)</t>
  </si>
  <si>
    <t xml:space="preserve">Net effect on 2022-2023 profit: interest +94,455.62 (2022) -101,910.28 (2023) + WHT cost 40,281.18.</t>
  </si>
  <si>
    <t xml:space="preserve">Owed to rA at 31-Dec-2023 (client file).</t>
  </si>
  <si>
    <t xml:space="preserve">Owed to Healthier at 31-Dec-2023 (client file).</t>
  </si>
  <si>
    <t xml:space="preserve">Step 3 - Then post from tab 3:</t>
  </si>
  <si>
    <t xml:space="preserve">Part A (CE-01 and CE-02) - same as Option A.</t>
  </si>
  <si>
    <t xml:space="preserve">Part B - ONLY the 2024 rows (LOANINT-2401 to LOANINT-2412). Skip the 2022-2023 rows.</t>
  </si>
  <si>
    <t xml:space="preserve">Part C (optional WHT) - the 2022 and 2023 rows would also go to Retained Earnings instead of 63025.</t>
  </si>
  <si>
    <t xml:space="preserve">Tell the auditors: this is a prior-period correction (2022-2023 interest and loan classification).</t>
  </si>
</sst>
</file>

<file path=xl/styles.xml><?xml version="1.0" encoding="utf-8"?>
<styleSheet xmlns="http://schemas.openxmlformats.org/spreadsheetml/2006/main">
  <numFmts count="4">
    <numFmt numFmtId="164" formatCode="General"/>
    <numFmt numFmtId="165" formatCode="#,##0.00;\(#,##0.00\);\-"/>
    <numFmt numFmtId="166" formatCode="dd\-mmm\-yyyy"/>
    <numFmt numFmtId="167" formatCode="yyyy\-mm\-dd;@"/>
  </numFmts>
  <fonts count="22">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i val="true"/>
      <sz val="9"/>
      <color rgb="FF555555"/>
      <name val="Arial"/>
      <family val="2"/>
      <charset val="1"/>
    </font>
    <font>
      <b val="true"/>
      <sz val="11"/>
      <color rgb="FF1F3864"/>
      <name val="Arial"/>
      <family val="2"/>
      <charset val="1"/>
    </font>
    <font>
      <b val="true"/>
      <sz val="10"/>
      <name val="Arial"/>
      <family val="2"/>
      <charset val="1"/>
    </font>
    <font>
      <sz val="10"/>
      <name val="Arial"/>
      <family val="2"/>
      <charset val="1"/>
    </font>
    <font>
      <b val="true"/>
      <sz val="10"/>
      <color rgb="FFFFFFFF"/>
      <name val="Arial"/>
      <family val="2"/>
      <charset val="1"/>
    </font>
    <font>
      <sz val="9"/>
      <color theme="1"/>
      <name val="Arial"/>
      <family val="2"/>
      <charset val="1"/>
    </font>
    <font>
      <b val="true"/>
      <sz val="10"/>
      <color rgb="FF0432FF"/>
      <name val="Arial"/>
      <family val="2"/>
      <charset val="1"/>
    </font>
    <font>
      <sz val="11"/>
      <color theme="1"/>
      <name val="Georgia"/>
      <family val="1"/>
      <charset val="1"/>
    </font>
    <font>
      <b val="true"/>
      <sz val="14"/>
      <name val="Georgia"/>
      <family val="1"/>
      <charset val="1"/>
    </font>
    <font>
      <sz val="9"/>
      <color rgb="FFFF0000"/>
      <name val="Georgia"/>
      <family val="1"/>
      <charset val="1"/>
    </font>
    <font>
      <b val="true"/>
      <sz val="11"/>
      <color rgb="FF1F3864"/>
      <name val="Georgia"/>
      <family val="1"/>
      <charset val="1"/>
    </font>
    <font>
      <b val="true"/>
      <sz val="10"/>
      <color rgb="FF0432FF"/>
      <name val="Georgia"/>
      <family val="1"/>
      <charset val="1"/>
    </font>
    <font>
      <b val="true"/>
      <sz val="10"/>
      <name val="Georgia"/>
      <family val="1"/>
      <charset val="1"/>
    </font>
    <font>
      <sz val="10"/>
      <name val="Georgia"/>
      <family val="1"/>
      <charset val="1"/>
    </font>
    <font>
      <sz val="9"/>
      <color theme="1"/>
      <name val="Georgia"/>
      <family val="1"/>
      <charset val="1"/>
    </font>
    <font>
      <i val="true"/>
      <sz val="9"/>
      <color rgb="FF555555"/>
      <name val="Georgia"/>
      <family val="1"/>
      <charset val="1"/>
    </font>
    <font>
      <b val="true"/>
      <sz val="9"/>
      <color rgb="FFFF0000"/>
      <name val="Georgia"/>
      <family val="1"/>
      <charset val="1"/>
    </font>
  </fonts>
  <fills count="10">
    <fill>
      <patternFill patternType="none"/>
    </fill>
    <fill>
      <patternFill patternType="gray125"/>
    </fill>
    <fill>
      <patternFill patternType="solid">
        <fgColor rgb="FFBDD7EE"/>
        <bgColor rgb="FFD9D9D9"/>
      </patternFill>
    </fill>
    <fill>
      <patternFill patternType="solid">
        <fgColor rgb="FFC6EFCE"/>
        <bgColor rgb="FFD9D9D9"/>
      </patternFill>
    </fill>
    <fill>
      <patternFill patternType="solid">
        <fgColor rgb="FFFCE4D6"/>
        <bgColor rgb="FFFFF2CC"/>
      </patternFill>
    </fill>
    <fill>
      <patternFill patternType="solid">
        <fgColor rgb="FFEDEDED"/>
        <bgColor rgb="FFFCE4D6"/>
      </patternFill>
    </fill>
    <fill>
      <patternFill patternType="solid">
        <fgColor rgb="FF1F3864"/>
        <bgColor rgb="FF333333"/>
      </patternFill>
    </fill>
    <fill>
      <patternFill patternType="solid">
        <fgColor rgb="FFD9D9D9"/>
        <bgColor rgb="FFBDD7EE"/>
      </patternFill>
    </fill>
    <fill>
      <patternFill patternType="solid">
        <fgColor rgb="FFFFFF00"/>
        <bgColor rgb="FFFFFF00"/>
      </patternFill>
    </fill>
    <fill>
      <patternFill patternType="solid">
        <fgColor rgb="FFFFF2CC"/>
        <bgColor rgb="FFFCE4D6"/>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right style="thin"/>
      <top style="thin"/>
      <bottom style="thin"/>
      <diagonal/>
    </border>
    <border diagonalUp="false" diagonalDown="false">
      <left style="thin">
        <color rgb="FFBFBFBF"/>
      </left>
      <right style="thin">
        <color rgb="FFBFBFBF"/>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4" borderId="1" xfId="0" applyFont="true" applyBorder="true" applyAlignment="true" applyProtection="false">
      <alignment horizontal="center" vertical="top" textRotation="0" wrapText="false" indent="0" shrinkToFit="false"/>
      <protection locked="true" hidden="false"/>
    </xf>
    <xf numFmtId="164" fontId="7" fillId="5" borderId="1" xfId="0" applyFont="true" applyBorder="true" applyAlignment="true" applyProtection="false">
      <alignment horizontal="center" vertical="top" textRotation="0" wrapText="fals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top"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8"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5" fontId="8" fillId="3"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1" fillId="8" borderId="2"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8" fillId="0" borderId="3" xfId="0" applyFont="true" applyBorder="true" applyAlignment="true" applyProtection="false">
      <alignment horizontal="general" vertical="top" textRotation="0" wrapText="true" indent="0" shrinkToFit="false"/>
      <protection locked="true" hidden="false"/>
    </xf>
    <xf numFmtId="164" fontId="7" fillId="0" borderId="3" xfId="0" applyFont="true" applyBorder="true" applyAlignment="true" applyProtection="false">
      <alignment horizontal="general" vertical="top" textRotation="0" wrapText="true" indent="0" shrinkToFit="false"/>
      <protection locked="true" hidden="false"/>
    </xf>
    <xf numFmtId="166" fontId="8" fillId="0" borderId="3" xfId="0" applyFont="true" applyBorder="true" applyAlignment="true" applyProtection="false">
      <alignment horizontal="general" vertical="top" textRotation="0" wrapText="true" indent="0" shrinkToFit="false"/>
      <protection locked="true" hidden="false"/>
    </xf>
    <xf numFmtId="165" fontId="8" fillId="0" borderId="3"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8" borderId="3" xfId="0" applyFont="true" applyBorder="true" applyAlignment="true" applyProtection="false">
      <alignment horizontal="center" vertical="center" textRotation="0" wrapText="true" indent="0" shrinkToFit="false"/>
      <protection locked="true" hidden="false"/>
    </xf>
    <xf numFmtId="164" fontId="17" fillId="0" borderId="3" xfId="0" applyFont="true" applyBorder="true" applyAlignment="true" applyProtection="false">
      <alignment horizontal="general" vertical="center" textRotation="0" wrapText="true" indent="0" shrinkToFit="false"/>
      <protection locked="true" hidden="false"/>
    </xf>
    <xf numFmtId="166" fontId="18" fillId="0" borderId="3" xfId="0" applyFont="true" applyBorder="true" applyAlignment="true" applyProtection="false">
      <alignment horizontal="general" vertical="center" textRotation="0" wrapText="true" indent="0" shrinkToFit="false"/>
      <protection locked="true" hidden="false"/>
    </xf>
    <xf numFmtId="164" fontId="18" fillId="0" borderId="3" xfId="0" applyFont="true" applyBorder="true" applyAlignment="true" applyProtection="false">
      <alignment horizontal="general" vertical="center" textRotation="0" wrapText="true" indent="0" shrinkToFit="false"/>
      <protection locked="true" hidden="false"/>
    </xf>
    <xf numFmtId="165" fontId="18" fillId="0" borderId="3" xfId="0" applyFont="true" applyBorder="true" applyAlignment="true" applyProtection="false">
      <alignment horizontal="general" vertical="center" textRotation="0" wrapText="true" indent="0" shrinkToFit="false"/>
      <protection locked="true" hidden="false"/>
    </xf>
    <xf numFmtId="164" fontId="12" fillId="8" borderId="0" xfId="0" applyFont="true" applyBorder="false" applyAlignment="true" applyProtection="false">
      <alignment horizontal="general" vertical="center" textRotation="0" wrapText="false" indent="0" shrinkToFit="false"/>
      <protection locked="true" hidden="false"/>
    </xf>
    <xf numFmtId="164" fontId="17" fillId="7" borderId="4" xfId="0" applyFont="true" applyBorder="true" applyAlignment="true" applyProtection="false">
      <alignment horizontal="center" vertical="center" textRotation="0" wrapText="true" indent="0" shrinkToFit="false"/>
      <protection locked="true" hidden="false"/>
    </xf>
    <xf numFmtId="165" fontId="17" fillId="7" borderId="4" xfId="0" applyFont="true" applyBorder="true" applyAlignment="true" applyProtection="false">
      <alignment horizontal="center" vertical="center" textRotation="0" wrapText="true" indent="0" shrinkToFit="false"/>
      <protection locked="true" hidden="false"/>
    </xf>
    <xf numFmtId="167" fontId="18" fillId="0" borderId="3" xfId="0" applyFont="true" applyBorder="true" applyAlignment="true" applyProtection="false">
      <alignment horizontal="general" vertical="center" textRotation="0" wrapText="true" indent="0" shrinkToFit="false"/>
      <protection locked="true" hidden="false"/>
    </xf>
    <xf numFmtId="164" fontId="19" fillId="0" borderId="3" xfId="0" applyFont="true" applyBorder="true" applyAlignment="true" applyProtection="false">
      <alignment horizontal="general" vertical="center" textRotation="0" wrapText="true" indent="0" shrinkToFit="false"/>
      <protection locked="true" hidden="false"/>
    </xf>
    <xf numFmtId="164" fontId="17" fillId="7" borderId="4" xfId="0" applyFont="true" applyBorder="true" applyAlignment="true" applyProtection="false">
      <alignment horizontal="general" vertical="center" textRotation="0" wrapText="true" indent="0" shrinkToFit="false"/>
      <protection locked="true" hidden="false"/>
    </xf>
    <xf numFmtId="165" fontId="17" fillId="7" borderId="4"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5" fontId="18" fillId="0"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6" fontId="18" fillId="0"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17" fillId="7" borderId="1" xfId="0" applyFont="true" applyBorder="true" applyAlignment="true" applyProtection="false">
      <alignment horizontal="general" vertical="center" textRotation="0" wrapText="true" indent="0" shrinkToFit="false"/>
      <protection locked="true" hidden="false"/>
    </xf>
    <xf numFmtId="165" fontId="17" fillId="7" borderId="1" xfId="0" applyFont="true" applyBorder="true" applyAlignment="true" applyProtection="false">
      <alignment horizontal="general" vertical="center" textRotation="0" wrapText="tru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5" fontId="7" fillId="9"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false" indent="0" shrinkToFit="false"/>
      <protection locked="true" hidden="false"/>
    </xf>
    <xf numFmtId="166" fontId="8" fillId="0" borderId="1" xfId="0" applyFont="true" applyBorder="true" applyAlignment="true" applyProtection="false">
      <alignment horizontal="general" vertical="top" textRotation="0" wrapText="true" indent="0" shrinkToFit="false"/>
      <protection locked="true" hidden="false"/>
    </xf>
    <xf numFmtId="165" fontId="7"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432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18" hidden="false" customHeight="true" outlineLevel="0" collapsed="false">
      <c r="A1" s="2" t="s">
        <v>0</v>
      </c>
    </row>
    <row r="2" customFormat="false" ht="15" hidden="false" customHeight="true" outlineLevel="0" collapsed="false">
      <c r="A2" s="3" t="s">
        <v>1</v>
      </c>
    </row>
    <row r="5" customFormat="false" ht="15" hidden="false" customHeight="true" outlineLevel="0" collapsed="false">
      <c r="A5" s="4" t="s">
        <v>2</v>
      </c>
      <c r="B5" s="4"/>
    </row>
    <row r="6" customFormat="false" ht="15" hidden="false" customHeight="true" outlineLevel="0" collapsed="false">
      <c r="A6" s="5" t="s">
        <v>3</v>
      </c>
      <c r="B6" s="6" t="s">
        <v>4</v>
      </c>
    </row>
    <row r="7" customFormat="false" ht="15" hidden="false" customHeight="true" outlineLevel="0" collapsed="false">
      <c r="A7" s="5" t="s">
        <v>5</v>
      </c>
      <c r="B7" s="6" t="s">
        <v>6</v>
      </c>
    </row>
    <row r="8" customFormat="false" ht="15" hidden="false" customHeight="true" outlineLevel="0" collapsed="false">
      <c r="A8" s="5" t="s">
        <v>7</v>
      </c>
      <c r="B8" s="6" t="s">
        <v>8</v>
      </c>
    </row>
    <row r="9" customFormat="false" ht="15" hidden="false" customHeight="true" outlineLevel="0" collapsed="false">
      <c r="A9" s="5" t="s">
        <v>9</v>
      </c>
      <c r="B9" s="6" t="s">
        <v>10</v>
      </c>
    </row>
    <row r="10" customFormat="false" ht="30" hidden="false" customHeight="true" outlineLevel="0" collapsed="false">
      <c r="A10" s="5" t="s">
        <v>11</v>
      </c>
      <c r="B10" s="6" t="s">
        <v>12</v>
      </c>
    </row>
    <row r="12" customFormat="false" ht="15" hidden="false" customHeight="true" outlineLevel="0" collapsed="false">
      <c r="A12" s="4" t="s">
        <v>13</v>
      </c>
      <c r="B12" s="4"/>
    </row>
    <row r="13" customFormat="false" ht="15" hidden="false" customHeight="true" outlineLevel="0" collapsed="false">
      <c r="A13" s="7"/>
      <c r="B13" s="6" t="s">
        <v>14</v>
      </c>
    </row>
    <row r="14" customFormat="false" ht="15" hidden="false" customHeight="true" outlineLevel="0" collapsed="false">
      <c r="A14" s="8"/>
      <c r="B14" s="6" t="s">
        <v>15</v>
      </c>
    </row>
    <row r="15" customFormat="false" ht="15" hidden="false" customHeight="true" outlineLevel="0" collapsed="false">
      <c r="A15" s="9"/>
      <c r="B15" s="6" t="s">
        <v>16</v>
      </c>
    </row>
    <row r="16" customFormat="false" ht="15" hidden="false" customHeight="true" outlineLevel="0" collapsed="false">
      <c r="A16" s="10"/>
      <c r="B16" s="6" t="s">
        <v>17</v>
      </c>
    </row>
    <row r="18" customFormat="false" ht="15" hidden="false" customHeight="true" outlineLevel="0" collapsed="false">
      <c r="A18" s="4" t="s">
        <v>18</v>
      </c>
      <c r="B18" s="4"/>
    </row>
    <row r="19" customFormat="false" ht="30" hidden="false" customHeight="true" outlineLevel="0" collapsed="false">
      <c r="A19" s="5" t="s">
        <v>19</v>
      </c>
      <c r="B19" s="6" t="s">
        <v>20</v>
      </c>
    </row>
    <row r="20" customFormat="false" ht="30" hidden="false" customHeight="true" outlineLevel="0" collapsed="false">
      <c r="A20" s="5" t="s">
        <v>19</v>
      </c>
      <c r="B20" s="6" t="s">
        <v>21</v>
      </c>
    </row>
    <row r="21" customFormat="false" ht="30" hidden="false" customHeight="true" outlineLevel="0" collapsed="false">
      <c r="A21" s="5" t="s">
        <v>19</v>
      </c>
      <c r="B21" s="6" t="s">
        <v>22</v>
      </c>
    </row>
    <row r="22" customFormat="false" ht="30" hidden="false" customHeight="true" outlineLevel="0" collapsed="false">
      <c r="A22" s="5" t="s">
        <v>19</v>
      </c>
      <c r="B22" s="6" t="s">
        <v>23</v>
      </c>
    </row>
    <row r="23" customFormat="false" ht="30" hidden="false" customHeight="true" outlineLevel="0" collapsed="false">
      <c r="A23" s="5" t="s">
        <v>19</v>
      </c>
      <c r="B23" s="6" t="s">
        <v>24</v>
      </c>
    </row>
    <row r="25" customFormat="false" ht="15" hidden="false" customHeight="true" outlineLevel="0" collapsed="false">
      <c r="A25" s="4" t="s">
        <v>25</v>
      </c>
      <c r="B25" s="4"/>
    </row>
    <row r="26" customFormat="false" ht="30" hidden="false" customHeight="true" outlineLevel="0" collapsed="false">
      <c r="A26" s="5" t="s">
        <v>3</v>
      </c>
      <c r="B26" s="6" t="s">
        <v>26</v>
      </c>
    </row>
    <row r="27" customFormat="false" ht="15" hidden="false" customHeight="true" outlineLevel="0" collapsed="false">
      <c r="A27" s="5" t="s">
        <v>5</v>
      </c>
      <c r="B27" s="6" t="s">
        <v>27</v>
      </c>
    </row>
    <row r="28" customFormat="false" ht="30" hidden="false" customHeight="true" outlineLevel="0" collapsed="false">
      <c r="A28" s="5" t="s">
        <v>7</v>
      </c>
      <c r="B28" s="6" t="s">
        <v>28</v>
      </c>
    </row>
    <row r="29" customFormat="false" ht="30" hidden="false" customHeight="true" outlineLevel="0" collapsed="false">
      <c r="A29" s="5" t="s">
        <v>9</v>
      </c>
      <c r="B29" s="6" t="s">
        <v>29</v>
      </c>
    </row>
    <row r="30" customFormat="false" ht="30" hidden="false" customHeight="true" outlineLevel="0" collapsed="false">
      <c r="A30" s="5" t="s">
        <v>11</v>
      </c>
      <c r="B30" s="6" t="s">
        <v>30</v>
      </c>
    </row>
    <row r="31" customFormat="false" ht="75" hidden="false" customHeight="true" outlineLevel="0" collapsed="false">
      <c r="A31" s="5" t="s">
        <v>31</v>
      </c>
      <c r="B31" s="6" t="s">
        <v>32</v>
      </c>
    </row>
    <row r="33" customFormat="false" ht="15" hidden="false" customHeight="true" outlineLevel="0" collapsed="false">
      <c r="A33" s="4" t="s">
        <v>33</v>
      </c>
      <c r="B33" s="4"/>
    </row>
    <row r="34" customFormat="false" ht="30" hidden="false" customHeight="true" outlineLevel="0" collapsed="false">
      <c r="A34" s="5" t="s">
        <v>19</v>
      </c>
      <c r="B34" s="6" t="s">
        <v>34</v>
      </c>
    </row>
    <row r="35" customFormat="false" ht="30" hidden="false" customHeight="true" outlineLevel="0" collapsed="false">
      <c r="A35" s="5" t="s">
        <v>19</v>
      </c>
      <c r="B35" s="6" t="s">
        <v>35</v>
      </c>
    </row>
    <row r="36" customFormat="false" ht="15" hidden="false" customHeight="true" outlineLevel="0" collapsed="false">
      <c r="A36" s="5" t="s">
        <v>19</v>
      </c>
      <c r="B36" s="6" t="s">
        <v>36</v>
      </c>
    </row>
    <row r="38" customFormat="false" ht="15" hidden="false" customHeight="true" outlineLevel="0" collapsed="false">
      <c r="A38" s="4" t="s">
        <v>37</v>
      </c>
      <c r="B38" s="4"/>
    </row>
    <row r="39" customFormat="false" ht="30" hidden="false" customHeight="true" outlineLevel="0" collapsed="false">
      <c r="A39" s="5" t="s">
        <v>3</v>
      </c>
      <c r="B39" s="6" t="s">
        <v>38</v>
      </c>
    </row>
    <row r="40" customFormat="false" ht="30" hidden="false" customHeight="true" outlineLevel="0" collapsed="false">
      <c r="A40" s="5" t="s">
        <v>5</v>
      </c>
      <c r="B40" s="6" t="s">
        <v>39</v>
      </c>
    </row>
    <row r="41" customFormat="false" ht="30" hidden="false" customHeight="true" outlineLevel="0" collapsed="false">
      <c r="A41" s="5" t="s">
        <v>7</v>
      </c>
      <c r="B41" s="6" t="s">
        <v>40</v>
      </c>
    </row>
    <row r="42" customFormat="false" ht="30" hidden="false" customHeight="true" outlineLevel="0" collapsed="false">
      <c r="A42" s="5" t="s">
        <v>9</v>
      </c>
      <c r="B42" s="6" t="s">
        <v>41</v>
      </c>
    </row>
    <row r="43" customFormat="false" ht="30" hidden="false" customHeight="true" outlineLevel="0" collapsed="false">
      <c r="A43" s="5" t="s">
        <v>11</v>
      </c>
      <c r="B43" s="6" t="s">
        <v>42</v>
      </c>
    </row>
    <row r="44" customFormat="false" ht="30" hidden="false" customHeight="true" outlineLevel="0" collapsed="false">
      <c r="A44" s="5" t="s">
        <v>31</v>
      </c>
      <c r="B44" s="6" t="s">
        <v>43</v>
      </c>
    </row>
  </sheetData>
  <mergeCells count="6">
    <mergeCell ref="A5:B5"/>
    <mergeCell ref="A12:B12"/>
    <mergeCell ref="A18:B18"/>
    <mergeCell ref="A25:B25"/>
    <mergeCell ref="A33:B33"/>
    <mergeCell ref="A38:B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38"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1" width="5"/>
    <col collapsed="false" customWidth="true" hidden="false" outlineLevel="0" max="2" min="2" style="1" width="44"/>
    <col collapsed="false" customWidth="true" hidden="false" outlineLevel="0" max="4" min="3" style="1" width="20"/>
    <col collapsed="false" customWidth="true" hidden="false" outlineLevel="0" max="5" min="5" style="1" width="16"/>
    <col collapsed="false" customWidth="true" hidden="false" outlineLevel="0" max="6" min="6" style="1" width="14"/>
    <col collapsed="false" customWidth="true" hidden="false" outlineLevel="0" max="7" min="7" style="1" width="62"/>
  </cols>
  <sheetData>
    <row r="1" customFormat="false" ht="18" hidden="false" customHeight="true" outlineLevel="0" collapsed="false">
      <c r="A1" s="2" t="s">
        <v>44</v>
      </c>
    </row>
    <row r="2" customFormat="false" ht="15" hidden="false" customHeight="true" outlineLevel="0" collapsed="false">
      <c r="A2" s="3" t="s">
        <v>45</v>
      </c>
    </row>
    <row r="4" customFormat="false" ht="15" hidden="false" customHeight="true" outlineLevel="0" collapsed="false">
      <c r="A4" s="11" t="s">
        <v>46</v>
      </c>
      <c r="B4" s="11" t="s">
        <v>47</v>
      </c>
      <c r="C4" s="11" t="s">
        <v>48</v>
      </c>
      <c r="D4" s="11" t="s">
        <v>49</v>
      </c>
      <c r="E4" s="11" t="s">
        <v>50</v>
      </c>
      <c r="F4" s="11" t="s">
        <v>51</v>
      </c>
      <c r="G4" s="11" t="s">
        <v>52</v>
      </c>
    </row>
    <row r="5" customFormat="false" ht="15" hidden="false" customHeight="true" outlineLevel="0" collapsed="false">
      <c r="A5" s="12"/>
      <c r="B5" s="13" t="s">
        <v>53</v>
      </c>
      <c r="C5" s="12"/>
      <c r="D5" s="12"/>
      <c r="E5" s="12"/>
      <c r="F5" s="12"/>
      <c r="G5" s="12"/>
    </row>
    <row r="6" customFormat="false" ht="15" hidden="false" customHeight="true" outlineLevel="0" collapsed="false">
      <c r="A6" s="14" t="n">
        <v>1</v>
      </c>
      <c r="B6" s="15" t="s">
        <v>54</v>
      </c>
      <c r="C6" s="16" t="n">
        <v>1500000</v>
      </c>
      <c r="D6" s="16" t="n">
        <v>1500000</v>
      </c>
      <c r="E6" s="16" t="n">
        <f aca="false">C6-D6</f>
        <v>0</v>
      </c>
      <c r="F6" s="17" t="s">
        <v>55</v>
      </c>
      <c r="G6" s="15" t="s">
        <v>56</v>
      </c>
    </row>
    <row r="7" customFormat="false" ht="15" hidden="false" customHeight="true" outlineLevel="0" collapsed="false">
      <c r="A7" s="14" t="n">
        <v>2</v>
      </c>
      <c r="B7" s="15" t="s">
        <v>57</v>
      </c>
      <c r="C7" s="16" t="n">
        <v>1500000</v>
      </c>
      <c r="D7" s="16" t="n">
        <v>1500000</v>
      </c>
      <c r="E7" s="16" t="n">
        <f aca="false">C7-D7</f>
        <v>0</v>
      </c>
      <c r="F7" s="17" t="s">
        <v>55</v>
      </c>
      <c r="G7" s="15" t="s">
        <v>56</v>
      </c>
    </row>
    <row r="8" customFormat="false" ht="15" hidden="false" customHeight="true" outlineLevel="0" collapsed="false">
      <c r="A8" s="14" t="n">
        <v>3</v>
      </c>
      <c r="B8" s="15" t="s">
        <v>58</v>
      </c>
      <c r="C8" s="15" t="s">
        <v>59</v>
      </c>
      <c r="D8" s="15" t="s">
        <v>59</v>
      </c>
      <c r="E8" s="15"/>
      <c r="F8" s="17" t="s">
        <v>55</v>
      </c>
      <c r="G8" s="15" t="s">
        <v>60</v>
      </c>
    </row>
    <row r="9" customFormat="false" ht="15" hidden="false" customHeight="true" outlineLevel="0" collapsed="false">
      <c r="A9" s="14" t="n">
        <v>4</v>
      </c>
      <c r="B9" s="15" t="s">
        <v>61</v>
      </c>
      <c r="C9" s="16" t="n">
        <v>1485000</v>
      </c>
      <c r="D9" s="16" t="n">
        <v>1485000</v>
      </c>
      <c r="E9" s="16" t="n">
        <f aca="false">C9-D9</f>
        <v>0</v>
      </c>
      <c r="F9" s="17" t="s">
        <v>55</v>
      </c>
      <c r="G9" s="15" t="s">
        <v>62</v>
      </c>
    </row>
    <row r="10" customFormat="false" ht="15" hidden="false" customHeight="true" outlineLevel="0" collapsed="false">
      <c r="A10" s="14" t="n">
        <v>5</v>
      </c>
      <c r="B10" s="15" t="s">
        <v>63</v>
      </c>
      <c r="C10" s="16" t="n">
        <v>1499970</v>
      </c>
      <c r="D10" s="16" t="n">
        <v>1499970</v>
      </c>
      <c r="E10" s="16" t="n">
        <f aca="false">C10-D10</f>
        <v>0</v>
      </c>
      <c r="F10" s="17" t="s">
        <v>55</v>
      </c>
      <c r="G10" s="15" t="s">
        <v>64</v>
      </c>
    </row>
    <row r="11" customFormat="false" ht="15" hidden="false" customHeight="true" outlineLevel="0" collapsed="false">
      <c r="A11" s="14" t="n">
        <v>6</v>
      </c>
      <c r="B11" s="15" t="s">
        <v>65</v>
      </c>
      <c r="C11" s="16" t="n">
        <v>15000</v>
      </c>
      <c r="D11" s="16" t="n">
        <v>15000</v>
      </c>
      <c r="E11" s="16" t="n">
        <f aca="false">C11-D11</f>
        <v>0</v>
      </c>
      <c r="F11" s="17" t="s">
        <v>55</v>
      </c>
      <c r="G11" s="15" t="s">
        <v>66</v>
      </c>
    </row>
    <row r="12" customFormat="false" ht="15" hidden="false" customHeight="true" outlineLevel="0" collapsed="false">
      <c r="A12" s="14" t="n">
        <v>7</v>
      </c>
      <c r="B12" s="15" t="s">
        <v>67</v>
      </c>
      <c r="C12" s="15" t="s">
        <v>68</v>
      </c>
      <c r="D12" s="15" t="s">
        <v>68</v>
      </c>
      <c r="E12" s="15"/>
      <c r="F12" s="17" t="s">
        <v>55</v>
      </c>
      <c r="G12" s="15" t="s">
        <v>69</v>
      </c>
    </row>
    <row r="13" customFormat="false" ht="15" hidden="false" customHeight="true" outlineLevel="0" collapsed="false">
      <c r="A13" s="14" t="n">
        <v>8</v>
      </c>
      <c r="B13" s="15" t="s">
        <v>70</v>
      </c>
      <c r="C13" s="15" t="s">
        <v>71</v>
      </c>
      <c r="D13" s="15" t="s">
        <v>71</v>
      </c>
      <c r="E13" s="15"/>
      <c r="F13" s="17" t="s">
        <v>55</v>
      </c>
      <c r="G13" s="15" t="s">
        <v>69</v>
      </c>
    </row>
    <row r="14" customFormat="false" ht="27.75" hidden="false" customHeight="true" outlineLevel="0" collapsed="false">
      <c r="A14" s="14" t="n">
        <v>9</v>
      </c>
      <c r="B14" s="15" t="s">
        <v>72</v>
      </c>
      <c r="C14" s="15" t="s">
        <v>73</v>
      </c>
      <c r="D14" s="15" t="s">
        <v>73</v>
      </c>
      <c r="E14" s="15"/>
      <c r="F14" s="17" t="s">
        <v>55</v>
      </c>
      <c r="G14" s="15" t="s">
        <v>74</v>
      </c>
    </row>
    <row r="15" customFormat="false" ht="15" hidden="false" customHeight="true" outlineLevel="0" collapsed="false">
      <c r="A15" s="12"/>
      <c r="B15" s="13" t="s">
        <v>75</v>
      </c>
      <c r="C15" s="12"/>
      <c r="D15" s="12"/>
      <c r="E15" s="12"/>
      <c r="F15" s="12"/>
      <c r="G15" s="12"/>
    </row>
    <row r="16" customFormat="false" ht="15" hidden="false" customHeight="true" outlineLevel="0" collapsed="false">
      <c r="A16" s="14" t="n">
        <v>10</v>
      </c>
      <c r="B16" s="15" t="s">
        <v>76</v>
      </c>
      <c r="C16" s="16" t="n">
        <v>75648.08</v>
      </c>
      <c r="D16" s="16" t="n">
        <v>75648.08</v>
      </c>
      <c r="E16" s="16" t="n">
        <f aca="false">C16-D16</f>
        <v>0</v>
      </c>
      <c r="F16" s="17" t="s">
        <v>55</v>
      </c>
      <c r="G16" s="15" t="s">
        <v>69</v>
      </c>
    </row>
    <row r="17" customFormat="false" ht="23.25" hidden="false" customHeight="true" outlineLevel="0" collapsed="false">
      <c r="A17" s="14" t="n">
        <v>11</v>
      </c>
      <c r="B17" s="15" t="s">
        <v>77</v>
      </c>
      <c r="C17" s="16" t="n">
        <v>78155.75</v>
      </c>
      <c r="D17" s="16" t="n">
        <v>78155.75</v>
      </c>
      <c r="E17" s="16" t="n">
        <f aca="false">C17-D17</f>
        <v>0</v>
      </c>
      <c r="F17" s="17" t="s">
        <v>55</v>
      </c>
      <c r="G17" s="15" t="s">
        <v>78</v>
      </c>
    </row>
    <row r="18" customFormat="false" ht="15" hidden="false" customHeight="true" outlineLevel="0" collapsed="false">
      <c r="A18" s="14" t="n">
        <v>12</v>
      </c>
      <c r="B18" s="15" t="s">
        <v>79</v>
      </c>
      <c r="C18" s="16" t="n">
        <v>91458.57</v>
      </c>
      <c r="D18" s="16" t="n">
        <v>91458.57</v>
      </c>
      <c r="E18" s="16" t="n">
        <f aca="false">C18-D18</f>
        <v>0</v>
      </c>
      <c r="F18" s="17" t="s">
        <v>55</v>
      </c>
      <c r="G18" s="15" t="s">
        <v>69</v>
      </c>
    </row>
    <row r="19" customFormat="false" ht="15" hidden="false" customHeight="true" outlineLevel="0" collapsed="false">
      <c r="A19" s="14" t="n">
        <v>13</v>
      </c>
      <c r="B19" s="15" t="s">
        <v>80</v>
      </c>
      <c r="C19" s="16" t="n">
        <v>90529.74</v>
      </c>
      <c r="D19" s="16" t="n">
        <v>90529.74</v>
      </c>
      <c r="E19" s="16" t="n">
        <f aca="false">C19-D19</f>
        <v>0</v>
      </c>
      <c r="F19" s="17" t="s">
        <v>55</v>
      </c>
      <c r="G19" s="15" t="s">
        <v>69</v>
      </c>
    </row>
    <row r="20" customFormat="false" ht="15" hidden="false" customHeight="true" outlineLevel="0" collapsed="false">
      <c r="A20" s="14" t="n">
        <v>14</v>
      </c>
      <c r="B20" s="15" t="s">
        <v>81</v>
      </c>
      <c r="C20" s="16" t="n">
        <v>109165.69</v>
      </c>
      <c r="D20" s="16" t="n">
        <v>109165.69</v>
      </c>
      <c r="E20" s="16" t="n">
        <f aca="false">C20-D20</f>
        <v>0</v>
      </c>
      <c r="F20" s="17" t="s">
        <v>55</v>
      </c>
      <c r="G20" s="15" t="s">
        <v>82</v>
      </c>
    </row>
    <row r="21" customFormat="false" ht="15" hidden="false" customHeight="true" outlineLevel="0" collapsed="false">
      <c r="A21" s="14" t="n">
        <v>15</v>
      </c>
      <c r="B21" s="15" t="s">
        <v>83</v>
      </c>
      <c r="C21" s="16" t="n">
        <v>106511.14</v>
      </c>
      <c r="D21" s="16" t="n">
        <v>106511.14</v>
      </c>
      <c r="E21" s="16" t="n">
        <f aca="false">C21-D21</f>
        <v>0</v>
      </c>
      <c r="F21" s="17" t="s">
        <v>55</v>
      </c>
      <c r="G21" s="15" t="s">
        <v>84</v>
      </c>
    </row>
    <row r="22" customFormat="false" ht="15" hidden="false" customHeight="true" outlineLevel="0" collapsed="false">
      <c r="A22" s="14" t="n">
        <v>16</v>
      </c>
      <c r="B22" s="15" t="s">
        <v>85</v>
      </c>
      <c r="C22" s="16" t="n">
        <v>765000</v>
      </c>
      <c r="D22" s="16" t="n">
        <v>765000</v>
      </c>
      <c r="E22" s="16" t="n">
        <f aca="false">C22-D22</f>
        <v>0</v>
      </c>
      <c r="F22" s="17" t="s">
        <v>55</v>
      </c>
      <c r="G22" s="15" t="s">
        <v>86</v>
      </c>
    </row>
    <row r="23" customFormat="false" ht="15" hidden="false" customHeight="true" outlineLevel="0" collapsed="false">
      <c r="A23" s="14" t="n">
        <v>17</v>
      </c>
      <c r="B23" s="15" t="s">
        <v>87</v>
      </c>
      <c r="C23" s="16" t="n">
        <v>735000</v>
      </c>
      <c r="D23" s="16" t="n">
        <v>735000</v>
      </c>
      <c r="E23" s="16" t="n">
        <f aca="false">C23-D23</f>
        <v>0</v>
      </c>
      <c r="F23" s="17" t="s">
        <v>55</v>
      </c>
      <c r="G23" s="15" t="s">
        <v>88</v>
      </c>
    </row>
    <row r="24" customFormat="false" ht="15" hidden="false" customHeight="true" outlineLevel="0" collapsed="false">
      <c r="A24" s="14" t="n">
        <v>18</v>
      </c>
      <c r="B24" s="15" t="s">
        <v>89</v>
      </c>
      <c r="C24" s="16" t="n">
        <v>1745676.83</v>
      </c>
      <c r="D24" s="16" t="n">
        <v>1745676.83</v>
      </c>
      <c r="E24" s="16" t="n">
        <f aca="false">C24-D24</f>
        <v>0</v>
      </c>
      <c r="F24" s="17" t="s">
        <v>55</v>
      </c>
      <c r="G24" s="15" t="s">
        <v>90</v>
      </c>
    </row>
    <row r="25" customFormat="false" ht="15" hidden="false" customHeight="true" outlineLevel="0" collapsed="false">
      <c r="A25" s="12"/>
      <c r="B25" s="13" t="s">
        <v>91</v>
      </c>
      <c r="C25" s="12"/>
      <c r="D25" s="12"/>
      <c r="E25" s="12"/>
      <c r="F25" s="12"/>
      <c r="G25" s="12"/>
    </row>
    <row r="26" customFormat="false" ht="15" hidden="false" customHeight="true" outlineLevel="0" collapsed="false">
      <c r="A26" s="14" t="n">
        <v>19</v>
      </c>
      <c r="B26" s="15" t="s">
        <v>92</v>
      </c>
      <c r="C26" s="16" t="n">
        <v>192181.77</v>
      </c>
      <c r="D26" s="16" t="n">
        <v>192181.77</v>
      </c>
      <c r="E26" s="16" t="n">
        <f aca="false">C26-D26</f>
        <v>0</v>
      </c>
      <c r="F26" s="17" t="s">
        <v>55</v>
      </c>
      <c r="G26" s="15" t="s">
        <v>93</v>
      </c>
    </row>
    <row r="27" customFormat="false" ht="15" hidden="false" customHeight="true" outlineLevel="0" collapsed="false">
      <c r="A27" s="14" t="n">
        <v>20</v>
      </c>
      <c r="B27" s="15" t="s">
        <v>94</v>
      </c>
      <c r="C27" s="16" t="n">
        <v>16663.6</v>
      </c>
      <c r="D27" s="16" t="n">
        <v>16663.6</v>
      </c>
      <c r="E27" s="16" t="n">
        <f aca="false">C27-D27</f>
        <v>0</v>
      </c>
      <c r="F27" s="17" t="s">
        <v>55</v>
      </c>
      <c r="G27" s="15" t="s">
        <v>69</v>
      </c>
    </row>
    <row r="28" customFormat="false" ht="15" hidden="false" customHeight="true" outlineLevel="0" collapsed="false">
      <c r="A28" s="14" t="n">
        <v>21</v>
      </c>
      <c r="B28" s="15" t="s">
        <v>95</v>
      </c>
      <c r="C28" s="16" t="n">
        <v>16992.36</v>
      </c>
      <c r="D28" s="16" t="n">
        <v>16992.36</v>
      </c>
      <c r="E28" s="16" t="n">
        <f aca="false">C28-D28</f>
        <v>0</v>
      </c>
      <c r="F28" s="17" t="s">
        <v>55</v>
      </c>
      <c r="G28" s="15" t="s">
        <v>69</v>
      </c>
    </row>
    <row r="29" customFormat="false" ht="27.75" hidden="false" customHeight="true" outlineLevel="0" collapsed="false">
      <c r="A29" s="18" t="n">
        <v>22</v>
      </c>
      <c r="B29" s="19" t="s">
        <v>96</v>
      </c>
      <c r="C29" s="20" t="n">
        <v>195086.71</v>
      </c>
      <c r="D29" s="20" t="n">
        <v>197058.01</v>
      </c>
      <c r="E29" s="20" t="n">
        <f aca="false">C29-D29</f>
        <v>-1971.30000000002</v>
      </c>
      <c r="F29" s="21" t="s">
        <v>97</v>
      </c>
      <c r="G29" s="19" t="s">
        <v>98</v>
      </c>
    </row>
    <row r="30" customFormat="false" ht="15" hidden="false" customHeight="true" outlineLevel="0" collapsed="false">
      <c r="A30" s="12"/>
      <c r="B30" s="13" t="s">
        <v>99</v>
      </c>
      <c r="C30" s="12"/>
      <c r="D30" s="12"/>
      <c r="E30" s="12"/>
      <c r="F30" s="12"/>
      <c r="G30" s="12"/>
    </row>
    <row r="31" customFormat="false" ht="15" hidden="false" customHeight="true" outlineLevel="0" collapsed="false">
      <c r="A31" s="14" t="n">
        <v>23</v>
      </c>
      <c r="B31" s="15" t="s">
        <v>100</v>
      </c>
      <c r="C31" s="16" t="n">
        <v>47227.81</v>
      </c>
      <c r="D31" s="16" t="n">
        <v>47227.81</v>
      </c>
      <c r="E31" s="16" t="n">
        <f aca="false">C31-D31</f>
        <v>0</v>
      </c>
      <c r="F31" s="17" t="s">
        <v>55</v>
      </c>
      <c r="G31" s="15" t="s">
        <v>69</v>
      </c>
    </row>
    <row r="32" customFormat="false" ht="15" hidden="false" customHeight="true" outlineLevel="0" collapsed="false">
      <c r="A32" s="14" t="n">
        <v>24</v>
      </c>
      <c r="B32" s="15" t="s">
        <v>101</v>
      </c>
      <c r="C32" s="16" t="n">
        <v>47227.81</v>
      </c>
      <c r="D32" s="16" t="n">
        <v>47227.81</v>
      </c>
      <c r="E32" s="16" t="n">
        <f aca="false">C32-D32</f>
        <v>0</v>
      </c>
      <c r="F32" s="17" t="s">
        <v>55</v>
      </c>
      <c r="G32" s="15" t="s">
        <v>69</v>
      </c>
    </row>
    <row r="33" customFormat="false" ht="42" hidden="false" customHeight="true" outlineLevel="0" collapsed="false">
      <c r="A33" s="18" t="n">
        <v>25</v>
      </c>
      <c r="B33" s="19" t="s">
        <v>102</v>
      </c>
      <c r="C33" s="20" t="n">
        <v>184772.83</v>
      </c>
      <c r="D33" s="20" t="n">
        <v>184702.79</v>
      </c>
      <c r="E33" s="20" t="n">
        <f aca="false">C33-D33</f>
        <v>70.0399999999791</v>
      </c>
      <c r="F33" s="21" t="s">
        <v>97</v>
      </c>
      <c r="G33" s="19" t="s">
        <v>103</v>
      </c>
    </row>
    <row r="34" customFormat="false" ht="15" hidden="false" customHeight="true" outlineLevel="0" collapsed="false">
      <c r="A34" s="18" t="n">
        <v>26</v>
      </c>
      <c r="B34" s="19" t="s">
        <v>104</v>
      </c>
      <c r="C34" s="20" t="n">
        <v>184002.11</v>
      </c>
      <c r="D34" s="20" t="n">
        <v>183931.16</v>
      </c>
      <c r="E34" s="20" t="n">
        <f aca="false">C34-D34</f>
        <v>70.9499999999825</v>
      </c>
      <c r="F34" s="21" t="s">
        <v>97</v>
      </c>
      <c r="G34" s="19" t="s">
        <v>105</v>
      </c>
    </row>
    <row r="35" customFormat="false" ht="27.75" hidden="false" customHeight="true" outlineLevel="0" collapsed="false">
      <c r="A35" s="18" t="n">
        <v>27</v>
      </c>
      <c r="B35" s="19" t="s">
        <v>106</v>
      </c>
      <c r="C35" s="20" t="n">
        <v>154706.19</v>
      </c>
      <c r="D35" s="20" t="n">
        <v>171965.15</v>
      </c>
      <c r="E35" s="20" t="n">
        <f aca="false">C35-D35</f>
        <v>-17258.96</v>
      </c>
      <c r="F35" s="21" t="s">
        <v>97</v>
      </c>
      <c r="G35" s="19" t="s">
        <v>107</v>
      </c>
    </row>
    <row r="36" customFormat="false" ht="15" hidden="false" customHeight="true" outlineLevel="0" collapsed="false">
      <c r="A36" s="18" t="n">
        <v>28</v>
      </c>
      <c r="B36" s="19" t="s">
        <v>108</v>
      </c>
      <c r="C36" s="20" t="n">
        <v>154818.66</v>
      </c>
      <c r="D36" s="20" t="n">
        <v>156337.69</v>
      </c>
      <c r="E36" s="20" t="n">
        <f aca="false">C36-D36</f>
        <v>-1519.03</v>
      </c>
      <c r="F36" s="21" t="s">
        <v>97</v>
      </c>
      <c r="G36" s="19" t="s">
        <v>109</v>
      </c>
    </row>
    <row r="37" customFormat="false" ht="15" hidden="false" customHeight="true" outlineLevel="0" collapsed="false">
      <c r="A37" s="18" t="n">
        <v>29</v>
      </c>
      <c r="B37" s="19" t="s">
        <v>110</v>
      </c>
      <c r="C37" s="20" t="n">
        <v>95192.37</v>
      </c>
      <c r="D37" s="20" t="n">
        <v>116935.81</v>
      </c>
      <c r="E37" s="20" t="n">
        <f aca="false">C37-D37</f>
        <v>-21743.44</v>
      </c>
      <c r="F37" s="21" t="s">
        <v>97</v>
      </c>
      <c r="G37" s="19" t="s">
        <v>111</v>
      </c>
    </row>
    <row r="38" customFormat="false" ht="15" hidden="false" customHeight="true" outlineLevel="0" collapsed="false">
      <c r="A38" s="18" t="n">
        <v>30</v>
      </c>
      <c r="B38" s="19" t="s">
        <v>112</v>
      </c>
      <c r="C38" s="20" t="n">
        <v>95034.22</v>
      </c>
      <c r="D38" s="20" t="n">
        <v>102905.45</v>
      </c>
      <c r="E38" s="20" t="n">
        <f aca="false">C38-D38</f>
        <v>-7871.23</v>
      </c>
      <c r="F38" s="21" t="s">
        <v>97</v>
      </c>
      <c r="G38" s="19" t="s">
        <v>111</v>
      </c>
    </row>
    <row r="39" customFormat="false" ht="15" hidden="false" customHeight="true" outlineLevel="0" collapsed="false">
      <c r="A39" s="18" t="n">
        <v>31</v>
      </c>
      <c r="B39" s="19" t="s">
        <v>113</v>
      </c>
      <c r="C39" s="20" t="n">
        <v>201893.06</v>
      </c>
      <c r="D39" s="20" t="n">
        <v>219081.98</v>
      </c>
      <c r="E39" s="20" t="n">
        <f aca="false">C39-D39</f>
        <v>-17188.92</v>
      </c>
      <c r="F39" s="21" t="s">
        <v>97</v>
      </c>
      <c r="G39" s="19" t="s">
        <v>114</v>
      </c>
    </row>
    <row r="40" customFormat="false" ht="15" hidden="false" customHeight="true" outlineLevel="0" collapsed="false">
      <c r="A40" s="18" t="n">
        <v>32</v>
      </c>
      <c r="B40" s="19" t="s">
        <v>115</v>
      </c>
      <c r="C40" s="20" t="n">
        <v>201381.69</v>
      </c>
      <c r="D40" s="20" t="n">
        <v>202829.77</v>
      </c>
      <c r="E40" s="20" t="n">
        <f aca="false">C40-D40</f>
        <v>-1448.07999999999</v>
      </c>
      <c r="F40" s="21" t="s">
        <v>97</v>
      </c>
      <c r="G40" s="19" t="s">
        <v>114</v>
      </c>
    </row>
    <row r="41" customFormat="false" ht="15" hidden="false" customHeight="true" outlineLevel="0" collapsed="false">
      <c r="A41" s="12"/>
      <c r="B41" s="13" t="s">
        <v>116</v>
      </c>
      <c r="C41" s="12"/>
      <c r="D41" s="12"/>
      <c r="E41" s="12"/>
      <c r="F41" s="12"/>
      <c r="G41" s="12"/>
    </row>
    <row r="42" customFormat="false" ht="27.75" hidden="false" customHeight="true" outlineLevel="0" collapsed="false">
      <c r="A42" s="22" t="n">
        <v>33</v>
      </c>
      <c r="B42" s="23" t="s">
        <v>117</v>
      </c>
      <c r="C42" s="23" t="s">
        <v>118</v>
      </c>
      <c r="D42" s="23" t="s">
        <v>119</v>
      </c>
      <c r="E42" s="23"/>
      <c r="F42" s="24" t="s">
        <v>120</v>
      </c>
      <c r="G42" s="23" t="s">
        <v>121</v>
      </c>
    </row>
    <row r="43" customFormat="false" ht="27.75" hidden="false" customHeight="true" outlineLevel="0" collapsed="false">
      <c r="A43" s="22" t="n">
        <v>34</v>
      </c>
      <c r="B43" s="23" t="s">
        <v>122</v>
      </c>
      <c r="C43" s="23" t="s">
        <v>123</v>
      </c>
      <c r="D43" s="23" t="s">
        <v>124</v>
      </c>
      <c r="E43" s="23"/>
      <c r="F43" s="24" t="s">
        <v>120</v>
      </c>
      <c r="G43" s="23" t="s">
        <v>125</v>
      </c>
    </row>
    <row r="44" customFormat="false" ht="27.75" hidden="false" customHeight="true" outlineLevel="0" collapsed="false">
      <c r="A44" s="22" t="n">
        <v>35</v>
      </c>
      <c r="B44" s="23" t="s">
        <v>126</v>
      </c>
      <c r="C44" s="23" t="s">
        <v>127</v>
      </c>
      <c r="D44" s="23" t="s">
        <v>124</v>
      </c>
      <c r="E44" s="23"/>
      <c r="F44" s="24" t="s">
        <v>120</v>
      </c>
      <c r="G44" s="23" t="s">
        <v>128</v>
      </c>
    </row>
    <row r="45" customFormat="false" ht="27.75" hidden="false" customHeight="true" outlineLevel="0" collapsed="false">
      <c r="A45" s="22" t="n">
        <v>36</v>
      </c>
      <c r="B45" s="23" t="s">
        <v>129</v>
      </c>
      <c r="C45" s="25" t="n">
        <v>182876.04</v>
      </c>
      <c r="D45" s="23"/>
      <c r="E45" s="23"/>
      <c r="F45" s="24" t="s">
        <v>120</v>
      </c>
      <c r="G45" s="23" t="s">
        <v>130</v>
      </c>
    </row>
    <row r="46" customFormat="false" ht="27.75" hidden="false" customHeight="true" outlineLevel="0" collapsed="false">
      <c r="A46" s="22" t="n">
        <v>37</v>
      </c>
      <c r="B46" s="23" t="s">
        <v>131</v>
      </c>
      <c r="C46" s="25" t="n">
        <v>684589.1</v>
      </c>
      <c r="D46" s="23"/>
      <c r="E46" s="23"/>
      <c r="F46" s="24" t="s">
        <v>120</v>
      </c>
      <c r="G46" s="23" t="s">
        <v>132</v>
      </c>
    </row>
    <row r="47" customFormat="false" ht="27.75" hidden="false" customHeight="true" outlineLevel="0" collapsed="false">
      <c r="A47" s="22" t="n">
        <v>38</v>
      </c>
      <c r="B47" s="23" t="s">
        <v>133</v>
      </c>
      <c r="C47" s="25" t="n">
        <v>2202977.49</v>
      </c>
      <c r="D47" s="23"/>
      <c r="E47" s="23"/>
      <c r="F47" s="24" t="s">
        <v>120</v>
      </c>
      <c r="G47" s="23" t="s">
        <v>134</v>
      </c>
    </row>
    <row r="48" customFormat="false" ht="27.75" hidden="false" customHeight="true" outlineLevel="0" collapsed="false">
      <c r="A48" s="22" t="n">
        <v>39</v>
      </c>
      <c r="B48" s="23" t="s">
        <v>135</v>
      </c>
      <c r="C48" s="25" t="n">
        <v>519656.72</v>
      </c>
      <c r="D48" s="23"/>
      <c r="E48" s="23"/>
      <c r="F48" s="24" t="s">
        <v>120</v>
      </c>
      <c r="G48" s="23" t="s">
        <v>136</v>
      </c>
    </row>
    <row r="49" customFormat="false" ht="27.75" hidden="false" customHeight="true" outlineLevel="0" collapsed="false">
      <c r="A49" s="22" t="n">
        <v>40</v>
      </c>
      <c r="B49" s="23" t="s">
        <v>137</v>
      </c>
      <c r="C49" s="25" t="n">
        <v>210826.52</v>
      </c>
      <c r="D49" s="23"/>
      <c r="E49" s="23"/>
      <c r="F49" s="24" t="s">
        <v>120</v>
      </c>
      <c r="G49" s="23" t="s">
        <v>138</v>
      </c>
    </row>
    <row r="50" customFormat="false" ht="27.75" hidden="false" customHeight="true" outlineLevel="0" collapsed="false">
      <c r="A50" s="22" t="n">
        <v>41</v>
      </c>
      <c r="B50" s="23" t="s">
        <v>139</v>
      </c>
      <c r="C50" s="23" t="s">
        <v>140</v>
      </c>
      <c r="D50" s="23" t="s">
        <v>141</v>
      </c>
      <c r="E50" s="23"/>
      <c r="F50" s="24" t="s">
        <v>120</v>
      </c>
      <c r="G50" s="23" t="s">
        <v>142</v>
      </c>
    </row>
    <row r="51" customFormat="false" ht="42" hidden="false" customHeight="true" outlineLevel="0" collapsed="false">
      <c r="A51" s="22" t="n">
        <v>42</v>
      </c>
      <c r="B51" s="23" t="s">
        <v>143</v>
      </c>
      <c r="C51" s="23" t="s">
        <v>144</v>
      </c>
      <c r="D51" s="23" t="s">
        <v>145</v>
      </c>
      <c r="E51" s="23"/>
      <c r="F51" s="24" t="s">
        <v>120</v>
      </c>
      <c r="G51" s="23" t="s">
        <v>146</v>
      </c>
    </row>
    <row r="52" customFormat="false" ht="42" hidden="false" customHeight="true" outlineLevel="0" collapsed="false">
      <c r="A52" s="22" t="n">
        <v>43</v>
      </c>
      <c r="B52" s="23" t="s">
        <v>147</v>
      </c>
      <c r="C52" s="23" t="s">
        <v>148</v>
      </c>
      <c r="D52" s="23" t="s">
        <v>141</v>
      </c>
      <c r="E52" s="23"/>
      <c r="F52" s="24" t="s">
        <v>120</v>
      </c>
      <c r="G52" s="23" t="s">
        <v>149</v>
      </c>
    </row>
    <row r="53" customFormat="false" ht="27.75" hidden="false" customHeight="true" outlineLevel="0" collapsed="false">
      <c r="A53" s="22" t="n">
        <v>44</v>
      </c>
      <c r="B53" s="23" t="s">
        <v>150</v>
      </c>
      <c r="C53" s="25" t="n">
        <v>1185433.84</v>
      </c>
      <c r="D53" s="23"/>
      <c r="E53" s="23"/>
      <c r="F53" s="24" t="s">
        <v>120</v>
      </c>
      <c r="G53" s="23" t="s">
        <v>151</v>
      </c>
    </row>
    <row r="54" customFormat="false" ht="15" hidden="false" customHeight="true" outlineLevel="0" collapsed="false">
      <c r="A54" s="12"/>
      <c r="B54" s="13" t="s">
        <v>152</v>
      </c>
      <c r="C54" s="12"/>
      <c r="D54" s="12"/>
      <c r="E54" s="12"/>
      <c r="F54" s="12"/>
      <c r="G54" s="12"/>
    </row>
    <row r="55" customFormat="false" ht="27.75" hidden="false" customHeight="true" outlineLevel="0" collapsed="false">
      <c r="A55" s="26" t="n">
        <v>45</v>
      </c>
      <c r="B55" s="27" t="s">
        <v>153</v>
      </c>
      <c r="C55" s="27" t="s">
        <v>154</v>
      </c>
      <c r="D55" s="27" t="s">
        <v>155</v>
      </c>
      <c r="E55" s="27"/>
      <c r="F55" s="28" t="s">
        <v>156</v>
      </c>
      <c r="G55" s="27" t="s">
        <v>157</v>
      </c>
    </row>
    <row r="56" customFormat="false" ht="15" hidden="false" customHeight="true" outlineLevel="0" collapsed="false">
      <c r="A56" s="26" t="n">
        <v>46</v>
      </c>
      <c r="B56" s="27" t="s">
        <v>158</v>
      </c>
      <c r="C56" s="27" t="s">
        <v>154</v>
      </c>
      <c r="D56" s="27" t="s">
        <v>159</v>
      </c>
      <c r="E56" s="27"/>
      <c r="F56" s="28" t="s">
        <v>156</v>
      </c>
      <c r="G56" s="27" t="s">
        <v>160</v>
      </c>
    </row>
    <row r="57" customFormat="false" ht="15" hidden="false" customHeight="true" outlineLevel="0" collapsed="false">
      <c r="A57" s="26" t="n">
        <v>47</v>
      </c>
      <c r="B57" s="27" t="s">
        <v>161</v>
      </c>
      <c r="C57" s="27" t="s">
        <v>154</v>
      </c>
      <c r="D57" s="27" t="s">
        <v>162</v>
      </c>
      <c r="E57" s="27"/>
      <c r="F57" s="28" t="s">
        <v>156</v>
      </c>
      <c r="G57" s="27" t="s">
        <v>163</v>
      </c>
    </row>
    <row r="58" customFormat="false" ht="15" hidden="false" customHeight="true" outlineLevel="0" collapsed="false">
      <c r="A58" s="26" t="n">
        <v>48</v>
      </c>
      <c r="B58" s="27" t="s">
        <v>164</v>
      </c>
      <c r="C58" s="27" t="s">
        <v>154</v>
      </c>
      <c r="D58" s="27" t="s">
        <v>162</v>
      </c>
      <c r="E58" s="27"/>
      <c r="F58" s="28" t="s">
        <v>156</v>
      </c>
      <c r="G58" s="27" t="s">
        <v>165</v>
      </c>
    </row>
    <row r="60" customFormat="false" ht="15" hidden="false" customHeight="true" outlineLevel="0" collapsed="false">
      <c r="B60" s="29" t="s">
        <v>166</v>
      </c>
    </row>
    <row r="61" customFormat="false" ht="15" hidden="false" customHeight="true" outlineLevel="0" collapsed="false">
      <c r="B61" s="15" t="s">
        <v>55</v>
      </c>
      <c r="C61" s="6" t="n">
        <f aca="false">COUNTIF($F$5:$F$58,B61)</f>
        <v>23</v>
      </c>
    </row>
    <row r="62" customFormat="false" ht="15" hidden="false" customHeight="true" outlineLevel="0" collapsed="false">
      <c r="B62" s="23" t="s">
        <v>120</v>
      </c>
      <c r="C62" s="6" t="n">
        <f aca="false">COUNTIF($F$5:$F$58,B62)</f>
        <v>12</v>
      </c>
    </row>
    <row r="63" customFormat="false" ht="15" hidden="false" customHeight="true" outlineLevel="0" collapsed="false">
      <c r="B63" s="19" t="s">
        <v>97</v>
      </c>
      <c r="C63" s="6" t="n">
        <f aca="false">COUNTIF($F$5:$F$58,B63)</f>
        <v>9</v>
      </c>
    </row>
    <row r="64" customFormat="false" ht="15" hidden="false" customHeight="true" outlineLevel="0" collapsed="false">
      <c r="B64" s="27" t="s">
        <v>156</v>
      </c>
      <c r="C64" s="6" t="n">
        <f aca="false">COUNTIF($F$5:$F$58,B64)</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32FF"/>
    <pageSetUpPr fitToPage="true"/>
  </sheetPr>
  <dimension ref="A1:J45"/>
  <sheetViews>
    <sheetView showFormulas="false" showGridLines="false" showRowColHeaders="true" showZeros="true" rightToLeft="false" tabSelected="true" showOutlineSymbols="true" defaultGridColor="true" view="normal" topLeftCell="A1" colorId="64" zoomScale="140" zoomScaleNormal="140" zoomScalePageLayoutView="100" workbookViewId="0">
      <pane xSplit="0" ySplit="4" topLeftCell="A43" activePane="bottomLeft" state="frozen"/>
      <selection pane="topLeft" activeCell="A1" activeCellId="0" sqref="A1"/>
      <selection pane="bottomLeft" activeCell="E54" activeCellId="0" sqref="E54"/>
    </sheetView>
  </sheetViews>
  <sheetFormatPr defaultColWidth="8.66796875" defaultRowHeight="15" zeroHeight="false" outlineLevelRow="0" outlineLevelCol="0"/>
  <cols>
    <col collapsed="false" customWidth="true" hidden="false" outlineLevel="0" max="1" min="1" style="1" width="5"/>
    <col collapsed="false" customWidth="true" hidden="false" outlineLevel="0" max="2" min="2" style="1" width="11"/>
    <col collapsed="false" customWidth="true" hidden="false" outlineLevel="0" max="3" min="3" style="1" width="12"/>
    <col collapsed="false" customWidth="true" hidden="false" outlineLevel="0" max="4" min="4" style="1" width="16"/>
    <col collapsed="false" customWidth="true" hidden="false" outlineLevel="0" max="5" min="5" style="1" width="15"/>
    <col collapsed="false" customWidth="true" hidden="false" outlineLevel="0" max="6" min="6" style="1" width="40"/>
    <col collapsed="false" customWidth="true" hidden="false" outlineLevel="0" max="7" min="7" style="1" width="14"/>
    <col collapsed="false" customWidth="true" hidden="false" outlineLevel="0" max="8" min="8" style="1" width="46"/>
    <col collapsed="false" customWidth="true" hidden="false" outlineLevel="0" max="9" min="9" style="1" width="40"/>
    <col collapsed="false" customWidth="true" hidden="false" outlineLevel="0" max="10" min="10" style="1" width="11"/>
  </cols>
  <sheetData>
    <row r="1" customFormat="false" ht="18" hidden="false" customHeight="true" outlineLevel="0" collapsed="false">
      <c r="A1" s="2" t="s">
        <v>167</v>
      </c>
    </row>
    <row r="2" customFormat="false" ht="15" hidden="false" customHeight="true" outlineLevel="0" collapsed="false">
      <c r="A2" s="30" t="s">
        <v>168</v>
      </c>
    </row>
    <row r="4" customFormat="false" ht="15" hidden="false" customHeight="true" outlineLevel="0" collapsed="false">
      <c r="A4" s="31" t="s">
        <v>46</v>
      </c>
      <c r="B4" s="32" t="s">
        <v>169</v>
      </c>
      <c r="C4" s="32" t="s">
        <v>170</v>
      </c>
      <c r="D4" s="32" t="s">
        <v>171</v>
      </c>
      <c r="E4" s="32" t="s">
        <v>172</v>
      </c>
      <c r="F4" s="32" t="s">
        <v>173</v>
      </c>
      <c r="G4" s="32" t="s">
        <v>174</v>
      </c>
      <c r="H4" s="33" t="s">
        <v>175</v>
      </c>
      <c r="I4" s="34"/>
      <c r="J4" s="34"/>
    </row>
    <row r="5" customFormat="false" ht="42" hidden="false" customHeight="true" outlineLevel="0" collapsed="false">
      <c r="A5" s="35" t="n">
        <v>1</v>
      </c>
      <c r="B5" s="36" t="s">
        <v>176</v>
      </c>
      <c r="C5" s="37" t="n">
        <v>45046</v>
      </c>
      <c r="D5" s="35" t="s">
        <v>177</v>
      </c>
      <c r="E5" s="35" t="s">
        <v>178</v>
      </c>
      <c r="F5" s="35" t="s">
        <v>179</v>
      </c>
      <c r="G5" s="38" t="n">
        <v>29158.96</v>
      </c>
      <c r="H5" s="35" t="s">
        <v>180</v>
      </c>
      <c r="I5" s="39"/>
      <c r="J5" s="39"/>
    </row>
    <row r="6" customFormat="false" ht="42" hidden="false" customHeight="true" outlineLevel="0" collapsed="false">
      <c r="A6" s="35" t="n">
        <v>2</v>
      </c>
      <c r="B6" s="36" t="s">
        <v>176</v>
      </c>
      <c r="C6" s="37" t="n">
        <v>45138</v>
      </c>
      <c r="D6" s="35" t="s">
        <v>181</v>
      </c>
      <c r="E6" s="35" t="s">
        <v>178</v>
      </c>
      <c r="F6" s="35" t="s">
        <v>179</v>
      </c>
      <c r="G6" s="38" t="n">
        <v>29158.96</v>
      </c>
      <c r="H6" s="35" t="s">
        <v>180</v>
      </c>
      <c r="I6" s="39"/>
      <c r="J6" s="39"/>
    </row>
    <row r="7" customFormat="false" ht="42" hidden="false" customHeight="true" outlineLevel="0" collapsed="false">
      <c r="A7" s="35" t="n">
        <v>3</v>
      </c>
      <c r="B7" s="36" t="s">
        <v>176</v>
      </c>
      <c r="C7" s="37" t="n">
        <v>45169</v>
      </c>
      <c r="D7" s="35" t="s">
        <v>182</v>
      </c>
      <c r="E7" s="35" t="s">
        <v>178</v>
      </c>
      <c r="F7" s="35" t="s">
        <v>179</v>
      </c>
      <c r="G7" s="38" t="n">
        <v>29158.96</v>
      </c>
      <c r="H7" s="35" t="s">
        <v>180</v>
      </c>
      <c r="I7" s="39"/>
      <c r="J7" s="39"/>
    </row>
    <row r="8" customFormat="false" ht="42" hidden="false" customHeight="true" outlineLevel="0" collapsed="false">
      <c r="A8" s="35" t="n">
        <v>4</v>
      </c>
      <c r="B8" s="36" t="s">
        <v>176</v>
      </c>
      <c r="C8" s="37" t="n">
        <v>45199</v>
      </c>
      <c r="D8" s="35" t="s">
        <v>183</v>
      </c>
      <c r="E8" s="35" t="s">
        <v>178</v>
      </c>
      <c r="F8" s="35" t="s">
        <v>179</v>
      </c>
      <c r="G8" s="38" t="n">
        <v>65819.47</v>
      </c>
      <c r="H8" s="35" t="s">
        <v>180</v>
      </c>
      <c r="I8" s="39"/>
      <c r="J8" s="39"/>
    </row>
    <row r="9" customFormat="false" ht="42" hidden="false" customHeight="true" outlineLevel="0" collapsed="false">
      <c r="A9" s="35" t="n">
        <v>5</v>
      </c>
      <c r="B9" s="36" t="s">
        <v>176</v>
      </c>
      <c r="C9" s="37" t="n">
        <v>45229</v>
      </c>
      <c r="D9" s="35" t="s">
        <v>184</v>
      </c>
      <c r="E9" s="35" t="s">
        <v>178</v>
      </c>
      <c r="F9" s="35" t="s">
        <v>179</v>
      </c>
      <c r="G9" s="38" t="n">
        <v>35089.04</v>
      </c>
      <c r="H9" s="35" t="s">
        <v>180</v>
      </c>
      <c r="I9" s="39"/>
      <c r="J9" s="39"/>
    </row>
    <row r="10" customFormat="false" ht="42" hidden="false" customHeight="true" outlineLevel="0" collapsed="false">
      <c r="A10" s="35" t="n">
        <v>6</v>
      </c>
      <c r="B10" s="36" t="s">
        <v>176</v>
      </c>
      <c r="C10" s="37" t="n">
        <v>45260</v>
      </c>
      <c r="D10" s="35" t="s">
        <v>185</v>
      </c>
      <c r="E10" s="35" t="s">
        <v>178</v>
      </c>
      <c r="F10" s="35" t="s">
        <v>179</v>
      </c>
      <c r="G10" s="38" t="n">
        <v>35089.04</v>
      </c>
      <c r="H10" s="35" t="s">
        <v>180</v>
      </c>
      <c r="I10" s="39"/>
      <c r="J10" s="39"/>
    </row>
    <row r="11" customFormat="false" ht="42" hidden="false" customHeight="true" outlineLevel="0" collapsed="false">
      <c r="A11" s="35" t="n">
        <v>7</v>
      </c>
      <c r="B11" s="36" t="s">
        <v>176</v>
      </c>
      <c r="C11" s="37" t="n">
        <v>45291</v>
      </c>
      <c r="D11" s="35" t="s">
        <v>186</v>
      </c>
      <c r="E11" s="35" t="s">
        <v>178</v>
      </c>
      <c r="F11" s="35" t="s">
        <v>179</v>
      </c>
      <c r="G11" s="38" t="n">
        <v>35089.04</v>
      </c>
      <c r="H11" s="35" t="s">
        <v>180</v>
      </c>
      <c r="I11" s="39"/>
      <c r="J11" s="39"/>
    </row>
    <row r="12" customFormat="false" ht="42" hidden="false" customHeight="true" outlineLevel="0" collapsed="false">
      <c r="A12" s="35" t="n">
        <v>8</v>
      </c>
      <c r="B12" s="36" t="s">
        <v>176</v>
      </c>
      <c r="C12" s="37" t="n">
        <v>45322</v>
      </c>
      <c r="D12" s="35" t="s">
        <v>187</v>
      </c>
      <c r="E12" s="35" t="s">
        <v>178</v>
      </c>
      <c r="F12" s="35" t="s">
        <v>188</v>
      </c>
      <c r="G12" s="38" t="n">
        <v>36203.78</v>
      </c>
      <c r="H12" s="35" t="s">
        <v>189</v>
      </c>
      <c r="I12" s="39"/>
      <c r="J12" s="39"/>
    </row>
    <row r="13" customFormat="false" ht="42" hidden="false" customHeight="true" outlineLevel="0" collapsed="false">
      <c r="A13" s="35" t="n">
        <v>9</v>
      </c>
      <c r="B13" s="36" t="s">
        <v>176</v>
      </c>
      <c r="C13" s="37" t="n">
        <v>45351</v>
      </c>
      <c r="D13" s="35" t="s">
        <v>190</v>
      </c>
      <c r="E13" s="35" t="s">
        <v>178</v>
      </c>
      <c r="F13" s="35" t="s">
        <v>188</v>
      </c>
      <c r="G13" s="38" t="n">
        <v>33868.04</v>
      </c>
      <c r="H13" s="35" t="s">
        <v>189</v>
      </c>
      <c r="I13" s="39"/>
      <c r="J13" s="39"/>
    </row>
    <row r="14" customFormat="false" ht="42" hidden="false" customHeight="true" outlineLevel="0" collapsed="false">
      <c r="A14" s="35" t="n">
        <v>10</v>
      </c>
      <c r="B14" s="36" t="s">
        <v>176</v>
      </c>
      <c r="C14" s="37" t="n">
        <v>45382</v>
      </c>
      <c r="D14" s="35" t="s">
        <v>191</v>
      </c>
      <c r="E14" s="35" t="s">
        <v>178</v>
      </c>
      <c r="F14" s="35" t="s">
        <v>188</v>
      </c>
      <c r="G14" s="38" t="n">
        <v>37407.8</v>
      </c>
      <c r="H14" s="35" t="s">
        <v>189</v>
      </c>
      <c r="I14" s="39"/>
      <c r="J14" s="39"/>
    </row>
    <row r="15" customFormat="false" ht="42" hidden="false" customHeight="true" outlineLevel="0" collapsed="false">
      <c r="A15" s="35" t="n">
        <v>11</v>
      </c>
      <c r="B15" s="36" t="s">
        <v>176</v>
      </c>
      <c r="C15" s="37" t="n">
        <v>45412</v>
      </c>
      <c r="D15" s="35" t="s">
        <v>192</v>
      </c>
      <c r="E15" s="35" t="s">
        <v>178</v>
      </c>
      <c r="F15" s="35" t="s">
        <v>188</v>
      </c>
      <c r="G15" s="38" t="n">
        <v>36776.27</v>
      </c>
      <c r="H15" s="35" t="s">
        <v>189</v>
      </c>
      <c r="I15" s="39"/>
      <c r="J15" s="39"/>
    </row>
    <row r="16" customFormat="false" ht="42" hidden="false" customHeight="true" outlineLevel="0" collapsed="false">
      <c r="A16" s="35" t="n">
        <v>12</v>
      </c>
      <c r="B16" s="36" t="s">
        <v>176</v>
      </c>
      <c r="C16" s="37" t="n">
        <v>45443</v>
      </c>
      <c r="D16" s="35" t="s">
        <v>193</v>
      </c>
      <c r="E16" s="35" t="s">
        <v>178</v>
      </c>
      <c r="F16" s="35" t="s">
        <v>188</v>
      </c>
      <c r="G16" s="38" t="n">
        <v>38000.89</v>
      </c>
      <c r="H16" s="35" t="s">
        <v>189</v>
      </c>
      <c r="I16" s="39"/>
      <c r="J16" s="39"/>
    </row>
    <row r="17" customFormat="false" ht="42" hidden="false" customHeight="true" outlineLevel="0" collapsed="false">
      <c r="A17" s="35" t="n">
        <v>13</v>
      </c>
      <c r="B17" s="36" t="s">
        <v>176</v>
      </c>
      <c r="C17" s="37" t="n">
        <v>45473</v>
      </c>
      <c r="D17" s="35" t="s">
        <v>194</v>
      </c>
      <c r="E17" s="35" t="s">
        <v>178</v>
      </c>
      <c r="F17" s="35" t="s">
        <v>188</v>
      </c>
      <c r="G17" s="38" t="n">
        <v>36106.61</v>
      </c>
      <c r="H17" s="35" t="s">
        <v>189</v>
      </c>
      <c r="I17" s="39"/>
      <c r="J17" s="39"/>
    </row>
    <row r="18" customFormat="false" ht="42" hidden="false" customHeight="true" outlineLevel="0" collapsed="false">
      <c r="A18" s="35" t="n">
        <v>14</v>
      </c>
      <c r="B18" s="36" t="s">
        <v>176</v>
      </c>
      <c r="C18" s="37" t="n">
        <v>45504</v>
      </c>
      <c r="D18" s="35" t="s">
        <v>195</v>
      </c>
      <c r="E18" s="35" t="s">
        <v>178</v>
      </c>
      <c r="F18" s="35" t="s">
        <v>188</v>
      </c>
      <c r="G18" s="38" t="n">
        <v>27639.77</v>
      </c>
      <c r="H18" s="35" t="s">
        <v>189</v>
      </c>
      <c r="I18" s="39"/>
      <c r="J18" s="39"/>
    </row>
    <row r="19" customFormat="false" ht="42" hidden="false" customHeight="true" outlineLevel="0" collapsed="false">
      <c r="A19" s="35" t="n">
        <v>15</v>
      </c>
      <c r="B19" s="36" t="s">
        <v>176</v>
      </c>
      <c r="C19" s="37" t="n">
        <v>45535</v>
      </c>
      <c r="D19" s="35" t="s">
        <v>196</v>
      </c>
      <c r="E19" s="35" t="s">
        <v>178</v>
      </c>
      <c r="F19" s="35" t="s">
        <v>188</v>
      </c>
      <c r="G19" s="38" t="n">
        <v>27639.77</v>
      </c>
      <c r="H19" s="35" t="s">
        <v>189</v>
      </c>
      <c r="I19" s="39"/>
      <c r="J19" s="39"/>
    </row>
    <row r="20" customFormat="false" ht="42" hidden="false" customHeight="true" outlineLevel="0" collapsed="false">
      <c r="A20" s="35" t="n">
        <v>16</v>
      </c>
      <c r="B20" s="36" t="s">
        <v>176</v>
      </c>
      <c r="C20" s="37" t="n">
        <v>45565</v>
      </c>
      <c r="D20" s="35" t="s">
        <v>197</v>
      </c>
      <c r="E20" s="35" t="s">
        <v>178</v>
      </c>
      <c r="F20" s="35" t="s">
        <v>188</v>
      </c>
      <c r="G20" s="38" t="n">
        <v>26748.17</v>
      </c>
      <c r="H20" s="35" t="s">
        <v>189</v>
      </c>
      <c r="I20" s="39"/>
      <c r="J20" s="39"/>
    </row>
    <row r="21" customFormat="false" ht="42" hidden="false" customHeight="true" outlineLevel="0" collapsed="false">
      <c r="A21" s="35" t="n">
        <v>17</v>
      </c>
      <c r="B21" s="36" t="s">
        <v>176</v>
      </c>
      <c r="C21" s="37" t="n">
        <v>45596</v>
      </c>
      <c r="D21" s="35" t="s">
        <v>198</v>
      </c>
      <c r="E21" s="35" t="s">
        <v>178</v>
      </c>
      <c r="F21" s="35" t="s">
        <v>188</v>
      </c>
      <c r="G21" s="38" t="n">
        <v>27639.77</v>
      </c>
      <c r="H21" s="35" t="s">
        <v>189</v>
      </c>
      <c r="I21" s="39"/>
      <c r="J21" s="39"/>
    </row>
    <row r="22" customFormat="false" ht="42" hidden="false" customHeight="true" outlineLevel="0" collapsed="false">
      <c r="A22" s="35" t="n">
        <v>18</v>
      </c>
      <c r="B22" s="36" t="s">
        <v>176</v>
      </c>
      <c r="C22" s="37" t="n">
        <v>45626</v>
      </c>
      <c r="D22" s="35" t="s">
        <v>199</v>
      </c>
      <c r="E22" s="35" t="s">
        <v>178</v>
      </c>
      <c r="F22" s="35" t="s">
        <v>188</v>
      </c>
      <c r="G22" s="38" t="n">
        <v>26748.17</v>
      </c>
      <c r="H22" s="35" t="s">
        <v>189</v>
      </c>
      <c r="I22" s="39"/>
      <c r="J22" s="39"/>
    </row>
    <row r="23" customFormat="false" ht="42" hidden="false" customHeight="true" outlineLevel="0" collapsed="false">
      <c r="A23" s="35" t="n">
        <v>19</v>
      </c>
      <c r="B23" s="36" t="s">
        <v>176</v>
      </c>
      <c r="C23" s="37" t="n">
        <v>45657</v>
      </c>
      <c r="D23" s="35" t="s">
        <v>200</v>
      </c>
      <c r="E23" s="35" t="s">
        <v>178</v>
      </c>
      <c r="F23" s="35" t="s">
        <v>188</v>
      </c>
      <c r="G23" s="38" t="n">
        <v>27639.77</v>
      </c>
      <c r="H23" s="35" t="s">
        <v>189</v>
      </c>
      <c r="I23" s="39"/>
      <c r="J23" s="39"/>
    </row>
    <row r="24" customFormat="false" ht="42" hidden="false" customHeight="true" outlineLevel="0" collapsed="false">
      <c r="A24" s="35" t="n">
        <v>20</v>
      </c>
      <c r="B24" s="36" t="s">
        <v>176</v>
      </c>
      <c r="C24" s="37" t="n">
        <v>45473</v>
      </c>
      <c r="D24" s="35" t="s">
        <v>201</v>
      </c>
      <c r="E24" s="35" t="s">
        <v>178</v>
      </c>
      <c r="F24" s="35" t="s">
        <v>202</v>
      </c>
      <c r="G24" s="38" t="n">
        <v>215676.83</v>
      </c>
      <c r="H24" s="35" t="s">
        <v>203</v>
      </c>
      <c r="I24" s="39"/>
      <c r="J24" s="39"/>
    </row>
    <row r="25" customFormat="false" ht="42" hidden="false" customHeight="true" outlineLevel="0" collapsed="false">
      <c r="A25" s="35" t="n">
        <v>21</v>
      </c>
      <c r="B25" s="36" t="s">
        <v>176</v>
      </c>
      <c r="C25" s="37" t="n">
        <v>45473</v>
      </c>
      <c r="D25" s="35" t="s">
        <v>204</v>
      </c>
      <c r="E25" s="35" t="s">
        <v>178</v>
      </c>
      <c r="F25" s="35" t="s">
        <v>205</v>
      </c>
      <c r="G25" s="38" t="n">
        <v>1530000</v>
      </c>
      <c r="H25" s="35" t="s">
        <v>206</v>
      </c>
      <c r="I25" s="39"/>
      <c r="J25" s="39"/>
    </row>
    <row r="26" customFormat="false" ht="27.75" hidden="false" customHeight="true" outlineLevel="0" collapsed="false">
      <c r="A26" s="35" t="n">
        <v>22</v>
      </c>
      <c r="B26" s="36" t="s">
        <v>207</v>
      </c>
      <c r="C26" s="37" t="n">
        <v>44816</v>
      </c>
      <c r="D26" s="35" t="s">
        <v>208</v>
      </c>
      <c r="E26" s="35" t="s">
        <v>209</v>
      </c>
      <c r="F26" s="35" t="s">
        <v>210</v>
      </c>
      <c r="G26" s="38" t="n">
        <v>1500000</v>
      </c>
      <c r="H26" s="35" t="s">
        <v>211</v>
      </c>
      <c r="I26" s="39"/>
      <c r="J26" s="39"/>
    </row>
    <row r="27" customFormat="false" ht="27.75" hidden="false" customHeight="true" outlineLevel="0" collapsed="false">
      <c r="A27" s="35" t="n">
        <v>23</v>
      </c>
      <c r="B27" s="36" t="s">
        <v>207</v>
      </c>
      <c r="C27" s="37" t="n">
        <v>44816</v>
      </c>
      <c r="D27" s="35" t="s">
        <v>208</v>
      </c>
      <c r="E27" s="35" t="s">
        <v>209</v>
      </c>
      <c r="F27" s="35" t="s">
        <v>212</v>
      </c>
      <c r="G27" s="38" t="n">
        <v>1500000</v>
      </c>
      <c r="H27" s="35" t="s">
        <v>213</v>
      </c>
      <c r="I27" s="39"/>
      <c r="J27" s="39"/>
    </row>
    <row r="28" customFormat="false" ht="27.75" hidden="false" customHeight="true" outlineLevel="0" collapsed="false">
      <c r="A28" s="35" t="n">
        <v>24</v>
      </c>
      <c r="B28" s="36" t="s">
        <v>207</v>
      </c>
      <c r="C28" s="37" t="n">
        <v>44992</v>
      </c>
      <c r="D28" s="35" t="s">
        <v>214</v>
      </c>
      <c r="E28" s="35" t="s">
        <v>215</v>
      </c>
      <c r="F28" s="35" t="s">
        <v>216</v>
      </c>
      <c r="G28" s="38" t="n">
        <v>75648.08</v>
      </c>
      <c r="H28" s="35" t="s">
        <v>217</v>
      </c>
      <c r="I28" s="39"/>
      <c r="J28" s="39"/>
    </row>
    <row r="29" customFormat="false" ht="27.75" hidden="false" customHeight="true" outlineLevel="0" collapsed="false">
      <c r="A29" s="35" t="n">
        <v>25</v>
      </c>
      <c r="B29" s="36" t="s">
        <v>207</v>
      </c>
      <c r="C29" s="37" t="n">
        <v>44995</v>
      </c>
      <c r="D29" s="35" t="s">
        <v>214</v>
      </c>
      <c r="E29" s="35" t="s">
        <v>215</v>
      </c>
      <c r="F29" s="35" t="s">
        <v>218</v>
      </c>
      <c r="G29" s="38" t="n">
        <v>78155.75</v>
      </c>
      <c r="H29" s="35" t="s">
        <v>219</v>
      </c>
      <c r="I29" s="39"/>
      <c r="J29" s="39"/>
    </row>
    <row r="30" customFormat="false" ht="42" hidden="false" customHeight="true" outlineLevel="0" collapsed="false">
      <c r="A30" s="35" t="n">
        <v>26</v>
      </c>
      <c r="B30" s="36" t="s">
        <v>207</v>
      </c>
      <c r="C30" s="37" t="n">
        <v>45077</v>
      </c>
      <c r="D30" s="35" t="s">
        <v>220</v>
      </c>
      <c r="E30" s="35" t="s">
        <v>178</v>
      </c>
      <c r="F30" s="35" t="s">
        <v>221</v>
      </c>
      <c r="G30" s="38" t="n">
        <v>29158.96</v>
      </c>
      <c r="H30" s="35" t="s">
        <v>222</v>
      </c>
      <c r="I30" s="39"/>
      <c r="J30" s="39"/>
    </row>
    <row r="31" customFormat="false" ht="42" hidden="false" customHeight="true" outlineLevel="0" collapsed="false">
      <c r="A31" s="35" t="n">
        <v>27</v>
      </c>
      <c r="B31" s="36" t="s">
        <v>207</v>
      </c>
      <c r="C31" s="37" t="n">
        <v>45107</v>
      </c>
      <c r="D31" s="35" t="s">
        <v>223</v>
      </c>
      <c r="E31" s="35" t="s">
        <v>178</v>
      </c>
      <c r="F31" s="35" t="s">
        <v>221</v>
      </c>
      <c r="G31" s="38" t="n">
        <v>29158.96</v>
      </c>
      <c r="H31" s="35" t="s">
        <v>222</v>
      </c>
      <c r="I31" s="39"/>
      <c r="J31" s="39"/>
    </row>
    <row r="32" customFormat="false" ht="42" hidden="false" customHeight="true" outlineLevel="0" collapsed="false">
      <c r="A32" s="35" t="n">
        <v>28</v>
      </c>
      <c r="B32" s="36" t="s">
        <v>207</v>
      </c>
      <c r="C32" s="37" t="n">
        <v>45138</v>
      </c>
      <c r="D32" s="35" t="s">
        <v>224</v>
      </c>
      <c r="E32" s="35" t="s">
        <v>178</v>
      </c>
      <c r="F32" s="35" t="s">
        <v>225</v>
      </c>
      <c r="G32" s="38" t="n">
        <v>4082.26</v>
      </c>
      <c r="H32" s="35" t="s">
        <v>226</v>
      </c>
      <c r="I32" s="39"/>
      <c r="J32" s="39"/>
    </row>
    <row r="33" customFormat="false" ht="42" hidden="false" customHeight="true" outlineLevel="0" collapsed="false">
      <c r="A33" s="35" t="n">
        <v>29</v>
      </c>
      <c r="B33" s="36" t="s">
        <v>207</v>
      </c>
      <c r="C33" s="37" t="n">
        <v>45169</v>
      </c>
      <c r="D33" s="35" t="s">
        <v>227</v>
      </c>
      <c r="E33" s="35" t="s">
        <v>178</v>
      </c>
      <c r="F33" s="35" t="s">
        <v>225</v>
      </c>
      <c r="G33" s="38" t="n">
        <v>4082.26</v>
      </c>
      <c r="H33" s="35" t="s">
        <v>226</v>
      </c>
      <c r="I33" s="39"/>
      <c r="J33" s="39"/>
    </row>
    <row r="34" customFormat="false" ht="42" hidden="false" customHeight="true" outlineLevel="0" collapsed="false">
      <c r="A34" s="35" t="n">
        <v>30</v>
      </c>
      <c r="B34" s="36" t="s">
        <v>207</v>
      </c>
      <c r="C34" s="37" t="n">
        <v>45194</v>
      </c>
      <c r="D34" s="35" t="s">
        <v>228</v>
      </c>
      <c r="E34" s="35" t="s">
        <v>178</v>
      </c>
      <c r="F34" s="35" t="s">
        <v>225</v>
      </c>
      <c r="G34" s="38" t="n">
        <v>9214.73</v>
      </c>
      <c r="H34" s="35" t="s">
        <v>226</v>
      </c>
      <c r="I34" s="39"/>
      <c r="J34" s="39"/>
    </row>
    <row r="35" customFormat="false" ht="42" hidden="false" customHeight="true" outlineLevel="0" collapsed="false">
      <c r="A35" s="35" t="n">
        <v>31</v>
      </c>
      <c r="B35" s="36" t="s">
        <v>207</v>
      </c>
      <c r="C35" s="37" t="n">
        <v>45224</v>
      </c>
      <c r="D35" s="35" t="s">
        <v>229</v>
      </c>
      <c r="E35" s="35" t="s">
        <v>178</v>
      </c>
      <c r="F35" s="35" t="s">
        <v>225</v>
      </c>
      <c r="G35" s="38" t="n">
        <v>4912.47</v>
      </c>
      <c r="H35" s="35" t="s">
        <v>226</v>
      </c>
      <c r="I35" s="39"/>
      <c r="J35" s="39"/>
    </row>
    <row r="36" customFormat="false" ht="42" hidden="false" customHeight="true" outlineLevel="0" collapsed="false">
      <c r="A36" s="35" t="n">
        <v>32</v>
      </c>
      <c r="B36" s="36" t="s">
        <v>207</v>
      </c>
      <c r="C36" s="37" t="n">
        <v>45255</v>
      </c>
      <c r="D36" s="35" t="s">
        <v>230</v>
      </c>
      <c r="E36" s="35" t="s">
        <v>178</v>
      </c>
      <c r="F36" s="35" t="s">
        <v>225</v>
      </c>
      <c r="G36" s="38" t="n">
        <v>4912.47</v>
      </c>
      <c r="H36" s="35" t="s">
        <v>226</v>
      </c>
      <c r="I36" s="39"/>
      <c r="J36" s="39"/>
    </row>
    <row r="37" customFormat="false" ht="42" hidden="false" customHeight="true" outlineLevel="0" collapsed="false">
      <c r="A37" s="35" t="n">
        <v>33</v>
      </c>
      <c r="B37" s="36" t="s">
        <v>207</v>
      </c>
      <c r="C37" s="37" t="n">
        <v>45285</v>
      </c>
      <c r="D37" s="35" t="s">
        <v>231</v>
      </c>
      <c r="E37" s="35" t="s">
        <v>178</v>
      </c>
      <c r="F37" s="35" t="s">
        <v>225</v>
      </c>
      <c r="G37" s="38" t="n">
        <v>4912.47</v>
      </c>
      <c r="H37" s="35" t="s">
        <v>226</v>
      </c>
      <c r="I37" s="39"/>
      <c r="J37" s="39"/>
    </row>
    <row r="38" customFormat="false" ht="42" hidden="false" customHeight="true" outlineLevel="0" collapsed="false">
      <c r="A38" s="35" t="n">
        <v>34</v>
      </c>
      <c r="B38" s="36" t="s">
        <v>207</v>
      </c>
      <c r="C38" s="37" t="n">
        <v>45322</v>
      </c>
      <c r="D38" s="35" t="s">
        <v>232</v>
      </c>
      <c r="E38" s="35" t="s">
        <v>178</v>
      </c>
      <c r="F38" s="35" t="s">
        <v>225</v>
      </c>
      <c r="G38" s="38" t="n">
        <v>4912.47</v>
      </c>
      <c r="H38" s="35" t="s">
        <v>226</v>
      </c>
      <c r="I38" s="39"/>
      <c r="J38" s="39"/>
    </row>
    <row r="39" customFormat="false" ht="42" hidden="false" customHeight="true" outlineLevel="0" collapsed="false">
      <c r="A39" s="35" t="n">
        <v>35</v>
      </c>
      <c r="B39" s="36" t="s">
        <v>207</v>
      </c>
      <c r="C39" s="37" t="n">
        <v>45351</v>
      </c>
      <c r="D39" s="35" t="s">
        <v>233</v>
      </c>
      <c r="E39" s="35" t="s">
        <v>178</v>
      </c>
      <c r="F39" s="35" t="s">
        <v>225</v>
      </c>
      <c r="G39" s="38" t="n">
        <v>4912.47</v>
      </c>
      <c r="H39" s="35" t="s">
        <v>226</v>
      </c>
      <c r="I39" s="39"/>
      <c r="J39" s="39"/>
    </row>
    <row r="40" customFormat="false" ht="42" hidden="false" customHeight="true" outlineLevel="0" collapsed="false">
      <c r="A40" s="35" t="n">
        <v>36</v>
      </c>
      <c r="B40" s="36" t="s">
        <v>207</v>
      </c>
      <c r="C40" s="37" t="n">
        <v>45382</v>
      </c>
      <c r="D40" s="35" t="s">
        <v>234</v>
      </c>
      <c r="E40" s="35" t="s">
        <v>178</v>
      </c>
      <c r="F40" s="35" t="s">
        <v>225</v>
      </c>
      <c r="G40" s="38" t="n">
        <v>4912.47</v>
      </c>
      <c r="H40" s="35" t="s">
        <v>226</v>
      </c>
      <c r="I40" s="39"/>
      <c r="J40" s="39"/>
    </row>
    <row r="41" customFormat="false" ht="42" hidden="false" customHeight="true" outlineLevel="0" collapsed="false">
      <c r="A41" s="35" t="n">
        <v>37</v>
      </c>
      <c r="B41" s="36" t="s">
        <v>207</v>
      </c>
      <c r="C41" s="37" t="n">
        <v>45412</v>
      </c>
      <c r="D41" s="35" t="s">
        <v>235</v>
      </c>
      <c r="E41" s="35" t="s">
        <v>178</v>
      </c>
      <c r="F41" s="35" t="s">
        <v>225</v>
      </c>
      <c r="G41" s="38" t="n">
        <v>4912.47</v>
      </c>
      <c r="H41" s="35" t="s">
        <v>226</v>
      </c>
      <c r="I41" s="39"/>
      <c r="J41" s="39"/>
    </row>
    <row r="42" customFormat="false" ht="42" hidden="false" customHeight="true" outlineLevel="0" collapsed="false">
      <c r="A42" s="35" t="n">
        <v>38</v>
      </c>
      <c r="B42" s="36" t="s">
        <v>207</v>
      </c>
      <c r="C42" s="37" t="n">
        <v>45443</v>
      </c>
      <c r="D42" s="35" t="s">
        <v>236</v>
      </c>
      <c r="E42" s="35" t="s">
        <v>178</v>
      </c>
      <c r="F42" s="35" t="s">
        <v>225</v>
      </c>
      <c r="G42" s="38" t="n">
        <v>4912.47</v>
      </c>
      <c r="H42" s="35" t="s">
        <v>226</v>
      </c>
      <c r="I42" s="39"/>
      <c r="J42" s="39"/>
    </row>
    <row r="43" customFormat="false" ht="42" hidden="false" customHeight="true" outlineLevel="0" collapsed="false">
      <c r="A43" s="35" t="n">
        <v>39</v>
      </c>
      <c r="B43" s="36" t="s">
        <v>207</v>
      </c>
      <c r="C43" s="37" t="n">
        <v>45473</v>
      </c>
      <c r="D43" s="35" t="s">
        <v>237</v>
      </c>
      <c r="E43" s="35" t="s">
        <v>178</v>
      </c>
      <c r="F43" s="35" t="s">
        <v>225</v>
      </c>
      <c r="G43" s="38" t="n">
        <v>4912.47</v>
      </c>
      <c r="H43" s="35" t="s">
        <v>226</v>
      </c>
      <c r="I43" s="39"/>
      <c r="J43" s="39"/>
    </row>
    <row r="44" customFormat="false" ht="42" hidden="false" customHeight="true" outlineLevel="0" collapsed="false">
      <c r="A44" s="35" t="n">
        <v>40</v>
      </c>
      <c r="B44" s="36" t="s">
        <v>207</v>
      </c>
      <c r="C44" s="37" t="n">
        <v>45504</v>
      </c>
      <c r="D44" s="35" t="s">
        <v>238</v>
      </c>
      <c r="E44" s="35" t="s">
        <v>178</v>
      </c>
      <c r="F44" s="35" t="s">
        <v>225</v>
      </c>
      <c r="G44" s="38" t="n">
        <v>4912.47</v>
      </c>
      <c r="H44" s="35" t="s">
        <v>226</v>
      </c>
      <c r="I44" s="39"/>
      <c r="J44" s="39"/>
    </row>
    <row r="45" customFormat="false" ht="42" hidden="false" customHeight="true" outlineLevel="0" collapsed="false">
      <c r="A45" s="35" t="n">
        <v>41</v>
      </c>
      <c r="B45" s="36" t="s">
        <v>176</v>
      </c>
      <c r="C45" s="37" t="n">
        <v>45716</v>
      </c>
      <c r="D45" s="35" t="s">
        <v>239</v>
      </c>
      <c r="E45" s="35" t="s">
        <v>240</v>
      </c>
      <c r="F45" s="35" t="s">
        <v>179</v>
      </c>
      <c r="G45" s="38" t="n">
        <v>10149.28</v>
      </c>
      <c r="H45" s="35" t="s">
        <v>241</v>
      </c>
      <c r="I45" s="39"/>
      <c r="J45" s="39"/>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32FF"/>
    <pageSetUpPr fitToPage="true"/>
  </sheetPr>
  <dimension ref="A1:H73"/>
  <sheetViews>
    <sheetView showFormulas="false" showGridLines="false" showRowColHeaders="true" showZeros="true" rightToLeft="false" tabSelected="true" showOutlineSymbols="true" defaultGridColor="true" view="normal" topLeftCell="A42" colorId="64" zoomScale="160" zoomScaleNormal="160" zoomScalePageLayoutView="100" workbookViewId="0">
      <selection pane="topLeft" activeCell="E54" activeCellId="0" sqref="E54"/>
    </sheetView>
  </sheetViews>
  <sheetFormatPr defaultColWidth="8.66796875" defaultRowHeight="13.5" zeroHeight="false" outlineLevelRow="0" outlineLevelCol="0"/>
  <cols>
    <col collapsed="false" customWidth="true" hidden="false" outlineLevel="0" max="1" min="1" style="40" width="12"/>
    <col collapsed="false" customWidth="true" hidden="false" outlineLevel="0" max="2" min="2" style="40" width="13"/>
    <col collapsed="false" customWidth="true" hidden="false" outlineLevel="0" max="3" min="3" style="40" width="44"/>
    <col collapsed="false" customWidth="true" hidden="false" outlineLevel="0" max="7" min="4" style="40" width="16"/>
    <col collapsed="false" customWidth="true" hidden="false" outlineLevel="0" max="8" min="8" style="40" width="40"/>
    <col collapsed="false" customWidth="false" hidden="false" outlineLevel="0" max="16384" min="9" style="40" width="8.67"/>
  </cols>
  <sheetData>
    <row r="1" customFormat="false" ht="18" hidden="false" customHeight="true" outlineLevel="0" collapsed="false">
      <c r="A1" s="41" t="s">
        <v>242</v>
      </c>
    </row>
    <row r="2" customFormat="false" ht="13.5" hidden="false" customHeight="true" outlineLevel="0" collapsed="false">
      <c r="A2" s="42" t="s">
        <v>243</v>
      </c>
    </row>
    <row r="4" customFormat="false" ht="13.5" hidden="false" customHeight="true" outlineLevel="0" collapsed="false">
      <c r="A4" s="43" t="s">
        <v>244</v>
      </c>
    </row>
    <row r="5" customFormat="false" ht="27.75" hidden="false" customHeight="true" outlineLevel="0" collapsed="false">
      <c r="A5" s="44" t="s">
        <v>245</v>
      </c>
      <c r="B5" s="44" t="s">
        <v>170</v>
      </c>
      <c r="C5" s="44" t="s">
        <v>246</v>
      </c>
      <c r="D5" s="44" t="s">
        <v>247</v>
      </c>
      <c r="E5" s="44" t="s">
        <v>248</v>
      </c>
      <c r="F5" s="44"/>
      <c r="G5" s="44"/>
      <c r="H5" s="44" t="s">
        <v>249</v>
      </c>
    </row>
    <row r="6" s="49" customFormat="true" ht="42" hidden="false" customHeight="true" outlineLevel="0" collapsed="false">
      <c r="A6" s="45" t="s">
        <v>250</v>
      </c>
      <c r="B6" s="46" t="n">
        <v>45456</v>
      </c>
      <c r="C6" s="47" t="s">
        <v>251</v>
      </c>
      <c r="D6" s="48" t="n">
        <v>109165.69</v>
      </c>
      <c r="E6" s="48"/>
      <c r="F6" s="47"/>
      <c r="G6" s="47"/>
      <c r="H6" s="47" t="s">
        <v>252</v>
      </c>
    </row>
    <row r="7" s="49" customFormat="true" ht="42" hidden="false" customHeight="true" outlineLevel="0" collapsed="false">
      <c r="A7" s="45" t="s">
        <v>250</v>
      </c>
      <c r="B7" s="46" t="n">
        <v>45456</v>
      </c>
      <c r="C7" s="47" t="s">
        <v>253</v>
      </c>
      <c r="D7" s="48" t="n">
        <v>106511.14</v>
      </c>
      <c r="E7" s="48"/>
      <c r="F7" s="47"/>
      <c r="G7" s="47"/>
      <c r="H7" s="47" t="s">
        <v>252</v>
      </c>
    </row>
    <row r="8" s="49" customFormat="true" ht="42" hidden="false" customHeight="true" outlineLevel="0" collapsed="false">
      <c r="A8" s="45" t="s">
        <v>250</v>
      </c>
      <c r="B8" s="46" t="n">
        <v>45456</v>
      </c>
      <c r="C8" s="47" t="s">
        <v>254</v>
      </c>
      <c r="D8" s="48"/>
      <c r="E8" s="48" t="n">
        <v>215676.83</v>
      </c>
      <c r="F8" s="47"/>
      <c r="G8" s="47"/>
      <c r="H8" s="47" t="s">
        <v>252</v>
      </c>
    </row>
    <row r="9" s="49" customFormat="true" ht="27.75" hidden="false" customHeight="true" outlineLevel="0" collapsed="false">
      <c r="A9" s="45" t="s">
        <v>255</v>
      </c>
      <c r="B9" s="46" t="n">
        <v>45471</v>
      </c>
      <c r="C9" s="47" t="s">
        <v>256</v>
      </c>
      <c r="D9" s="48" t="n">
        <v>765000</v>
      </c>
      <c r="E9" s="48"/>
      <c r="F9" s="47"/>
      <c r="G9" s="47"/>
      <c r="H9" s="47" t="s">
        <v>257</v>
      </c>
    </row>
    <row r="10" s="49" customFormat="true" ht="27.75" hidden="false" customHeight="true" outlineLevel="0" collapsed="false">
      <c r="A10" s="45" t="s">
        <v>255</v>
      </c>
      <c r="B10" s="46" t="n">
        <v>45471</v>
      </c>
      <c r="C10" s="47" t="s">
        <v>258</v>
      </c>
      <c r="D10" s="48" t="n">
        <v>765000</v>
      </c>
      <c r="E10" s="48"/>
      <c r="F10" s="47"/>
      <c r="G10" s="47"/>
      <c r="H10" s="47" t="s">
        <v>257</v>
      </c>
    </row>
    <row r="11" s="49" customFormat="true" ht="27.75" hidden="false" customHeight="true" outlineLevel="0" collapsed="false">
      <c r="A11" s="45" t="s">
        <v>255</v>
      </c>
      <c r="B11" s="46" t="n">
        <v>45471</v>
      </c>
      <c r="C11" s="47" t="s">
        <v>254</v>
      </c>
      <c r="D11" s="48"/>
      <c r="E11" s="48" t="n">
        <v>1530000</v>
      </c>
      <c r="F11" s="47"/>
      <c r="G11" s="47"/>
      <c r="H11" s="47" t="s">
        <v>257</v>
      </c>
    </row>
    <row r="12" customFormat="false" ht="13.5" hidden="false" customHeight="true" outlineLevel="0" collapsed="false">
      <c r="C12" s="50" t="s">
        <v>259</v>
      </c>
      <c r="D12" s="51" t="n">
        <f aca="false">SUM(D6:D11)</f>
        <v>1745676.83</v>
      </c>
      <c r="E12" s="51" t="n">
        <f aca="false">SUM(E6:E11)</f>
        <v>1745676.83</v>
      </c>
      <c r="F12" s="50" t="str">
        <f aca="false">IF(ROUND(D12-E12,2)=0,"Balanced","CHECK")</f>
        <v>Balanced</v>
      </c>
    </row>
    <row r="15" customFormat="false" ht="13.5" hidden="false" customHeight="true" outlineLevel="0" collapsed="false">
      <c r="A15" s="43" t="s">
        <v>260</v>
      </c>
      <c r="D15" s="40" t="s">
        <v>247</v>
      </c>
      <c r="E15" s="40" t="s">
        <v>248</v>
      </c>
      <c r="F15" s="40" t="s">
        <v>248</v>
      </c>
      <c r="G15" s="40" t="s">
        <v>248</v>
      </c>
    </row>
    <row r="16" customFormat="false" ht="13.5" hidden="false" customHeight="true" outlineLevel="0" collapsed="false">
      <c r="A16" s="44" t="s">
        <v>261</v>
      </c>
      <c r="B16" s="44" t="s">
        <v>170</v>
      </c>
      <c r="C16" s="44" t="s">
        <v>249</v>
      </c>
      <c r="D16" s="44" t="n">
        <v>66045</v>
      </c>
      <c r="E16" s="44" t="n">
        <v>20261</v>
      </c>
      <c r="F16" s="44" t="n">
        <v>20260</v>
      </c>
      <c r="G16" s="44" t="n">
        <v>20262</v>
      </c>
      <c r="H16" s="44" t="s">
        <v>262</v>
      </c>
    </row>
    <row r="17" s="49" customFormat="true" ht="27.75" hidden="false" customHeight="true" outlineLevel="0" collapsed="false">
      <c r="A17" s="45" t="s">
        <v>263</v>
      </c>
      <c r="B17" s="52" t="n">
        <v>44834</v>
      </c>
      <c r="C17" s="47" t="s">
        <v>264</v>
      </c>
      <c r="D17" s="48" t="n">
        <f aca="false">SUM(E17:G17)</f>
        <v>17553.7</v>
      </c>
      <c r="E17" s="48" t="n">
        <v>8776.85</v>
      </c>
      <c r="F17" s="48" t="n">
        <v>8776.85</v>
      </c>
      <c r="G17" s="48"/>
      <c r="H17" s="53" t="s">
        <v>265</v>
      </c>
    </row>
    <row r="18" s="49" customFormat="true" ht="27.75" hidden="false" customHeight="true" outlineLevel="0" collapsed="false">
      <c r="A18" s="45" t="s">
        <v>266</v>
      </c>
      <c r="B18" s="52" t="n">
        <v>44865</v>
      </c>
      <c r="C18" s="47" t="s">
        <v>267</v>
      </c>
      <c r="D18" s="48" t="n">
        <f aca="false">SUM(E18:G18)</f>
        <v>25912.6</v>
      </c>
      <c r="E18" s="48" t="n">
        <v>12956.3</v>
      </c>
      <c r="F18" s="48" t="n">
        <v>12956.3</v>
      </c>
      <c r="G18" s="48"/>
      <c r="H18" s="53" t="s">
        <v>265</v>
      </c>
    </row>
    <row r="19" s="49" customFormat="true" ht="27.75" hidden="false" customHeight="true" outlineLevel="0" collapsed="false">
      <c r="A19" s="45" t="s">
        <v>268</v>
      </c>
      <c r="B19" s="52" t="n">
        <v>44895</v>
      </c>
      <c r="C19" s="47" t="s">
        <v>269</v>
      </c>
      <c r="D19" s="48" t="n">
        <f aca="false">SUM(E19:G19)</f>
        <v>25076.72</v>
      </c>
      <c r="E19" s="48" t="n">
        <v>12538.36</v>
      </c>
      <c r="F19" s="48" t="n">
        <v>12538.36</v>
      </c>
      <c r="G19" s="48"/>
      <c r="H19" s="53" t="s">
        <v>265</v>
      </c>
    </row>
    <row r="20" s="49" customFormat="true" ht="27.75" hidden="false" customHeight="true" outlineLevel="0" collapsed="false">
      <c r="A20" s="45" t="s">
        <v>270</v>
      </c>
      <c r="B20" s="52" t="n">
        <v>44926</v>
      </c>
      <c r="C20" s="47" t="s">
        <v>271</v>
      </c>
      <c r="D20" s="48" t="n">
        <f aca="false">SUM(E20:G20)</f>
        <v>25912.6</v>
      </c>
      <c r="E20" s="48" t="n">
        <v>12956.3</v>
      </c>
      <c r="F20" s="48" t="n">
        <v>12956.3</v>
      </c>
      <c r="G20" s="48"/>
      <c r="H20" s="53" t="s">
        <v>265</v>
      </c>
    </row>
    <row r="21" s="49" customFormat="true" ht="27.75" hidden="false" customHeight="true" outlineLevel="0" collapsed="false">
      <c r="A21" s="45" t="s">
        <v>272</v>
      </c>
      <c r="B21" s="52" t="n">
        <v>44957</v>
      </c>
      <c r="C21" s="47" t="s">
        <v>273</v>
      </c>
      <c r="D21" s="48" t="n">
        <f aca="false">SUM(E21:G21)</f>
        <v>25912.6</v>
      </c>
      <c r="E21" s="48" t="n">
        <v>12956.3</v>
      </c>
      <c r="F21" s="48" t="n">
        <v>12956.3</v>
      </c>
      <c r="G21" s="48"/>
      <c r="H21" s="53" t="s">
        <v>265</v>
      </c>
    </row>
    <row r="22" s="49" customFormat="true" ht="27.75" hidden="false" customHeight="true" outlineLevel="0" collapsed="false">
      <c r="A22" s="45" t="s">
        <v>274</v>
      </c>
      <c r="B22" s="52" t="n">
        <v>44985</v>
      </c>
      <c r="C22" s="47" t="s">
        <v>275</v>
      </c>
      <c r="D22" s="48" t="n">
        <f aca="false">SUM(E22:G22)</f>
        <v>23404.92</v>
      </c>
      <c r="E22" s="48" t="n">
        <v>11702.46</v>
      </c>
      <c r="F22" s="48" t="n">
        <v>11702.46</v>
      </c>
      <c r="G22" s="48"/>
      <c r="H22" s="53" t="s">
        <v>265</v>
      </c>
    </row>
    <row r="23" s="49" customFormat="true" ht="27.75" hidden="false" customHeight="true" outlineLevel="0" collapsed="false">
      <c r="A23" s="45" t="s">
        <v>276</v>
      </c>
      <c r="B23" s="52" t="n">
        <v>45016</v>
      </c>
      <c r="C23" s="47" t="s">
        <v>277</v>
      </c>
      <c r="D23" s="48" t="n">
        <f aca="false">SUM(E23:G23)</f>
        <v>28720.52</v>
      </c>
      <c r="E23" s="48" t="n">
        <v>14579.19</v>
      </c>
      <c r="F23" s="48" t="n">
        <v>14141.33</v>
      </c>
      <c r="G23" s="48"/>
      <c r="H23" s="53" t="s">
        <v>265</v>
      </c>
    </row>
    <row r="24" s="49" customFormat="true" ht="27.75" hidden="false" customHeight="true" outlineLevel="0" collapsed="false">
      <c r="A24" s="45" t="s">
        <v>278</v>
      </c>
      <c r="B24" s="52" t="n">
        <v>45046</v>
      </c>
      <c r="C24" s="47" t="s">
        <v>279</v>
      </c>
      <c r="D24" s="48" t="n">
        <f aca="false">SUM(E24:G24)</f>
        <v>29511.66</v>
      </c>
      <c r="E24" s="48" t="n">
        <v>14751.38</v>
      </c>
      <c r="F24" s="48" t="n">
        <v>14760.28</v>
      </c>
      <c r="G24" s="48"/>
      <c r="H24" s="53" t="s">
        <v>265</v>
      </c>
    </row>
    <row r="25" s="49" customFormat="true" ht="27.75" hidden="false" customHeight="true" outlineLevel="0" collapsed="false">
      <c r="A25" s="45" t="s">
        <v>280</v>
      </c>
      <c r="B25" s="52" t="n">
        <v>45077</v>
      </c>
      <c r="C25" s="47" t="s">
        <v>281</v>
      </c>
      <c r="D25" s="48" t="n">
        <f aca="false">SUM(E25:G25)</f>
        <v>30495.4</v>
      </c>
      <c r="E25" s="48" t="n">
        <v>15243.1</v>
      </c>
      <c r="F25" s="48" t="n">
        <v>15252.3</v>
      </c>
      <c r="G25" s="48"/>
      <c r="H25" s="53" t="s">
        <v>265</v>
      </c>
    </row>
    <row r="26" s="49" customFormat="true" ht="27.75" hidden="false" customHeight="true" outlineLevel="0" collapsed="false">
      <c r="A26" s="45" t="s">
        <v>282</v>
      </c>
      <c r="B26" s="52" t="n">
        <v>45107</v>
      </c>
      <c r="C26" s="47" t="s">
        <v>283</v>
      </c>
      <c r="D26" s="48" t="n">
        <f aca="false">SUM(E26:G26)</f>
        <v>29511.66</v>
      </c>
      <c r="E26" s="48" t="n">
        <v>14751.38</v>
      </c>
      <c r="F26" s="48" t="n">
        <v>14760.28</v>
      </c>
      <c r="G26" s="48"/>
      <c r="H26" s="53" t="s">
        <v>265</v>
      </c>
    </row>
    <row r="27" s="49" customFormat="true" ht="27.75" hidden="false" customHeight="true" outlineLevel="0" collapsed="false">
      <c r="A27" s="45" t="s">
        <v>284</v>
      </c>
      <c r="B27" s="52" t="n">
        <v>45138</v>
      </c>
      <c r="C27" s="47" t="s">
        <v>285</v>
      </c>
      <c r="D27" s="48" t="n">
        <f aca="false">SUM(E27:G27)</f>
        <v>30495.38</v>
      </c>
      <c r="E27" s="48" t="n">
        <v>15243.09</v>
      </c>
      <c r="F27" s="48" t="n">
        <v>15252.29</v>
      </c>
      <c r="G27" s="48"/>
      <c r="H27" s="53" t="s">
        <v>265</v>
      </c>
    </row>
    <row r="28" s="49" customFormat="true" ht="27.75" hidden="false" customHeight="true" outlineLevel="0" collapsed="false">
      <c r="A28" s="45" t="s">
        <v>286</v>
      </c>
      <c r="B28" s="52" t="n">
        <v>45169</v>
      </c>
      <c r="C28" s="47" t="s">
        <v>287</v>
      </c>
      <c r="D28" s="48" t="n">
        <f aca="false">SUM(E28:G28)</f>
        <v>30495.4</v>
      </c>
      <c r="E28" s="48" t="n">
        <v>15243.1</v>
      </c>
      <c r="F28" s="48" t="n">
        <v>15252.3</v>
      </c>
      <c r="G28" s="48"/>
      <c r="H28" s="53" t="s">
        <v>265</v>
      </c>
    </row>
    <row r="29" s="49" customFormat="true" ht="27.75" hidden="false" customHeight="true" outlineLevel="0" collapsed="false">
      <c r="A29" s="45" t="s">
        <v>288</v>
      </c>
      <c r="B29" s="52" t="n">
        <v>45199</v>
      </c>
      <c r="C29" s="47" t="s">
        <v>289</v>
      </c>
      <c r="D29" s="48" t="n">
        <f aca="false">SUM(E29:G29)</f>
        <v>32664.87</v>
      </c>
      <c r="E29" s="48" t="n">
        <v>16516.82</v>
      </c>
      <c r="F29" s="48" t="n">
        <v>16148.05</v>
      </c>
      <c r="G29" s="48"/>
      <c r="H29" s="53" t="s">
        <v>265</v>
      </c>
    </row>
    <row r="30" s="49" customFormat="true" ht="27.75" hidden="false" customHeight="true" outlineLevel="0" collapsed="false">
      <c r="A30" s="45" t="s">
        <v>290</v>
      </c>
      <c r="B30" s="52" t="n">
        <v>45230</v>
      </c>
      <c r="C30" s="47" t="s">
        <v>291</v>
      </c>
      <c r="D30" s="48" t="n">
        <f aca="false">SUM(E30:G30)</f>
        <v>36243.9</v>
      </c>
      <c r="E30" s="48" t="n">
        <v>18123.55</v>
      </c>
      <c r="F30" s="48" t="n">
        <v>18120.35</v>
      </c>
      <c r="G30" s="48"/>
      <c r="H30" s="53" t="s">
        <v>265</v>
      </c>
    </row>
    <row r="31" s="49" customFormat="true" ht="27.75" hidden="false" customHeight="true" outlineLevel="0" collapsed="false">
      <c r="A31" s="45" t="s">
        <v>292</v>
      </c>
      <c r="B31" s="52" t="n">
        <v>45260</v>
      </c>
      <c r="C31" s="47" t="s">
        <v>293</v>
      </c>
      <c r="D31" s="48" t="n">
        <f aca="false">SUM(E31:G31)</f>
        <v>35074.73</v>
      </c>
      <c r="E31" s="48" t="n">
        <v>17538.91</v>
      </c>
      <c r="F31" s="48" t="n">
        <v>17535.82</v>
      </c>
      <c r="G31" s="48"/>
      <c r="H31" s="53" t="s">
        <v>265</v>
      </c>
    </row>
    <row r="32" s="49" customFormat="true" ht="27.75" hidden="false" customHeight="true" outlineLevel="0" collapsed="false">
      <c r="A32" s="45" t="s">
        <v>294</v>
      </c>
      <c r="B32" s="52" t="n">
        <v>45291</v>
      </c>
      <c r="C32" s="47" t="s">
        <v>295</v>
      </c>
      <c r="D32" s="48" t="n">
        <f aca="false">SUM(E32:G32)</f>
        <v>36243.9</v>
      </c>
      <c r="E32" s="48" t="n">
        <v>18123.55</v>
      </c>
      <c r="F32" s="48" t="n">
        <v>18120.35</v>
      </c>
      <c r="G32" s="48"/>
      <c r="H32" s="53" t="s">
        <v>265</v>
      </c>
    </row>
    <row r="33" s="49" customFormat="true" ht="27.75" hidden="false" customHeight="true" outlineLevel="0" collapsed="false">
      <c r="A33" s="45" t="s">
        <v>296</v>
      </c>
      <c r="B33" s="52" t="n">
        <v>45322</v>
      </c>
      <c r="C33" s="47" t="s">
        <v>297</v>
      </c>
      <c r="D33" s="48" t="n">
        <f aca="false">SUM(E33:G33)</f>
        <v>36148.07</v>
      </c>
      <c r="E33" s="48" t="n">
        <v>18075.63</v>
      </c>
      <c r="F33" s="48" t="n">
        <v>18072.44</v>
      </c>
      <c r="G33" s="48"/>
      <c r="H33" s="53" t="s">
        <v>265</v>
      </c>
    </row>
    <row r="34" s="49" customFormat="true" ht="27.75" hidden="false" customHeight="true" outlineLevel="0" collapsed="false">
      <c r="A34" s="45" t="s">
        <v>298</v>
      </c>
      <c r="B34" s="52" t="n">
        <v>45351</v>
      </c>
      <c r="C34" s="47" t="s">
        <v>299</v>
      </c>
      <c r="D34" s="48" t="n">
        <f aca="false">SUM(E34:G34)</f>
        <v>33812.94</v>
      </c>
      <c r="E34" s="48" t="n">
        <v>16907.96</v>
      </c>
      <c r="F34" s="48" t="n">
        <v>16904.98</v>
      </c>
      <c r="G34" s="48"/>
      <c r="H34" s="53" t="s">
        <v>265</v>
      </c>
    </row>
    <row r="35" s="49" customFormat="true" ht="27.75" hidden="false" customHeight="true" outlineLevel="0" collapsed="false">
      <c r="A35" s="45" t="s">
        <v>300</v>
      </c>
      <c r="B35" s="52" t="n">
        <v>45382</v>
      </c>
      <c r="C35" s="47" t="s">
        <v>301</v>
      </c>
      <c r="D35" s="48" t="n">
        <f aca="false">SUM(E35:G35)</f>
        <v>35801.78</v>
      </c>
      <c r="E35" s="48" t="n">
        <v>17877.01</v>
      </c>
      <c r="F35" s="48" t="n">
        <v>17924.77</v>
      </c>
      <c r="G35" s="48"/>
      <c r="H35" s="53" t="s">
        <v>265</v>
      </c>
    </row>
    <row r="36" s="49" customFormat="true" ht="27.75" hidden="false" customHeight="true" outlineLevel="0" collapsed="false">
      <c r="A36" s="45" t="s">
        <v>302</v>
      </c>
      <c r="B36" s="52" t="n">
        <v>45412</v>
      </c>
      <c r="C36" s="47" t="s">
        <v>303</v>
      </c>
      <c r="D36" s="48" t="n">
        <f aca="false">SUM(E36:G36)</f>
        <v>34409.51</v>
      </c>
      <c r="E36" s="48" t="n">
        <v>17195.47</v>
      </c>
      <c r="F36" s="48" t="n">
        <v>17214.04</v>
      </c>
      <c r="G36" s="48"/>
      <c r="H36" s="53" t="s">
        <v>265</v>
      </c>
    </row>
    <row r="37" s="49" customFormat="true" ht="27.75" hidden="false" customHeight="true" outlineLevel="0" collapsed="false">
      <c r="A37" s="45" t="s">
        <v>304</v>
      </c>
      <c r="B37" s="52" t="n">
        <v>45443</v>
      </c>
      <c r="C37" s="47" t="s">
        <v>305</v>
      </c>
      <c r="D37" s="48" t="n">
        <f aca="false">SUM(E37:G37)</f>
        <v>35556.5</v>
      </c>
      <c r="E37" s="48" t="n">
        <v>17768.66</v>
      </c>
      <c r="F37" s="48" t="n">
        <v>17787.84</v>
      </c>
      <c r="G37" s="48"/>
      <c r="H37" s="53" t="s">
        <v>265</v>
      </c>
    </row>
    <row r="38" s="49" customFormat="true" ht="27.75" hidden="false" customHeight="true" outlineLevel="0" collapsed="false">
      <c r="A38" s="45" t="s">
        <v>306</v>
      </c>
      <c r="B38" s="52" t="n">
        <v>45473</v>
      </c>
      <c r="C38" s="47" t="s">
        <v>307</v>
      </c>
      <c r="D38" s="48" t="n">
        <f aca="false">SUM(E38:G38)</f>
        <v>33821.47</v>
      </c>
      <c r="E38" s="48" t="n">
        <v>16610.82</v>
      </c>
      <c r="F38" s="48" t="n">
        <v>16628.76</v>
      </c>
      <c r="G38" s="48" t="n">
        <v>581.89</v>
      </c>
      <c r="H38" s="53" t="s">
        <v>265</v>
      </c>
    </row>
    <row r="39" s="49" customFormat="true" ht="27.75" hidden="false" customHeight="true" outlineLevel="0" collapsed="false">
      <c r="A39" s="45" t="s">
        <v>308</v>
      </c>
      <c r="B39" s="52" t="n">
        <v>45504</v>
      </c>
      <c r="C39" s="47" t="s">
        <v>309</v>
      </c>
      <c r="D39" s="48" t="n">
        <f aca="false">SUM(E39:G39)</f>
        <v>26442.01</v>
      </c>
      <c r="E39" s="48" t="n">
        <v>8706.64</v>
      </c>
      <c r="F39" s="48" t="n">
        <v>8716.04</v>
      </c>
      <c r="G39" s="48" t="n">
        <v>9019.33</v>
      </c>
      <c r="H39" s="53" t="s">
        <v>265</v>
      </c>
    </row>
    <row r="40" s="49" customFormat="true" ht="27.75" hidden="false" customHeight="true" outlineLevel="0" collapsed="false">
      <c r="A40" s="45" t="s">
        <v>310</v>
      </c>
      <c r="B40" s="52" t="n">
        <v>45535</v>
      </c>
      <c r="C40" s="47" t="s">
        <v>311</v>
      </c>
      <c r="D40" s="48" t="n">
        <f aca="false">SUM(E40:G40)</f>
        <v>26442.01</v>
      </c>
      <c r="E40" s="48" t="n">
        <v>8706.64</v>
      </c>
      <c r="F40" s="48" t="n">
        <v>8716.04</v>
      </c>
      <c r="G40" s="48" t="n">
        <v>9019.33</v>
      </c>
      <c r="H40" s="53" t="s">
        <v>265</v>
      </c>
    </row>
    <row r="41" s="49" customFormat="true" ht="27.75" hidden="false" customHeight="true" outlineLevel="0" collapsed="false">
      <c r="A41" s="45" t="s">
        <v>312</v>
      </c>
      <c r="B41" s="52" t="n">
        <v>45565</v>
      </c>
      <c r="C41" s="47" t="s">
        <v>313</v>
      </c>
      <c r="D41" s="48" t="n">
        <f aca="false">SUM(E41:G41)</f>
        <v>25136.22</v>
      </c>
      <c r="E41" s="48" t="n">
        <v>8164.22</v>
      </c>
      <c r="F41" s="48" t="n">
        <v>8243.62</v>
      </c>
      <c r="G41" s="48" t="n">
        <v>8728.38</v>
      </c>
      <c r="H41" s="53" t="s">
        <v>265</v>
      </c>
    </row>
    <row r="42" s="49" customFormat="true" ht="27.75" hidden="false" customHeight="true" outlineLevel="0" collapsed="false">
      <c r="A42" s="45" t="s">
        <v>314</v>
      </c>
      <c r="B42" s="52" t="n">
        <v>45596</v>
      </c>
      <c r="C42" s="47" t="s">
        <v>315</v>
      </c>
      <c r="D42" s="48" t="n">
        <f aca="false">SUM(E42:G42)</f>
        <v>25632.38</v>
      </c>
      <c r="E42" s="48" t="n">
        <v>8320.51</v>
      </c>
      <c r="F42" s="48" t="n">
        <v>8292.54</v>
      </c>
      <c r="G42" s="48" t="n">
        <v>9019.33</v>
      </c>
      <c r="H42" s="53" t="s">
        <v>265</v>
      </c>
    </row>
    <row r="43" s="49" customFormat="true" ht="27.75" hidden="false" customHeight="true" outlineLevel="0" collapsed="false">
      <c r="A43" s="45" t="s">
        <v>316</v>
      </c>
      <c r="B43" s="52" t="n">
        <v>45626</v>
      </c>
      <c r="C43" s="47" t="s">
        <v>317</v>
      </c>
      <c r="D43" s="48" t="n">
        <f aca="false">SUM(E43:G43)</f>
        <v>24805.54</v>
      </c>
      <c r="E43" s="48" t="n">
        <v>8052.11</v>
      </c>
      <c r="F43" s="48" t="n">
        <v>8025.05</v>
      </c>
      <c r="G43" s="48" t="n">
        <v>8728.38</v>
      </c>
      <c r="H43" s="53" t="s">
        <v>265</v>
      </c>
    </row>
    <row r="44" s="49" customFormat="true" ht="27.75" hidden="false" customHeight="true" outlineLevel="0" collapsed="false">
      <c r="A44" s="45" t="s">
        <v>318</v>
      </c>
      <c r="B44" s="52" t="n">
        <v>45657</v>
      </c>
      <c r="C44" s="47" t="s">
        <v>319</v>
      </c>
      <c r="D44" s="48" t="n">
        <f aca="false">SUM(E44:G44)</f>
        <v>25632.39</v>
      </c>
      <c r="E44" s="48" t="n">
        <v>8320.52</v>
      </c>
      <c r="F44" s="48" t="n">
        <v>8292.54</v>
      </c>
      <c r="G44" s="48" t="n">
        <v>9019.33</v>
      </c>
      <c r="H44" s="53" t="s">
        <v>265</v>
      </c>
    </row>
    <row r="45" customFormat="false" ht="27.75" hidden="false" customHeight="true" outlineLevel="0" collapsed="false">
      <c r="A45" s="45" t="s">
        <v>320</v>
      </c>
      <c r="B45" s="52" t="n">
        <v>45688</v>
      </c>
      <c r="C45" s="47" t="s">
        <v>321</v>
      </c>
      <c r="D45" s="48" t="n">
        <f aca="false">SUM(E45:G45)</f>
        <v>25676.43</v>
      </c>
      <c r="E45" s="48" t="n">
        <v>8342.57</v>
      </c>
      <c r="F45" s="48" t="n">
        <v>8314.53</v>
      </c>
      <c r="G45" s="48" t="n">
        <v>9019.33</v>
      </c>
      <c r="H45" s="53" t="s">
        <v>265</v>
      </c>
    </row>
    <row r="46" customFormat="false" ht="27.75" hidden="false" customHeight="true" outlineLevel="0" collapsed="false">
      <c r="A46" s="45" t="s">
        <v>322</v>
      </c>
      <c r="B46" s="52" t="n">
        <v>45716</v>
      </c>
      <c r="C46" s="47" t="s">
        <v>323</v>
      </c>
      <c r="D46" s="48" t="n">
        <f aca="false">SUM(E46:G46)</f>
        <v>23192.95</v>
      </c>
      <c r="E46" s="48" t="n">
        <v>7535.9</v>
      </c>
      <c r="F46" s="48" t="n">
        <v>7510.56</v>
      </c>
      <c r="G46" s="48" t="n">
        <v>8146.49</v>
      </c>
      <c r="H46" s="53" t="s">
        <v>265</v>
      </c>
    </row>
    <row r="47" customFormat="false" ht="27.75" hidden="false" customHeight="true" outlineLevel="0" collapsed="false">
      <c r="A47" s="45" t="s">
        <v>324</v>
      </c>
      <c r="B47" s="52" t="n">
        <v>45747</v>
      </c>
      <c r="C47" s="47" t="s">
        <v>325</v>
      </c>
      <c r="D47" s="48" t="n">
        <f aca="false">SUM(E47:G47)</f>
        <v>25394.35</v>
      </c>
      <c r="E47" s="48" t="n">
        <v>8163.53</v>
      </c>
      <c r="F47" s="48" t="n">
        <v>8211.49</v>
      </c>
      <c r="G47" s="48" t="n">
        <v>9019.33</v>
      </c>
      <c r="H47" s="53" t="s">
        <v>265</v>
      </c>
    </row>
    <row r="48" customFormat="false" ht="27.75" hidden="false" customHeight="true" outlineLevel="0" collapsed="false">
      <c r="A48" s="45" t="s">
        <v>326</v>
      </c>
      <c r="B48" s="52" t="n">
        <v>45777</v>
      </c>
      <c r="C48" s="47" t="s">
        <v>327</v>
      </c>
      <c r="D48" s="48" t="n">
        <f aca="false">SUM(E48:G48)</f>
        <v>24370.38</v>
      </c>
      <c r="E48" s="48" t="n">
        <v>7817.34</v>
      </c>
      <c r="F48" s="48" t="n">
        <v>7824.66</v>
      </c>
      <c r="G48" s="48" t="n">
        <v>8728.38</v>
      </c>
      <c r="H48" s="53" t="s">
        <v>265</v>
      </c>
    </row>
    <row r="49" customFormat="false" ht="27.75" hidden="false" customHeight="true" outlineLevel="0" collapsed="false">
      <c r="A49" s="45" t="s">
        <v>328</v>
      </c>
      <c r="B49" s="52" t="n">
        <v>45808</v>
      </c>
      <c r="C49" s="47" t="s">
        <v>329</v>
      </c>
      <c r="D49" s="48" t="n">
        <f aca="false">SUM(E49:G49)</f>
        <v>25182.73</v>
      </c>
      <c r="E49" s="48" t="n">
        <v>8077.92</v>
      </c>
      <c r="F49" s="48" t="n">
        <v>8085.48</v>
      </c>
      <c r="G49" s="48" t="n">
        <v>9019.33</v>
      </c>
      <c r="H49" s="53" t="s">
        <v>265</v>
      </c>
    </row>
    <row r="50" customFormat="false" ht="27.75" hidden="false" customHeight="true" outlineLevel="0" collapsed="false">
      <c r="A50" s="45" t="s">
        <v>330</v>
      </c>
      <c r="B50" s="52" t="n">
        <v>45838</v>
      </c>
      <c r="C50" s="47" t="s">
        <v>331</v>
      </c>
      <c r="D50" s="48" t="n">
        <f aca="false">SUM(E50:G50)</f>
        <v>24370.38</v>
      </c>
      <c r="E50" s="48" t="n">
        <v>7817.34</v>
      </c>
      <c r="F50" s="48" t="n">
        <v>7824.66</v>
      </c>
      <c r="G50" s="48" t="n">
        <v>8728.38</v>
      </c>
      <c r="H50" s="53" t="s">
        <v>265</v>
      </c>
    </row>
    <row r="51" customFormat="false" ht="27.75" hidden="false" customHeight="true" outlineLevel="0" collapsed="false">
      <c r="A51" s="45" t="s">
        <v>332</v>
      </c>
      <c r="B51" s="52" t="n">
        <v>45869</v>
      </c>
      <c r="C51" s="47" t="s">
        <v>333</v>
      </c>
      <c r="D51" s="48" t="n">
        <f aca="false">SUM(E51:G51)</f>
        <v>25182.73</v>
      </c>
      <c r="E51" s="48" t="n">
        <v>8077.92</v>
      </c>
      <c r="F51" s="48" t="n">
        <v>8085.48</v>
      </c>
      <c r="G51" s="48" t="n">
        <v>9019.33</v>
      </c>
      <c r="H51" s="53" t="s">
        <v>265</v>
      </c>
    </row>
    <row r="52" customFormat="false" ht="27.75" hidden="false" customHeight="true" outlineLevel="0" collapsed="false">
      <c r="A52" s="45" t="s">
        <v>334</v>
      </c>
      <c r="B52" s="52" t="n">
        <v>45900</v>
      </c>
      <c r="C52" s="47" t="s">
        <v>335</v>
      </c>
      <c r="D52" s="48" t="n">
        <f aca="false">SUM(E52:G52)</f>
        <v>25182.73</v>
      </c>
      <c r="E52" s="48" t="n">
        <v>8077.92</v>
      </c>
      <c r="F52" s="48" t="n">
        <v>8085.48</v>
      </c>
      <c r="G52" s="48" t="n">
        <v>9019.33</v>
      </c>
      <c r="H52" s="53" t="s">
        <v>265</v>
      </c>
    </row>
    <row r="53" customFormat="false" ht="27.75" hidden="false" customHeight="true" outlineLevel="0" collapsed="false">
      <c r="A53" s="45" t="s">
        <v>336</v>
      </c>
      <c r="B53" s="52" t="n">
        <v>45930</v>
      </c>
      <c r="C53" s="47" t="s">
        <v>337</v>
      </c>
      <c r="D53" s="48" t="n">
        <f aca="false">SUM(E53:G53)</f>
        <v>24173.74</v>
      </c>
      <c r="E53" s="48" t="n">
        <v>7722.82</v>
      </c>
      <c r="F53" s="48" t="n">
        <v>7722.54</v>
      </c>
      <c r="G53" s="48" t="n">
        <v>8728.38</v>
      </c>
      <c r="H53" s="53" t="s">
        <v>265</v>
      </c>
    </row>
    <row r="54" customFormat="false" ht="27.75" hidden="false" customHeight="true" outlineLevel="0" collapsed="false">
      <c r="A54" s="45" t="s">
        <v>338</v>
      </c>
      <c r="B54" s="52" t="n">
        <v>45961</v>
      </c>
      <c r="C54" s="47" t="s">
        <v>339</v>
      </c>
      <c r="D54" s="48" t="n">
        <f aca="false">SUM(E54:G54)</f>
        <v>24832.18</v>
      </c>
      <c r="E54" s="48" t="n">
        <v>7938.4</v>
      </c>
      <c r="F54" s="48" t="n">
        <v>7874.45</v>
      </c>
      <c r="G54" s="48" t="n">
        <v>9019.33</v>
      </c>
      <c r="H54" s="53" t="s">
        <v>265</v>
      </c>
    </row>
    <row r="55" customFormat="false" ht="27.75" hidden="false" customHeight="true" outlineLevel="0" collapsed="false">
      <c r="A55" s="45" t="s">
        <v>340</v>
      </c>
      <c r="B55" s="52" t="n">
        <v>45991</v>
      </c>
      <c r="C55" s="47" t="s">
        <v>341</v>
      </c>
      <c r="D55" s="48" t="n">
        <f aca="false">SUM(E55:G55)</f>
        <v>24031.13</v>
      </c>
      <c r="E55" s="48" t="n">
        <v>7682.31</v>
      </c>
      <c r="F55" s="48" t="n">
        <v>7620.44</v>
      </c>
      <c r="G55" s="48" t="n">
        <v>8728.38</v>
      </c>
      <c r="H55" s="53" t="s">
        <v>265</v>
      </c>
    </row>
    <row r="56" customFormat="false" ht="27.75" hidden="false" customHeight="true" outlineLevel="0" collapsed="false">
      <c r="A56" s="45" t="s">
        <v>342</v>
      </c>
      <c r="B56" s="52" t="n">
        <v>46022</v>
      </c>
      <c r="C56" s="47" t="s">
        <v>343</v>
      </c>
      <c r="D56" s="48" t="n">
        <f aca="false">SUM(E56:G56)</f>
        <v>24832.18</v>
      </c>
      <c r="E56" s="48" t="n">
        <v>7938.4</v>
      </c>
      <c r="F56" s="48" t="n">
        <v>7874.45</v>
      </c>
      <c r="G56" s="48" t="n">
        <v>9019.33</v>
      </c>
      <c r="H56" s="53" t="s">
        <v>265</v>
      </c>
    </row>
    <row r="57" customFormat="false" ht="13.5" hidden="false" customHeight="true" outlineLevel="0" collapsed="false">
      <c r="C57" s="54" t="s">
        <v>259</v>
      </c>
      <c r="D57" s="55" t="n">
        <f aca="false">SUM(D17:D56)</f>
        <v>1123293.29</v>
      </c>
      <c r="E57" s="55" t="n">
        <f aca="false">SUM(E17:E56)</f>
        <v>481899.2</v>
      </c>
      <c r="F57" s="55" t="n">
        <f aca="false">SUM(F17:F56)</f>
        <v>481082.8</v>
      </c>
      <c r="G57" s="55" t="n">
        <f aca="false">SUM(G17:G56)</f>
        <v>160311.29</v>
      </c>
      <c r="H57" s="54" t="str">
        <f aca="false">IF(ROUND(D57-E57-F57-G57,2)=0,"Balanced","CHECK")</f>
        <v>Balanced</v>
      </c>
    </row>
    <row r="59" customFormat="false" ht="13.5" hidden="false" customHeight="true" outlineLevel="0" collapsed="false">
      <c r="C59" s="56" t="s">
        <v>344</v>
      </c>
    </row>
    <row r="60" customFormat="false" ht="13.5" hidden="false" customHeight="true" outlineLevel="0" collapsed="false">
      <c r="C60" s="56" t="s">
        <v>345</v>
      </c>
      <c r="D60" s="57" t="n">
        <f aca="false">SUMPRODUCT((YEAR($B$17:$B$56)=2022)*D$17:D$56)</f>
        <v>94455.62</v>
      </c>
      <c r="E60" s="57" t="n">
        <f aca="false">SUMPRODUCT((YEAR($B$17:$B$56)=2022)*E$17:E$56)</f>
        <v>47227.81</v>
      </c>
      <c r="F60" s="57" t="n">
        <f aca="false">SUMPRODUCT((YEAR($B$17:$B$56)=2022)*F$17:F$56)</f>
        <v>47227.81</v>
      </c>
      <c r="G60" s="57" t="n">
        <f aca="false">SUMPRODUCT((YEAR($B$17:$B$56)=2022)*G$17:G$56)</f>
        <v>0</v>
      </c>
      <c r="H60" s="58"/>
    </row>
    <row r="61" customFormat="false" ht="13.5" hidden="false" customHeight="true" outlineLevel="0" collapsed="false">
      <c r="C61" s="56" t="s">
        <v>346</v>
      </c>
      <c r="D61" s="57" t="n">
        <f aca="false">SUMPRODUCT((YEAR($B$17:$B$56)=2023)*D$17:D$56)</f>
        <v>368774.94</v>
      </c>
      <c r="E61" s="57" t="n">
        <f aca="false">SUMPRODUCT((YEAR($B$17:$B$56)=2023)*E$17:E$56)</f>
        <v>184772.83</v>
      </c>
      <c r="F61" s="57" t="n">
        <f aca="false">SUMPRODUCT((YEAR($B$17:$B$56)=2023)*F$17:F$56)</f>
        <v>184002.11</v>
      </c>
      <c r="G61" s="57" t="n">
        <f aca="false">SUMPRODUCT((YEAR($B$17:$B$56)=2023)*G$17:G$56)</f>
        <v>0</v>
      </c>
      <c r="H61" s="58"/>
    </row>
    <row r="62" customFormat="false" ht="13.5" hidden="false" customHeight="true" outlineLevel="0" collapsed="false">
      <c r="C62" s="56" t="s">
        <v>347</v>
      </c>
      <c r="D62" s="57" t="n">
        <f aca="false">SUMPRODUCT((YEAR($B$17:$B$56)=2024)*D$17:D$56)</f>
        <v>363640.82</v>
      </c>
      <c r="E62" s="57" t="n">
        <f aca="false">SUMPRODUCT((YEAR($B$17:$B$56)=2024)*E$17:E$56)</f>
        <v>154706.19</v>
      </c>
      <c r="F62" s="57" t="n">
        <f aca="false">SUMPRODUCT((YEAR($B$17:$B$56)=2024)*F$17:F$56)</f>
        <v>154818.66</v>
      </c>
      <c r="G62" s="57" t="n">
        <f aca="false">SUMPRODUCT((YEAR($B$17:$B$56)=2024)*G$17:G$56)</f>
        <v>54115.97</v>
      </c>
      <c r="H62" s="58"/>
    </row>
    <row r="63" customFormat="false" ht="13.5" hidden="false" customHeight="true" outlineLevel="0" collapsed="false">
      <c r="C63" s="56" t="s">
        <v>348</v>
      </c>
      <c r="D63" s="57" t="n">
        <f aca="false">SUMPRODUCT((YEAR($B$17:$B$56)=2025)*D$17:D$56)</f>
        <v>296421.91</v>
      </c>
      <c r="E63" s="57" t="n">
        <f aca="false">SUMPRODUCT((YEAR($B$17:$B$56)=2025)*E$17:E$56)</f>
        <v>95192.37</v>
      </c>
      <c r="F63" s="57" t="n">
        <f aca="false">SUMPRODUCT((YEAR($B$17:$B$56)=2025)*F$17:F$56)</f>
        <v>95034.22</v>
      </c>
      <c r="G63" s="57" t="n">
        <f aca="false">SUMPRODUCT((YEAR($B$17:$B$56)=2025)*G$17:G$56)</f>
        <v>106195.32</v>
      </c>
      <c r="H63" s="58"/>
    </row>
    <row r="65" customFormat="false" ht="13.5" hidden="false" customHeight="true" outlineLevel="0" collapsed="false">
      <c r="A65" s="43" t="s">
        <v>349</v>
      </c>
    </row>
    <row r="66" customFormat="false" ht="34.5" hidden="false" customHeight="true" outlineLevel="0" collapsed="false">
      <c r="A66" s="59" t="s">
        <v>261</v>
      </c>
      <c r="B66" s="59" t="s">
        <v>170</v>
      </c>
      <c r="C66" s="59" t="s">
        <v>47</v>
      </c>
      <c r="D66" s="59" t="s">
        <v>350</v>
      </c>
      <c r="E66" s="59" t="s">
        <v>351</v>
      </c>
      <c r="F66" s="59" t="s">
        <v>352</v>
      </c>
      <c r="G66" s="59" t="s">
        <v>353</v>
      </c>
      <c r="H66" s="59" t="s">
        <v>354</v>
      </c>
    </row>
    <row r="67" customFormat="false" ht="13.5" hidden="false" customHeight="true" outlineLevel="0" collapsed="false">
      <c r="A67" s="56" t="s">
        <v>355</v>
      </c>
      <c r="B67" s="60" t="n">
        <v>44926</v>
      </c>
      <c r="C67" s="61" t="s">
        <v>356</v>
      </c>
      <c r="D67" s="57" t="n">
        <f aca="false">D60</f>
        <v>94455.62</v>
      </c>
      <c r="E67" s="57" t="n">
        <f aca="false">ROUND(D67/0.86*0.14,2)</f>
        <v>15376.5</v>
      </c>
      <c r="F67" s="57" t="n">
        <v>0</v>
      </c>
      <c r="G67" s="57" t="n">
        <f aca="false">E67-F67</f>
        <v>15376.5</v>
      </c>
      <c r="H67" s="61" t="s">
        <v>357</v>
      </c>
    </row>
    <row r="68" customFormat="false" ht="13.5" hidden="false" customHeight="true" outlineLevel="0" collapsed="false">
      <c r="A68" s="56" t="s">
        <v>358</v>
      </c>
      <c r="B68" s="60" t="n">
        <v>45291</v>
      </c>
      <c r="C68" s="61" t="s">
        <v>359</v>
      </c>
      <c r="D68" s="57" t="n">
        <f aca="false">D61</f>
        <v>368774.94</v>
      </c>
      <c r="E68" s="57" t="n">
        <f aca="false">ROUND(D68/0.86*0.14,2)</f>
        <v>60033.13</v>
      </c>
      <c r="F68" s="57" t="n">
        <v>40281.18</v>
      </c>
      <c r="G68" s="57" t="n">
        <f aca="false">E68-F68</f>
        <v>19751.95</v>
      </c>
      <c r="H68" s="61"/>
    </row>
    <row r="69" customFormat="false" ht="13.5" hidden="false" customHeight="true" outlineLevel="0" collapsed="false">
      <c r="A69" s="56" t="s">
        <v>360</v>
      </c>
      <c r="B69" s="60" t="n">
        <v>45657</v>
      </c>
      <c r="C69" s="61" t="s">
        <v>361</v>
      </c>
      <c r="D69" s="57" t="n">
        <f aca="false">D62</f>
        <v>363640.82</v>
      </c>
      <c r="E69" s="57" t="n">
        <f aca="false">ROUND(D69/0.86*0.14,2)</f>
        <v>59197.34</v>
      </c>
      <c r="F69" s="57" t="n">
        <v>34387.29</v>
      </c>
      <c r="G69" s="57" t="n">
        <f aca="false">E69-F69</f>
        <v>24810.05</v>
      </c>
      <c r="H69" s="61"/>
    </row>
    <row r="70" customFormat="false" ht="23.25" hidden="false" customHeight="true" outlineLevel="0" collapsed="false">
      <c r="A70" s="56" t="s">
        <v>362</v>
      </c>
      <c r="B70" s="60" t="n">
        <v>46022</v>
      </c>
      <c r="C70" s="61" t="s">
        <v>363</v>
      </c>
      <c r="D70" s="57" t="n">
        <f aca="false">D63</f>
        <v>296421.91</v>
      </c>
      <c r="E70" s="57" t="n">
        <f aca="false">ROUND(D70/0.86*0.14,2)</f>
        <v>48254.73</v>
      </c>
      <c r="F70" s="57" t="n">
        <v>0</v>
      </c>
      <c r="G70" s="57" t="n">
        <f aca="false">E70-F70</f>
        <v>48254.73</v>
      </c>
      <c r="H70" s="61" t="s">
        <v>364</v>
      </c>
    </row>
    <row r="71" customFormat="false" ht="13.5" hidden="false" customHeight="true" outlineLevel="0" collapsed="false">
      <c r="C71" s="62" t="s">
        <v>259</v>
      </c>
      <c r="D71" s="63" t="n">
        <f aca="false">SUM(D67:D70)</f>
        <v>1123293.29</v>
      </c>
      <c r="E71" s="63" t="n">
        <f aca="false">SUM(E67:E70)</f>
        <v>182861.7</v>
      </c>
      <c r="F71" s="63" t="n">
        <f aca="false">SUM(F67:F70)</f>
        <v>74668.47</v>
      </c>
      <c r="G71" s="63" t="n">
        <f aca="false">SUM(G67:G70)</f>
        <v>108193.23</v>
      </c>
      <c r="H71" s="62"/>
    </row>
    <row r="73" customFormat="false" ht="30" hidden="false" customHeight="true" outlineLevel="0" collapsed="false">
      <c r="A73" s="64" t="s">
        <v>365</v>
      </c>
      <c r="B73" s="64"/>
      <c r="C73" s="64"/>
      <c r="D73" s="64"/>
      <c r="E73" s="64"/>
      <c r="F73" s="64"/>
      <c r="G73" s="64"/>
      <c r="H73" s="64"/>
    </row>
  </sheetData>
  <mergeCells count="1">
    <mergeCell ref="A73:H7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1"/>
  <sheetViews>
    <sheetView showFormulas="false" showGridLines="false" showRowColHeaders="true" showZeros="true" rightToLeft="false" tabSelected="false" showOutlineSymbols="true" defaultGridColor="true" view="normal" topLeftCell="A9" colorId="64" zoomScale="150" zoomScaleNormal="150" zoomScalePageLayoutView="100" workbookViewId="0">
      <selection pane="topLeft" activeCell="C19" activeCellId="0" sqref="C19"/>
    </sheetView>
  </sheetViews>
  <sheetFormatPr defaultColWidth="8.66796875" defaultRowHeight="15" zeroHeight="false" outlineLevelRow="0" outlineLevelCol="0"/>
  <cols>
    <col collapsed="false" customWidth="true" hidden="false" outlineLevel="0" max="1" min="1" style="1" width="46"/>
    <col collapsed="false" customWidth="true" hidden="false" outlineLevel="0" max="4" min="2" style="1" width="18"/>
    <col collapsed="false" customWidth="true" hidden="false" outlineLevel="0" max="5" min="5" style="1" width="52"/>
  </cols>
  <sheetData>
    <row r="1" customFormat="false" ht="18" hidden="false" customHeight="true" outlineLevel="0" collapsed="false">
      <c r="A1" s="2" t="s">
        <v>366</v>
      </c>
    </row>
    <row r="2" customFormat="false" ht="15" hidden="false" customHeight="true" outlineLevel="0" collapsed="false">
      <c r="A2" s="3" t="s">
        <v>367</v>
      </c>
    </row>
    <row r="4" customFormat="false" ht="15" hidden="false" customHeight="true" outlineLevel="0" collapsed="false">
      <c r="A4" s="11" t="s">
        <v>246</v>
      </c>
      <c r="B4" s="11" t="s">
        <v>368</v>
      </c>
      <c r="C4" s="11" t="s">
        <v>369</v>
      </c>
      <c r="D4" s="11" t="s">
        <v>370</v>
      </c>
      <c r="E4" s="11" t="s">
        <v>371</v>
      </c>
    </row>
    <row r="5" customFormat="false" ht="15" hidden="false" customHeight="true" outlineLevel="0" collapsed="false">
      <c r="A5" s="13" t="s">
        <v>372</v>
      </c>
      <c r="B5" s="12"/>
      <c r="C5" s="12"/>
      <c r="D5" s="12"/>
      <c r="E5" s="12"/>
    </row>
    <row r="6" customFormat="false" ht="27.75" hidden="false" customHeight="true" outlineLevel="0" collapsed="false">
      <c r="A6" s="6" t="s">
        <v>373</v>
      </c>
      <c r="B6" s="65" t="n">
        <v>1470000</v>
      </c>
      <c r="C6" s="65" t="n">
        <v>0</v>
      </c>
      <c r="D6" s="65" t="n">
        <f aca="false">C6-B6</f>
        <v>-1470000</v>
      </c>
      <c r="E6" s="6" t="s">
        <v>374</v>
      </c>
    </row>
    <row r="7" customFormat="false" ht="15" hidden="false" customHeight="true" outlineLevel="0" collapsed="false">
      <c r="A7" s="6" t="s">
        <v>375</v>
      </c>
      <c r="B7" s="65" t="n">
        <v>0</v>
      </c>
      <c r="C7" s="65" t="n">
        <v>735000</v>
      </c>
      <c r="D7" s="65" t="n">
        <f aca="false">C7-B7</f>
        <v>735000</v>
      </c>
      <c r="E7" s="6" t="s">
        <v>376</v>
      </c>
    </row>
    <row r="8" customFormat="false" ht="15" hidden="false" customHeight="true" outlineLevel="0" collapsed="false">
      <c r="A8" s="6" t="s">
        <v>377</v>
      </c>
      <c r="B8" s="65" t="n">
        <v>0</v>
      </c>
      <c r="C8" s="65" t="n">
        <v>735000</v>
      </c>
      <c r="D8" s="65" t="n">
        <f aca="false">C8-B8</f>
        <v>735000</v>
      </c>
      <c r="E8" s="6" t="s">
        <v>376</v>
      </c>
    </row>
    <row r="9" customFormat="false" ht="27.75" hidden="false" customHeight="true" outlineLevel="0" collapsed="false">
      <c r="A9" s="6" t="s">
        <v>378</v>
      </c>
      <c r="B9" s="65" t="n">
        <v>26536.09</v>
      </c>
      <c r="C9" s="65" t="n">
        <v>0</v>
      </c>
      <c r="D9" s="65" t="n">
        <f aca="false">C9-B9</f>
        <v>-26536.09</v>
      </c>
      <c r="E9" s="6" t="s">
        <v>379</v>
      </c>
    </row>
    <row r="10" customFormat="false" ht="15" hidden="false" customHeight="true" outlineLevel="0" collapsed="false">
      <c r="A10" s="6" t="s">
        <v>254</v>
      </c>
      <c r="B10" s="65" t="n">
        <v>1745676.83</v>
      </c>
      <c r="C10" s="65" t="n">
        <f aca="false">'Correcting Entries'!E8+'Correcting Entries'!E11</f>
        <v>1745676.83</v>
      </c>
      <c r="D10" s="65" t="n">
        <f aca="false">C10-B10</f>
        <v>0</v>
      </c>
      <c r="E10" s="6" t="s">
        <v>380</v>
      </c>
    </row>
    <row r="11" customFormat="false" ht="27.75" hidden="false" customHeight="true" outlineLevel="0" collapsed="false">
      <c r="A11" s="6" t="s">
        <v>253</v>
      </c>
      <c r="B11" s="65" t="n">
        <v>156337.69</v>
      </c>
      <c r="C11" s="65" t="n">
        <f aca="false">'Correcting Entries'!F60+'Correcting Entries'!F61+'Correcting Entries'!F62-78155.75-106511.14</f>
        <v>201381.69</v>
      </c>
      <c r="D11" s="65" t="n">
        <f aca="false">C11-B11</f>
        <v>45043.9999999999</v>
      </c>
      <c r="E11" s="6" t="s">
        <v>381</v>
      </c>
    </row>
    <row r="12" customFormat="false" ht="27.75" hidden="false" customHeight="true" outlineLevel="0" collapsed="false">
      <c r="A12" s="6" t="s">
        <v>251</v>
      </c>
      <c r="B12" s="65" t="n">
        <v>171965.15</v>
      </c>
      <c r="C12" s="65" t="n">
        <f aca="false">'Correcting Entries'!E60+'Correcting Entries'!E61+'Correcting Entries'!E62-75648.08-109165.69</f>
        <v>201893.06</v>
      </c>
      <c r="D12" s="65" t="n">
        <f aca="false">C12-B12</f>
        <v>29927.9099999999</v>
      </c>
      <c r="E12" s="6" t="s">
        <v>382</v>
      </c>
    </row>
    <row r="13" customFormat="false" ht="15" hidden="false" customHeight="true" outlineLevel="0" collapsed="false">
      <c r="A13" s="6" t="s">
        <v>383</v>
      </c>
      <c r="B13" s="65" t="n">
        <v>54115.97</v>
      </c>
      <c r="C13" s="65" t="n">
        <f aca="false">'Correcting Entries'!G62</f>
        <v>54115.97</v>
      </c>
      <c r="D13" s="65" t="n">
        <f aca="false">C13-B13</f>
        <v>0</v>
      </c>
      <c r="E13" s="6" t="s">
        <v>384</v>
      </c>
    </row>
    <row r="14" customFormat="false" ht="15" hidden="false" customHeight="true" outlineLevel="0" collapsed="false">
      <c r="A14" s="13" t="s">
        <v>385</v>
      </c>
      <c r="B14" s="12"/>
      <c r="C14" s="12"/>
      <c r="D14" s="12"/>
      <c r="E14" s="12"/>
    </row>
    <row r="15" customFormat="false" ht="15" hidden="false" customHeight="true" outlineLevel="0" collapsed="false">
      <c r="A15" s="6" t="s">
        <v>386</v>
      </c>
      <c r="B15" s="65" t="n">
        <v>0</v>
      </c>
      <c r="C15" s="65" t="n">
        <f aca="false">'Correcting Entries'!D60</f>
        <v>94455.62</v>
      </c>
      <c r="D15" s="65" t="n">
        <f aca="false">C15-B15</f>
        <v>94455.62</v>
      </c>
      <c r="E15" s="6" t="s">
        <v>387</v>
      </c>
    </row>
    <row r="16" customFormat="false" ht="27.75" hidden="false" customHeight="true" outlineLevel="0" collapsed="false">
      <c r="A16" s="6" t="s">
        <v>388</v>
      </c>
      <c r="B16" s="65" t="n">
        <v>470685.22</v>
      </c>
      <c r="C16" s="65" t="n">
        <f aca="false">'Correcting Entries'!D61</f>
        <v>368774.94</v>
      </c>
      <c r="D16" s="65" t="n">
        <f aca="false">C16-B16</f>
        <v>-101910.28</v>
      </c>
      <c r="E16" s="6" t="s">
        <v>389</v>
      </c>
    </row>
    <row r="17" customFormat="false" ht="27.75" hidden="false" customHeight="true" outlineLevel="0" collapsed="false">
      <c r="A17" s="6" t="s">
        <v>390</v>
      </c>
      <c r="B17" s="65" t="n">
        <v>382418.81</v>
      </c>
      <c r="C17" s="65" t="n">
        <f aca="false">'Correcting Entries'!D62</f>
        <v>363640.82</v>
      </c>
      <c r="D17" s="65" t="n">
        <f aca="false">C17-B17</f>
        <v>-18777.99</v>
      </c>
      <c r="E17" s="6" t="s">
        <v>391</v>
      </c>
    </row>
    <row r="18" customFormat="false" ht="15" hidden="false" customHeight="true" outlineLevel="0" collapsed="false">
      <c r="A18" s="6" t="s">
        <v>392</v>
      </c>
      <c r="B18" s="65" t="n">
        <v>0</v>
      </c>
      <c r="C18" s="65" t="n">
        <v>40281.18</v>
      </c>
      <c r="D18" s="65" t="n">
        <f aca="false">C18-B18</f>
        <v>40281.18</v>
      </c>
      <c r="E18" s="6" t="s">
        <v>393</v>
      </c>
    </row>
    <row r="19" customFormat="false" ht="15" hidden="false" customHeight="true" outlineLevel="0" collapsed="false">
      <c r="A19" s="6" t="s">
        <v>394</v>
      </c>
      <c r="B19" s="65" t="n">
        <v>0</v>
      </c>
      <c r="C19" s="65" t="n">
        <v>34387.29</v>
      </c>
      <c r="D19" s="65" t="n">
        <f aca="false">C19-B19</f>
        <v>34387.29</v>
      </c>
      <c r="E19" s="6" t="s">
        <v>393</v>
      </c>
    </row>
    <row r="21" customFormat="false" ht="15" hidden="false" customHeight="true" outlineLevel="0" collapsed="false">
      <c r="A21" s="29" t="s">
        <v>395</v>
      </c>
      <c r="D21" s="66" t="n">
        <f aca="false">D6+D7+D8+D9+D10+D11+D12+D13</f>
        <v>48435.8199999999</v>
      </c>
    </row>
    <row r="22" customFormat="false" ht="15" hidden="false" customHeight="true" outlineLevel="0" collapsed="false">
      <c r="A22" s="29" t="s">
        <v>396</v>
      </c>
      <c r="D22" s="66" t="n">
        <f aca="false">D15+D16+D17+D18+D19</f>
        <v>48435.82</v>
      </c>
    </row>
    <row r="23" customFormat="false" ht="25.5" hidden="false" customHeight="true" outlineLevel="0" collapsed="false">
      <c r="A23" s="67" t="s">
        <v>397</v>
      </c>
      <c r="D23" s="68" t="n">
        <f aca="false">ROUND(D21-D22,2)</f>
        <v>0</v>
      </c>
      <c r="E23" s="69" t="s">
        <v>398</v>
      </c>
    </row>
    <row r="25" customFormat="false" ht="27.75" hidden="false" customHeight="true" outlineLevel="0" collapsed="false">
      <c r="A25" s="29" t="s">
        <v>399</v>
      </c>
    </row>
    <row r="26" customFormat="false" ht="15" hidden="false" customHeight="true" outlineLevel="0" collapsed="false">
      <c r="A26" s="6" t="s">
        <v>400</v>
      </c>
      <c r="C26" s="65" t="n">
        <f aca="false">C12</f>
        <v>201893.06</v>
      </c>
    </row>
    <row r="27" customFormat="false" ht="15" hidden="false" customHeight="true" outlineLevel="0" collapsed="false">
      <c r="A27" s="6" t="s">
        <v>401</v>
      </c>
      <c r="C27" s="65" t="n">
        <v>201893.06</v>
      </c>
    </row>
    <row r="28" customFormat="false" ht="15" hidden="false" customHeight="true" outlineLevel="0" collapsed="false">
      <c r="A28" s="67" t="s">
        <v>402</v>
      </c>
      <c r="C28" s="68" t="n">
        <f aca="false">ROUND(C26-C27,2)</f>
        <v>0</v>
      </c>
    </row>
    <row r="29" customFormat="false" ht="15" hidden="false" customHeight="true" outlineLevel="0" collapsed="false">
      <c r="A29" s="6" t="s">
        <v>403</v>
      </c>
      <c r="C29" s="65" t="n">
        <f aca="false">C11</f>
        <v>201381.69</v>
      </c>
    </row>
    <row r="30" customFormat="false" ht="15" hidden="false" customHeight="true" outlineLevel="0" collapsed="false">
      <c r="A30" s="6" t="s">
        <v>404</v>
      </c>
      <c r="C30" s="65" t="n">
        <v>201381.69</v>
      </c>
    </row>
    <row r="31" customFormat="false" ht="15" hidden="false" customHeight="true" outlineLevel="0" collapsed="false">
      <c r="A31" s="67" t="s">
        <v>402</v>
      </c>
      <c r="C31" s="68" t="n">
        <f aca="false">ROUND(C29-C30,2)</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12"/>
    <col collapsed="false" customWidth="true" hidden="false" outlineLevel="0" max="2" min="2" style="1" width="13"/>
    <col collapsed="false" customWidth="true" hidden="false" outlineLevel="0" max="3" min="3" style="1" width="48"/>
    <col collapsed="false" customWidth="true" hidden="false" outlineLevel="0" max="5" min="4" style="1" width="16"/>
    <col collapsed="false" customWidth="true" hidden="false" outlineLevel="0" max="6" min="6" style="1" width="50"/>
  </cols>
  <sheetData>
    <row r="1" customFormat="false" ht="18" hidden="false" customHeight="true" outlineLevel="0" collapsed="false">
      <c r="A1" s="2" t="s">
        <v>405</v>
      </c>
    </row>
    <row r="2" customFormat="false" ht="15" hidden="false" customHeight="true" outlineLevel="0" collapsed="false">
      <c r="A2" s="3" t="s">
        <v>406</v>
      </c>
    </row>
    <row r="4" customFormat="false" ht="15" hidden="false" customHeight="true" outlineLevel="0" collapsed="false">
      <c r="A4" s="70" t="s">
        <v>407</v>
      </c>
    </row>
    <row r="5" customFormat="false" ht="15" hidden="false" customHeight="true" outlineLevel="0" collapsed="false">
      <c r="A5" s="71" t="s">
        <v>19</v>
      </c>
      <c r="B5" s="72" t="s">
        <v>408</v>
      </c>
      <c r="C5" s="72"/>
      <c r="D5" s="72"/>
      <c r="E5" s="72"/>
      <c r="F5" s="72"/>
    </row>
    <row r="6" customFormat="false" ht="15" hidden="false" customHeight="true" outlineLevel="0" collapsed="false">
      <c r="A6" s="71" t="s">
        <v>19</v>
      </c>
      <c r="B6" s="72" t="s">
        <v>409</v>
      </c>
      <c r="C6" s="72"/>
      <c r="D6" s="72"/>
      <c r="E6" s="72"/>
      <c r="F6" s="72"/>
    </row>
    <row r="7" customFormat="false" ht="15" hidden="false" customHeight="true" outlineLevel="0" collapsed="false">
      <c r="A7" s="71" t="s">
        <v>19</v>
      </c>
      <c r="B7" s="72" t="s">
        <v>410</v>
      </c>
      <c r="C7" s="72"/>
      <c r="D7" s="72"/>
      <c r="E7" s="72"/>
      <c r="F7" s="72"/>
    </row>
    <row r="9" customFormat="false" ht="15" hidden="false" customHeight="true" outlineLevel="0" collapsed="false">
      <c r="A9" s="70" t="s">
        <v>411</v>
      </c>
    </row>
    <row r="10" customFormat="false" ht="15" hidden="false" customHeight="true" outlineLevel="0" collapsed="false">
      <c r="A10" s="11" t="s">
        <v>261</v>
      </c>
      <c r="B10" s="11" t="s">
        <v>170</v>
      </c>
      <c r="C10" s="11" t="s">
        <v>246</v>
      </c>
      <c r="D10" s="11" t="s">
        <v>247</v>
      </c>
      <c r="E10" s="11" t="s">
        <v>248</v>
      </c>
      <c r="F10" s="11" t="s">
        <v>412</v>
      </c>
    </row>
    <row r="11" customFormat="false" ht="15" hidden="false" customHeight="true" outlineLevel="0" collapsed="false">
      <c r="A11" s="29" t="s">
        <v>413</v>
      </c>
      <c r="B11" s="73" t="n">
        <v>45292</v>
      </c>
      <c r="C11" s="6" t="s">
        <v>414</v>
      </c>
      <c r="D11" s="65" t="n">
        <v>3000000</v>
      </c>
      <c r="E11" s="65"/>
      <c r="F11" s="6" t="s">
        <v>415</v>
      </c>
    </row>
    <row r="12" customFormat="false" ht="15" hidden="false" customHeight="true" outlineLevel="0" collapsed="false">
      <c r="A12" s="29" t="s">
        <v>413</v>
      </c>
      <c r="B12" s="73" t="n">
        <v>45292</v>
      </c>
      <c r="C12" s="6" t="s">
        <v>375</v>
      </c>
      <c r="D12" s="65"/>
      <c r="E12" s="65" t="n">
        <v>1500000</v>
      </c>
      <c r="F12" s="6" t="s">
        <v>416</v>
      </c>
    </row>
    <row r="13" customFormat="false" ht="15" hidden="false" customHeight="true" outlineLevel="0" collapsed="false">
      <c r="A13" s="29" t="s">
        <v>413</v>
      </c>
      <c r="B13" s="73" t="n">
        <v>45292</v>
      </c>
      <c r="C13" s="6" t="s">
        <v>377</v>
      </c>
      <c r="D13" s="65"/>
      <c r="E13" s="65" t="n">
        <v>1500000</v>
      </c>
      <c r="F13" s="6" t="s">
        <v>417</v>
      </c>
    </row>
    <row r="14" customFormat="false" ht="27.75" hidden="false" customHeight="true" outlineLevel="0" collapsed="false">
      <c r="A14" s="29" t="s">
        <v>418</v>
      </c>
      <c r="B14" s="73" t="n">
        <v>45292</v>
      </c>
      <c r="C14" s="6" t="s">
        <v>419</v>
      </c>
      <c r="D14" s="65" t="n">
        <v>276600.21</v>
      </c>
      <c r="E14" s="65"/>
      <c r="F14" s="6" t="s">
        <v>420</v>
      </c>
    </row>
    <row r="15" customFormat="false" ht="27.75" hidden="false" customHeight="true" outlineLevel="0" collapsed="false">
      <c r="A15" s="29" t="s">
        <v>418</v>
      </c>
      <c r="B15" s="73" t="n">
        <v>45292</v>
      </c>
      <c r="C15" s="6" t="s">
        <v>421</v>
      </c>
      <c r="D15" s="65" t="n">
        <v>32826.52</v>
      </c>
      <c r="E15" s="65"/>
      <c r="F15" s="6" t="s">
        <v>422</v>
      </c>
    </row>
    <row r="16" customFormat="false" ht="15" hidden="false" customHeight="true" outlineLevel="0" collapsed="false">
      <c r="A16" s="29" t="s">
        <v>418</v>
      </c>
      <c r="B16" s="73" t="n">
        <v>45292</v>
      </c>
      <c r="C16" s="6" t="s">
        <v>251</v>
      </c>
      <c r="D16" s="65"/>
      <c r="E16" s="65" t="n">
        <v>156352.56</v>
      </c>
      <c r="F16" s="6" t="s">
        <v>423</v>
      </c>
    </row>
    <row r="17" customFormat="false" ht="15" hidden="false" customHeight="true" outlineLevel="0" collapsed="false">
      <c r="A17" s="29" t="s">
        <v>418</v>
      </c>
      <c r="B17" s="73" t="n">
        <v>45292</v>
      </c>
      <c r="C17" s="6" t="s">
        <v>253</v>
      </c>
      <c r="D17" s="65"/>
      <c r="E17" s="65" t="n">
        <v>153074.17</v>
      </c>
      <c r="F17" s="6" t="s">
        <v>424</v>
      </c>
    </row>
    <row r="18" customFormat="false" ht="15" hidden="false" customHeight="true" outlineLevel="0" collapsed="false">
      <c r="C18" s="13" t="s">
        <v>259</v>
      </c>
      <c r="D18" s="74" t="n">
        <f aca="false">SUM(D11:D17)</f>
        <v>3309426.73</v>
      </c>
      <c r="E18" s="74" t="n">
        <f aca="false">SUM(E11:E17)</f>
        <v>3309426.73</v>
      </c>
      <c r="F18" s="13" t="str">
        <f aca="false">IF(ROUND(D18-E18,2)=0,"Balanced","CHECK")</f>
        <v>Balanced</v>
      </c>
    </row>
    <row r="20" customFormat="false" ht="15" hidden="false" customHeight="true" outlineLevel="0" collapsed="false">
      <c r="A20" s="70" t="s">
        <v>425</v>
      </c>
    </row>
    <row r="21" customFormat="false" ht="15" hidden="false" customHeight="true" outlineLevel="0" collapsed="false">
      <c r="A21" s="71" t="s">
        <v>19</v>
      </c>
      <c r="B21" s="72" t="s">
        <v>426</v>
      </c>
      <c r="C21" s="72"/>
      <c r="D21" s="72"/>
      <c r="E21" s="72"/>
      <c r="F21" s="72"/>
    </row>
    <row r="22" customFormat="false" ht="15" hidden="false" customHeight="true" outlineLevel="0" collapsed="false">
      <c r="A22" s="71" t="s">
        <v>19</v>
      </c>
      <c r="B22" s="72" t="s">
        <v>427</v>
      </c>
      <c r="C22" s="72"/>
      <c r="D22" s="72"/>
      <c r="E22" s="72"/>
      <c r="F22" s="72"/>
    </row>
    <row r="23" customFormat="false" ht="15" hidden="false" customHeight="true" outlineLevel="0" collapsed="false">
      <c r="A23" s="71" t="s">
        <v>19</v>
      </c>
      <c r="B23" s="72" t="s">
        <v>428</v>
      </c>
      <c r="C23" s="72"/>
      <c r="D23" s="72"/>
      <c r="E23" s="72"/>
      <c r="F23" s="72"/>
    </row>
    <row r="24" customFormat="false" ht="15" hidden="false" customHeight="true" outlineLevel="0" collapsed="false">
      <c r="A24" s="71" t="s">
        <v>19</v>
      </c>
      <c r="B24" s="72" t="s">
        <v>429</v>
      </c>
      <c r="C24" s="72"/>
      <c r="D24" s="72"/>
      <c r="E24" s="72"/>
      <c r="F24" s="72"/>
    </row>
  </sheetData>
  <mergeCells count="7">
    <mergeCell ref="B5:F5"/>
    <mergeCell ref="B6:F6"/>
    <mergeCell ref="B7:F7"/>
    <mergeCell ref="B21:F21"/>
    <mergeCell ref="B22:F22"/>
    <mergeCell ref="B23:F23"/>
    <mergeCell ref="B24:F2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2026-10-17T04:36:14Z</dcterms:created>
  <dc:creator>openpyxl</dc:creator>
  <dc:description/>
  <dc:language>en-US</dc:language>
  <cp:lastModifiedBy>Alvin John Rhey Camacho</cp:lastModifiedBy>
  <dcterms:modified xsi:type="dcterms:W3CDTF">2026-10-17T09:58:28Z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